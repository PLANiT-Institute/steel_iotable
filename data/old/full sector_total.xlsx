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51" documentId="8_{B3141F3E-7FFB-0040-A1EC-A3DF96B67230}" xr6:coauthVersionLast="47" xr6:coauthVersionMax="47" xr10:uidLastSave="{A5B5BB1B-818A-0843-9B7A-0B6EF4B79E2E}"/>
  <bookViews>
    <workbookView xWindow="680" yWindow="760" windowWidth="28040" windowHeight="17120" firstSheet="1" activeTab="6" xr2:uid="{4F665951-717A-774E-8EA2-E7A8FFD36BB1}"/>
  </bookViews>
  <sheets>
    <sheet name="scenario_jobcoeff_4506_iotable_" sheetId="2" r:id="rId1"/>
    <sheet name="scenario_jobcoeff_1610_iotable_" sheetId="3" r:id="rId2"/>
    <sheet name="scenario_indirect_prod_4506_iot" sheetId="4" r:id="rId3"/>
    <sheet name="scenario_indirect_prod_1610_iot" sheetId="5" r:id="rId4"/>
    <sheet name="total_production" sheetId="1" r:id="rId5"/>
    <sheet name="total_job" sheetId="6" r:id="rId6"/>
    <sheet name="sankey_production" sheetId="7" r:id="rId7"/>
    <sheet name="sankey_job" sheetId="8" r:id="rId8"/>
  </sheets>
  <definedNames>
    <definedName name="ExternalData_1" localSheetId="3" hidden="1">scenario_indirect_prod_1610_iot!$A$1:$AA$382</definedName>
    <definedName name="ExternalData_1" localSheetId="2" hidden="1">scenario_indirect_prod_4506_iot!$A$1:$AA$382</definedName>
    <definedName name="ExternalData_1" localSheetId="1" hidden="1">scenario_jobcoeff_1610_iotable_!$A$1:$AA$166</definedName>
    <definedName name="ExternalData_1" localSheetId="0" hidden="1">scenario_jobcoeff_4506_iotable_!$A$1:$AA$166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7" l="1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2" i="7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2" i="6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614A5C-2FC3-1741-BD12-BEAD96B56E6E}" keepAlive="1" name="Query - scenario_indirect_prod_1610_iotable_2020 xlsx-3" description="Connection to the 'scenario_indirect_prod_1610_iotable_2020 xlsx-3' query in the workbook." type="5" refreshedVersion="8" background="1" saveData="1">
    <dbPr connection="Provider=Microsoft.Mashup.OleDb.1;Data Source=$Workbook$;Location=&quot;scenario_indirect_prod_1610_iotable_2020 xlsx-3&quot;;Extended Properties=&quot;&quot;" command="SELECT * FROM [scenario_indirect_prod_1610_iotable_2020 xlsx-3]"/>
  </connection>
  <connection id="2" xr16:uid="{BEAEE745-863B-2F4A-A8F3-09D7F6D93FBC}" keepAlive="1" name="Query - scenario_indirect_prod_4506_iotable_2020 xlsx-3" description="Connection to the 'scenario_indirect_prod_4506_iotable_2020 xlsx-3' query in the workbook." type="5" refreshedVersion="8" background="1" saveData="1">
    <dbPr connection="Provider=Microsoft.Mashup.OleDb.1;Data Source=$Workbook$;Location=&quot;scenario_indirect_prod_4506_iotable_2020 xlsx-3&quot;;Extended Properties=&quot;&quot;" command="SELECT * FROM [scenario_indirect_prod_4506_iotable_2020 xlsx-3]"/>
  </connection>
  <connection id="3" xr16:uid="{D7959755-4F54-CA48-820B-0E161605E38E}" keepAlive="1" name="Query - scenario_jobcoeff_1610_iotable_2020 xlsx-3" description="Connection to the 'scenario_jobcoeff_1610_iotable_2020 xlsx-3' query in the workbook." type="5" refreshedVersion="8" background="1" saveData="1">
    <dbPr connection="Provider=Microsoft.Mashup.OleDb.1;Data Source=$Workbook$;Location=&quot;scenario_jobcoeff_1610_iotable_2020 xlsx-3&quot;;Extended Properties=&quot;&quot;" command="SELECT * FROM [scenario_jobcoeff_1610_iotable_2020 xlsx-3]"/>
  </connection>
  <connection id="4" xr16:uid="{9CD992DA-8F36-E34F-8C5F-90148CED6F09}" keepAlive="1" name="Query - scenario_jobcoeff_4506_iotable_2020 xlsx-3" description="Connection to the 'scenario_jobcoeff_4506_iotable_2020 xlsx-3' query in the workbook." type="5" refreshedVersion="8" background="1" saveData="1">
    <dbPr connection="Provider=Microsoft.Mashup.OleDb.1;Data Source=$Workbook$;Location=&quot;scenario_jobcoeff_4506_iotable_2020 xlsx-3&quot;;Extended Properties=&quot;&quot;" command="SELECT * FROM [scenario_jobcoeff_4506_iotable_2020 xlsx-3]"/>
  </connection>
</connections>
</file>

<file path=xl/sharedStrings.xml><?xml version="1.0" encoding="utf-8"?>
<sst xmlns="http://schemas.openxmlformats.org/spreadsheetml/2006/main" count="4912" uniqueCount="1054">
  <si>
    <t>Column1</t>
  </si>
  <si>
    <t>Column2</t>
  </si>
  <si>
    <t>Sector Code</t>
  </si>
  <si>
    <t>Sector Name</t>
  </si>
  <si>
    <t>450</t>
  </si>
  <si>
    <t>전력 및 신재생에너지</t>
  </si>
  <si>
    <t>520</t>
  </si>
  <si>
    <t>도소매 및 상품중개서비스</t>
  </si>
  <si>
    <t>711</t>
  </si>
  <si>
    <t>법무 및 경영지원서비스</t>
  </si>
  <si>
    <t>532</t>
  </si>
  <si>
    <t>도로운송서비스</t>
  </si>
  <si>
    <t>742</t>
  </si>
  <si>
    <t>인력공급 및 알선</t>
  </si>
  <si>
    <t>461</t>
  </si>
  <si>
    <t>도시가스</t>
  </si>
  <si>
    <t>581</t>
  </si>
  <si>
    <t>음식점 및 주점</t>
  </si>
  <si>
    <t>741</t>
  </si>
  <si>
    <t>사업시설 유지관리 및 조경서비스</t>
  </si>
  <si>
    <t>749</t>
  </si>
  <si>
    <t>기타 사업지원서비스</t>
  </si>
  <si>
    <t>729</t>
  </si>
  <si>
    <t xml:space="preserve">기타 과학기술 및 전문서비스 </t>
  </si>
  <si>
    <t>440</t>
  </si>
  <si>
    <t>제조임가공 및 산업용 장비 수리</t>
  </si>
  <si>
    <t>503</t>
  </si>
  <si>
    <t>건축보수</t>
  </si>
  <si>
    <t>651</t>
  </si>
  <si>
    <t>중앙은행 및 예금취급기관</t>
  </si>
  <si>
    <t>361</t>
  </si>
  <si>
    <t>의료 및 측정기기</t>
  </si>
  <si>
    <t>372</t>
  </si>
  <si>
    <t>전기변환.공급제어장치</t>
  </si>
  <si>
    <t>492</t>
  </si>
  <si>
    <t>자원재활용서비스</t>
  </si>
  <si>
    <t>172</t>
  </si>
  <si>
    <t>기초무기화학물질</t>
  </si>
  <si>
    <t>061</t>
  </si>
  <si>
    <t>석탄</t>
  </si>
  <si>
    <t>730</t>
  </si>
  <si>
    <t>장비·용품 및 지식재산권 임대</t>
  </si>
  <si>
    <t>012</t>
  </si>
  <si>
    <t>채소 및 과실</t>
  </si>
  <si>
    <t>239</t>
  </si>
  <si>
    <t>기타 플라스틱제품</t>
  </si>
  <si>
    <t>670</t>
  </si>
  <si>
    <t>금융 및 보험 보조서비스</t>
  </si>
  <si>
    <t>572</t>
  </si>
  <si>
    <t>소화물전문운송서비스</t>
  </si>
  <si>
    <t>821</t>
  </si>
  <si>
    <t>자동차 및 소비용품 수리서비스</t>
  </si>
  <si>
    <t>692</t>
  </si>
  <si>
    <t>부동산 관련 서비스</t>
  </si>
  <si>
    <t>303</t>
  </si>
  <si>
    <t>금속처리 및 가공품</t>
  </si>
  <si>
    <t>659</t>
  </si>
  <si>
    <t>기타 금융중개기관</t>
  </si>
  <si>
    <t>011</t>
  </si>
  <si>
    <t>곡물 및 식량작물</t>
  </si>
  <si>
    <t>691</t>
  </si>
  <si>
    <t>비주거용 건물 임대 및 부동산 공급</t>
  </si>
  <si>
    <t>491</t>
  </si>
  <si>
    <t>폐기물처리</t>
  </si>
  <si>
    <t>374</t>
  </si>
  <si>
    <t>전선 및 케이블</t>
  </si>
  <si>
    <t>301</t>
  </si>
  <si>
    <t>구조용 금속제품 및 탱크</t>
  </si>
  <si>
    <t>309</t>
  </si>
  <si>
    <t>기타 금속가공제품</t>
  </si>
  <si>
    <t>563</t>
  </si>
  <si>
    <t>보관 및 창고서비스</t>
  </si>
  <si>
    <t>810</t>
  </si>
  <si>
    <t>사회단체</t>
  </si>
  <si>
    <t>660</t>
  </si>
  <si>
    <t>보험서비스</t>
  </si>
  <si>
    <t>086</t>
  </si>
  <si>
    <t>조미료 및 유지</t>
  </si>
  <si>
    <t>371</t>
  </si>
  <si>
    <t>발전기 및 전동기</t>
  </si>
  <si>
    <t>770</t>
  </si>
  <si>
    <t>의료 및 보건</t>
  </si>
  <si>
    <t>751</t>
  </si>
  <si>
    <t>공공행정 및 국방</t>
  </si>
  <si>
    <t>150</t>
  </si>
  <si>
    <t>인쇄 및 기록매체 복제</t>
  </si>
  <si>
    <t>800</t>
  </si>
  <si>
    <t>스포츠 및 오락서비스</t>
  </si>
  <si>
    <t>712</t>
  </si>
  <si>
    <t>광고</t>
  </si>
  <si>
    <t>621</t>
  </si>
  <si>
    <t>소프트웨어 개발 공급</t>
  </si>
  <si>
    <t>379</t>
  </si>
  <si>
    <t>기타 전기장비</t>
  </si>
  <si>
    <t>569</t>
  </si>
  <si>
    <t>기타 운송 관련 서비스</t>
  </si>
  <si>
    <t>822</t>
  </si>
  <si>
    <t>개인서비스</t>
  </si>
  <si>
    <t>629</t>
  </si>
  <si>
    <t>기타 IT서비스</t>
  </si>
  <si>
    <t>561</t>
  </si>
  <si>
    <t>운송보조서비스</t>
  </si>
  <si>
    <t>403</t>
  </si>
  <si>
    <t>자동차 부품</t>
  </si>
  <si>
    <t>261</t>
  </si>
  <si>
    <t>도자기 및 요업제품</t>
  </si>
  <si>
    <t>249</t>
  </si>
  <si>
    <t>기타 고무제품</t>
  </si>
  <si>
    <t>131</t>
  </si>
  <si>
    <t>목재</t>
  </si>
  <si>
    <t>790</t>
  </si>
  <si>
    <t>문화 및 여행 관련 서비스</t>
  </si>
  <si>
    <t>480</t>
  </si>
  <si>
    <t>폐수처리</t>
  </si>
  <si>
    <t>302</t>
  </si>
  <si>
    <t>금속단조, 야금 및 압형제품</t>
  </si>
  <si>
    <t>132</t>
  </si>
  <si>
    <t>목제품</t>
  </si>
  <si>
    <t>339</t>
  </si>
  <si>
    <t>기타 전자부품</t>
  </si>
  <si>
    <t>760</t>
  </si>
  <si>
    <t>교육서비스</t>
  </si>
  <si>
    <t>630</t>
  </si>
  <si>
    <t>신문 및 출판 서비스</t>
  </si>
  <si>
    <t>229</t>
  </si>
  <si>
    <t>기타 화학제품</t>
  </si>
  <si>
    <t>562</t>
  </si>
  <si>
    <t>하역서비스</t>
  </si>
  <si>
    <t>531</t>
  </si>
  <si>
    <t>철도운송서비스</t>
  </si>
  <si>
    <t>272</t>
  </si>
  <si>
    <t>열간압연강재</t>
  </si>
  <si>
    <t>143</t>
  </si>
  <si>
    <t>종이제품</t>
  </si>
  <si>
    <t>571</t>
  </si>
  <si>
    <t>공영우편서비스</t>
  </si>
  <si>
    <t>114</t>
  </si>
  <si>
    <t>직물제품</t>
  </si>
  <si>
    <t>383</t>
  </si>
  <si>
    <t>일반목적용기계 부품</t>
  </si>
  <si>
    <t>019</t>
  </si>
  <si>
    <t>기타작물</t>
  </si>
  <si>
    <t>389</t>
  </si>
  <si>
    <t>기타 일반목적용 기계</t>
  </si>
  <si>
    <t>087</t>
  </si>
  <si>
    <t>기타 식료품</t>
  </si>
  <si>
    <t>610</t>
  </si>
  <si>
    <t>정보서비스</t>
  </si>
  <si>
    <t>600</t>
  </si>
  <si>
    <t>방송서비스</t>
  </si>
  <si>
    <t>439</t>
  </si>
  <si>
    <t>기타 제조업제품</t>
  </si>
  <si>
    <t>591</t>
  </si>
  <si>
    <t xml:space="preserve">유,무선 및 위성 통신서비스 </t>
  </si>
  <si>
    <t>269</t>
  </si>
  <si>
    <t>기타 비금속광물제품</t>
  </si>
  <si>
    <t>331</t>
  </si>
  <si>
    <t>인쇄회로기판</t>
  </si>
  <si>
    <t>282</t>
  </si>
  <si>
    <t>비철금속 1차제품</t>
  </si>
  <si>
    <t>062</t>
  </si>
  <si>
    <t>원유 및 천연가스</t>
  </si>
  <si>
    <t>382</t>
  </si>
  <si>
    <t>펌프 및 압축기</t>
  </si>
  <si>
    <t>320</t>
  </si>
  <si>
    <t>전자표시장치</t>
  </si>
  <si>
    <t>231</t>
  </si>
  <si>
    <t>플라스틱 1차제품</t>
  </si>
  <si>
    <t>431</t>
  </si>
  <si>
    <t>가구</t>
  </si>
  <si>
    <t>162</t>
  </si>
  <si>
    <t>원유정제처리제품</t>
  </si>
  <si>
    <t>081</t>
  </si>
  <si>
    <t>육류 및 낙농품</t>
  </si>
  <si>
    <t>222</t>
  </si>
  <si>
    <t>비누 및 화장품</t>
  </si>
  <si>
    <t>582</t>
  </si>
  <si>
    <t>숙박서비스</t>
  </si>
  <si>
    <t>120</t>
  </si>
  <si>
    <t>가죽제품</t>
  </si>
  <si>
    <t>115</t>
  </si>
  <si>
    <t>의복제품</t>
  </si>
  <si>
    <t>599</t>
  </si>
  <si>
    <t>기타 전기통신서비스</t>
  </si>
  <si>
    <t>279</t>
  </si>
  <si>
    <t>기타 철강1차제품</t>
  </si>
  <si>
    <t>640</t>
  </si>
  <si>
    <t>영상,오디오물 제작 및 배급</t>
  </si>
  <si>
    <t>085</t>
  </si>
  <si>
    <t>떡, 과자 및 면류</t>
  </si>
  <si>
    <t>373</t>
  </si>
  <si>
    <t>전지</t>
  </si>
  <si>
    <t>040</t>
  </si>
  <si>
    <t>수산물</t>
  </si>
  <si>
    <t>470</t>
  </si>
  <si>
    <t>수도</t>
  </si>
  <si>
    <t>029</t>
  </si>
  <si>
    <t>기타 축산</t>
  </si>
  <si>
    <t>180</t>
  </si>
  <si>
    <t>합성수지 및 합성고무</t>
  </si>
  <si>
    <t>290</t>
  </si>
  <si>
    <t>금속 주물</t>
  </si>
  <si>
    <t>351</t>
  </si>
  <si>
    <t>통신 및 방송장비</t>
  </si>
  <si>
    <t>310</t>
  </si>
  <si>
    <t>반도체</t>
  </si>
  <si>
    <t>550</t>
  </si>
  <si>
    <t>항공운송서비스</t>
  </si>
  <si>
    <t>721</t>
  </si>
  <si>
    <t>건축·토목 관련 서비스</t>
  </si>
  <si>
    <t>021</t>
  </si>
  <si>
    <t>낙농 및 축우</t>
  </si>
  <si>
    <t>142</t>
  </si>
  <si>
    <t>종이류</t>
  </si>
  <si>
    <t>221</t>
  </si>
  <si>
    <t>도료 및 잉크</t>
  </si>
  <si>
    <t>171</t>
  </si>
  <si>
    <t>기초유기화학물질</t>
  </si>
  <si>
    <t>385</t>
  </si>
  <si>
    <t>공기 및 액체 조절장치</t>
  </si>
  <si>
    <t>263</t>
  </si>
  <si>
    <t>콘크리트 제품</t>
  </si>
  <si>
    <t>250</t>
  </si>
  <si>
    <t>유리 및 유리제품</t>
  </si>
  <si>
    <t>200</t>
  </si>
  <si>
    <t>의약품</t>
  </si>
  <si>
    <t>112</t>
  </si>
  <si>
    <t>섬유직물</t>
  </si>
  <si>
    <t>082</t>
  </si>
  <si>
    <t>수산가공품</t>
  </si>
  <si>
    <t>281</t>
  </si>
  <si>
    <t>비철금속괴</t>
  </si>
  <si>
    <t>113</t>
  </si>
  <si>
    <t>섬유표백 및 염색 임가공</t>
  </si>
  <si>
    <t>369</t>
  </si>
  <si>
    <t>기타 정밀기기</t>
  </si>
  <si>
    <t>421</t>
  </si>
  <si>
    <t>철도차량</t>
  </si>
  <si>
    <t>540</t>
  </si>
  <si>
    <t>수상운송서비스</t>
  </si>
  <si>
    <t>241</t>
  </si>
  <si>
    <t>타이어 및 튜브</t>
  </si>
  <si>
    <t>092</t>
  </si>
  <si>
    <t>비알콜음료 및 얼음</t>
  </si>
  <si>
    <t>375</t>
  </si>
  <si>
    <t>가정용 전기기기</t>
  </si>
  <si>
    <t>381</t>
  </si>
  <si>
    <t>내연기관 및 터빈</t>
  </si>
  <si>
    <t>462</t>
  </si>
  <si>
    <t>증기 및 온수 공급</t>
  </si>
  <si>
    <t>030</t>
  </si>
  <si>
    <t>임산물</t>
  </si>
  <si>
    <t>163</t>
  </si>
  <si>
    <t>윤활유 및 기타석유정제품</t>
  </si>
  <si>
    <t>072</t>
  </si>
  <si>
    <t>비금속광물</t>
  </si>
  <si>
    <t>384</t>
  </si>
  <si>
    <t>산업용 운반기계</t>
  </si>
  <si>
    <t>091</t>
  </si>
  <si>
    <t>주류</t>
  </si>
  <si>
    <t>083</t>
  </si>
  <si>
    <t>정곡 및 제분</t>
  </si>
  <si>
    <t>050</t>
  </si>
  <si>
    <t>농림어업 서비스</t>
  </si>
  <si>
    <t>210</t>
  </si>
  <si>
    <t>비료 및 농약</t>
  </si>
  <si>
    <t>273</t>
  </si>
  <si>
    <t>냉간압연강재</t>
  </si>
  <si>
    <t>088</t>
  </si>
  <si>
    <t>사료</t>
  </si>
  <si>
    <t>429</t>
  </si>
  <si>
    <t>기타 운송장비</t>
  </si>
  <si>
    <t>111</t>
  </si>
  <si>
    <t>섬유사</t>
  </si>
  <si>
    <t>190</t>
  </si>
  <si>
    <t>화학섬유</t>
  </si>
  <si>
    <t>340</t>
  </si>
  <si>
    <t>컴퓨터 및 주변기기</t>
  </si>
  <si>
    <t>271</t>
  </si>
  <si>
    <t>선철 및 조강</t>
  </si>
  <si>
    <t>084</t>
  </si>
  <si>
    <t>제당 및 전분</t>
  </si>
  <si>
    <t>399</t>
  </si>
  <si>
    <t>기타 특수목적용기계</t>
  </si>
  <si>
    <t>422</t>
  </si>
  <si>
    <t>항공기</t>
  </si>
  <si>
    <t>262</t>
  </si>
  <si>
    <t>시멘트</t>
  </si>
  <si>
    <t>393</t>
  </si>
  <si>
    <t>금형 및 주형</t>
  </si>
  <si>
    <t>391</t>
  </si>
  <si>
    <t>농업 및 건설용 기계</t>
  </si>
  <si>
    <t>392</t>
  </si>
  <si>
    <t>금속가공용 기계</t>
  </si>
  <si>
    <t>410</t>
  </si>
  <si>
    <t>선박</t>
  </si>
  <si>
    <t>071</t>
  </si>
  <si>
    <t>금속광물</t>
  </si>
  <si>
    <t>394</t>
  </si>
  <si>
    <t>반도체 및 디스플레이 제조용 기계</t>
  </si>
  <si>
    <t>352</t>
  </si>
  <si>
    <t>영상 및 음향기기</t>
  </si>
  <si>
    <t>161</t>
  </si>
  <si>
    <t>석탄제품</t>
  </si>
  <si>
    <t>141</t>
  </si>
  <si>
    <t>펄프</t>
  </si>
  <si>
    <t>402</t>
  </si>
  <si>
    <t>특장차 및 트레일러</t>
  </si>
  <si>
    <t>700</t>
  </si>
  <si>
    <t>연구개발</t>
  </si>
  <si>
    <t>401</t>
  </si>
  <si>
    <t xml:space="preserve">자동차 </t>
  </si>
  <si>
    <t>100</t>
  </si>
  <si>
    <t>담배</t>
  </si>
  <si>
    <t>519</t>
  </si>
  <si>
    <t>기타 건설</t>
  </si>
  <si>
    <t>780</t>
  </si>
  <si>
    <t>사회복지서비스</t>
  </si>
  <si>
    <t>752</t>
  </si>
  <si>
    <t>사회보험서비스</t>
  </si>
  <si>
    <t>680</t>
  </si>
  <si>
    <t>주거서비스</t>
  </si>
  <si>
    <t>501</t>
  </si>
  <si>
    <t>주거용 건물</t>
  </si>
  <si>
    <t>513</t>
  </si>
  <si>
    <t>산업시설 건설</t>
  </si>
  <si>
    <t>512</t>
  </si>
  <si>
    <t>일반토목시설 건설</t>
  </si>
  <si>
    <t>511</t>
  </si>
  <si>
    <t>교통시설 건설</t>
  </si>
  <si>
    <t>502</t>
  </si>
  <si>
    <t>비주거용 건물</t>
  </si>
  <si>
    <t>830</t>
  </si>
  <si>
    <t>기타　</t>
  </si>
  <si>
    <t>4506</t>
  </si>
  <si>
    <t>재생에너지</t>
  </si>
  <si>
    <t>0862</t>
  </si>
  <si>
    <t>유지</t>
  </si>
  <si>
    <t>5200</t>
  </si>
  <si>
    <t>4920</t>
  </si>
  <si>
    <t>1329</t>
  </si>
  <si>
    <t>기타 목제품</t>
  </si>
  <si>
    <t>7300</t>
  </si>
  <si>
    <t>7112</t>
  </si>
  <si>
    <t>시장조사 및 경영지원서비스</t>
  </si>
  <si>
    <t>7490</t>
  </si>
  <si>
    <t>5811</t>
  </si>
  <si>
    <t>일반음식점</t>
  </si>
  <si>
    <t>3723</t>
  </si>
  <si>
    <t>전기회로 개폐 및 접속장치</t>
  </si>
  <si>
    <t>7291</t>
  </si>
  <si>
    <t>공학 관련 서비스</t>
  </si>
  <si>
    <t>3022</t>
  </si>
  <si>
    <t>금속압형제품</t>
  </si>
  <si>
    <t>6510</t>
  </si>
  <si>
    <t>4502</t>
  </si>
  <si>
    <t>화력</t>
  </si>
  <si>
    <t>4401</t>
  </si>
  <si>
    <t>제조임가공서비스</t>
  </si>
  <si>
    <t>3740</t>
  </si>
  <si>
    <t>1721</t>
  </si>
  <si>
    <t>산업용 가스</t>
  </si>
  <si>
    <t>6911</t>
  </si>
  <si>
    <t>비주거용 건물 임대</t>
  </si>
  <si>
    <t>2299</t>
  </si>
  <si>
    <t>5322</t>
  </si>
  <si>
    <t>도로화물운송서비스</t>
  </si>
  <si>
    <t>3799</t>
  </si>
  <si>
    <t>3014</t>
  </si>
  <si>
    <t>산업용 보일러 및 증기발생기</t>
  </si>
  <si>
    <t>3613</t>
  </si>
  <si>
    <t>자동조정 및 제어기기</t>
  </si>
  <si>
    <t>7111</t>
  </si>
  <si>
    <t>법무 및 회계서비스</t>
  </si>
  <si>
    <t>3724</t>
  </si>
  <si>
    <t>배전반 및 전기자동 제어반</t>
  </si>
  <si>
    <t>1719</t>
  </si>
  <si>
    <t>기타 기초유기화합물</t>
  </si>
  <si>
    <t>1722</t>
  </si>
  <si>
    <t>기초무기화합물</t>
  </si>
  <si>
    <t>6920</t>
  </si>
  <si>
    <t>6700</t>
  </si>
  <si>
    <t>4032</t>
  </si>
  <si>
    <t>자동차 부분품</t>
  </si>
  <si>
    <t>7420</t>
  </si>
  <si>
    <t>3612</t>
  </si>
  <si>
    <t>측정 및 분석기기</t>
  </si>
  <si>
    <t>7410</t>
  </si>
  <si>
    <t>3099</t>
  </si>
  <si>
    <t>기타 금속제품</t>
  </si>
  <si>
    <t>4402</t>
  </si>
  <si>
    <t>산업용 기계 및 장비 수리</t>
  </si>
  <si>
    <t>6603</t>
  </si>
  <si>
    <t>비생명보험</t>
  </si>
  <si>
    <t>3032</t>
  </si>
  <si>
    <t>금속처리 가공품</t>
  </si>
  <si>
    <t>3832</t>
  </si>
  <si>
    <t>베어링, 기어 및 동력전달장치</t>
  </si>
  <si>
    <t>4610</t>
  </si>
  <si>
    <t>7292</t>
  </si>
  <si>
    <t>과학기술서비스</t>
  </si>
  <si>
    <t>6599</t>
  </si>
  <si>
    <t>3094</t>
  </si>
  <si>
    <t>나사 및 철선제품</t>
  </si>
  <si>
    <t>6290</t>
  </si>
  <si>
    <t>0811</t>
  </si>
  <si>
    <t>도축육</t>
  </si>
  <si>
    <t>3710</t>
  </si>
  <si>
    <t>3820</t>
  </si>
  <si>
    <t>5690</t>
  </si>
  <si>
    <t>4503</t>
  </si>
  <si>
    <t>원자력</t>
  </si>
  <si>
    <t>5030</t>
  </si>
  <si>
    <t>1625</t>
  </si>
  <si>
    <t>경유</t>
  </si>
  <si>
    <t>1801</t>
  </si>
  <si>
    <t>합성수지</t>
  </si>
  <si>
    <t>5630</t>
  </si>
  <si>
    <t>2821</t>
  </si>
  <si>
    <t>동 1차제품</t>
  </si>
  <si>
    <t>2721</t>
  </si>
  <si>
    <t>철근 및 봉강</t>
  </si>
  <si>
    <t>2310</t>
  </si>
  <si>
    <t>6100</t>
  </si>
  <si>
    <t>정보제공서비스</t>
  </si>
  <si>
    <t>3031</t>
  </si>
  <si>
    <t>금속처리</t>
  </si>
  <si>
    <t>7120</t>
  </si>
  <si>
    <t>3101</t>
  </si>
  <si>
    <t>개별소자</t>
  </si>
  <si>
    <t>7299</t>
  </si>
  <si>
    <t>기타 전문서비스</t>
  </si>
  <si>
    <t>1431</t>
  </si>
  <si>
    <t>골판지 및 골판지가공품</t>
  </si>
  <si>
    <t>5720</t>
  </si>
  <si>
    <t>5912</t>
  </si>
  <si>
    <t>무선 및 위성 통신서비스</t>
  </si>
  <si>
    <t>3012</t>
  </si>
  <si>
    <t>구조물용 금속제품</t>
  </si>
  <si>
    <t>2393</t>
  </si>
  <si>
    <t>운송장비 및 조립용 플라스틱제품</t>
  </si>
  <si>
    <t>2399</t>
  </si>
  <si>
    <t>4912</t>
  </si>
  <si>
    <t>폐기물 수집, 운반 및 처리(산업)</t>
  </si>
  <si>
    <t>2811</t>
  </si>
  <si>
    <t>동 제련, 정련 및 합금제품</t>
  </si>
  <si>
    <t>5611</t>
  </si>
  <si>
    <t>육상운송보조서비스</t>
  </si>
  <si>
    <t>5321</t>
  </si>
  <si>
    <t>도로여객운송서비스</t>
  </si>
  <si>
    <t>2799</t>
  </si>
  <si>
    <t>0291</t>
  </si>
  <si>
    <t>양돈</t>
  </si>
  <si>
    <t>0880</t>
  </si>
  <si>
    <t>3721</t>
  </si>
  <si>
    <t>변압기</t>
  </si>
  <si>
    <t>1626</t>
  </si>
  <si>
    <t>중유</t>
  </si>
  <si>
    <t>6300</t>
  </si>
  <si>
    <t>신문 및 출판</t>
  </si>
  <si>
    <t>2392</t>
  </si>
  <si>
    <t>포장용 플라스틱제품</t>
  </si>
  <si>
    <t>2791</t>
  </si>
  <si>
    <t>표면처리강재</t>
  </si>
  <si>
    <t>3730</t>
  </si>
  <si>
    <t>0212</t>
  </si>
  <si>
    <t>축우</t>
  </si>
  <si>
    <t>8101</t>
  </si>
  <si>
    <t>산업 및 전문가단체</t>
  </si>
  <si>
    <t>8001</t>
  </si>
  <si>
    <t>스포츠서비스</t>
  </si>
  <si>
    <t>8211</t>
  </si>
  <si>
    <t>자동차 수리서비스</t>
  </si>
  <si>
    <t>3899</t>
  </si>
  <si>
    <t>6212</t>
  </si>
  <si>
    <t>1204</t>
  </si>
  <si>
    <t>신발</t>
  </si>
  <si>
    <t>0113</t>
  </si>
  <si>
    <t>콩류</t>
  </si>
  <si>
    <t>3102</t>
  </si>
  <si>
    <t>집적회로</t>
  </si>
  <si>
    <t>1500</t>
  </si>
  <si>
    <t>1712</t>
  </si>
  <si>
    <t>방향족 기초유분</t>
  </si>
  <si>
    <t>3201</t>
  </si>
  <si>
    <t>LCD 평판 디스플레이</t>
  </si>
  <si>
    <t>5813</t>
  </si>
  <si>
    <t>주점</t>
  </si>
  <si>
    <t>3512</t>
  </si>
  <si>
    <t>이동전화기</t>
  </si>
  <si>
    <t>2491</t>
  </si>
  <si>
    <t>산업용 고무제품</t>
  </si>
  <si>
    <t>5911</t>
  </si>
  <si>
    <t>유선통신서비스</t>
  </si>
  <si>
    <t>8300</t>
  </si>
  <si>
    <t>기타</t>
  </si>
  <si>
    <t>3209</t>
  </si>
  <si>
    <t>기타 전자표시장치</t>
  </si>
  <si>
    <t>2900</t>
  </si>
  <si>
    <t>3831</t>
  </si>
  <si>
    <t>밸브</t>
  </si>
  <si>
    <t>1429</t>
  </si>
  <si>
    <t>기타 원지 및 판지</t>
  </si>
  <si>
    <t>3722</t>
  </si>
  <si>
    <t>전기변환장치</t>
  </si>
  <si>
    <t>1622</t>
  </si>
  <si>
    <t>휘발유</t>
  </si>
  <si>
    <t>7702</t>
  </si>
  <si>
    <t>의료 및 보건(비영리)</t>
  </si>
  <si>
    <t>2822</t>
  </si>
  <si>
    <t>알루미늄 1차제품</t>
  </si>
  <si>
    <t>3391</t>
  </si>
  <si>
    <t>축전기, 저항기, 전자코일 및 변성기</t>
  </si>
  <si>
    <t>3011</t>
  </si>
  <si>
    <t>건축용 금속제품</t>
  </si>
  <si>
    <t>3310</t>
  </si>
  <si>
    <t>인쇄회로기판 및 실장기판</t>
  </si>
  <si>
    <t>5820</t>
  </si>
  <si>
    <t>숙박</t>
  </si>
  <si>
    <t>2730</t>
  </si>
  <si>
    <t>2725</t>
  </si>
  <si>
    <t>열연강판</t>
  </si>
  <si>
    <t>2724</t>
  </si>
  <si>
    <t>중후판(두께 3mm 이상)</t>
  </si>
  <si>
    <t>5999</t>
  </si>
  <si>
    <t>2727</t>
  </si>
  <si>
    <t>철강관</t>
  </si>
  <si>
    <t>1621</t>
  </si>
  <si>
    <t>나프타</t>
  </si>
  <si>
    <t>5710</t>
  </si>
  <si>
    <t>3399</t>
  </si>
  <si>
    <t>6591</t>
  </si>
  <si>
    <t>금융투자기관</t>
  </si>
  <si>
    <t>1627</t>
  </si>
  <si>
    <t>액화석유가스</t>
  </si>
  <si>
    <t>3093</t>
  </si>
  <si>
    <t>공구류</t>
  </si>
  <si>
    <t>1141</t>
  </si>
  <si>
    <t>7603</t>
  </si>
  <si>
    <t>교육서비스(산업)</t>
  </si>
  <si>
    <t>6002</t>
  </si>
  <si>
    <t>유선, 위성 및 기타방송서비스</t>
  </si>
  <si>
    <t>2501</t>
  </si>
  <si>
    <t>판유리 및 1차 유리제품</t>
  </si>
  <si>
    <t>2291</t>
  </si>
  <si>
    <t>접착제 및 젤라틴</t>
  </si>
  <si>
    <t>8212</t>
  </si>
  <si>
    <t>전자통신기기 및 가정용품 수리서비스</t>
  </si>
  <si>
    <t>1151</t>
  </si>
  <si>
    <t>봉제의류</t>
  </si>
  <si>
    <t>5620</t>
  </si>
  <si>
    <t>1711</t>
  </si>
  <si>
    <t>지방족 기초유분</t>
  </si>
  <si>
    <t>3691</t>
  </si>
  <si>
    <t>사진장비 및 광학기기</t>
  </si>
  <si>
    <t>1432</t>
  </si>
  <si>
    <t>종이용기</t>
  </si>
  <si>
    <t>4802</t>
  </si>
  <si>
    <t>하수,폐수 및 분뇨처리(산업)</t>
  </si>
  <si>
    <t>0861</t>
  </si>
  <si>
    <t>조미료 및 첨가용식품</t>
  </si>
  <si>
    <t>4700</t>
  </si>
  <si>
    <t>0196</t>
  </si>
  <si>
    <t>기타식용작물</t>
  </si>
  <si>
    <t>2222</t>
  </si>
  <si>
    <t>화장품</t>
  </si>
  <si>
    <t>4620</t>
  </si>
  <si>
    <t>0111</t>
  </si>
  <si>
    <t>벼</t>
  </si>
  <si>
    <t>1639</t>
  </si>
  <si>
    <t>기타 석유정제제품</t>
  </si>
  <si>
    <t>0831</t>
  </si>
  <si>
    <t>정곡</t>
  </si>
  <si>
    <t>1713</t>
  </si>
  <si>
    <t>석유화학중간제품</t>
  </si>
  <si>
    <t>0871</t>
  </si>
  <si>
    <t>과실 및 채소 가공품</t>
  </si>
  <si>
    <t>2723</t>
  </si>
  <si>
    <t>선재 및 궤조</t>
  </si>
  <si>
    <t>3792</t>
  </si>
  <si>
    <t>조명장치</t>
  </si>
  <si>
    <t>5812</t>
  </si>
  <si>
    <t>기타음식점</t>
  </si>
  <si>
    <t>0920</t>
  </si>
  <si>
    <t>2722</t>
  </si>
  <si>
    <t>형강</t>
  </si>
  <si>
    <t>0121</t>
  </si>
  <si>
    <t>채소</t>
  </si>
  <si>
    <t>6401</t>
  </si>
  <si>
    <t>영상·오디오물 제작 배급</t>
  </si>
  <si>
    <t>5500</t>
  </si>
  <si>
    <t>7703</t>
  </si>
  <si>
    <t>의료 및 보건(산업)</t>
  </si>
  <si>
    <t>4801</t>
  </si>
  <si>
    <t>하수,폐수 및 분뇨처리(국공립)</t>
  </si>
  <si>
    <t>1142</t>
  </si>
  <si>
    <t>부직포 및 펠트</t>
  </si>
  <si>
    <t>5401</t>
  </si>
  <si>
    <t>연안 및 내륙수상운송서비스</t>
  </si>
  <si>
    <t>2812</t>
  </si>
  <si>
    <t>알루미늄 제련, 정련 및 합금제품</t>
  </si>
  <si>
    <t>3092</t>
  </si>
  <si>
    <t>부착용 금속제품</t>
  </si>
  <si>
    <t>7512</t>
  </si>
  <si>
    <t>지방정부</t>
  </si>
  <si>
    <t>5310</t>
  </si>
  <si>
    <t>5402</t>
  </si>
  <si>
    <t>외항운송서비스</t>
  </si>
  <si>
    <t>2211</t>
  </si>
  <si>
    <t>도료</t>
  </si>
  <si>
    <t>2391</t>
  </si>
  <si>
    <t>건축용 플라스틱제품</t>
  </si>
  <si>
    <t>2000</t>
  </si>
  <si>
    <t>3095</t>
  </si>
  <si>
    <t>금속포장용기</t>
  </si>
  <si>
    <t>4396</t>
  </si>
  <si>
    <t>모형 및 장식용품</t>
  </si>
  <si>
    <t>6001</t>
  </si>
  <si>
    <t>지상파 방송서비스</t>
  </si>
  <si>
    <t>1439</t>
  </si>
  <si>
    <t>기타 종이제품</t>
  </si>
  <si>
    <t>1322</t>
  </si>
  <si>
    <t>목재용기 및 적재판</t>
  </si>
  <si>
    <t>3021</t>
  </si>
  <si>
    <t>금속 단조 및 야금제품</t>
  </si>
  <si>
    <t>1311</t>
  </si>
  <si>
    <t>제재목</t>
  </si>
  <si>
    <t>5991</t>
  </si>
  <si>
    <t>통신 재판매 및 중개 서비스</t>
  </si>
  <si>
    <t>4311</t>
  </si>
  <si>
    <t>목재 가구</t>
  </si>
  <si>
    <t>2410</t>
  </si>
  <si>
    <t>1421</t>
  </si>
  <si>
    <t>인쇄용지</t>
  </si>
  <si>
    <t>0851</t>
  </si>
  <si>
    <t>떡, 빵 및 과자류</t>
  </si>
  <si>
    <t>0879</t>
  </si>
  <si>
    <t>1631</t>
  </si>
  <si>
    <t>윤활유 및 그리스</t>
  </si>
  <si>
    <t>2221</t>
  </si>
  <si>
    <t>비누, 세제 및 치약</t>
  </si>
  <si>
    <t>7904</t>
  </si>
  <si>
    <t>여행사 및 여행보조 서비스</t>
  </si>
  <si>
    <t>4505</t>
  </si>
  <si>
    <t>신에너지</t>
  </si>
  <si>
    <t>1312</t>
  </si>
  <si>
    <t>합판</t>
  </si>
  <si>
    <t>2101</t>
  </si>
  <si>
    <t>비료 및 질소화합물</t>
  </si>
  <si>
    <t>3519</t>
  </si>
  <si>
    <t>기타 무선통신장비 및 방송장비</t>
  </si>
  <si>
    <t>1434</t>
  </si>
  <si>
    <t>위생용 종이제품</t>
  </si>
  <si>
    <t>0912</t>
  </si>
  <si>
    <t>소주</t>
  </si>
  <si>
    <t>3851</t>
  </si>
  <si>
    <t>공기조절장치 및 냉장냉동 장비</t>
  </si>
  <si>
    <t>2503</t>
  </si>
  <si>
    <t>산업용 유리제품(전자기기용 제외)</t>
  </si>
  <si>
    <t>1203</t>
  </si>
  <si>
    <t>가방 및 핸드백</t>
  </si>
  <si>
    <t>2726</t>
  </si>
  <si>
    <t>강선</t>
  </si>
  <si>
    <t>0401</t>
  </si>
  <si>
    <t>수산어획</t>
  </si>
  <si>
    <t>3759</t>
  </si>
  <si>
    <t>기타 가정용 전기기기</t>
  </si>
  <si>
    <t>0913</t>
  </si>
  <si>
    <t>맥주</t>
  </si>
  <si>
    <t>4504</t>
  </si>
  <si>
    <t>자가발전</t>
  </si>
  <si>
    <t>0813</t>
  </si>
  <si>
    <t>육가공품</t>
  </si>
  <si>
    <t>3611</t>
  </si>
  <si>
    <t>의료용 기기</t>
  </si>
  <si>
    <t>7511</t>
  </si>
  <si>
    <t>중앙정부</t>
  </si>
  <si>
    <t>0814</t>
  </si>
  <si>
    <t>낙농품</t>
  </si>
  <si>
    <t>2813</t>
  </si>
  <si>
    <t>연 및 아연 제련, 정련 및 합금제품</t>
  </si>
  <si>
    <t>0822</t>
  </si>
  <si>
    <t>수산동물 저장품</t>
  </si>
  <si>
    <t>0812</t>
  </si>
  <si>
    <t>가금육</t>
  </si>
  <si>
    <t>7902</t>
  </si>
  <si>
    <t>연극, 음악 및 기타예술</t>
  </si>
  <si>
    <t>0292</t>
  </si>
  <si>
    <t>가금</t>
  </si>
  <si>
    <t>1410</t>
  </si>
  <si>
    <t>8002</t>
  </si>
  <si>
    <t>오락서비스</t>
  </si>
  <si>
    <t>5814</t>
  </si>
  <si>
    <t>비알콜음료점</t>
  </si>
  <si>
    <t>3013</t>
  </si>
  <si>
    <t>금속제 탱크 및 압력용기</t>
  </si>
  <si>
    <t>4501</t>
  </si>
  <si>
    <t>수력</t>
  </si>
  <si>
    <t>8229</t>
  </si>
  <si>
    <t>기타 개인 서비스</t>
  </si>
  <si>
    <t>2613</t>
  </si>
  <si>
    <t>내화요업제품</t>
  </si>
  <si>
    <t>2829</t>
  </si>
  <si>
    <t>기타 비철금속 1차제품</t>
  </si>
  <si>
    <t>4399</t>
  </si>
  <si>
    <t>기타 제조업 제품</t>
  </si>
  <si>
    <t>0872</t>
  </si>
  <si>
    <t>커피 및 차류</t>
  </si>
  <si>
    <t>4031</t>
  </si>
  <si>
    <t>자동차용 엔진</t>
  </si>
  <si>
    <t>1121</t>
  </si>
  <si>
    <t>천연 및 화학 섬유직물</t>
  </si>
  <si>
    <t>3091</t>
  </si>
  <si>
    <t>가정용 금속제품</t>
  </si>
  <si>
    <t>0122</t>
  </si>
  <si>
    <t>과실</t>
  </si>
  <si>
    <t>1628</t>
  </si>
  <si>
    <t>정제혼합용 원료유</t>
  </si>
  <si>
    <t>2712</t>
  </si>
  <si>
    <t>합금철</t>
  </si>
  <si>
    <t>0821</t>
  </si>
  <si>
    <t>수산물 가공품</t>
  </si>
  <si>
    <t>0402</t>
  </si>
  <si>
    <t>수산양식</t>
  </si>
  <si>
    <t>1122</t>
  </si>
  <si>
    <t>기타 섬유직물</t>
  </si>
  <si>
    <t>1624</t>
  </si>
  <si>
    <t>등유</t>
  </si>
  <si>
    <t>2692</t>
  </si>
  <si>
    <t>석제품</t>
  </si>
  <si>
    <t>7210</t>
  </si>
  <si>
    <t>1149</t>
  </si>
  <si>
    <t>기타 섬유제품</t>
  </si>
  <si>
    <t>4319</t>
  </si>
  <si>
    <t>기타 가구</t>
  </si>
  <si>
    <t>1900</t>
  </si>
  <si>
    <t>1130</t>
  </si>
  <si>
    <t>2699</t>
  </si>
  <si>
    <t>3402</t>
  </si>
  <si>
    <t>컴퓨터 기억장치</t>
  </si>
  <si>
    <t>2713</t>
  </si>
  <si>
    <t>조강</t>
  </si>
  <si>
    <t>2631</t>
  </si>
  <si>
    <t>레미콘</t>
  </si>
  <si>
    <t>3810</t>
  </si>
  <si>
    <t>3840</t>
  </si>
  <si>
    <t>1155</t>
  </si>
  <si>
    <t>의복 관련 장신품</t>
  </si>
  <si>
    <t>4299</t>
  </si>
  <si>
    <t>기타 운수장비</t>
  </si>
  <si>
    <t>2102</t>
  </si>
  <si>
    <t>살충제 및 농약</t>
  </si>
  <si>
    <t>2693</t>
  </si>
  <si>
    <t>연마재</t>
  </si>
  <si>
    <t>7903</t>
  </si>
  <si>
    <t>기타 문화서비스</t>
  </si>
  <si>
    <t>1433</t>
  </si>
  <si>
    <t>종이문구 및 사무용지</t>
  </si>
  <si>
    <t>0500</t>
  </si>
  <si>
    <t>1802</t>
  </si>
  <si>
    <t>합성고무</t>
  </si>
  <si>
    <t>0832</t>
  </si>
  <si>
    <t>제분</t>
  </si>
  <si>
    <t>3409</t>
  </si>
  <si>
    <t>컴퓨터 주변기기</t>
  </si>
  <si>
    <t>2612</t>
  </si>
  <si>
    <t>산업용 도자기</t>
  </si>
  <si>
    <t>5613</t>
  </si>
  <si>
    <t>항공운송보조서비스</t>
  </si>
  <si>
    <t>1152</t>
  </si>
  <si>
    <t>편조의류</t>
  </si>
  <si>
    <t>3791</t>
  </si>
  <si>
    <t>전구 및 램프</t>
  </si>
  <si>
    <t>2814</t>
  </si>
  <si>
    <t>금은괴</t>
  </si>
  <si>
    <t>4312</t>
  </si>
  <si>
    <t>금속 가구</t>
  </si>
  <si>
    <t>2819</t>
  </si>
  <si>
    <t>기타 비철금속 제련, 정련 및 합금제품</t>
  </si>
  <si>
    <t>8222</t>
  </si>
  <si>
    <t>세탁</t>
  </si>
  <si>
    <t>2691</t>
  </si>
  <si>
    <t>석회 및 석고제품</t>
  </si>
  <si>
    <t>0211</t>
  </si>
  <si>
    <t>낙농</t>
  </si>
  <si>
    <t>4392</t>
  </si>
  <si>
    <t>운동 및 경기용품</t>
  </si>
  <si>
    <t>2212</t>
  </si>
  <si>
    <t>잉크</t>
  </si>
  <si>
    <t>1723</t>
  </si>
  <si>
    <t>염료, 안료 및 유연제</t>
  </si>
  <si>
    <t>5612</t>
  </si>
  <si>
    <t>수상운송보조서비스</t>
  </si>
  <si>
    <t>8221</t>
  </si>
  <si>
    <t>미용관련 서비스</t>
  </si>
  <si>
    <t>3511</t>
  </si>
  <si>
    <t>유선통신기기</t>
  </si>
  <si>
    <t>0843</t>
  </si>
  <si>
    <t>전분 및 당류</t>
  </si>
  <si>
    <t>0919</t>
  </si>
  <si>
    <t>기타 주류</t>
  </si>
  <si>
    <t>1623</t>
  </si>
  <si>
    <t>제트유</t>
  </si>
  <si>
    <t>0722</t>
  </si>
  <si>
    <t>석회석</t>
  </si>
  <si>
    <t>3852</t>
  </si>
  <si>
    <t>공기 및 액체 여과기</t>
  </si>
  <si>
    <t>2292</t>
  </si>
  <si>
    <t>사진용 화학제품 및 감광재료</t>
  </si>
  <si>
    <t>0873</t>
  </si>
  <si>
    <t>인삼 및 건강보조 식품</t>
  </si>
  <si>
    <t>0852</t>
  </si>
  <si>
    <t>면류</t>
  </si>
  <si>
    <t>4103</t>
  </si>
  <si>
    <t>선박 수리 및 부분품</t>
  </si>
  <si>
    <t>2499</t>
  </si>
  <si>
    <t>2502</t>
  </si>
  <si>
    <t>전자기기용 유리제품</t>
  </si>
  <si>
    <t>2711</t>
  </si>
  <si>
    <t>선철</t>
  </si>
  <si>
    <t>1201</t>
  </si>
  <si>
    <t>가죽</t>
  </si>
  <si>
    <t>2509</t>
  </si>
  <si>
    <t>기타 유리제품</t>
  </si>
  <si>
    <t>1321</t>
  </si>
  <si>
    <t>건축용 목제품</t>
  </si>
  <si>
    <t>6211</t>
  </si>
  <si>
    <t>게임소프트웨어 출판</t>
  </si>
  <si>
    <t>2694</t>
  </si>
  <si>
    <t>아스콘 및 아스팔트제품</t>
  </si>
  <si>
    <t>3752</t>
  </si>
  <si>
    <t>주방용 및 난방용 전기기기</t>
  </si>
  <si>
    <t>0114</t>
  </si>
  <si>
    <t>감자류</t>
  </si>
  <si>
    <t>2620</t>
  </si>
  <si>
    <t>0721</t>
  </si>
  <si>
    <t>골재 및 석재</t>
  </si>
  <si>
    <t>1111</t>
  </si>
  <si>
    <t>천연 및 화학섬유사</t>
  </si>
  <si>
    <t>0112</t>
  </si>
  <si>
    <t>맥류 및 잡곡</t>
  </si>
  <si>
    <t>1119</t>
  </si>
  <si>
    <t>기타섬유사</t>
  </si>
  <si>
    <t>0842</t>
  </si>
  <si>
    <t>정제당</t>
  </si>
  <si>
    <t>2632</t>
  </si>
  <si>
    <t>3912</t>
  </si>
  <si>
    <t>건설 및 광물처리기계</t>
  </si>
  <si>
    <t>1313</t>
  </si>
  <si>
    <t>강화 및 재생목재</t>
  </si>
  <si>
    <t>3891</t>
  </si>
  <si>
    <t>사무용기기</t>
  </si>
  <si>
    <t>3930</t>
  </si>
  <si>
    <t>4391</t>
  </si>
  <si>
    <t>장난감 및 오락용품</t>
  </si>
  <si>
    <t>0302</t>
  </si>
  <si>
    <t>원목</t>
  </si>
  <si>
    <t>0191</t>
  </si>
  <si>
    <t>화훼작물</t>
  </si>
  <si>
    <t>0729</t>
  </si>
  <si>
    <t>기타 비금속광물</t>
  </si>
  <si>
    <t>4220</t>
  </si>
  <si>
    <t>2614</t>
  </si>
  <si>
    <t>건설용 비내화요업제품</t>
  </si>
  <si>
    <t>0911</t>
  </si>
  <si>
    <t>주정</t>
  </si>
  <si>
    <t>1123</t>
  </si>
  <si>
    <t>편조원단</t>
  </si>
  <si>
    <t>0611</t>
  </si>
  <si>
    <t>무연탄</t>
  </si>
  <si>
    <t>0303</t>
  </si>
  <si>
    <t>식용 임산물</t>
  </si>
  <si>
    <t>2611</t>
  </si>
  <si>
    <t>가정용 도자기</t>
  </si>
  <si>
    <t>3999</t>
  </si>
  <si>
    <t>3941</t>
  </si>
  <si>
    <t>반도체 제조용 기계</t>
  </si>
  <si>
    <t>1610</t>
  </si>
  <si>
    <t>4210</t>
  </si>
  <si>
    <t>0192</t>
  </si>
  <si>
    <t>약용작물</t>
  </si>
  <si>
    <t>4394</t>
  </si>
  <si>
    <t>문구용품</t>
  </si>
  <si>
    <t>3991</t>
  </si>
  <si>
    <t>음식료품 가공기계</t>
  </si>
  <si>
    <t>3920</t>
  </si>
  <si>
    <t>3751</t>
  </si>
  <si>
    <t>가정용 냉장고 및 냉동고</t>
  </si>
  <si>
    <t>6402</t>
  </si>
  <si>
    <t>영화상영</t>
  </si>
  <si>
    <t>7901</t>
  </si>
  <si>
    <t>문화서비스(국공립)</t>
  </si>
  <si>
    <t>1209</t>
  </si>
  <si>
    <t>기타 가죽제품</t>
  </si>
  <si>
    <t>0301</t>
  </si>
  <si>
    <t>영림</t>
  </si>
  <si>
    <t>0195</t>
  </si>
  <si>
    <t>종자</t>
  </si>
  <si>
    <t>3911</t>
  </si>
  <si>
    <t>농업용 기계</t>
  </si>
  <si>
    <t>0621</t>
  </si>
  <si>
    <t>원유</t>
  </si>
  <si>
    <t>0622</t>
  </si>
  <si>
    <t>천연가스(LNG)</t>
  </si>
  <si>
    <t>3523</t>
  </si>
  <si>
    <t>오디오 및 음향기기</t>
  </si>
  <si>
    <t>0711</t>
  </si>
  <si>
    <t>철광석</t>
  </si>
  <si>
    <t>4393</t>
  </si>
  <si>
    <t>악기</t>
  </si>
  <si>
    <t>7701</t>
  </si>
  <si>
    <t>의료 및 보건(국공립)</t>
  </si>
  <si>
    <t>0309</t>
  </si>
  <si>
    <t>기타 임산물</t>
  </si>
  <si>
    <t>3993</t>
  </si>
  <si>
    <t>산업용 로봇</t>
  </si>
  <si>
    <t>3521</t>
  </si>
  <si>
    <t>TV</t>
  </si>
  <si>
    <t>4395</t>
  </si>
  <si>
    <t>귀금속 및 보석</t>
  </si>
  <si>
    <t>4291</t>
  </si>
  <si>
    <t>모터사이클</t>
  </si>
  <si>
    <t>1153</t>
  </si>
  <si>
    <t>가죽의류</t>
  </si>
  <si>
    <t>0299</t>
  </si>
  <si>
    <t>기타축산</t>
  </si>
  <si>
    <t>3522</t>
  </si>
  <si>
    <t>영상기기</t>
  </si>
  <si>
    <t>1202</t>
  </si>
  <si>
    <t>모피</t>
  </si>
  <si>
    <t>0199</t>
  </si>
  <si>
    <t>기타 비식용작물</t>
  </si>
  <si>
    <t>4022</t>
  </si>
  <si>
    <t>트레일러 및 컨테이너</t>
  </si>
  <si>
    <t>3692</t>
  </si>
  <si>
    <t>시계</t>
  </si>
  <si>
    <t>3994</t>
  </si>
  <si>
    <t>제지 및 인쇄기계</t>
  </si>
  <si>
    <t>3942</t>
  </si>
  <si>
    <t>디스플레이 제조용 기계</t>
  </si>
  <si>
    <t>0719</t>
  </si>
  <si>
    <t>기타 비철금속광석</t>
  </si>
  <si>
    <t>3995</t>
  </si>
  <si>
    <t>고무 및 플라스틱 성형기계</t>
  </si>
  <si>
    <t>1154</t>
  </si>
  <si>
    <t>모피의류 및 모피제품</t>
  </si>
  <si>
    <t>3992</t>
  </si>
  <si>
    <t>섬유 및 의복가공 기계</t>
  </si>
  <si>
    <t>7003</t>
  </si>
  <si>
    <t>연구개발(산업)</t>
  </si>
  <si>
    <t>4102</t>
  </si>
  <si>
    <t>기타 선박</t>
  </si>
  <si>
    <t>3401</t>
  </si>
  <si>
    <t>컴퓨터</t>
  </si>
  <si>
    <t>6912</t>
  </si>
  <si>
    <t>부동산 개발 및 공급</t>
  </si>
  <si>
    <t>5131</t>
  </si>
  <si>
    <t>환경정화시설</t>
  </si>
  <si>
    <t>5132</t>
  </si>
  <si>
    <t>발전소 시설</t>
  </si>
  <si>
    <t>5133</t>
  </si>
  <si>
    <t>산업플랜트</t>
  </si>
  <si>
    <t>5190</t>
  </si>
  <si>
    <t>6601</t>
  </si>
  <si>
    <t>생명보험</t>
  </si>
  <si>
    <t>6602</t>
  </si>
  <si>
    <t>연금기금</t>
  </si>
  <si>
    <t>6800</t>
  </si>
  <si>
    <t>7004</t>
  </si>
  <si>
    <t>기업내 연구개발</t>
  </si>
  <si>
    <t>7001</t>
  </si>
  <si>
    <t>연구개발(국공립)</t>
  </si>
  <si>
    <t>7002</t>
  </si>
  <si>
    <t>연구개발(비영리)</t>
  </si>
  <si>
    <t>5123</t>
  </si>
  <si>
    <t>농림수산토목</t>
  </si>
  <si>
    <t>7520</t>
  </si>
  <si>
    <t>사회보험(국공립)</t>
  </si>
  <si>
    <t>7601</t>
  </si>
  <si>
    <t>교육서비스(국공립)</t>
  </si>
  <si>
    <t>7602</t>
  </si>
  <si>
    <t>교육서비스(비영리)</t>
  </si>
  <si>
    <t>7801</t>
  </si>
  <si>
    <t>사회복지서비스(국공립)</t>
  </si>
  <si>
    <t>7802</t>
  </si>
  <si>
    <t>사회복지서비스(비영리)</t>
  </si>
  <si>
    <t>8109</t>
  </si>
  <si>
    <t>기타 사회단체</t>
  </si>
  <si>
    <t>5124</t>
  </si>
  <si>
    <t>도시토목</t>
  </si>
  <si>
    <t>5113</t>
  </si>
  <si>
    <t>항만시설</t>
  </si>
  <si>
    <t>5122</t>
  </si>
  <si>
    <t>상하수도시설</t>
  </si>
  <si>
    <t>4013</t>
  </si>
  <si>
    <t>버스</t>
  </si>
  <si>
    <t>0193</t>
  </si>
  <si>
    <t>잎담배</t>
  </si>
  <si>
    <t>0194</t>
  </si>
  <si>
    <t>천연고무</t>
  </si>
  <si>
    <t>0612</t>
  </si>
  <si>
    <t>유연탄</t>
  </si>
  <si>
    <t>0841</t>
  </si>
  <si>
    <t>원당</t>
  </si>
  <si>
    <t>1000</t>
  </si>
  <si>
    <t>4011</t>
  </si>
  <si>
    <t>승용차</t>
  </si>
  <si>
    <t>4012</t>
  </si>
  <si>
    <t>전기승용차</t>
  </si>
  <si>
    <t>4014</t>
  </si>
  <si>
    <t>트럭</t>
  </si>
  <si>
    <t>5121</t>
  </si>
  <si>
    <t>하천사방</t>
  </si>
  <si>
    <t>4021</t>
  </si>
  <si>
    <t>특장차</t>
  </si>
  <si>
    <t>4101</t>
  </si>
  <si>
    <t>강철제 선박</t>
  </si>
  <si>
    <t>4911</t>
  </si>
  <si>
    <t>폐기물 수집, 운반 및 처리(국공립)</t>
  </si>
  <si>
    <t>5010</t>
  </si>
  <si>
    <t>5020</t>
  </si>
  <si>
    <t>5111</t>
  </si>
  <si>
    <t>도로시설</t>
  </si>
  <si>
    <t>5112</t>
  </si>
  <si>
    <t>철도시설</t>
  </si>
  <si>
    <t>8223</t>
  </si>
  <si>
    <t>가사서비스</t>
  </si>
  <si>
    <t>code</t>
  </si>
  <si>
    <t>sector name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</si>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</sst>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#,##0_ 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3">
    <xf numFmtId="0" fontId="0" fillId="0" borderId="0" xfId="0"/>
    <xf numFmtId="165" fontId="3" fillId="2" borderId="1" xfId="1" applyNumberFormat="1" applyFont="1" applyFill="1" applyBorder="1" applyAlignment="1">
      <alignment vertical="center"/>
    </xf>
    <xf numFmtId="165" fontId="0" fillId="0" borderId="0" xfId="0" applyNumberFormat="1"/>
  </cellXfs>
  <cellStyles count="2">
    <cellStyle name="Comma [0]" xfId="1" builtinId="6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D20929E-C32F-8043-9F05-8F8B9ED71CAA}" autoFormatId="16" applyNumberFormats="0" applyBorderFormats="0" applyFontFormats="0" applyPatternFormats="0" applyAlignmentFormats="0" applyWidthHeightFormats="0">
  <queryTableRefresh nextId="29">
    <queryTableFields count="27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">
      <deletedField name="Column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29386F-26BF-9A46-A58F-B8B2AD05A2AF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DE599B-81BC-1346-B95B-957C01D8CDCB}" autoFormatId="16" applyNumberFormats="0" applyBorderFormats="0" applyFontFormats="0" applyPatternFormats="0" applyAlignmentFormats="0" applyWidthHeightFormats="0">
  <queryTableRefresh nextId="29">
    <queryTableFields count="27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">
      <deletedField name="Column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6AD9CE-B199-C845-B2E7-04EC93034719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39602-4025-9346-B1CA-0EDB1C05ECF4}" name="scenario_jobcoeff_4506_iotable_2020_xlsx_3" displayName="scenario_jobcoeff_4506_iotable_2020_xlsx_3" ref="A1:AA166" tableType="queryTable" totalsRowShown="0">
  <autoFilter ref="A1:AA166" xr:uid="{CB739602-4025-9346-B1CA-0EDB1C05ECF4}"/>
  <sortState xmlns:xlrd2="http://schemas.microsoft.com/office/spreadsheetml/2017/richdata2" ref="A2:AA166">
    <sortCondition ref="A1:A166"/>
  </sortState>
  <tableColumns count="27">
    <tableColumn id="1" xr3:uid="{080E57FD-D319-6845-B820-2796B2B78989}" uniqueName="1" name="code" queryTableFieldId="1" dataDxfId="7"/>
    <tableColumn id="2" xr3:uid="{06EE6053-2CAD-E74E-AC04-DD317401F576}" uniqueName="2" name="sector name" queryTableFieldId="2" dataDxfId="6"/>
    <tableColumn id="4" xr3:uid="{C0DAD40C-A825-4B47-9218-3E46A09B636C}" uniqueName="4" name="2026" queryTableFieldId="4"/>
    <tableColumn id="5" xr3:uid="{FCDB8E09-C9CB-B048-96AF-30CE40769115}" uniqueName="5" name="2027" queryTableFieldId="5"/>
    <tableColumn id="6" xr3:uid="{9C3BB039-992A-AE48-AC58-B9190F313629}" uniqueName="6" name="2028" queryTableFieldId="6"/>
    <tableColumn id="7" xr3:uid="{792AE587-965D-EA44-871E-951E6A661D2E}" uniqueName="7" name="2029" queryTableFieldId="7"/>
    <tableColumn id="8" xr3:uid="{D4B789F1-B1BE-324D-AC96-2F4A2D3527A7}" uniqueName="8" name="2030" queryTableFieldId="8"/>
    <tableColumn id="9" xr3:uid="{322007E3-14E5-8948-9C74-56AD0E0FB254}" uniqueName="9" name="2031" queryTableFieldId="9"/>
    <tableColumn id="10" xr3:uid="{198926D1-281E-0C4D-A98A-8A171D671361}" uniqueName="10" name="2032" queryTableFieldId="10"/>
    <tableColumn id="11" xr3:uid="{329158F0-AF41-9E41-B955-6AD934E99338}" uniqueName="11" name="2033" queryTableFieldId="11"/>
    <tableColumn id="12" xr3:uid="{8256E6E6-3B02-A74A-98D8-5ECC1793D76F}" uniqueName="12" name="2034" queryTableFieldId="12"/>
    <tableColumn id="13" xr3:uid="{671F2635-AC43-E140-B66C-C38FDBC7F74B}" uniqueName="13" name="2035" queryTableFieldId="13"/>
    <tableColumn id="14" xr3:uid="{4171BB5E-4470-264D-811B-58D4D54807F4}" uniqueName="14" name="2036" queryTableFieldId="14"/>
    <tableColumn id="15" xr3:uid="{37F10940-149B-874A-9610-553FCAD4D73D}" uniqueName="15" name="2037" queryTableFieldId="15"/>
    <tableColumn id="16" xr3:uid="{71931501-CD7F-AA46-A0D9-4FBA58B8707E}" uniqueName="16" name="2038" queryTableFieldId="16"/>
    <tableColumn id="17" xr3:uid="{A07B77A3-D314-F949-94D1-29751A5FBC9E}" uniqueName="17" name="2039" queryTableFieldId="17"/>
    <tableColumn id="18" xr3:uid="{04081C3E-72CC-4941-994F-D2C636D6FE05}" uniqueName="18" name="2040" queryTableFieldId="18"/>
    <tableColumn id="19" xr3:uid="{5E640029-93E4-D04A-927E-B343045CF6FB}" uniqueName="19" name="2041" queryTableFieldId="19"/>
    <tableColumn id="20" xr3:uid="{3A0124B0-2ADA-A349-9286-3C41048AD9C8}" uniqueName="20" name="2042" queryTableFieldId="20"/>
    <tableColumn id="21" xr3:uid="{AADE77C6-C2D7-7B48-9825-307C6CBF34AD}" uniqueName="21" name="2043" queryTableFieldId="21"/>
    <tableColumn id="22" xr3:uid="{2A4B607C-B328-1845-8936-6DFEBFE63670}" uniqueName="22" name="2044" queryTableFieldId="22"/>
    <tableColumn id="23" xr3:uid="{D2804012-CFF8-E544-A65C-662E65532A3D}" uniqueName="23" name="2045" queryTableFieldId="23"/>
    <tableColumn id="24" xr3:uid="{9C2D11C3-269D-3244-9E44-1777DF1406BD}" uniqueName="24" name="2046" queryTableFieldId="24"/>
    <tableColumn id="25" xr3:uid="{ACEA9E53-0F7B-F54E-B0FB-B915007FE7E9}" uniqueName="25" name="2047" queryTableFieldId="25"/>
    <tableColumn id="26" xr3:uid="{036A3F4B-3D39-1148-AA0C-820804824E14}" uniqueName="26" name="2048" queryTableFieldId="26"/>
    <tableColumn id="27" xr3:uid="{DF79CE59-BD2B-B047-A7FF-0A7285C2BF08}" uniqueName="27" name="2049" queryTableFieldId="27"/>
    <tableColumn id="28" xr3:uid="{2AF3123D-8360-7643-AE11-5CD72DF300C9}" uniqueName="28" name="2050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B5C295-9E7D-A945-8CAD-10793F614CB6}" name="scenario_jobcoeff_1610_iotable_2020_xlsx_3" displayName="scenario_jobcoeff_1610_iotable_2020_xlsx_3" ref="A1:AA166" tableType="queryTable" totalsRowShown="0">
  <autoFilter ref="A1:AA166" xr:uid="{15B5C295-9E7D-A945-8CAD-10793F614CB6}"/>
  <sortState xmlns:xlrd2="http://schemas.microsoft.com/office/spreadsheetml/2017/richdata2" ref="A2:AA166">
    <sortCondition ref="A1:A166"/>
  </sortState>
  <tableColumns count="27">
    <tableColumn id="1" xr3:uid="{3B008C0C-95A5-694A-BBEA-6F086C7FAE2C}" uniqueName="1" name="code" queryTableFieldId="1" dataDxfId="5"/>
    <tableColumn id="2" xr3:uid="{A8EF5003-64E1-2A48-BCD5-7392F6C3E7E9}" uniqueName="2" name="sector name" queryTableFieldId="2" dataDxfId="4"/>
    <tableColumn id="3" xr3:uid="{D9D20E66-A94F-3D4D-AD36-BBFEE7BA95F3}" uniqueName="3" name="2026" queryTableFieldId="3"/>
    <tableColumn id="4" xr3:uid="{D8E9B09E-F414-1142-B852-5D7834642C42}" uniqueName="4" name="2027" queryTableFieldId="4"/>
    <tableColumn id="5" xr3:uid="{8282E2C7-6E92-D046-B2CA-DD5168E49EB0}" uniqueName="5" name="2028" queryTableFieldId="5"/>
    <tableColumn id="6" xr3:uid="{3F239A2E-27CB-A24E-A837-6D74B038EFB6}" uniqueName="6" name="2029" queryTableFieldId="6"/>
    <tableColumn id="7" xr3:uid="{FF6B761F-BA0F-5D45-9873-B410B581CE3E}" uniqueName="7" name="2030" queryTableFieldId="7"/>
    <tableColumn id="8" xr3:uid="{881144E4-A03F-794C-B313-3EF91ED474FD}" uniqueName="8" name="2031" queryTableFieldId="8"/>
    <tableColumn id="9" xr3:uid="{62C91D92-AC1C-E344-AE1C-56E25EA90E38}" uniqueName="9" name="2032" queryTableFieldId="9"/>
    <tableColumn id="10" xr3:uid="{413F9460-792C-6A40-9DE9-6531234DD701}" uniqueName="10" name="2033" queryTableFieldId="10"/>
    <tableColumn id="11" xr3:uid="{D1A1A1A4-3A16-B94F-9B16-AC59217AEC63}" uniqueName="11" name="2034" queryTableFieldId="11"/>
    <tableColumn id="12" xr3:uid="{EBA362F4-34A5-B14F-AC7E-23320ED9D1F5}" uniqueName="12" name="2035" queryTableFieldId="12"/>
    <tableColumn id="13" xr3:uid="{DCCDE683-7779-A241-9F64-E3345D1685E3}" uniqueName="13" name="2036" queryTableFieldId="13"/>
    <tableColumn id="14" xr3:uid="{A75C22BD-6122-5846-A928-EF4748F63482}" uniqueName="14" name="2037" queryTableFieldId="14"/>
    <tableColumn id="15" xr3:uid="{59983CA2-908C-D24C-9670-1C7ED7B06E09}" uniqueName="15" name="2038" queryTableFieldId="15"/>
    <tableColumn id="16" xr3:uid="{F0C9E1AF-FD23-AD44-AA14-0B3DA3CB4CEB}" uniqueName="16" name="2039" queryTableFieldId="16"/>
    <tableColumn id="17" xr3:uid="{C71386B8-4B55-8840-B00A-0A5F0360B387}" uniqueName="17" name="2040" queryTableFieldId="17"/>
    <tableColumn id="18" xr3:uid="{51277308-F67B-FB49-974A-3C57778A2D41}" uniqueName="18" name="2041" queryTableFieldId="18"/>
    <tableColumn id="19" xr3:uid="{6C91F8F2-15AE-3F4F-BFB3-8FFD35413D43}" uniqueName="19" name="2042" queryTableFieldId="19"/>
    <tableColumn id="20" xr3:uid="{D83DDFE7-1D90-744B-90D7-D0F2346FA55B}" uniqueName="20" name="2043" queryTableFieldId="20"/>
    <tableColumn id="21" xr3:uid="{C11C2BDD-560E-7F44-A23F-969D958E79E3}" uniqueName="21" name="2044" queryTableFieldId="21"/>
    <tableColumn id="22" xr3:uid="{BF100C6F-768C-2D4C-9D88-E2C3CC1A92E8}" uniqueName="22" name="2045" queryTableFieldId="22"/>
    <tableColumn id="23" xr3:uid="{6E400676-EE23-7F49-83AB-A2702BF18854}" uniqueName="23" name="2046" queryTableFieldId="23"/>
    <tableColumn id="24" xr3:uid="{283ECD5D-41AD-8641-91CE-A59A5E20B3A4}" uniqueName="24" name="2047" queryTableFieldId="24"/>
    <tableColumn id="25" xr3:uid="{BE2FEE23-8ACE-274B-9A84-E104814FB1A5}" uniqueName="25" name="2048" queryTableFieldId="25"/>
    <tableColumn id="26" xr3:uid="{3CC06429-14FC-874B-A009-2F189055CEF6}" uniqueName="26" name="2049" queryTableFieldId="26"/>
    <tableColumn id="27" xr3:uid="{D9992315-F7AC-A14A-8AFF-D85154F33460}" uniqueName="27" name="2050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B20F77-6FBC-8D4C-955F-0C50BC8E8937}" name="scenario_indirect_prod_4506_iotable_2020_xlsx_3" displayName="scenario_indirect_prod_4506_iotable_2020_xlsx_3" ref="A1:AA382" tableType="queryTable" totalsRowShown="0">
  <autoFilter ref="A1:AA382" xr:uid="{53B20F77-6FBC-8D4C-955F-0C50BC8E8937}"/>
  <sortState xmlns:xlrd2="http://schemas.microsoft.com/office/spreadsheetml/2017/richdata2" ref="A2:AA382">
    <sortCondition ref="A1:A382"/>
  </sortState>
  <tableColumns count="27">
    <tableColumn id="1" xr3:uid="{9EF40AAF-5FF2-064E-91D5-EEAE4E41EA99}" uniqueName="1" name="Column1" queryTableFieldId="1" dataDxfId="3"/>
    <tableColumn id="2" xr3:uid="{DB52BC1E-6848-C041-B8AB-32080CE2C396}" uniqueName="2" name="Column2" queryTableFieldId="2" dataDxfId="2"/>
    <tableColumn id="4" xr3:uid="{700E150A-F2A0-5841-B52D-E6FF39000D74}" uniqueName="4" name="2026" queryTableFieldId="4"/>
    <tableColumn id="5" xr3:uid="{C678F8EA-D626-6742-AEA2-EB6486A9A30E}" uniqueName="5" name="2027" queryTableFieldId="5"/>
    <tableColumn id="6" xr3:uid="{BB7CBB89-BE5A-B04D-8B87-22658ED27BEE}" uniqueName="6" name="2028" queryTableFieldId="6"/>
    <tableColumn id="7" xr3:uid="{282B795A-EE35-BD42-93AF-6B91822E2C87}" uniqueName="7" name="2029" queryTableFieldId="7"/>
    <tableColumn id="8" xr3:uid="{3E11B139-5160-AB4A-8A40-F1E2889A1393}" uniqueName="8" name="2030" queryTableFieldId="8"/>
    <tableColumn id="9" xr3:uid="{2F9A584E-0F53-2A46-9027-410FA43A943F}" uniqueName="9" name="2031" queryTableFieldId="9"/>
    <tableColumn id="10" xr3:uid="{9F7E2AE1-ED32-C643-92DD-5E6552A21677}" uniqueName="10" name="2032" queryTableFieldId="10"/>
    <tableColumn id="11" xr3:uid="{827C4407-C52C-C84C-BEA6-3709B266DDBE}" uniqueName="11" name="2033" queryTableFieldId="11"/>
    <tableColumn id="12" xr3:uid="{5F5D2625-1A20-E44E-A9A5-33A2613D612C}" uniqueName="12" name="2034" queryTableFieldId="12"/>
    <tableColumn id="13" xr3:uid="{4B30F4B2-26A5-4345-8F90-AE5C8759DDA5}" uniqueName="13" name="2035" queryTableFieldId="13"/>
    <tableColumn id="14" xr3:uid="{4D6E5609-221B-BF49-9711-87CCF57F8488}" uniqueName="14" name="2036" queryTableFieldId="14"/>
    <tableColumn id="15" xr3:uid="{C3F36508-B582-4542-A053-A5405CE7784D}" uniqueName="15" name="2037" queryTableFieldId="15"/>
    <tableColumn id="16" xr3:uid="{25BEC580-C562-084C-AD72-BE7892F067E2}" uniqueName="16" name="2038" queryTableFieldId="16"/>
    <tableColumn id="17" xr3:uid="{BA730B9B-11FA-8946-BB31-394B66115ECC}" uniqueName="17" name="2039" queryTableFieldId="17"/>
    <tableColumn id="18" xr3:uid="{4066BC5C-EFF5-FA4D-8C13-7DF3AAA540C8}" uniqueName="18" name="2040" queryTableFieldId="18"/>
    <tableColumn id="19" xr3:uid="{209D83C3-A34B-5C44-B8B1-0B31A01B88F4}" uniqueName="19" name="2041" queryTableFieldId="19"/>
    <tableColumn id="20" xr3:uid="{B0A1F2B2-6123-674A-8091-0D7F37ACA804}" uniqueName="20" name="2042" queryTableFieldId="20"/>
    <tableColumn id="21" xr3:uid="{4B184DFC-58D1-2A42-82AB-ADD6CDBBA493}" uniqueName="21" name="2043" queryTableFieldId="21"/>
    <tableColumn id="22" xr3:uid="{8B1F7B22-41C1-324A-99F7-0BCAD471D539}" uniqueName="22" name="2044" queryTableFieldId="22"/>
    <tableColumn id="23" xr3:uid="{C34A5710-5C48-114D-B656-9C62FF12F763}" uniqueName="23" name="2045" queryTableFieldId="23"/>
    <tableColumn id="24" xr3:uid="{009C08CB-6DE5-2146-89DD-4EE58FA3D167}" uniqueName="24" name="2046" queryTableFieldId="24"/>
    <tableColumn id="25" xr3:uid="{CA35F609-8E97-B147-AAC6-753616C707C5}" uniqueName="25" name="2047" queryTableFieldId="25"/>
    <tableColumn id="26" xr3:uid="{4CBE9F1D-2E2B-3145-9351-444CEB871053}" uniqueName="26" name="2048" queryTableFieldId="26"/>
    <tableColumn id="27" xr3:uid="{ED1BFC5D-5DB3-4440-B934-4BA668FE8D53}" uniqueName="27" name="2049" queryTableFieldId="27"/>
    <tableColumn id="28" xr3:uid="{31225B1A-1507-FF44-82E7-2BF7E29EF04E}" uniqueName="28" name="2050" queryTableField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512BCB-530D-704C-B16B-309CF1B3983A}" name="scenario_indirect_prod_1610_iotable_2020_xlsx_3" displayName="scenario_indirect_prod_1610_iotable_2020_xlsx_3" ref="A1:AA382" tableType="queryTable" totalsRowShown="0">
  <autoFilter ref="A1:AA382" xr:uid="{90512BCB-530D-704C-B16B-309CF1B3983A}"/>
  <sortState xmlns:xlrd2="http://schemas.microsoft.com/office/spreadsheetml/2017/richdata2" ref="A2:AA382">
    <sortCondition ref="A1:A382"/>
  </sortState>
  <tableColumns count="27">
    <tableColumn id="1" xr3:uid="{160A0644-CE97-B345-9949-0E0F4F5467EE}" uniqueName="1" name="Column1" queryTableFieldId="1" dataDxfId="1"/>
    <tableColumn id="2" xr3:uid="{884A5D4A-9420-934A-BE46-B93336FB4E5E}" uniqueName="2" name="Column2" queryTableFieldId="2" dataDxfId="0"/>
    <tableColumn id="3" xr3:uid="{82B81D72-F92A-EC4C-AF97-0BF343569804}" uniqueName="3" name="2026" queryTableFieldId="3"/>
    <tableColumn id="4" xr3:uid="{7AE82D29-6B11-4142-BFF2-5298FE08F0E4}" uniqueName="4" name="2027" queryTableFieldId="4"/>
    <tableColumn id="5" xr3:uid="{510FB2F9-F691-C046-BE51-491E047D6D81}" uniqueName="5" name="2028" queryTableFieldId="5"/>
    <tableColumn id="6" xr3:uid="{A14C06FD-4D02-F046-A109-2965244CDCD8}" uniqueName="6" name="2029" queryTableFieldId="6"/>
    <tableColumn id="7" xr3:uid="{1E8EBF3B-B189-DA41-B12A-7BFAB063344A}" uniqueName="7" name="2030" queryTableFieldId="7"/>
    <tableColumn id="8" xr3:uid="{DD761791-AFA3-8246-AC8D-437A475A79B2}" uniqueName="8" name="2031" queryTableFieldId="8"/>
    <tableColumn id="9" xr3:uid="{FE723372-950C-8640-AA9B-5493F8EDEFD8}" uniqueName="9" name="2032" queryTableFieldId="9"/>
    <tableColumn id="10" xr3:uid="{121CFDC7-A084-5043-A85B-E5469648BE34}" uniqueName="10" name="2033" queryTableFieldId="10"/>
    <tableColumn id="11" xr3:uid="{DD3CD410-4DF5-8E45-A9E3-4D45E799B43E}" uniqueName="11" name="2034" queryTableFieldId="11"/>
    <tableColumn id="12" xr3:uid="{6235B5D7-BA95-2D48-95A7-1A1328368938}" uniqueName="12" name="2035" queryTableFieldId="12"/>
    <tableColumn id="13" xr3:uid="{12FADDD9-FF33-964D-883E-51DB741B9D56}" uniqueName="13" name="2036" queryTableFieldId="13"/>
    <tableColumn id="14" xr3:uid="{F08B1A37-465D-B840-AFD3-ED4CF039BD9E}" uniqueName="14" name="2037" queryTableFieldId="14"/>
    <tableColumn id="15" xr3:uid="{E00C3CF1-842F-EF44-899A-4B8632547898}" uniqueName="15" name="2038" queryTableFieldId="15"/>
    <tableColumn id="16" xr3:uid="{0679BCA6-C604-3C4F-AC04-A35C334E3086}" uniqueName="16" name="2039" queryTableFieldId="16"/>
    <tableColumn id="17" xr3:uid="{D762D996-DC97-7448-A51F-DA07601E2740}" uniqueName="17" name="2040" queryTableFieldId="17"/>
    <tableColumn id="18" xr3:uid="{056A96ED-94BB-F643-ABE6-74A8229C53EF}" uniqueName="18" name="2041" queryTableFieldId="18"/>
    <tableColumn id="19" xr3:uid="{C969EC1E-640D-9942-B584-0F342AEA71AB}" uniqueName="19" name="2042" queryTableFieldId="19"/>
    <tableColumn id="20" xr3:uid="{F27FC141-676E-FD4C-9C44-B3DCEB13B69D}" uniqueName="20" name="2043" queryTableFieldId="20"/>
    <tableColumn id="21" xr3:uid="{D61692FB-7804-DD4D-8AE2-9D11EF755E39}" uniqueName="21" name="2044" queryTableFieldId="21"/>
    <tableColumn id="22" xr3:uid="{0E62B93D-1347-4E4A-B6CE-9BD8B6534657}" uniqueName="22" name="2045" queryTableFieldId="22"/>
    <tableColumn id="23" xr3:uid="{47BEF104-3F45-5243-83CC-FA0573BF4363}" uniqueName="23" name="2046" queryTableFieldId="23"/>
    <tableColumn id="24" xr3:uid="{92C98F2A-ADCB-6440-8F7F-68C361D1C57B}" uniqueName="24" name="2047" queryTableFieldId="24"/>
    <tableColumn id="25" xr3:uid="{B43A0ACD-D07B-244C-B12D-37EB15677894}" uniqueName="25" name="2048" queryTableFieldId="25"/>
    <tableColumn id="26" xr3:uid="{7DBF269C-EC2D-AD46-9F48-32D93E3A34C4}" uniqueName="26" name="2049" queryTableFieldId="26"/>
    <tableColumn id="27" xr3:uid="{A72DB8F2-7E81-644E-826B-C6F00F60284F}" uniqueName="27" name="2050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58EC-9842-0340-AAAF-E20E65EC5454}">
  <dimension ref="A1:AA166"/>
  <sheetViews>
    <sheetView topLeftCell="A142" workbookViewId="0">
      <selection activeCell="C155" sqref="C155"/>
    </sheetView>
  </sheetViews>
  <sheetFormatPr baseColWidth="10" defaultRowHeight="16" x14ac:dyDescent="0.2"/>
  <cols>
    <col min="1" max="1" width="11.1640625" bestFit="1" customWidth="1"/>
    <col min="2" max="2" width="31.33203125" bestFit="1" customWidth="1"/>
    <col min="3" max="18" width="12.83203125" bestFit="1" customWidth="1"/>
    <col min="19" max="20" width="12.1640625" bestFit="1" customWidth="1"/>
    <col min="21" max="27" width="12.83203125" bestFit="1" customWidth="1"/>
  </cols>
  <sheetData>
    <row r="1" spans="1:27" x14ac:dyDescent="0.2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58</v>
      </c>
      <c r="B2" t="s">
        <v>59</v>
      </c>
      <c r="C2">
        <v>207.83078848000801</v>
      </c>
      <c r="D2">
        <v>226.81274793758621</v>
      </c>
      <c r="E2">
        <v>235.88525785508963</v>
      </c>
      <c r="F2">
        <v>249.93638661590023</v>
      </c>
      <c r="G2">
        <v>306.01567334302251</v>
      </c>
      <c r="H2">
        <v>318.25630027674345</v>
      </c>
      <c r="I2">
        <v>335.35142509472109</v>
      </c>
      <c r="J2">
        <v>397.697623776532</v>
      </c>
      <c r="K2">
        <v>413.60552872759325</v>
      </c>
      <c r="L2">
        <v>498.28864212034165</v>
      </c>
      <c r="M2">
        <v>542.09096421062486</v>
      </c>
      <c r="N2">
        <v>581.02597227023568</v>
      </c>
      <c r="O2">
        <v>581.02597227023568</v>
      </c>
      <c r="P2">
        <v>581.02597227023568</v>
      </c>
      <c r="Q2">
        <v>615.09717048494156</v>
      </c>
      <c r="R2">
        <v>615.09717048494156</v>
      </c>
      <c r="S2">
        <v>653.05100652973033</v>
      </c>
      <c r="T2">
        <v>653.05100652973033</v>
      </c>
      <c r="U2">
        <v>688.09286420195667</v>
      </c>
      <c r="V2">
        <v>688.09286420195667</v>
      </c>
      <c r="W2">
        <v>718.26390365774375</v>
      </c>
      <c r="X2">
        <v>718.26390365774375</v>
      </c>
      <c r="Y2">
        <v>718.26390365774375</v>
      </c>
      <c r="Z2">
        <v>718.26390365774375</v>
      </c>
      <c r="AA2">
        <v>718.26390365774375</v>
      </c>
    </row>
    <row r="3" spans="1:27" x14ac:dyDescent="0.2">
      <c r="A3" t="s">
        <v>42</v>
      </c>
      <c r="B3" t="s">
        <v>43</v>
      </c>
      <c r="C3">
        <v>265.14346069636559</v>
      </c>
      <c r="D3">
        <v>289.35999982509298</v>
      </c>
      <c r="E3">
        <v>300.93439981809667</v>
      </c>
      <c r="F3">
        <v>318.86035262604616</v>
      </c>
      <c r="G3">
        <v>390.40440182568273</v>
      </c>
      <c r="H3">
        <v>406.02057789871009</v>
      </c>
      <c r="I3">
        <v>427.82995748305848</v>
      </c>
      <c r="J3">
        <v>507.3691200905692</v>
      </c>
      <c r="K3">
        <v>527.66388489419182</v>
      </c>
      <c r="L3">
        <v>635.69972458719258</v>
      </c>
      <c r="M3">
        <v>691.58123930642148</v>
      </c>
      <c r="N3">
        <v>741.25320011004965</v>
      </c>
      <c r="O3">
        <v>741.25320011004965</v>
      </c>
      <c r="P3">
        <v>741.25320011004965</v>
      </c>
      <c r="Q3">
        <v>784.7200775192548</v>
      </c>
      <c r="R3">
        <v>784.7200775192548</v>
      </c>
      <c r="S3">
        <v>833.14029239317256</v>
      </c>
      <c r="T3">
        <v>833.14029239317256</v>
      </c>
      <c r="U3">
        <v>877.84550416855564</v>
      </c>
      <c r="V3">
        <v>877.84550416855564</v>
      </c>
      <c r="W3">
        <v>916.33669150716059</v>
      </c>
      <c r="X3">
        <v>916.33669150716059</v>
      </c>
      <c r="Y3">
        <v>916.33669150716059</v>
      </c>
      <c r="Z3">
        <v>916.33669150716059</v>
      </c>
      <c r="AA3">
        <v>916.33669150716059</v>
      </c>
    </row>
    <row r="4" spans="1:27" x14ac:dyDescent="0.2">
      <c r="A4" t="s">
        <v>140</v>
      </c>
      <c r="B4" t="s">
        <v>141</v>
      </c>
      <c r="C4">
        <v>59.308082336177854</v>
      </c>
      <c r="D4">
        <v>64.724910240481975</v>
      </c>
      <c r="E4">
        <v>67.313906650101259</v>
      </c>
      <c r="F4">
        <v>71.323637390946487</v>
      </c>
      <c r="G4">
        <v>87.32682430512321</v>
      </c>
      <c r="H4">
        <v>90.819897277328138</v>
      </c>
      <c r="I4">
        <v>95.698284534899386</v>
      </c>
      <c r="J4">
        <v>113.48984232963986</v>
      </c>
      <c r="K4">
        <v>118.02943602282544</v>
      </c>
      <c r="L4">
        <v>142.19521578198817</v>
      </c>
      <c r="M4">
        <v>154.69496013673853</v>
      </c>
      <c r="N4">
        <v>165.80573289878899</v>
      </c>
      <c r="O4">
        <v>165.80573289878899</v>
      </c>
      <c r="P4">
        <v>165.80573289878899</v>
      </c>
      <c r="Q4">
        <v>175.528534047688</v>
      </c>
      <c r="R4">
        <v>175.528534047688</v>
      </c>
      <c r="S4">
        <v>186.35931253619216</v>
      </c>
      <c r="T4">
        <v>186.35931253619216</v>
      </c>
      <c r="U4">
        <v>196.35910801999242</v>
      </c>
      <c r="V4">
        <v>196.35910801999242</v>
      </c>
      <c r="W4">
        <v>204.96893193154446</v>
      </c>
      <c r="X4">
        <v>204.96893193154446</v>
      </c>
      <c r="Y4">
        <v>204.96893193154446</v>
      </c>
      <c r="Z4">
        <v>204.96893193154446</v>
      </c>
      <c r="AA4">
        <v>204.96893193154446</v>
      </c>
    </row>
    <row r="5" spans="1:27" x14ac:dyDescent="0.2">
      <c r="A5" t="s">
        <v>210</v>
      </c>
      <c r="B5" t="s">
        <v>211</v>
      </c>
      <c r="C5">
        <v>17.251994402557553</v>
      </c>
      <c r="D5">
        <v>18.827683263225158</v>
      </c>
      <c r="E5">
        <v>19.580790593754163</v>
      </c>
      <c r="F5">
        <v>20.747172131850661</v>
      </c>
      <c r="G5">
        <v>25.402303105425343</v>
      </c>
      <c r="H5">
        <v>26.418395229642361</v>
      </c>
      <c r="I5">
        <v>27.83745830411625</v>
      </c>
      <c r="J5">
        <v>33.012804452518161</v>
      </c>
      <c r="K5">
        <v>34.333316630618889</v>
      </c>
      <c r="L5">
        <v>41.362845840066967</v>
      </c>
      <c r="M5">
        <v>44.998868303568713</v>
      </c>
      <c r="N5">
        <v>48.230855950926134</v>
      </c>
      <c r="O5">
        <v>48.230855950926134</v>
      </c>
      <c r="P5">
        <v>48.230855950926134</v>
      </c>
      <c r="Q5">
        <v>51.05909966393633</v>
      </c>
      <c r="R5">
        <v>51.05909966393633</v>
      </c>
      <c r="S5">
        <v>54.209640408111333</v>
      </c>
      <c r="T5">
        <v>54.209640408111333</v>
      </c>
      <c r="U5">
        <v>57.11845837891272</v>
      </c>
      <c r="V5">
        <v>57.11845837891272</v>
      </c>
      <c r="W5">
        <v>59.622950651772719</v>
      </c>
      <c r="X5">
        <v>59.622950651772719</v>
      </c>
      <c r="Y5">
        <v>59.622950651772719</v>
      </c>
      <c r="Z5">
        <v>59.622950651772719</v>
      </c>
      <c r="AA5">
        <v>59.622950651772719</v>
      </c>
    </row>
    <row r="6" spans="1:27" x14ac:dyDescent="0.2">
      <c r="A6" t="s">
        <v>196</v>
      </c>
      <c r="B6" t="s">
        <v>197</v>
      </c>
      <c r="C6">
        <v>21.555483504868633</v>
      </c>
      <c r="D6">
        <v>23.524226042826481</v>
      </c>
      <c r="E6">
        <v>24.465195084539541</v>
      </c>
      <c r="F6">
        <v>25.922529084201351</v>
      </c>
      <c r="G6">
        <v>31.738876839276934</v>
      </c>
      <c r="H6">
        <v>33.00843191284801</v>
      </c>
      <c r="I6">
        <v>34.781478552003854</v>
      </c>
      <c r="J6">
        <v>41.247808527008075</v>
      </c>
      <c r="K6">
        <v>42.897720868088392</v>
      </c>
      <c r="L6">
        <v>51.680757622307802</v>
      </c>
      <c r="M6">
        <v>56.223781484159076</v>
      </c>
      <c r="N6">
        <v>60.261984534481428</v>
      </c>
      <c r="O6">
        <v>60.261984534481428</v>
      </c>
      <c r="P6">
        <v>60.261984534481428</v>
      </c>
      <c r="Q6">
        <v>63.795730215183823</v>
      </c>
      <c r="R6">
        <v>63.795730215183823</v>
      </c>
      <c r="S6">
        <v>67.732169531000736</v>
      </c>
      <c r="T6">
        <v>67.732169531000736</v>
      </c>
      <c r="U6">
        <v>71.36658862048175</v>
      </c>
      <c r="V6">
        <v>71.36658862048175</v>
      </c>
      <c r="W6">
        <v>74.495823456524903</v>
      </c>
      <c r="X6">
        <v>74.495823456524903</v>
      </c>
      <c r="Y6">
        <v>74.495823456524903</v>
      </c>
      <c r="Z6">
        <v>74.495823456524903</v>
      </c>
      <c r="AA6">
        <v>74.495823456524903</v>
      </c>
    </row>
    <row r="7" spans="1:27" x14ac:dyDescent="0.2">
      <c r="A7" t="s">
        <v>250</v>
      </c>
      <c r="B7" t="s">
        <v>251</v>
      </c>
      <c r="C7">
        <v>8.2241834313864324</v>
      </c>
      <c r="D7">
        <v>8.975328714566075</v>
      </c>
      <c r="E7">
        <v>9.3343418631487172</v>
      </c>
      <c r="F7">
        <v>9.8903666041993041</v>
      </c>
      <c r="G7">
        <v>12.10951009164045</v>
      </c>
      <c r="H7">
        <v>12.593890495306068</v>
      </c>
      <c r="I7">
        <v>13.27037083449806</v>
      </c>
      <c r="J7">
        <v>15.737505651042332</v>
      </c>
      <c r="K7">
        <v>16.367005877084022</v>
      </c>
      <c r="L7">
        <v>19.718046707831071</v>
      </c>
      <c r="M7">
        <v>21.451371852896436</v>
      </c>
      <c r="N7">
        <v>22.992089907842132</v>
      </c>
      <c r="O7">
        <v>22.992089907842132</v>
      </c>
      <c r="P7">
        <v>22.992089907842132</v>
      </c>
      <c r="Q7">
        <v>24.340339538679775</v>
      </c>
      <c r="R7">
        <v>24.340339538679775</v>
      </c>
      <c r="S7">
        <v>25.842231110376019</v>
      </c>
      <c r="T7">
        <v>25.842231110376019</v>
      </c>
      <c r="U7">
        <v>27.228891226428306</v>
      </c>
      <c r="V7">
        <v>27.228891226428306</v>
      </c>
      <c r="W7">
        <v>28.422805586349327</v>
      </c>
      <c r="X7">
        <v>28.422805586349327</v>
      </c>
      <c r="Y7">
        <v>28.422805586349327</v>
      </c>
      <c r="Z7">
        <v>28.422805586349327</v>
      </c>
      <c r="AA7">
        <v>28.422805586349327</v>
      </c>
    </row>
    <row r="8" spans="1:27" x14ac:dyDescent="0.2">
      <c r="A8" t="s">
        <v>192</v>
      </c>
      <c r="B8" t="s">
        <v>193</v>
      </c>
      <c r="C8">
        <v>23.073555836463555</v>
      </c>
      <c r="D8">
        <v>25.180949570727563</v>
      </c>
      <c r="E8">
        <v>26.18818755355667</v>
      </c>
      <c r="F8">
        <v>27.748156153007411</v>
      </c>
      <c r="G8">
        <v>33.974127593671867</v>
      </c>
      <c r="H8">
        <v>35.333092697418749</v>
      </c>
      <c r="I8">
        <v>37.231008400398743</v>
      </c>
      <c r="J8">
        <v>44.152737885221406</v>
      </c>
      <c r="K8">
        <v>45.918847400630256</v>
      </c>
      <c r="L8">
        <v>55.320440685068533</v>
      </c>
      <c r="M8">
        <v>60.183412778417114</v>
      </c>
      <c r="N8">
        <v>64.506011412752784</v>
      </c>
      <c r="O8">
        <v>64.506011412752784</v>
      </c>
      <c r="P8">
        <v>64.506011412752784</v>
      </c>
      <c r="Q8">
        <v>68.288625625843039</v>
      </c>
      <c r="R8">
        <v>68.288625625843039</v>
      </c>
      <c r="S8">
        <v>72.502293685287725</v>
      </c>
      <c r="T8">
        <v>72.502293685287725</v>
      </c>
      <c r="U8">
        <v>76.392671359966585</v>
      </c>
      <c r="V8">
        <v>76.392671359966585</v>
      </c>
      <c r="W8">
        <v>79.742286537865084</v>
      </c>
      <c r="X8">
        <v>79.742286537865084</v>
      </c>
      <c r="Y8">
        <v>79.742286537865084</v>
      </c>
      <c r="Z8">
        <v>79.742286537865084</v>
      </c>
      <c r="AA8">
        <v>79.742286537865084</v>
      </c>
    </row>
    <row r="9" spans="1:27" x14ac:dyDescent="0.2">
      <c r="A9" t="s">
        <v>262</v>
      </c>
      <c r="B9" t="s">
        <v>263</v>
      </c>
      <c r="C9">
        <v>5.2667392966554099</v>
      </c>
      <c r="D9">
        <v>5.7477701994100494</v>
      </c>
      <c r="E9">
        <v>5.9776810073864519</v>
      </c>
      <c r="F9">
        <v>6.3337573738774768</v>
      </c>
      <c r="G9">
        <v>7.7548893692581924</v>
      </c>
      <c r="H9">
        <v>8.0650849440285199</v>
      </c>
      <c r="I9">
        <v>8.4983006687945988</v>
      </c>
      <c r="J9">
        <v>10.078245473874166</v>
      </c>
      <c r="K9">
        <v>10.48137529282913</v>
      </c>
      <c r="L9">
        <v>12.627370524481812</v>
      </c>
      <c r="M9">
        <v>13.737386093998083</v>
      </c>
      <c r="N9">
        <v>14.724056733429705</v>
      </c>
      <c r="O9">
        <v>14.724056733429705</v>
      </c>
      <c r="P9">
        <v>14.724056733429705</v>
      </c>
      <c r="Q9">
        <v>15.587471244022241</v>
      </c>
      <c r="R9">
        <v>15.587471244022241</v>
      </c>
      <c r="S9">
        <v>16.549277534696703</v>
      </c>
      <c r="T9">
        <v>16.549277534696703</v>
      </c>
      <c r="U9">
        <v>17.437289990309718</v>
      </c>
      <c r="V9">
        <v>17.437289990309718</v>
      </c>
      <c r="W9">
        <v>18.201868714592525</v>
      </c>
      <c r="X9">
        <v>18.201868714592525</v>
      </c>
      <c r="Y9">
        <v>18.201868714592525</v>
      </c>
      <c r="Z9">
        <v>18.201868714592525</v>
      </c>
      <c r="AA9">
        <v>18.201868714592525</v>
      </c>
    </row>
    <row r="10" spans="1:27" x14ac:dyDescent="0.2">
      <c r="A10" t="s">
        <v>38</v>
      </c>
      <c r="B10" t="s">
        <v>39</v>
      </c>
      <c r="C10">
        <v>305.92291650972794</v>
      </c>
      <c r="D10">
        <v>333.86399511892705</v>
      </c>
      <c r="E10">
        <v>347.21855492368411</v>
      </c>
      <c r="F10">
        <v>367.90154574616463</v>
      </c>
      <c r="G10">
        <v>450.44917536744572</v>
      </c>
      <c r="H10">
        <v>468.46714238214361</v>
      </c>
      <c r="I10">
        <v>493.63083675419585</v>
      </c>
      <c r="J10">
        <v>585.4032400324968</v>
      </c>
      <c r="K10">
        <v>608.81936963379655</v>
      </c>
      <c r="L10">
        <v>733.47128101662634</v>
      </c>
      <c r="M10">
        <v>797.94745522431322</v>
      </c>
      <c r="N10">
        <v>855.25903695404168</v>
      </c>
      <c r="O10">
        <v>855.25903695404168</v>
      </c>
      <c r="P10">
        <v>855.25903695404168</v>
      </c>
      <c r="Q10">
        <v>905.41118429974881</v>
      </c>
      <c r="R10">
        <v>905.41118429974881</v>
      </c>
      <c r="S10">
        <v>961.27849972722549</v>
      </c>
      <c r="T10">
        <v>961.27849972722549</v>
      </c>
      <c r="U10">
        <v>1012.8594390933749</v>
      </c>
      <c r="V10">
        <v>1012.8594390933749</v>
      </c>
      <c r="W10">
        <v>1057.2706278876296</v>
      </c>
      <c r="X10">
        <v>1057.2706278876296</v>
      </c>
      <c r="Y10">
        <v>1057.2706278876296</v>
      </c>
      <c r="Z10">
        <v>1057.2706278876296</v>
      </c>
      <c r="AA10">
        <v>1057.2706278876296</v>
      </c>
    </row>
    <row r="11" spans="1:27" x14ac:dyDescent="0.2">
      <c r="A11" t="s">
        <v>160</v>
      </c>
      <c r="B11" t="s">
        <v>161</v>
      </c>
      <c r="C11">
        <v>34.594180521961306</v>
      </c>
      <c r="D11">
        <v>37.753795788489434</v>
      </c>
      <c r="E11">
        <v>39.263947620029008</v>
      </c>
      <c r="F11">
        <v>41.60280842330004</v>
      </c>
      <c r="G11">
        <v>50.937406933797028</v>
      </c>
      <c r="H11">
        <v>52.974903211148913</v>
      </c>
      <c r="I11">
        <v>55.82044808120299</v>
      </c>
      <c r="J11">
        <v>66.198196574728541</v>
      </c>
      <c r="K11">
        <v>68.846124437717677</v>
      </c>
      <c r="L11">
        <v>82.941932538605769</v>
      </c>
      <c r="M11">
        <v>90.232986230672751</v>
      </c>
      <c r="N11">
        <v>96.713858036477205</v>
      </c>
      <c r="O11">
        <v>96.713858036477205</v>
      </c>
      <c r="P11">
        <v>96.713858036477205</v>
      </c>
      <c r="Q11">
        <v>102.38513124031456</v>
      </c>
      <c r="R11">
        <v>102.38513124031456</v>
      </c>
      <c r="S11">
        <v>108.70268344341677</v>
      </c>
      <c r="T11">
        <v>108.70268344341677</v>
      </c>
      <c r="U11">
        <v>114.53552639707033</v>
      </c>
      <c r="V11">
        <v>114.53552639707033</v>
      </c>
      <c r="W11">
        <v>119.55760418016605</v>
      </c>
      <c r="X11">
        <v>119.55760418016605</v>
      </c>
      <c r="Y11">
        <v>119.55760418016605</v>
      </c>
      <c r="Z11">
        <v>119.55760418016605</v>
      </c>
      <c r="AA11">
        <v>119.55760418016605</v>
      </c>
    </row>
    <row r="12" spans="1:27" x14ac:dyDescent="0.2">
      <c r="A12" t="s">
        <v>296</v>
      </c>
      <c r="B12" t="s">
        <v>297</v>
      </c>
      <c r="C12">
        <v>0.90186733717663459</v>
      </c>
      <c r="D12">
        <v>0.98423823782905473</v>
      </c>
      <c r="E12">
        <v>1.0236077673422168</v>
      </c>
      <c r="F12">
        <v>1.0845816691039245</v>
      </c>
      <c r="G12">
        <v>1.3279338565312453</v>
      </c>
      <c r="H12">
        <v>1.381051210792495</v>
      </c>
      <c r="I12">
        <v>1.4552343229822216</v>
      </c>
      <c r="J12">
        <v>1.7257813415422698</v>
      </c>
      <c r="K12">
        <v>1.7948125952039602</v>
      </c>
      <c r="L12">
        <v>2.1622891107765874</v>
      </c>
      <c r="M12">
        <v>2.3523662589923675</v>
      </c>
      <c r="N12">
        <v>2.52132203449841</v>
      </c>
      <c r="O12">
        <v>2.52132203449841</v>
      </c>
      <c r="P12">
        <v>2.52132203449841</v>
      </c>
      <c r="Q12">
        <v>2.6691716434665729</v>
      </c>
      <c r="R12">
        <v>2.6691716434665729</v>
      </c>
      <c r="S12">
        <v>2.8338696908525827</v>
      </c>
      <c r="T12">
        <v>2.8338696908525827</v>
      </c>
      <c r="U12">
        <v>2.9859314094252065</v>
      </c>
      <c r="V12">
        <v>2.9859314094252065</v>
      </c>
      <c r="W12">
        <v>3.1168565491162359</v>
      </c>
      <c r="X12">
        <v>3.1168565491162359</v>
      </c>
      <c r="Y12">
        <v>3.1168565491162359</v>
      </c>
      <c r="Z12">
        <v>3.1168565491162359</v>
      </c>
      <c r="AA12">
        <v>3.1168565491162359</v>
      </c>
    </row>
    <row r="13" spans="1:27" x14ac:dyDescent="0.2">
      <c r="A13" t="s">
        <v>254</v>
      </c>
      <c r="B13" t="s">
        <v>255</v>
      </c>
      <c r="C13">
        <v>7.9267034151966271</v>
      </c>
      <c r="D13">
        <v>8.6506787412777406</v>
      </c>
      <c r="E13">
        <v>8.9967058909288493</v>
      </c>
      <c r="F13">
        <v>9.5326184530197118</v>
      </c>
      <c r="G13">
        <v>11.671492471026102</v>
      </c>
      <c r="H13">
        <v>12.138352169867147</v>
      </c>
      <c r="I13">
        <v>12.790363285587429</v>
      </c>
      <c r="J13">
        <v>15.168258445539522</v>
      </c>
      <c r="K13">
        <v>15.774988783361099</v>
      </c>
      <c r="L13">
        <v>19.004817862339706</v>
      </c>
      <c r="M13">
        <v>20.675446255014016</v>
      </c>
      <c r="N13">
        <v>22.160434420694354</v>
      </c>
      <c r="O13">
        <v>22.160434420694354</v>
      </c>
      <c r="P13">
        <v>22.160434420694354</v>
      </c>
      <c r="Q13">
        <v>23.45991600965214</v>
      </c>
      <c r="R13">
        <v>23.45991600965214</v>
      </c>
      <c r="S13">
        <v>24.907482099336583</v>
      </c>
      <c r="T13">
        <v>24.907482099336583</v>
      </c>
      <c r="U13">
        <v>26.243984813476025</v>
      </c>
      <c r="V13">
        <v>26.243984813476025</v>
      </c>
      <c r="W13">
        <v>27.394713650350091</v>
      </c>
      <c r="X13">
        <v>27.394713650350091</v>
      </c>
      <c r="Y13">
        <v>27.394713650350091</v>
      </c>
      <c r="Z13">
        <v>27.394713650350091</v>
      </c>
      <c r="AA13">
        <v>27.394713650350091</v>
      </c>
    </row>
    <row r="14" spans="1:27" x14ac:dyDescent="0.2">
      <c r="A14" t="s">
        <v>172</v>
      </c>
      <c r="B14" t="s">
        <v>173</v>
      </c>
      <c r="C14">
        <v>29.217594951358844</v>
      </c>
      <c r="D14">
        <v>31.886146646085177</v>
      </c>
      <c r="E14">
        <v>33.161592511928582</v>
      </c>
      <c r="F14">
        <v>35.136950406421889</v>
      </c>
      <c r="G14">
        <v>43.020776940197401</v>
      </c>
      <c r="H14">
        <v>44.741608017805305</v>
      </c>
      <c r="I14">
        <v>47.144901756079506</v>
      </c>
      <c r="J14">
        <v>55.909753167964126</v>
      </c>
      <c r="K14">
        <v>58.14614329468268</v>
      </c>
      <c r="L14">
        <v>70.051198000123108</v>
      </c>
      <c r="M14">
        <v>76.209084972129475</v>
      </c>
      <c r="N14">
        <v>81.682707543806487</v>
      </c>
      <c r="O14">
        <v>81.682707543806487</v>
      </c>
      <c r="P14">
        <v>81.682707543806487</v>
      </c>
      <c r="Q14">
        <v>86.472558346111924</v>
      </c>
      <c r="R14">
        <v>86.472558346111924</v>
      </c>
      <c r="S14">
        <v>91.808244249616024</v>
      </c>
      <c r="T14">
        <v>91.808244249616024</v>
      </c>
      <c r="U14">
        <v>96.734553827221092</v>
      </c>
      <c r="V14">
        <v>96.734553827221092</v>
      </c>
      <c r="W14">
        <v>100.97610637353908</v>
      </c>
      <c r="X14">
        <v>100.97610637353908</v>
      </c>
      <c r="Y14">
        <v>100.97610637353908</v>
      </c>
      <c r="Z14">
        <v>100.97610637353908</v>
      </c>
      <c r="AA14">
        <v>100.97610637353908</v>
      </c>
    </row>
    <row r="15" spans="1:27" x14ac:dyDescent="0.2">
      <c r="A15" t="s">
        <v>228</v>
      </c>
      <c r="B15" t="s">
        <v>229</v>
      </c>
      <c r="C15">
        <v>10.983677165228094</v>
      </c>
      <c r="D15">
        <v>11.986857281948591</v>
      </c>
      <c r="E15">
        <v>12.466331573226533</v>
      </c>
      <c r="F15">
        <v>13.208921558302977</v>
      </c>
      <c r="G15">
        <v>16.172663290564284</v>
      </c>
      <c r="H15">
        <v>16.819569822186857</v>
      </c>
      <c r="I15">
        <v>17.723032362425485</v>
      </c>
      <c r="J15">
        <v>21.017974963608239</v>
      </c>
      <c r="K15">
        <v>21.858693962152568</v>
      </c>
      <c r="L15">
        <v>26.334123159409472</v>
      </c>
      <c r="M15">
        <v>28.649037943911139</v>
      </c>
      <c r="N15">
        <v>30.706719397558981</v>
      </c>
      <c r="O15">
        <v>30.706719397558981</v>
      </c>
      <c r="P15">
        <v>30.706719397558981</v>
      </c>
      <c r="Q15">
        <v>32.507352713535752</v>
      </c>
      <c r="R15">
        <v>32.507352713535752</v>
      </c>
      <c r="S15">
        <v>34.513180076010769</v>
      </c>
      <c r="T15">
        <v>34.513180076010769</v>
      </c>
      <c r="U15">
        <v>36.365111903612103</v>
      </c>
      <c r="V15">
        <v>36.365111903612103</v>
      </c>
      <c r="W15">
        <v>37.959625207176849</v>
      </c>
      <c r="X15">
        <v>37.959625207176849</v>
      </c>
      <c r="Y15">
        <v>37.959625207176849</v>
      </c>
      <c r="Z15">
        <v>37.959625207176849</v>
      </c>
      <c r="AA15">
        <v>37.959625207176849</v>
      </c>
    </row>
    <row r="16" spans="1:27" x14ac:dyDescent="0.2">
      <c r="A16" t="s">
        <v>260</v>
      </c>
      <c r="B16" t="s">
        <v>261</v>
      </c>
      <c r="C16">
        <v>5.7471577860137524</v>
      </c>
      <c r="D16">
        <v>6.2720670975179607</v>
      </c>
      <c r="E16">
        <v>6.5229497814186796</v>
      </c>
      <c r="F16">
        <v>6.9115065234229682</v>
      </c>
      <c r="G16">
        <v>8.4622705449860263</v>
      </c>
      <c r="H16">
        <v>8.8007613667854674</v>
      </c>
      <c r="I16">
        <v>9.2734939220486563</v>
      </c>
      <c r="J16">
        <v>10.997557251659693</v>
      </c>
      <c r="K16">
        <v>11.43745954172608</v>
      </c>
      <c r="L16">
        <v>13.779206970191595</v>
      </c>
      <c r="M16">
        <v>14.990475321179298</v>
      </c>
      <c r="N16">
        <v>16.067147533005244</v>
      </c>
      <c r="O16">
        <v>16.067147533005244</v>
      </c>
      <c r="P16">
        <v>16.067147533005244</v>
      </c>
      <c r="Q16">
        <v>17.009320507137517</v>
      </c>
      <c r="R16">
        <v>17.009320507137517</v>
      </c>
      <c r="S16">
        <v>18.058860307901345</v>
      </c>
      <c r="T16">
        <v>18.058860307901345</v>
      </c>
      <c r="U16">
        <v>19.027874988691504</v>
      </c>
      <c r="V16">
        <v>19.027874988691504</v>
      </c>
      <c r="W16">
        <v>19.862196628851834</v>
      </c>
      <c r="X16">
        <v>19.862196628851834</v>
      </c>
      <c r="Y16">
        <v>19.862196628851834</v>
      </c>
      <c r="Z16">
        <v>19.862196628851834</v>
      </c>
      <c r="AA16">
        <v>19.862196628851834</v>
      </c>
    </row>
    <row r="17" spans="1:27" x14ac:dyDescent="0.2">
      <c r="A17" t="s">
        <v>280</v>
      </c>
      <c r="B17" t="s">
        <v>281</v>
      </c>
      <c r="C17">
        <v>2.192996481401476</v>
      </c>
      <c r="D17">
        <v>2.3932910123755464</v>
      </c>
      <c r="E17">
        <v>2.4890226528705681</v>
      </c>
      <c r="F17">
        <v>2.6372878649574711</v>
      </c>
      <c r="G17">
        <v>3.2290273245992447</v>
      </c>
      <c r="H17">
        <v>3.3581884175832148</v>
      </c>
      <c r="I17">
        <v>3.5385733781038757</v>
      </c>
      <c r="J17">
        <v>4.1964402674994314</v>
      </c>
      <c r="K17">
        <v>4.364297878199408</v>
      </c>
      <c r="L17">
        <v>5.257860237571796</v>
      </c>
      <c r="M17">
        <v>5.7200551747307111</v>
      </c>
      <c r="N17">
        <v>6.130891010472526</v>
      </c>
      <c r="O17">
        <v>6.130891010472526</v>
      </c>
      <c r="P17">
        <v>6.130891010472526</v>
      </c>
      <c r="Q17">
        <v>6.4904047203922177</v>
      </c>
      <c r="R17">
        <v>6.4904047203922177</v>
      </c>
      <c r="S17">
        <v>6.8908873895416765</v>
      </c>
      <c r="T17">
        <v>6.8908873895416765</v>
      </c>
      <c r="U17">
        <v>7.2606433392688077</v>
      </c>
      <c r="V17">
        <v>7.2606433392688077</v>
      </c>
      <c r="W17">
        <v>7.5790032119838679</v>
      </c>
      <c r="X17">
        <v>7.5790032119838679</v>
      </c>
      <c r="Y17">
        <v>7.5790032119838679</v>
      </c>
      <c r="Z17">
        <v>7.5790032119838679</v>
      </c>
      <c r="AA17">
        <v>7.5790032119838679</v>
      </c>
    </row>
    <row r="18" spans="1:27" x14ac:dyDescent="0.2">
      <c r="A18" t="s">
        <v>188</v>
      </c>
      <c r="B18" t="s">
        <v>189</v>
      </c>
      <c r="C18">
        <v>25.747355654077239</v>
      </c>
      <c r="D18">
        <v>28.098957477560454</v>
      </c>
      <c r="E18">
        <v>29.22291577666287</v>
      </c>
      <c r="F18">
        <v>30.963655982633963</v>
      </c>
      <c r="G18">
        <v>37.911102752914026</v>
      </c>
      <c r="H18">
        <v>39.427546863030592</v>
      </c>
      <c r="I18">
        <v>41.54539601261245</v>
      </c>
      <c r="J18">
        <v>49.269226359793002</v>
      </c>
      <c r="K18">
        <v>51.239995414184712</v>
      </c>
      <c r="L18">
        <v>61.731060065211537</v>
      </c>
      <c r="M18">
        <v>67.157560987337661</v>
      </c>
      <c r="N18">
        <v>71.981069126997141</v>
      </c>
      <c r="O18">
        <v>71.981069126997141</v>
      </c>
      <c r="P18">
        <v>71.981069126997141</v>
      </c>
      <c r="Q18">
        <v>76.202018604263728</v>
      </c>
      <c r="R18">
        <v>76.202018604263728</v>
      </c>
      <c r="S18">
        <v>80.903973123267605</v>
      </c>
      <c r="T18">
        <v>80.903973123267605</v>
      </c>
      <c r="U18">
        <v>85.245173860968492</v>
      </c>
      <c r="V18">
        <v>85.245173860968492</v>
      </c>
      <c r="W18">
        <v>88.982947696128974</v>
      </c>
      <c r="X18">
        <v>88.982947696128974</v>
      </c>
      <c r="Y18">
        <v>88.982947696128974</v>
      </c>
      <c r="Z18">
        <v>88.982947696128974</v>
      </c>
      <c r="AA18">
        <v>88.982947696128974</v>
      </c>
    </row>
    <row r="19" spans="1:27" x14ac:dyDescent="0.2">
      <c r="A19" t="s">
        <v>76</v>
      </c>
      <c r="B19" t="s">
        <v>77</v>
      </c>
      <c r="C19">
        <v>141.7838468801049</v>
      </c>
      <c r="D19">
        <v>154.73349333480485</v>
      </c>
      <c r="E19">
        <v>160.92283306819701</v>
      </c>
      <c r="F19">
        <v>170.50862689251792</v>
      </c>
      <c r="G19">
        <v>208.76637041846647</v>
      </c>
      <c r="H19">
        <v>217.11702523520512</v>
      </c>
      <c r="I19">
        <v>228.77945781949754</v>
      </c>
      <c r="J19">
        <v>271.31253942934183</v>
      </c>
      <c r="K19">
        <v>282.16504100651548</v>
      </c>
      <c r="L19">
        <v>339.93654671276926</v>
      </c>
      <c r="M19">
        <v>369.81884554665527</v>
      </c>
      <c r="N19">
        <v>396.38062333411972</v>
      </c>
      <c r="O19">
        <v>396.38062333411972</v>
      </c>
      <c r="P19">
        <v>396.38062333411972</v>
      </c>
      <c r="Q19">
        <v>419.62427065906957</v>
      </c>
      <c r="R19">
        <v>419.62427065906957</v>
      </c>
      <c r="S19">
        <v>445.51668495265523</v>
      </c>
      <c r="T19">
        <v>445.51668495265523</v>
      </c>
      <c r="U19">
        <v>469.42252401976396</v>
      </c>
      <c r="V19">
        <v>469.42252401976396</v>
      </c>
      <c r="W19">
        <v>490.00545145654462</v>
      </c>
      <c r="X19">
        <v>490.00545145654462</v>
      </c>
      <c r="Y19">
        <v>490.00545145654462</v>
      </c>
      <c r="Z19">
        <v>490.00545145654462</v>
      </c>
      <c r="AA19">
        <v>490.00545145654462</v>
      </c>
    </row>
    <row r="20" spans="1:27" x14ac:dyDescent="0.2">
      <c r="A20" t="s">
        <v>144</v>
      </c>
      <c r="B20" t="s">
        <v>145</v>
      </c>
      <c r="C20">
        <v>52.990089982366591</v>
      </c>
      <c r="D20">
        <v>57.829872129444666</v>
      </c>
      <c r="E20">
        <v>60.143067014622453</v>
      </c>
      <c r="F20">
        <v>63.725647742120366</v>
      </c>
      <c r="G20">
        <v>78.024041505386094</v>
      </c>
      <c r="H20">
        <v>81.145003165601551</v>
      </c>
      <c r="I20">
        <v>85.503703861439803</v>
      </c>
      <c r="J20">
        <v>101.39995630011762</v>
      </c>
      <c r="K20">
        <v>105.45595455212234</v>
      </c>
      <c r="L20">
        <v>127.04739358522954</v>
      </c>
      <c r="M20">
        <v>138.21556075611039</v>
      </c>
      <c r="N20">
        <v>148.14272119096293</v>
      </c>
      <c r="O20">
        <v>148.14272119096293</v>
      </c>
      <c r="P20">
        <v>148.14272119096293</v>
      </c>
      <c r="Q20">
        <v>156.82976834316091</v>
      </c>
      <c r="R20">
        <v>156.82976834316091</v>
      </c>
      <c r="S20">
        <v>166.50676183338581</v>
      </c>
      <c r="T20">
        <v>166.50676183338581</v>
      </c>
      <c r="U20">
        <v>175.44129557009046</v>
      </c>
      <c r="V20">
        <v>175.44129557009046</v>
      </c>
      <c r="W20">
        <v>183.13392911739322</v>
      </c>
      <c r="X20">
        <v>183.13392911739322</v>
      </c>
      <c r="Y20">
        <v>183.13392911739322</v>
      </c>
      <c r="Z20">
        <v>183.13392911739322</v>
      </c>
      <c r="AA20">
        <v>183.13392911739322</v>
      </c>
    </row>
    <row r="21" spans="1:27" x14ac:dyDescent="0.2">
      <c r="A21" t="s">
        <v>268</v>
      </c>
      <c r="B21" t="s">
        <v>269</v>
      </c>
      <c r="C21">
        <v>4.4414948401432026</v>
      </c>
      <c r="D21">
        <v>4.847153095126683</v>
      </c>
      <c r="E21">
        <v>5.0410392189317506</v>
      </c>
      <c r="F21">
        <v>5.3413220420194918</v>
      </c>
      <c r="G21">
        <v>6.5397771143360961</v>
      </c>
      <c r="H21">
        <v>6.8013681989095405</v>
      </c>
      <c r="I21">
        <v>7.166703427755845</v>
      </c>
      <c r="J21">
        <v>8.4990869584782107</v>
      </c>
      <c r="K21">
        <v>8.8390504368173364</v>
      </c>
      <c r="L21">
        <v>10.648790052068492</v>
      </c>
      <c r="M21">
        <v>11.584877476713938</v>
      </c>
      <c r="N21">
        <v>12.416946866732783</v>
      </c>
      <c r="O21">
        <v>12.416946866732783</v>
      </c>
      <c r="P21">
        <v>12.416946866732783</v>
      </c>
      <c r="Q21">
        <v>13.145073109118997</v>
      </c>
      <c r="R21">
        <v>13.145073109118997</v>
      </c>
      <c r="S21">
        <v>13.956174140825787</v>
      </c>
      <c r="T21">
        <v>13.956174140825787</v>
      </c>
      <c r="U21">
        <v>14.705044080542143</v>
      </c>
      <c r="V21">
        <v>14.705044080542143</v>
      </c>
      <c r="W21">
        <v>15.349821098637927</v>
      </c>
      <c r="X21">
        <v>15.349821098637927</v>
      </c>
      <c r="Y21">
        <v>15.349821098637927</v>
      </c>
      <c r="Z21">
        <v>15.349821098637927</v>
      </c>
      <c r="AA21">
        <v>15.349821098637927</v>
      </c>
    </row>
    <row r="22" spans="1:27" x14ac:dyDescent="0.2">
      <c r="A22" t="s">
        <v>258</v>
      </c>
      <c r="B22" t="s">
        <v>259</v>
      </c>
      <c r="C22">
        <v>6.300423556252162</v>
      </c>
      <c r="D22">
        <v>6.8758646898061215</v>
      </c>
      <c r="E22">
        <v>7.1508992773983664</v>
      </c>
      <c r="F22">
        <v>7.5768614906200078</v>
      </c>
      <c r="G22">
        <v>9.2769140270966624</v>
      </c>
      <c r="H22">
        <v>9.6479905881805283</v>
      </c>
      <c r="I22">
        <v>10.166232028190358</v>
      </c>
      <c r="J22">
        <v>12.056267001788333</v>
      </c>
      <c r="K22">
        <v>12.538517681859867</v>
      </c>
      <c r="L22">
        <v>15.105699793512049</v>
      </c>
      <c r="M22">
        <v>16.433574185629418</v>
      </c>
      <c r="N22">
        <v>17.613895175294708</v>
      </c>
      <c r="O22">
        <v>17.613895175294708</v>
      </c>
      <c r="P22">
        <v>17.613895175294708</v>
      </c>
      <c r="Q22">
        <v>18.646768992459283</v>
      </c>
      <c r="R22">
        <v>18.646768992459283</v>
      </c>
      <c r="S22">
        <v>19.797345595741145</v>
      </c>
      <c r="T22">
        <v>19.797345595741145</v>
      </c>
      <c r="U22">
        <v>20.859645109435043</v>
      </c>
      <c r="V22">
        <v>20.859645109435043</v>
      </c>
      <c r="W22">
        <v>21.774284990725487</v>
      </c>
      <c r="X22">
        <v>21.774284990725487</v>
      </c>
      <c r="Y22">
        <v>21.774284990725487</v>
      </c>
      <c r="Z22">
        <v>21.774284990725487</v>
      </c>
      <c r="AA22">
        <v>21.774284990725487</v>
      </c>
    </row>
    <row r="23" spans="1:27" x14ac:dyDescent="0.2">
      <c r="A23" t="s">
        <v>242</v>
      </c>
      <c r="B23" t="s">
        <v>243</v>
      </c>
      <c r="C23">
        <v>9.0546924882955615</v>
      </c>
      <c r="D23">
        <v>9.8816912547954399</v>
      </c>
      <c r="E23">
        <v>10.276958904987257</v>
      </c>
      <c r="F23">
        <v>10.889133121199807</v>
      </c>
      <c r="G23">
        <v>13.332374086557991</v>
      </c>
      <c r="H23">
        <v>13.865669050020312</v>
      </c>
      <c r="I23">
        <v>14.61046292492161</v>
      </c>
      <c r="J23">
        <v>17.326738318989509</v>
      </c>
      <c r="K23">
        <v>18.019807851749086</v>
      </c>
      <c r="L23">
        <v>21.709249422609311</v>
      </c>
      <c r="M23">
        <v>23.617612277321484</v>
      </c>
      <c r="N23">
        <v>25.313917851618037</v>
      </c>
      <c r="O23">
        <v>25.313917851618037</v>
      </c>
      <c r="P23">
        <v>25.313917851618037</v>
      </c>
      <c r="Q23">
        <v>26.798318814527352</v>
      </c>
      <c r="R23">
        <v>26.798318814527352</v>
      </c>
      <c r="S23">
        <v>28.451877060878363</v>
      </c>
      <c r="T23">
        <v>28.451877060878363</v>
      </c>
      <c r="U23">
        <v>29.978567344648098</v>
      </c>
      <c r="V23">
        <v>29.978567344648098</v>
      </c>
      <c r="W23">
        <v>31.293047678973839</v>
      </c>
      <c r="X23">
        <v>31.293047678973839</v>
      </c>
      <c r="Y23">
        <v>31.293047678973839</v>
      </c>
      <c r="Z23">
        <v>31.293047678973839</v>
      </c>
      <c r="AA23">
        <v>31.293047678973839</v>
      </c>
    </row>
    <row r="24" spans="1:27" x14ac:dyDescent="0.2">
      <c r="A24" t="s">
        <v>312</v>
      </c>
      <c r="B24" t="s">
        <v>313</v>
      </c>
      <c r="C24">
        <v>2.7061415428834473E-7</v>
      </c>
      <c r="D24">
        <v>2.953303522247361E-7</v>
      </c>
      <c r="E24">
        <v>3.0714356631372555E-7</v>
      </c>
      <c r="F24">
        <v>3.254393845330225E-7</v>
      </c>
      <c r="G24">
        <v>3.9845959901492838E-7</v>
      </c>
      <c r="H24">
        <v>4.1439798297552551E-7</v>
      </c>
      <c r="I24">
        <v>4.3665735454845169E-7</v>
      </c>
      <c r="J24">
        <v>5.1783764526843969E-7</v>
      </c>
      <c r="K24">
        <v>5.385511510791771E-7</v>
      </c>
      <c r="L24">
        <v>6.4881608959422798E-7</v>
      </c>
      <c r="M24">
        <v>7.0585060519713576E-7</v>
      </c>
      <c r="N24">
        <v>7.565474454262484E-7</v>
      </c>
      <c r="O24">
        <v>7.565474454262484E-7</v>
      </c>
      <c r="P24">
        <v>7.565474454262484E-7</v>
      </c>
      <c r="Q24">
        <v>8.0091117304281435E-7</v>
      </c>
      <c r="R24">
        <v>8.0091117304281435E-7</v>
      </c>
      <c r="S24">
        <v>8.5033044012242202E-7</v>
      </c>
      <c r="T24">
        <v>8.5033044012242202E-7</v>
      </c>
      <c r="U24">
        <v>8.9595805260474824E-7</v>
      </c>
      <c r="V24">
        <v>8.9595805260474824E-7</v>
      </c>
      <c r="W24">
        <v>9.3524342695203119E-7</v>
      </c>
      <c r="X24">
        <v>9.3524342695203119E-7</v>
      </c>
      <c r="Y24">
        <v>9.3524342695203119E-7</v>
      </c>
      <c r="Z24">
        <v>9.3524342695203119E-7</v>
      </c>
      <c r="AA24">
        <v>9.3524342695203119E-7</v>
      </c>
    </row>
    <row r="25" spans="1:27" x14ac:dyDescent="0.2">
      <c r="A25" t="s">
        <v>272</v>
      </c>
      <c r="B25" t="s">
        <v>273</v>
      </c>
      <c r="C25">
        <v>4.0164329621201498</v>
      </c>
      <c r="D25">
        <v>4.3832687337044893</v>
      </c>
      <c r="E25">
        <v>4.558599483052669</v>
      </c>
      <c r="F25">
        <v>4.8301445083237571</v>
      </c>
      <c r="G25">
        <v>5.9139045101517222</v>
      </c>
      <c r="H25">
        <v>6.1504606905577921</v>
      </c>
      <c r="I25">
        <v>6.4808324478544179</v>
      </c>
      <c r="J25">
        <v>7.6857036282984303</v>
      </c>
      <c r="K25">
        <v>7.9931317734303668</v>
      </c>
      <c r="L25">
        <v>9.6296748980228575</v>
      </c>
      <c r="M25">
        <v>10.476176475327607</v>
      </c>
      <c r="N25">
        <v>11.228614797362253</v>
      </c>
      <c r="O25">
        <v>11.228614797362253</v>
      </c>
      <c r="P25">
        <v>11.228614797362253</v>
      </c>
      <c r="Q25">
        <v>11.887057584252982</v>
      </c>
      <c r="R25">
        <v>11.887057584252982</v>
      </c>
      <c r="S25">
        <v>12.620534270956005</v>
      </c>
      <c r="T25">
        <v>12.620534270956005</v>
      </c>
      <c r="U25">
        <v>13.297735532799805</v>
      </c>
      <c r="V25">
        <v>13.297735532799805</v>
      </c>
      <c r="W25">
        <v>13.880805819247316</v>
      </c>
      <c r="X25">
        <v>13.880805819247316</v>
      </c>
      <c r="Y25">
        <v>13.880805819247316</v>
      </c>
      <c r="Z25">
        <v>13.880805819247316</v>
      </c>
      <c r="AA25">
        <v>13.880805819247316</v>
      </c>
    </row>
    <row r="26" spans="1:27" x14ac:dyDescent="0.2">
      <c r="A26" t="s">
        <v>226</v>
      </c>
      <c r="B26" t="s">
        <v>227</v>
      </c>
      <c r="C26">
        <v>11.706667429642939</v>
      </c>
      <c r="D26">
        <v>12.775880938180482</v>
      </c>
      <c r="E26">
        <v>13.286916175707701</v>
      </c>
      <c r="F26">
        <v>14.078386451199263</v>
      </c>
      <c r="G26">
        <v>17.237213707773719</v>
      </c>
      <c r="H26">
        <v>17.92670225608467</v>
      </c>
      <c r="I26">
        <v>18.889634372042796</v>
      </c>
      <c r="J26">
        <v>22.40146348460285</v>
      </c>
      <c r="K26">
        <v>23.297522023986961</v>
      </c>
      <c r="L26">
        <v>28.067542157413968</v>
      </c>
      <c r="M26">
        <v>30.534834039946439</v>
      </c>
      <c r="N26">
        <v>32.727960448491906</v>
      </c>
      <c r="O26">
        <v>32.727960448491906</v>
      </c>
      <c r="P26">
        <v>32.727960448491906</v>
      </c>
      <c r="Q26">
        <v>34.647118766400965</v>
      </c>
      <c r="R26">
        <v>34.647118766400965</v>
      </c>
      <c r="S26">
        <v>36.784977836777713</v>
      </c>
      <c r="T26">
        <v>36.784977836777713</v>
      </c>
      <c r="U26">
        <v>38.758811342803682</v>
      </c>
      <c r="V26">
        <v>38.758811342803682</v>
      </c>
      <c r="W26">
        <v>40.458281991492058</v>
      </c>
      <c r="X26">
        <v>40.458281991492058</v>
      </c>
      <c r="Y26">
        <v>40.458281991492058</v>
      </c>
      <c r="Z26">
        <v>40.458281991492058</v>
      </c>
      <c r="AA26">
        <v>40.458281991492058</v>
      </c>
    </row>
    <row r="27" spans="1:27" x14ac:dyDescent="0.2">
      <c r="A27" t="s">
        <v>232</v>
      </c>
      <c r="B27" t="s">
        <v>233</v>
      </c>
      <c r="C27">
        <v>10.316317064073438</v>
      </c>
      <c r="D27">
        <v>11.258544698842773</v>
      </c>
      <c r="E27">
        <v>11.708886486796482</v>
      </c>
      <c r="F27">
        <v>12.406357253590917</v>
      </c>
      <c r="G27">
        <v>15.190024230150213</v>
      </c>
      <c r="H27">
        <v>15.797625199356224</v>
      </c>
      <c r="I27">
        <v>16.646194023840728</v>
      </c>
      <c r="J27">
        <v>19.740938349478256</v>
      </c>
      <c r="K27">
        <v>20.530575883457388</v>
      </c>
      <c r="L27">
        <v>24.734081312666266</v>
      </c>
      <c r="M27">
        <v>26.908343586946661</v>
      </c>
      <c r="N27">
        <v>28.841001837309005</v>
      </c>
      <c r="O27">
        <v>28.841001837309005</v>
      </c>
      <c r="P27">
        <v>28.841001837309005</v>
      </c>
      <c r="Q27">
        <v>30.532230004735268</v>
      </c>
      <c r="R27">
        <v>30.532230004735268</v>
      </c>
      <c r="S27">
        <v>32.416184780153749</v>
      </c>
      <c r="T27">
        <v>32.416184780153749</v>
      </c>
      <c r="U27">
        <v>34.155594599578059</v>
      </c>
      <c r="V27">
        <v>34.155594599578059</v>
      </c>
      <c r="W27">
        <v>35.653226454102388</v>
      </c>
      <c r="X27">
        <v>35.653226454102388</v>
      </c>
      <c r="Y27">
        <v>35.653226454102388</v>
      </c>
      <c r="Z27">
        <v>35.653226454102388</v>
      </c>
      <c r="AA27">
        <v>35.653226454102388</v>
      </c>
    </row>
    <row r="28" spans="1:27" x14ac:dyDescent="0.2">
      <c r="A28" t="s">
        <v>136</v>
      </c>
      <c r="B28" t="s">
        <v>137</v>
      </c>
      <c r="C28">
        <v>62.38643763575417</v>
      </c>
      <c r="D28">
        <v>68.08442318719969</v>
      </c>
      <c r="E28">
        <v>70.80780011468768</v>
      </c>
      <c r="F28">
        <v>75.02565385310325</v>
      </c>
      <c r="G28">
        <v>91.859477896434228</v>
      </c>
      <c r="H28">
        <v>95.533857012291605</v>
      </c>
      <c r="I28">
        <v>100.66545443407971</v>
      </c>
      <c r="J28">
        <v>119.38047382238021</v>
      </c>
      <c r="K28">
        <v>124.15569277527541</v>
      </c>
      <c r="L28">
        <v>149.57578481802102</v>
      </c>
      <c r="M28">
        <v>162.72432193021857</v>
      </c>
      <c r="N28">
        <v>174.41179359850875</v>
      </c>
      <c r="O28">
        <v>174.41179359850875</v>
      </c>
      <c r="P28">
        <v>174.41179359850875</v>
      </c>
      <c r="Q28">
        <v>184.63925170586049</v>
      </c>
      <c r="R28">
        <v>184.63925170586049</v>
      </c>
      <c r="S28">
        <v>196.03219614283751</v>
      </c>
      <c r="T28">
        <v>196.03219614283751</v>
      </c>
      <c r="U28">
        <v>206.55102583259554</v>
      </c>
      <c r="V28">
        <v>206.55102583259554</v>
      </c>
      <c r="W28">
        <v>215.6077381954772</v>
      </c>
      <c r="X28">
        <v>215.6077381954772</v>
      </c>
      <c r="Y28">
        <v>215.6077381954772</v>
      </c>
      <c r="Z28">
        <v>215.6077381954772</v>
      </c>
      <c r="AA28">
        <v>215.6077381954772</v>
      </c>
    </row>
    <row r="29" spans="1:27" x14ac:dyDescent="0.2">
      <c r="A29" t="s">
        <v>180</v>
      </c>
      <c r="B29" t="s">
        <v>181</v>
      </c>
      <c r="C29">
        <v>27.5492154569605</v>
      </c>
      <c r="D29">
        <v>30.065387842758931</v>
      </c>
      <c r="E29">
        <v>31.268003356469286</v>
      </c>
      <c r="F29">
        <v>33.130564608707914</v>
      </c>
      <c r="G29">
        <v>40.564209854521764</v>
      </c>
      <c r="H29">
        <v>42.186778248702645</v>
      </c>
      <c r="I29">
        <v>44.45283940508132</v>
      </c>
      <c r="J29">
        <v>52.717201355345949</v>
      </c>
      <c r="K29">
        <v>54.825889409559778</v>
      </c>
      <c r="L29">
        <v>66.051143153171779</v>
      </c>
      <c r="M29">
        <v>71.857403224674471</v>
      </c>
      <c r="N29">
        <v>77.018471677031769</v>
      </c>
      <c r="O29">
        <v>77.018471677031769</v>
      </c>
      <c r="P29">
        <v>77.018471677031769</v>
      </c>
      <c r="Q29">
        <v>81.534813011049422</v>
      </c>
      <c r="R29">
        <v>81.534813011049422</v>
      </c>
      <c r="S29">
        <v>86.565821237805096</v>
      </c>
      <c r="T29">
        <v>86.565821237805096</v>
      </c>
      <c r="U29">
        <v>91.21082929500723</v>
      </c>
      <c r="V29">
        <v>91.21082929500723</v>
      </c>
      <c r="W29">
        <v>95.210181232258279</v>
      </c>
      <c r="X29">
        <v>95.210181232258279</v>
      </c>
      <c r="Y29">
        <v>95.210181232258279</v>
      </c>
      <c r="Z29">
        <v>95.210181232258279</v>
      </c>
      <c r="AA29">
        <v>95.210181232258279</v>
      </c>
    </row>
    <row r="30" spans="1:27" x14ac:dyDescent="0.2">
      <c r="A30" t="s">
        <v>178</v>
      </c>
      <c r="B30" t="s">
        <v>179</v>
      </c>
      <c r="C30">
        <v>27.855485878525425</v>
      </c>
      <c r="D30">
        <v>30.399631081863156</v>
      </c>
      <c r="E30">
        <v>31.615616325137683</v>
      </c>
      <c r="F30">
        <v>33.498884062495819</v>
      </c>
      <c r="G30">
        <v>41.015170705730092</v>
      </c>
      <c r="H30">
        <v>42.655777533959302</v>
      </c>
      <c r="I30">
        <v>44.947030968743888</v>
      </c>
      <c r="J30">
        <v>53.303269568723891</v>
      </c>
      <c r="K30">
        <v>55.435400351472836</v>
      </c>
      <c r="L30">
        <v>66.785447601513368</v>
      </c>
      <c r="M30">
        <v>72.656257087230529</v>
      </c>
      <c r="N30">
        <v>77.874702222894769</v>
      </c>
      <c r="O30">
        <v>77.874702222894769</v>
      </c>
      <c r="P30">
        <v>77.874702222894769</v>
      </c>
      <c r="Q30">
        <v>82.441252673264998</v>
      </c>
      <c r="R30">
        <v>82.441252673264998</v>
      </c>
      <c r="S30">
        <v>87.528191676449225</v>
      </c>
      <c r="T30">
        <v>87.528191676449225</v>
      </c>
      <c r="U30">
        <v>92.224839265022922</v>
      </c>
      <c r="V30">
        <v>92.224839265022922</v>
      </c>
      <c r="W30">
        <v>96.268652838784902</v>
      </c>
      <c r="X30">
        <v>96.268652838784902</v>
      </c>
      <c r="Y30">
        <v>96.268652838784902</v>
      </c>
      <c r="Z30">
        <v>96.268652838784902</v>
      </c>
      <c r="AA30">
        <v>96.268652838784902</v>
      </c>
    </row>
    <row r="31" spans="1:27" x14ac:dyDescent="0.2">
      <c r="A31" t="s">
        <v>108</v>
      </c>
      <c r="B31" t="s">
        <v>109</v>
      </c>
      <c r="C31">
        <v>87.40249440981944</v>
      </c>
      <c r="D31">
        <v>95.385289536144001</v>
      </c>
      <c r="E31">
        <v>99.200701117589745</v>
      </c>
      <c r="F31">
        <v>105.10985303848783</v>
      </c>
      <c r="G31">
        <v>128.69379640184306</v>
      </c>
      <c r="H31">
        <v>133.84154825791677</v>
      </c>
      <c r="I31">
        <v>141.0308418282589</v>
      </c>
      <c r="J31">
        <v>167.25031258913054</v>
      </c>
      <c r="K31">
        <v>173.94032509269573</v>
      </c>
      <c r="L31">
        <v>209.55350540658259</v>
      </c>
      <c r="M31">
        <v>227.97441522284572</v>
      </c>
      <c r="N31">
        <v>244.34839354032567</v>
      </c>
      <c r="O31">
        <v>244.34839354032567</v>
      </c>
      <c r="P31">
        <v>244.34839354032567</v>
      </c>
      <c r="Q31">
        <v>258.67691403180777</v>
      </c>
      <c r="R31">
        <v>258.67691403180777</v>
      </c>
      <c r="S31">
        <v>274.63826396940351</v>
      </c>
      <c r="T31">
        <v>274.63826396940351</v>
      </c>
      <c r="U31">
        <v>289.37499182241396</v>
      </c>
      <c r="V31">
        <v>289.37499182241396</v>
      </c>
      <c r="W31">
        <v>302.06331450385602</v>
      </c>
      <c r="X31">
        <v>302.06331450385602</v>
      </c>
      <c r="Y31">
        <v>302.06331450385602</v>
      </c>
      <c r="Z31">
        <v>302.06331450385602</v>
      </c>
      <c r="AA31">
        <v>302.06331450385602</v>
      </c>
    </row>
    <row r="32" spans="1:27" x14ac:dyDescent="0.2">
      <c r="A32" t="s">
        <v>116</v>
      </c>
      <c r="B32" t="s">
        <v>117</v>
      </c>
      <c r="C32">
        <v>79.033891237043392</v>
      </c>
      <c r="D32">
        <v>86.252350687677264</v>
      </c>
      <c r="E32">
        <v>89.702444715184342</v>
      </c>
      <c r="F32">
        <v>95.045807892322173</v>
      </c>
      <c r="G32">
        <v>116.37163877742562</v>
      </c>
      <c r="H32">
        <v>121.02650432852265</v>
      </c>
      <c r="I32">
        <v>127.52743831154362</v>
      </c>
      <c r="J32">
        <v>151.23645044443717</v>
      </c>
      <c r="K32">
        <v>157.28590846221462</v>
      </c>
      <c r="L32">
        <v>189.4892024132478</v>
      </c>
      <c r="M32">
        <v>206.1463492456883</v>
      </c>
      <c r="N32">
        <v>220.95255392210802</v>
      </c>
      <c r="O32">
        <v>220.95255392210802</v>
      </c>
      <c r="P32">
        <v>220.95255392210802</v>
      </c>
      <c r="Q32">
        <v>233.90914901425356</v>
      </c>
      <c r="R32">
        <v>233.90914901425356</v>
      </c>
      <c r="S32">
        <v>248.34223360162667</v>
      </c>
      <c r="T32">
        <v>248.34223360162667</v>
      </c>
      <c r="U32">
        <v>261.66795106757911</v>
      </c>
      <c r="V32">
        <v>261.66795106757911</v>
      </c>
      <c r="W32">
        <v>273.1413938057641</v>
      </c>
      <c r="X32">
        <v>273.1413938057641</v>
      </c>
      <c r="Y32">
        <v>273.1413938057641</v>
      </c>
      <c r="Z32">
        <v>273.1413938057641</v>
      </c>
      <c r="AA32">
        <v>273.1413938057641</v>
      </c>
    </row>
    <row r="33" spans="1:27" x14ac:dyDescent="0.2">
      <c r="A33" t="s">
        <v>304</v>
      </c>
      <c r="B33" t="s">
        <v>305</v>
      </c>
      <c r="C33">
        <v>0.13230191073502301</v>
      </c>
      <c r="D33">
        <v>0.14438553666984885</v>
      </c>
      <c r="E33">
        <v>0.15016095813664279</v>
      </c>
      <c r="F33">
        <v>0.15910569244013556</v>
      </c>
      <c r="G33">
        <v>0.19480491121767096</v>
      </c>
      <c r="H33">
        <v>0.20259710766637784</v>
      </c>
      <c r="I33">
        <v>0.21347960344197231</v>
      </c>
      <c r="J33">
        <v>0.25316824280573241</v>
      </c>
      <c r="K33">
        <v>0.26329497251796169</v>
      </c>
      <c r="L33">
        <v>0.31720295117112912</v>
      </c>
      <c r="M33">
        <v>0.34508684147226626</v>
      </c>
      <c r="N33">
        <v>0.36987227388314092</v>
      </c>
      <c r="O33">
        <v>0.36987227388314092</v>
      </c>
      <c r="P33">
        <v>0.36987227388314092</v>
      </c>
      <c r="Q33">
        <v>0.39156147911497741</v>
      </c>
      <c r="R33">
        <v>0.39156147911497741</v>
      </c>
      <c r="S33">
        <v>0.41572231238310681</v>
      </c>
      <c r="T33">
        <v>0.41572231238310681</v>
      </c>
      <c r="U33">
        <v>0.43802942462401639</v>
      </c>
      <c r="V33">
        <v>0.43802942462401639</v>
      </c>
      <c r="W33">
        <v>0.4572358482634396</v>
      </c>
      <c r="X33">
        <v>0.4572358482634396</v>
      </c>
      <c r="Y33">
        <v>0.4572358482634396</v>
      </c>
      <c r="Z33">
        <v>0.4572358482634396</v>
      </c>
      <c r="AA33">
        <v>0.4572358482634396</v>
      </c>
    </row>
    <row r="34" spans="1:27" x14ac:dyDescent="0.2">
      <c r="A34" t="s">
        <v>212</v>
      </c>
      <c r="B34" t="s">
        <v>213</v>
      </c>
      <c r="C34">
        <v>16.139245781106222</v>
      </c>
      <c r="D34">
        <v>17.613303168528958</v>
      </c>
      <c r="E34">
        <v>18.317835295270115</v>
      </c>
      <c r="F34">
        <v>19.408985563385979</v>
      </c>
      <c r="G34">
        <v>23.763861943048163</v>
      </c>
      <c r="H34">
        <v>24.714416420770092</v>
      </c>
      <c r="I34">
        <v>26.041950339656083</v>
      </c>
      <c r="J34">
        <v>30.883488166666819</v>
      </c>
      <c r="K34">
        <v>32.118827693333486</v>
      </c>
      <c r="L34">
        <v>38.694954313217458</v>
      </c>
      <c r="M34">
        <v>42.096454385312214</v>
      </c>
      <c r="N34">
        <v>45.119979769395805</v>
      </c>
      <c r="O34">
        <v>45.119979769395805</v>
      </c>
      <c r="P34">
        <v>45.119979769395805</v>
      </c>
      <c r="Q34">
        <v>47.765802585473999</v>
      </c>
      <c r="R34">
        <v>47.765802585473999</v>
      </c>
      <c r="S34">
        <v>50.713134367942679</v>
      </c>
      <c r="T34">
        <v>50.713134367942679</v>
      </c>
      <c r="U34">
        <v>53.434334425618481</v>
      </c>
      <c r="V34">
        <v>53.434334425618481</v>
      </c>
      <c r="W34">
        <v>55.77728767527735</v>
      </c>
      <c r="X34">
        <v>55.77728767527735</v>
      </c>
      <c r="Y34">
        <v>55.77728767527735</v>
      </c>
      <c r="Z34">
        <v>55.77728767527735</v>
      </c>
      <c r="AA34">
        <v>55.77728767527735</v>
      </c>
    </row>
    <row r="35" spans="1:27" x14ac:dyDescent="0.2">
      <c r="A35" t="s">
        <v>132</v>
      </c>
      <c r="B35" t="s">
        <v>133</v>
      </c>
      <c r="C35">
        <v>66.881794572909783</v>
      </c>
      <c r="D35">
        <v>72.990357805133527</v>
      </c>
      <c r="E35">
        <v>75.909972117338853</v>
      </c>
      <c r="F35">
        <v>80.431750214660738</v>
      </c>
      <c r="G35">
        <v>98.47856301900849</v>
      </c>
      <c r="H35">
        <v>102.41770553976883</v>
      </c>
      <c r="I35">
        <v>107.91906861805123</v>
      </c>
      <c r="J35">
        <v>127.98262937887567</v>
      </c>
      <c r="K35">
        <v>133.10193455403069</v>
      </c>
      <c r="L35">
        <v>160.35371296064076</v>
      </c>
      <c r="M35">
        <v>174.44968944845814</v>
      </c>
      <c r="N35">
        <v>186.97932102894927</v>
      </c>
      <c r="O35">
        <v>186.97932102894927</v>
      </c>
      <c r="P35">
        <v>186.97932102894927</v>
      </c>
      <c r="Q35">
        <v>197.94373538023316</v>
      </c>
      <c r="R35">
        <v>197.94373538023316</v>
      </c>
      <c r="S35">
        <v>210.15761708739726</v>
      </c>
      <c r="T35">
        <v>210.15761708739726</v>
      </c>
      <c r="U35">
        <v>221.43439827765116</v>
      </c>
      <c r="V35">
        <v>221.43439827765116</v>
      </c>
      <c r="W35">
        <v>231.14370688245978</v>
      </c>
      <c r="X35">
        <v>231.14370688245978</v>
      </c>
      <c r="Y35">
        <v>231.14370688245978</v>
      </c>
      <c r="Z35">
        <v>231.14370688245978</v>
      </c>
      <c r="AA35">
        <v>231.14370688245978</v>
      </c>
    </row>
    <row r="36" spans="1:27" x14ac:dyDescent="0.2">
      <c r="A36" t="s">
        <v>84</v>
      </c>
      <c r="B36" t="s">
        <v>85</v>
      </c>
      <c r="C36">
        <v>114.05159241435231</v>
      </c>
      <c r="D36">
        <v>124.46834884931008</v>
      </c>
      <c r="E36">
        <v>129.44708280328246</v>
      </c>
      <c r="F36">
        <v>137.15794038174809</v>
      </c>
      <c r="G36">
        <v>167.93264897746027</v>
      </c>
      <c r="H36">
        <v>174.64995493655871</v>
      </c>
      <c r="I36">
        <v>184.0312704878877</v>
      </c>
      <c r="J36">
        <v>218.24508112031054</v>
      </c>
      <c r="K36">
        <v>226.97488436512296</v>
      </c>
      <c r="L36">
        <v>273.44655491829116</v>
      </c>
      <c r="M36">
        <v>297.48401646275198</v>
      </c>
      <c r="N36">
        <v>318.85043528039222</v>
      </c>
      <c r="O36">
        <v>318.85043528039222</v>
      </c>
      <c r="P36">
        <v>318.85043528039222</v>
      </c>
      <c r="Q36">
        <v>337.54773436813565</v>
      </c>
      <c r="R36">
        <v>337.54773436813565</v>
      </c>
      <c r="S36">
        <v>358.37571404718005</v>
      </c>
      <c r="T36">
        <v>358.37571404718005</v>
      </c>
      <c r="U36">
        <v>377.60568328274866</v>
      </c>
      <c r="V36">
        <v>377.60568328274866</v>
      </c>
      <c r="W36">
        <v>394.16268679457329</v>
      </c>
      <c r="X36">
        <v>394.16268679457329</v>
      </c>
      <c r="Y36">
        <v>394.16268679457329</v>
      </c>
      <c r="Z36">
        <v>394.16268679457329</v>
      </c>
      <c r="AA36">
        <v>394.16268679457329</v>
      </c>
    </row>
    <row r="37" spans="1:27" x14ac:dyDescent="0.2">
      <c r="A37" t="s">
        <v>302</v>
      </c>
      <c r="B37" t="s">
        <v>303</v>
      </c>
      <c r="C37">
        <v>0.20736814543994805</v>
      </c>
      <c r="D37">
        <v>0.22630784998672127</v>
      </c>
      <c r="E37">
        <v>0.23536016398619009</v>
      </c>
      <c r="F37">
        <v>0.2493800141430281</v>
      </c>
      <c r="G37">
        <v>0.30533446521954455</v>
      </c>
      <c r="H37">
        <v>0.31754784382832635</v>
      </c>
      <c r="I37">
        <v>0.33460491393567215</v>
      </c>
      <c r="J37">
        <v>0.39681232646791731</v>
      </c>
      <c r="K37">
        <v>0.41268481952663399</v>
      </c>
      <c r="L37">
        <v>0.49717942353966876</v>
      </c>
      <c r="M37">
        <v>0.54088423919405881</v>
      </c>
      <c r="N37">
        <v>0.57973257573293302</v>
      </c>
      <c r="O37">
        <v>0.57973257573293302</v>
      </c>
      <c r="P37">
        <v>0.57973257573293302</v>
      </c>
      <c r="Q37">
        <v>0.61372792954154387</v>
      </c>
      <c r="R37">
        <v>0.61372792954154387</v>
      </c>
      <c r="S37">
        <v>0.65159727820975988</v>
      </c>
      <c r="T37">
        <v>0.65159727820975988</v>
      </c>
      <c r="U37">
        <v>0.68656113073327196</v>
      </c>
      <c r="V37">
        <v>0.68656113073327196</v>
      </c>
      <c r="W37">
        <v>0.71666500775601583</v>
      </c>
      <c r="X37">
        <v>0.71666500775601583</v>
      </c>
      <c r="Y37">
        <v>0.71666500775601583</v>
      </c>
      <c r="Z37">
        <v>0.71666500775601583</v>
      </c>
      <c r="AA37">
        <v>0.71666500775601583</v>
      </c>
    </row>
    <row r="38" spans="1:27" x14ac:dyDescent="0.2">
      <c r="A38" t="s">
        <v>170</v>
      </c>
      <c r="B38" t="s">
        <v>171</v>
      </c>
      <c r="C38">
        <v>29.920548785534955</v>
      </c>
      <c r="D38">
        <v>32.653303870329083</v>
      </c>
      <c r="E38">
        <v>33.959436025142239</v>
      </c>
      <c r="F38">
        <v>35.982319576970312</v>
      </c>
      <c r="G38">
        <v>44.055825175676496</v>
      </c>
      <c r="H38">
        <v>45.81805818270356</v>
      </c>
      <c r="I38">
        <v>48.279173399808705</v>
      </c>
      <c r="J38">
        <v>57.254900686871473</v>
      </c>
      <c r="K38">
        <v>59.545096714346322</v>
      </c>
      <c r="L38">
        <v>71.73657827542624</v>
      </c>
      <c r="M38">
        <v>78.042619476574373</v>
      </c>
      <c r="N38">
        <v>83.647933379450919</v>
      </c>
      <c r="O38">
        <v>83.647933379450919</v>
      </c>
      <c r="P38">
        <v>83.647933379450919</v>
      </c>
      <c r="Q38">
        <v>88.553024467351975</v>
      </c>
      <c r="R38">
        <v>88.553024467351975</v>
      </c>
      <c r="S38">
        <v>94.017083047322828</v>
      </c>
      <c r="T38">
        <v>94.017083047322828</v>
      </c>
      <c r="U38">
        <v>99.061916008241312</v>
      </c>
      <c r="V38">
        <v>99.061916008241312</v>
      </c>
      <c r="W38">
        <v>103.40551718759215</v>
      </c>
      <c r="X38">
        <v>103.40551718759215</v>
      </c>
      <c r="Y38">
        <v>103.40551718759215</v>
      </c>
      <c r="Z38">
        <v>103.40551718759215</v>
      </c>
      <c r="AA38">
        <v>103.40551718759215</v>
      </c>
    </row>
    <row r="39" spans="1:27" x14ac:dyDescent="0.2">
      <c r="A39" t="s">
        <v>252</v>
      </c>
      <c r="B39" t="s">
        <v>253</v>
      </c>
      <c r="C39">
        <v>8.0026704774625319</v>
      </c>
      <c r="D39">
        <v>8.7335841580896165</v>
      </c>
      <c r="E39">
        <v>9.0829275244131988</v>
      </c>
      <c r="F39">
        <v>9.6239761059614537</v>
      </c>
      <c r="G39">
        <v>11.783348427889916</v>
      </c>
      <c r="H39">
        <v>12.254682365005513</v>
      </c>
      <c r="I39">
        <v>12.912942152642929</v>
      </c>
      <c r="J39">
        <v>15.313626320864403</v>
      </c>
      <c r="K39">
        <v>15.926171373698979</v>
      </c>
      <c r="L39">
        <v>19.186954130883915</v>
      </c>
      <c r="M39">
        <v>20.873593306916938</v>
      </c>
      <c r="N39">
        <v>22.372813137709166</v>
      </c>
      <c r="O39">
        <v>22.372813137709166</v>
      </c>
      <c r="P39">
        <v>22.372813137709166</v>
      </c>
      <c r="Q39">
        <v>23.684748554394691</v>
      </c>
      <c r="R39">
        <v>23.684748554394691</v>
      </c>
      <c r="S39">
        <v>25.14618766764379</v>
      </c>
      <c r="T39">
        <v>25.14618766764379</v>
      </c>
      <c r="U39">
        <v>26.495499008470205</v>
      </c>
      <c r="V39">
        <v>26.495499008470205</v>
      </c>
      <c r="W39">
        <v>27.657256072921751</v>
      </c>
      <c r="X39">
        <v>27.657256072921751</v>
      </c>
      <c r="Y39">
        <v>27.657256072921751</v>
      </c>
      <c r="Z39">
        <v>27.657256072921751</v>
      </c>
      <c r="AA39">
        <v>27.657256072921751</v>
      </c>
    </row>
    <row r="40" spans="1:27" x14ac:dyDescent="0.2">
      <c r="A40" t="s">
        <v>216</v>
      </c>
      <c r="B40" t="s">
        <v>217</v>
      </c>
      <c r="C40">
        <v>15.027633273820408</v>
      </c>
      <c r="D40">
        <v>16.400162953533627</v>
      </c>
      <c r="E40">
        <v>17.056169471674973</v>
      </c>
      <c r="F40">
        <v>18.072165280789676</v>
      </c>
      <c r="G40">
        <v>22.127093625892325</v>
      </c>
      <c r="H40">
        <v>23.012177370928022</v>
      </c>
      <c r="I40">
        <v>24.248275585314897</v>
      </c>
      <c r="J40">
        <v>28.756345908577536</v>
      </c>
      <c r="K40">
        <v>29.906599744920634</v>
      </c>
      <c r="L40">
        <v>36.029786698397388</v>
      </c>
      <c r="M40">
        <v>39.197003825987977</v>
      </c>
      <c r="N40">
        <v>42.012279786360693</v>
      </c>
      <c r="O40">
        <v>42.012279786360693</v>
      </c>
      <c r="P40">
        <v>42.012279786360693</v>
      </c>
      <c r="Q40">
        <v>44.475867956885757</v>
      </c>
      <c r="R40">
        <v>44.475867956885757</v>
      </c>
      <c r="S40">
        <v>47.220198253600458</v>
      </c>
      <c r="T40">
        <v>47.220198253600458</v>
      </c>
      <c r="U40">
        <v>49.753971955672924</v>
      </c>
      <c r="V40">
        <v>49.753971955672924</v>
      </c>
      <c r="W40">
        <v>51.935551113157324</v>
      </c>
      <c r="X40">
        <v>51.935551113157324</v>
      </c>
      <c r="Y40">
        <v>51.935551113157324</v>
      </c>
      <c r="Z40">
        <v>51.935551113157324</v>
      </c>
      <c r="AA40">
        <v>51.935551113157324</v>
      </c>
    </row>
    <row r="41" spans="1:27" x14ac:dyDescent="0.2">
      <c r="A41" t="s">
        <v>36</v>
      </c>
      <c r="B41" t="s">
        <v>37</v>
      </c>
      <c r="C41">
        <v>349.75887033661297</v>
      </c>
      <c r="D41">
        <v>381.70364976613706</v>
      </c>
      <c r="E41">
        <v>396.97179575678251</v>
      </c>
      <c r="F41">
        <v>420.61846985294585</v>
      </c>
      <c r="G41">
        <v>514.99441924144594</v>
      </c>
      <c r="H41">
        <v>535.5941960111038</v>
      </c>
      <c r="I41">
        <v>564.36361746366413</v>
      </c>
      <c r="J41">
        <v>669.2861661399869</v>
      </c>
      <c r="K41">
        <v>696.05761278558634</v>
      </c>
      <c r="L41">
        <v>838.57100213205513</v>
      </c>
      <c r="M41">
        <v>912.28602195401777</v>
      </c>
      <c r="N41">
        <v>977.80982877336373</v>
      </c>
      <c r="O41">
        <v>977.80982877336373</v>
      </c>
      <c r="P41">
        <v>977.80982877336373</v>
      </c>
      <c r="Q41">
        <v>1035.1483197916791</v>
      </c>
      <c r="R41">
        <v>1035.1483197916791</v>
      </c>
      <c r="S41">
        <v>1099.0209101670134</v>
      </c>
      <c r="T41">
        <v>1099.0209101670134</v>
      </c>
      <c r="U41">
        <v>1157.9929260245835</v>
      </c>
      <c r="V41">
        <v>1157.9929260245835</v>
      </c>
      <c r="W41">
        <v>1208.7678316779513</v>
      </c>
      <c r="X41">
        <v>1208.7678316779513</v>
      </c>
      <c r="Y41">
        <v>1208.7678316779513</v>
      </c>
      <c r="Z41">
        <v>1208.7678316779513</v>
      </c>
      <c r="AA41">
        <v>1208.7678316779513</v>
      </c>
    </row>
    <row r="42" spans="1:27" x14ac:dyDescent="0.2">
      <c r="A42" t="s">
        <v>198</v>
      </c>
      <c r="B42" t="s">
        <v>199</v>
      </c>
      <c r="C42">
        <v>21.523718448989669</v>
      </c>
      <c r="D42">
        <v>23.489559766164628</v>
      </c>
      <c r="E42">
        <v>24.429142156811213</v>
      </c>
      <c r="F42">
        <v>25.8843285685554</v>
      </c>
      <c r="G42">
        <v>31.692105111975732</v>
      </c>
      <c r="H42">
        <v>32.959789316454767</v>
      </c>
      <c r="I42">
        <v>34.730223120433145</v>
      </c>
      <c r="J42">
        <v>41.187024042983431</v>
      </c>
      <c r="K42">
        <v>42.834505004702763</v>
      </c>
      <c r="L42">
        <v>51.604598711125448</v>
      </c>
      <c r="M42">
        <v>56.140927784302718</v>
      </c>
      <c r="N42">
        <v>60.173179970868524</v>
      </c>
      <c r="O42">
        <v>60.173179970868524</v>
      </c>
      <c r="P42">
        <v>60.173179970868524</v>
      </c>
      <c r="Q42">
        <v>63.70171817714872</v>
      </c>
      <c r="R42">
        <v>63.70171817714872</v>
      </c>
      <c r="S42">
        <v>67.632356592475375</v>
      </c>
      <c r="T42">
        <v>67.632356592475375</v>
      </c>
      <c r="U42">
        <v>71.26141985101718</v>
      </c>
      <c r="V42">
        <v>71.26141985101718</v>
      </c>
      <c r="W42">
        <v>74.386043316621681</v>
      </c>
      <c r="X42">
        <v>74.386043316621681</v>
      </c>
      <c r="Y42">
        <v>74.386043316621681</v>
      </c>
      <c r="Z42">
        <v>74.386043316621681</v>
      </c>
      <c r="AA42">
        <v>74.386043316621681</v>
      </c>
    </row>
    <row r="43" spans="1:27" x14ac:dyDescent="0.2">
      <c r="A43" t="s">
        <v>274</v>
      </c>
      <c r="B43" t="s">
        <v>275</v>
      </c>
      <c r="C43">
        <v>3.4965870064152265</v>
      </c>
      <c r="D43">
        <v>3.8159433119996273</v>
      </c>
      <c r="E43">
        <v>3.9685810444796124</v>
      </c>
      <c r="F43">
        <v>4.2049800622086133</v>
      </c>
      <c r="G43">
        <v>5.1484692667349767</v>
      </c>
      <c r="H43">
        <v>5.354408037404375</v>
      </c>
      <c r="I43">
        <v>5.6420198573313209</v>
      </c>
      <c r="J43">
        <v>6.6909448496510802</v>
      </c>
      <c r="K43">
        <v>6.9585826436371239</v>
      </c>
      <c r="L43">
        <v>8.3833083838291476</v>
      </c>
      <c r="M43">
        <v>9.1202474648567478</v>
      </c>
      <c r="N43">
        <v>9.775297875200561</v>
      </c>
      <c r="O43">
        <v>9.775297875200561</v>
      </c>
      <c r="P43">
        <v>9.775297875200561</v>
      </c>
      <c r="Q43">
        <v>10.348518569987069</v>
      </c>
      <c r="R43">
        <v>10.348518569987069</v>
      </c>
      <c r="S43">
        <v>10.987061544915866</v>
      </c>
      <c r="T43">
        <v>10.987061544915866</v>
      </c>
      <c r="U43">
        <v>11.576612809737947</v>
      </c>
      <c r="V43">
        <v>11.576612809737947</v>
      </c>
      <c r="W43">
        <v>12.084216448749757</v>
      </c>
      <c r="X43">
        <v>12.084216448749757</v>
      </c>
      <c r="Y43">
        <v>12.084216448749757</v>
      </c>
      <c r="Z43">
        <v>12.084216448749757</v>
      </c>
      <c r="AA43">
        <v>12.084216448749757</v>
      </c>
    </row>
    <row r="44" spans="1:27" x14ac:dyDescent="0.2">
      <c r="A44" t="s">
        <v>224</v>
      </c>
      <c r="B44" t="s">
        <v>225</v>
      </c>
      <c r="C44">
        <v>11.754731687802577</v>
      </c>
      <c r="D44">
        <v>12.828335083932894</v>
      </c>
      <c r="E44">
        <v>13.341468487290211</v>
      </c>
      <c r="F44">
        <v>14.136188315387201</v>
      </c>
      <c r="G44">
        <v>17.307984821293648</v>
      </c>
      <c r="H44">
        <v>18.000304214145395</v>
      </c>
      <c r="I44">
        <v>18.967189856424291</v>
      </c>
      <c r="J44">
        <v>22.493437543877079</v>
      </c>
      <c r="K44">
        <v>23.393175045632162</v>
      </c>
      <c r="L44">
        <v>28.182779529643788</v>
      </c>
      <c r="M44">
        <v>30.660201413281182</v>
      </c>
      <c r="N44">
        <v>32.862332177208785</v>
      </c>
      <c r="O44">
        <v>32.862332177208785</v>
      </c>
      <c r="P44">
        <v>32.862332177208785</v>
      </c>
      <c r="Q44">
        <v>34.789370015177298</v>
      </c>
      <c r="R44">
        <v>34.789370015177298</v>
      </c>
      <c r="S44">
        <v>36.936006528911435</v>
      </c>
      <c r="T44">
        <v>36.936006528911435</v>
      </c>
      <c r="U44">
        <v>38.91794403582135</v>
      </c>
      <c r="V44">
        <v>38.91794403582135</v>
      </c>
      <c r="W44">
        <v>40.624392229270789</v>
      </c>
      <c r="X44">
        <v>40.624392229270789</v>
      </c>
      <c r="Y44">
        <v>40.624392229270789</v>
      </c>
      <c r="Z44">
        <v>40.624392229270789</v>
      </c>
      <c r="AA44">
        <v>40.624392229270789</v>
      </c>
    </row>
    <row r="45" spans="1:27" x14ac:dyDescent="0.2">
      <c r="A45" t="s">
        <v>264</v>
      </c>
      <c r="B45" t="s">
        <v>265</v>
      </c>
      <c r="C45">
        <v>4.8305389269827108</v>
      </c>
      <c r="D45">
        <v>5.2717300264384077</v>
      </c>
      <c r="E45">
        <v>5.4825992274959434</v>
      </c>
      <c r="F45">
        <v>5.8091847394095018</v>
      </c>
      <c r="G45">
        <v>7.1126161487497361</v>
      </c>
      <c r="H45">
        <v>7.3971207946997266</v>
      </c>
      <c r="I45">
        <v>7.7944568511080048</v>
      </c>
      <c r="J45">
        <v>9.243547921225634</v>
      </c>
      <c r="K45">
        <v>9.6132898380746585</v>
      </c>
      <c r="L45">
        <v>11.581550068878295</v>
      </c>
      <c r="M45">
        <v>12.599632247639317</v>
      </c>
      <c r="N45">
        <v>13.504585134696411</v>
      </c>
      <c r="O45">
        <v>13.504585134696411</v>
      </c>
      <c r="P45">
        <v>13.504585134696411</v>
      </c>
      <c r="Q45">
        <v>14.296490176623886</v>
      </c>
      <c r="R45">
        <v>14.296490176623886</v>
      </c>
      <c r="S45">
        <v>15.178638022876738</v>
      </c>
      <c r="T45">
        <v>15.178638022876738</v>
      </c>
      <c r="U45">
        <v>15.993103765885554</v>
      </c>
      <c r="V45">
        <v>15.993103765885554</v>
      </c>
      <c r="W45">
        <v>16.694358770616144</v>
      </c>
      <c r="X45">
        <v>16.694358770616144</v>
      </c>
      <c r="Y45">
        <v>16.694358770616144</v>
      </c>
      <c r="Z45">
        <v>16.694358770616144</v>
      </c>
      <c r="AA45">
        <v>16.694358770616144</v>
      </c>
    </row>
    <row r="46" spans="1:27" x14ac:dyDescent="0.2">
      <c r="A46" t="s">
        <v>214</v>
      </c>
      <c r="B46" t="s">
        <v>215</v>
      </c>
      <c r="C46">
        <v>15.493087698173005</v>
      </c>
      <c r="D46">
        <v>16.908129062882605</v>
      </c>
      <c r="E46">
        <v>17.584454225397913</v>
      </c>
      <c r="F46">
        <v>18.63191871197229</v>
      </c>
      <c r="G46">
        <v>22.812441307631264</v>
      </c>
      <c r="H46">
        <v>23.724938959936516</v>
      </c>
      <c r="I46">
        <v>24.999323135415015</v>
      </c>
      <c r="J46">
        <v>29.647022982437107</v>
      </c>
      <c r="K46">
        <v>30.832903901734589</v>
      </c>
      <c r="L46">
        <v>37.145745766713546</v>
      </c>
      <c r="M46">
        <v>40.411061856267132</v>
      </c>
      <c r="N46">
        <v>43.31353602194951</v>
      </c>
      <c r="O46">
        <v>43.31353602194951</v>
      </c>
      <c r="P46">
        <v>43.31353602194951</v>
      </c>
      <c r="Q46">
        <v>45.853429489047869</v>
      </c>
      <c r="R46">
        <v>45.853429489047869</v>
      </c>
      <c r="S46">
        <v>48.682760574324277</v>
      </c>
      <c r="T46">
        <v>48.682760574324277</v>
      </c>
      <c r="U46">
        <v>51.295013445967129</v>
      </c>
      <c r="V46">
        <v>51.295013445967129</v>
      </c>
      <c r="W46">
        <v>53.544163168451647</v>
      </c>
      <c r="X46">
        <v>53.544163168451647</v>
      </c>
      <c r="Y46">
        <v>53.544163168451647</v>
      </c>
      <c r="Z46">
        <v>53.544163168451647</v>
      </c>
      <c r="AA46">
        <v>53.544163168451647</v>
      </c>
    </row>
    <row r="47" spans="1:27" x14ac:dyDescent="0.2">
      <c r="A47" t="s">
        <v>174</v>
      </c>
      <c r="B47" t="s">
        <v>175</v>
      </c>
      <c r="C47">
        <v>28.92162380344023</v>
      </c>
      <c r="D47">
        <v>31.563143351623243</v>
      </c>
      <c r="E47">
        <v>32.825669085688176</v>
      </c>
      <c r="F47">
        <v>34.781016813548781</v>
      </c>
      <c r="G47">
        <v>42.58498101803</v>
      </c>
      <c r="H47">
        <v>44.288380258751204</v>
      </c>
      <c r="I47">
        <v>46.66732888553738</v>
      </c>
      <c r="J47">
        <v>55.343393279256063</v>
      </c>
      <c r="K47">
        <v>57.557129010426294</v>
      </c>
      <c r="L47">
        <v>69.341586770325222</v>
      </c>
      <c r="M47">
        <v>75.437094998328448</v>
      </c>
      <c r="N47">
        <v>80.855270352035959</v>
      </c>
      <c r="O47">
        <v>80.855270352035959</v>
      </c>
      <c r="P47">
        <v>80.855270352035959</v>
      </c>
      <c r="Q47">
        <v>85.596600472106005</v>
      </c>
      <c r="R47">
        <v>85.596600472106005</v>
      </c>
      <c r="S47">
        <v>90.87823644150626</v>
      </c>
      <c r="T47">
        <v>90.87823644150626</v>
      </c>
      <c r="U47">
        <v>95.754643023908855</v>
      </c>
      <c r="V47">
        <v>95.754643023908855</v>
      </c>
      <c r="W47">
        <v>99.953229091357485</v>
      </c>
      <c r="X47">
        <v>99.953229091357485</v>
      </c>
      <c r="Y47">
        <v>99.953229091357485</v>
      </c>
      <c r="Z47">
        <v>99.953229091357485</v>
      </c>
      <c r="AA47">
        <v>99.953229091357485</v>
      </c>
    </row>
    <row r="48" spans="1:27" x14ac:dyDescent="0.2">
      <c r="A48" t="s">
        <v>124</v>
      </c>
      <c r="B48" t="s">
        <v>125</v>
      </c>
      <c r="C48">
        <v>73.32560205720057</v>
      </c>
      <c r="D48">
        <v>80.022702210800659</v>
      </c>
      <c r="E48">
        <v>83.223610299232689</v>
      </c>
      <c r="F48">
        <v>88.181044582694454</v>
      </c>
      <c r="G48">
        <v>107.96659941929255</v>
      </c>
      <c r="H48">
        <v>112.28526339606425</v>
      </c>
      <c r="I48">
        <v>118.31666196164197</v>
      </c>
      <c r="J48">
        <v>140.31327077863338</v>
      </c>
      <c r="K48">
        <v>145.92580160977872</v>
      </c>
      <c r="L48">
        <v>175.80318560574409</v>
      </c>
      <c r="M48">
        <v>191.2572560168872</v>
      </c>
      <c r="N48">
        <v>204.99407012394406</v>
      </c>
      <c r="O48">
        <v>204.99407012394406</v>
      </c>
      <c r="P48">
        <v>204.99407012394406</v>
      </c>
      <c r="Q48">
        <v>217.0148642525476</v>
      </c>
      <c r="R48">
        <v>217.0148642525476</v>
      </c>
      <c r="S48">
        <v>230.4055071823949</v>
      </c>
      <c r="T48">
        <v>230.4055071823949</v>
      </c>
      <c r="U48">
        <v>242.76876351130934</v>
      </c>
      <c r="V48">
        <v>242.76876351130934</v>
      </c>
      <c r="W48">
        <v>253.4135272105047</v>
      </c>
      <c r="X48">
        <v>253.4135272105047</v>
      </c>
      <c r="Y48">
        <v>253.4135272105047</v>
      </c>
      <c r="Z48">
        <v>253.4135272105047</v>
      </c>
      <c r="AA48">
        <v>253.4135272105047</v>
      </c>
    </row>
    <row r="49" spans="1:27" x14ac:dyDescent="0.2">
      <c r="A49" t="s">
        <v>166</v>
      </c>
      <c r="B49" t="s">
        <v>167</v>
      </c>
      <c r="C49">
        <v>31.338706865358432</v>
      </c>
      <c r="D49">
        <v>34.200987605963824</v>
      </c>
      <c r="E49">
        <v>35.569027110202377</v>
      </c>
      <c r="F49">
        <v>37.687790208696846</v>
      </c>
      <c r="G49">
        <v>46.143959483773848</v>
      </c>
      <c r="H49">
        <v>47.989717863124802</v>
      </c>
      <c r="I49">
        <v>50.567483695682625</v>
      </c>
      <c r="J49">
        <v>59.968637677478803</v>
      </c>
      <c r="K49">
        <v>62.367383184577946</v>
      </c>
      <c r="L49">
        <v>75.136710032012473</v>
      </c>
      <c r="M49">
        <v>81.741641582572612</v>
      </c>
      <c r="N49">
        <v>87.612633139234518</v>
      </c>
      <c r="O49">
        <v>87.612633139234518</v>
      </c>
      <c r="P49">
        <v>87.612633139234518</v>
      </c>
      <c r="Q49">
        <v>92.750213096522231</v>
      </c>
      <c r="R49">
        <v>92.750213096522231</v>
      </c>
      <c r="S49">
        <v>98.473254186451612</v>
      </c>
      <c r="T49">
        <v>98.473254186451612</v>
      </c>
      <c r="U49">
        <v>103.75719942689972</v>
      </c>
      <c r="V49">
        <v>103.75719942689972</v>
      </c>
      <c r="W49">
        <v>108.30667627892556</v>
      </c>
      <c r="X49">
        <v>108.30667627892556</v>
      </c>
      <c r="Y49">
        <v>108.30667627892556</v>
      </c>
      <c r="Z49">
        <v>108.30667627892556</v>
      </c>
      <c r="AA49">
        <v>108.30667627892556</v>
      </c>
    </row>
    <row r="50" spans="1:27" x14ac:dyDescent="0.2">
      <c r="A50" t="s">
        <v>44</v>
      </c>
      <c r="B50" t="s">
        <v>45</v>
      </c>
      <c r="C50">
        <v>257.52559170858183</v>
      </c>
      <c r="D50">
        <v>281.04636250896471</v>
      </c>
      <c r="E50">
        <v>292.28821700932332</v>
      </c>
      <c r="F50">
        <v>309.69913708890186</v>
      </c>
      <c r="G50">
        <v>379.18764551741413</v>
      </c>
      <c r="H50">
        <v>394.35515133811072</v>
      </c>
      <c r="I50">
        <v>415.53792298748664</v>
      </c>
      <c r="J50">
        <v>492.79183624903692</v>
      </c>
      <c r="K50">
        <v>512.50350969899841</v>
      </c>
      <c r="L50">
        <v>617.43535855396374</v>
      </c>
      <c r="M50">
        <v>671.71133468343464</v>
      </c>
      <c r="N50">
        <v>719.95616434539886</v>
      </c>
      <c r="O50">
        <v>719.95616434539886</v>
      </c>
      <c r="P50">
        <v>719.95616434539886</v>
      </c>
      <c r="Q50">
        <v>762.17418961794658</v>
      </c>
      <c r="R50">
        <v>762.17418961794658</v>
      </c>
      <c r="S50">
        <v>809.20323741461084</v>
      </c>
      <c r="T50">
        <v>809.20323741461084</v>
      </c>
      <c r="U50">
        <v>852.62401831818761</v>
      </c>
      <c r="V50">
        <v>852.62401831818761</v>
      </c>
      <c r="W50">
        <v>890.00931067616727</v>
      </c>
      <c r="X50">
        <v>890.00931067616727</v>
      </c>
      <c r="Y50">
        <v>890.00931067616727</v>
      </c>
      <c r="Z50">
        <v>890.00931067616727</v>
      </c>
      <c r="AA50">
        <v>890.00931067616727</v>
      </c>
    </row>
    <row r="51" spans="1:27" x14ac:dyDescent="0.2">
      <c r="A51" t="s">
        <v>240</v>
      </c>
      <c r="B51" t="s">
        <v>241</v>
      </c>
      <c r="C51">
        <v>9.637464491646428</v>
      </c>
      <c r="D51">
        <v>10.517689994288348</v>
      </c>
      <c r="E51">
        <v>10.938397594059882</v>
      </c>
      <c r="F51">
        <v>11.589972153778643</v>
      </c>
      <c r="G51">
        <v>14.190463344242893</v>
      </c>
      <c r="H51">
        <v>14.758081878012609</v>
      </c>
      <c r="I51">
        <v>15.550811673335364</v>
      </c>
      <c r="J51">
        <v>18.441910150031394</v>
      </c>
      <c r="K51">
        <v>19.179586556032646</v>
      </c>
      <c r="L51">
        <v>23.106485473818292</v>
      </c>
      <c r="M51">
        <v>25.137673089879186</v>
      </c>
      <c r="N51">
        <v>26.943155138043394</v>
      </c>
      <c r="O51">
        <v>26.943155138043394</v>
      </c>
      <c r="P51">
        <v>26.943155138043394</v>
      </c>
      <c r="Q51">
        <v>28.523094113320202</v>
      </c>
      <c r="R51">
        <v>28.523094113320202</v>
      </c>
      <c r="S51">
        <v>30.283077558884656</v>
      </c>
      <c r="T51">
        <v>30.283077558884656</v>
      </c>
      <c r="U51">
        <v>31.90802765173337</v>
      </c>
      <c r="V51">
        <v>31.90802765173337</v>
      </c>
      <c r="W51">
        <v>33.30710968167611</v>
      </c>
      <c r="X51">
        <v>33.30710968167611</v>
      </c>
      <c r="Y51">
        <v>33.30710968167611</v>
      </c>
      <c r="Z51">
        <v>33.30710968167611</v>
      </c>
      <c r="AA51">
        <v>33.30710968167611</v>
      </c>
    </row>
    <row r="52" spans="1:27" x14ac:dyDescent="0.2">
      <c r="A52" t="s">
        <v>106</v>
      </c>
      <c r="B52" t="s">
        <v>107</v>
      </c>
      <c r="C52">
        <v>88.824663359550172</v>
      </c>
      <c r="D52">
        <v>96.937350469363068</v>
      </c>
      <c r="E52">
        <v>100.8148444881376</v>
      </c>
      <c r="F52">
        <v>106.82014712461751</v>
      </c>
      <c r="G52">
        <v>130.78783642325811</v>
      </c>
      <c r="H52">
        <v>136.01934988018843</v>
      </c>
      <c r="I52">
        <v>143.32562398015136</v>
      </c>
      <c r="J52">
        <v>169.97172463810173</v>
      </c>
      <c r="K52">
        <v>176.77059362362579</v>
      </c>
      <c r="L52">
        <v>212.96325350025927</v>
      </c>
      <c r="M52">
        <v>231.68389899504484</v>
      </c>
      <c r="N52">
        <v>248.32430636244976</v>
      </c>
      <c r="O52">
        <v>248.32430636244976</v>
      </c>
      <c r="P52">
        <v>248.32430636244976</v>
      </c>
      <c r="Q52">
        <v>262.88597325411382</v>
      </c>
      <c r="R52">
        <v>262.88597325411382</v>
      </c>
      <c r="S52">
        <v>279.10703816243563</v>
      </c>
      <c r="T52">
        <v>279.10703816243563</v>
      </c>
      <c r="U52">
        <v>294.08355455826404</v>
      </c>
      <c r="V52">
        <v>294.08355455826404</v>
      </c>
      <c r="W52">
        <v>306.97833517507229</v>
      </c>
      <c r="X52">
        <v>306.97833517507229</v>
      </c>
      <c r="Y52">
        <v>306.97833517507229</v>
      </c>
      <c r="Z52">
        <v>306.97833517507229</v>
      </c>
      <c r="AA52">
        <v>306.97833517507229</v>
      </c>
    </row>
    <row r="53" spans="1:27" x14ac:dyDescent="0.2">
      <c r="A53" t="s">
        <v>222</v>
      </c>
      <c r="B53" t="s">
        <v>223</v>
      </c>
      <c r="C53">
        <v>14.011208611392114</v>
      </c>
      <c r="D53">
        <v>15.290904443555592</v>
      </c>
      <c r="E53">
        <v>15.902540621297813</v>
      </c>
      <c r="F53">
        <v>16.849817479231628</v>
      </c>
      <c r="G53">
        <v>20.630482465677396</v>
      </c>
      <c r="H53">
        <v>21.455701764304493</v>
      </c>
      <c r="I53">
        <v>22.608193951887724</v>
      </c>
      <c r="J53">
        <v>26.811351733498995</v>
      </c>
      <c r="K53">
        <v>27.883805802838953</v>
      </c>
      <c r="L53">
        <v>33.592838503362557</v>
      </c>
      <c r="M53">
        <v>36.545834433171024</v>
      </c>
      <c r="N53">
        <v>39.170693455259162</v>
      </c>
      <c r="O53">
        <v>39.170693455259162</v>
      </c>
      <c r="P53">
        <v>39.170693455259162</v>
      </c>
      <c r="Q53">
        <v>41.467651809301373</v>
      </c>
      <c r="R53">
        <v>41.467651809301373</v>
      </c>
      <c r="S53">
        <v>44.026363722561825</v>
      </c>
      <c r="T53">
        <v>44.026363722561825</v>
      </c>
      <c r="U53">
        <v>46.388760466408584</v>
      </c>
      <c r="V53">
        <v>46.388760466408584</v>
      </c>
      <c r="W53">
        <v>48.42278406286065</v>
      </c>
      <c r="X53">
        <v>48.42278406286065</v>
      </c>
      <c r="Y53">
        <v>48.42278406286065</v>
      </c>
      <c r="Z53">
        <v>48.42278406286065</v>
      </c>
      <c r="AA53">
        <v>48.42278406286065</v>
      </c>
    </row>
    <row r="54" spans="1:27" x14ac:dyDescent="0.2">
      <c r="A54" t="s">
        <v>104</v>
      </c>
      <c r="B54" t="s">
        <v>105</v>
      </c>
      <c r="C54">
        <v>91.06071106654808</v>
      </c>
      <c r="D54">
        <v>99.377624736005345</v>
      </c>
      <c r="E54">
        <v>103.35272972544554</v>
      </c>
      <c r="F54">
        <v>109.5092082029841</v>
      </c>
      <c r="G54">
        <v>134.08025353666338</v>
      </c>
      <c r="H54">
        <v>139.44346367812992</v>
      </c>
      <c r="I54">
        <v>146.93366391786091</v>
      </c>
      <c r="J54">
        <v>174.25054620360609</v>
      </c>
      <c r="K54">
        <v>181.22056805175032</v>
      </c>
      <c r="L54">
        <v>218.32433201891905</v>
      </c>
      <c r="M54">
        <v>237.51624590751425</v>
      </c>
      <c r="N54">
        <v>254.57555432480868</v>
      </c>
      <c r="O54">
        <v>254.57555432480868</v>
      </c>
      <c r="P54">
        <v>254.57555432480868</v>
      </c>
      <c r="Q54">
        <v>269.50379262391357</v>
      </c>
      <c r="R54">
        <v>269.50379262391357</v>
      </c>
      <c r="S54">
        <v>286.13320217010363</v>
      </c>
      <c r="T54">
        <v>286.13320217010363</v>
      </c>
      <c r="U54">
        <v>301.48673328097971</v>
      </c>
      <c r="V54">
        <v>301.48673328097971</v>
      </c>
      <c r="W54">
        <v>314.70612356744402</v>
      </c>
      <c r="X54">
        <v>314.70612356744402</v>
      </c>
      <c r="Y54">
        <v>314.70612356744402</v>
      </c>
      <c r="Z54">
        <v>314.70612356744402</v>
      </c>
      <c r="AA54">
        <v>314.70612356744402</v>
      </c>
    </row>
    <row r="55" spans="1:27" x14ac:dyDescent="0.2">
      <c r="A55" t="s">
        <v>286</v>
      </c>
      <c r="B55" t="s">
        <v>287</v>
      </c>
      <c r="C55">
        <v>1.7422007680752041</v>
      </c>
      <c r="D55">
        <v>1.901322448690616</v>
      </c>
      <c r="E55">
        <v>1.9773753466382407</v>
      </c>
      <c r="F55">
        <v>2.0951629347932199</v>
      </c>
      <c r="G55">
        <v>2.5652635253921932</v>
      </c>
      <c r="H55">
        <v>2.6678740664078808</v>
      </c>
      <c r="I55">
        <v>2.8111788183459563</v>
      </c>
      <c r="J55">
        <v>3.3338135830236095</v>
      </c>
      <c r="K55">
        <v>3.4671661263445541</v>
      </c>
      <c r="L55">
        <v>4.1770464394341511</v>
      </c>
      <c r="M55">
        <v>4.5442318778732176</v>
      </c>
      <c r="N55">
        <v>4.8706156703929357</v>
      </c>
      <c r="O55">
        <v>4.8706156703929357</v>
      </c>
      <c r="P55">
        <v>4.8706156703929357</v>
      </c>
      <c r="Q55">
        <v>5.1562271918283793</v>
      </c>
      <c r="R55">
        <v>5.1562271918283793</v>
      </c>
      <c r="S55">
        <v>5.4743860305270644</v>
      </c>
      <c r="T55">
        <v>5.4743860305270644</v>
      </c>
      <c r="U55">
        <v>5.7681343812783181</v>
      </c>
      <c r="V55">
        <v>5.7681343812783181</v>
      </c>
      <c r="W55">
        <v>6.0210517112751472</v>
      </c>
      <c r="X55">
        <v>6.0210517112751472</v>
      </c>
      <c r="Y55">
        <v>6.0210517112751472</v>
      </c>
      <c r="Z55">
        <v>6.0210517112751472</v>
      </c>
      <c r="AA55">
        <v>6.0210517112751472</v>
      </c>
    </row>
    <row r="56" spans="1:27" x14ac:dyDescent="0.2">
      <c r="A56" t="s">
        <v>220</v>
      </c>
      <c r="B56" t="s">
        <v>221</v>
      </c>
      <c r="C56">
        <v>14.69045729246727</v>
      </c>
      <c r="D56">
        <v>16.032191434835312</v>
      </c>
      <c r="E56">
        <v>16.673479092228725</v>
      </c>
      <c r="F56">
        <v>17.66667893755146</v>
      </c>
      <c r="G56">
        <v>21.630626592670247</v>
      </c>
      <c r="H56">
        <v>22.495851656377059</v>
      </c>
      <c r="I56">
        <v>23.704215455045205</v>
      </c>
      <c r="J56">
        <v>28.111137912402505</v>
      </c>
      <c r="K56">
        <v>29.2355834288986</v>
      </c>
      <c r="L56">
        <v>35.221384040000075</v>
      </c>
      <c r="M56">
        <v>38.317538111705865</v>
      </c>
      <c r="N56">
        <v>41.069647542963693</v>
      </c>
      <c r="O56">
        <v>41.069647542963693</v>
      </c>
      <c r="P56">
        <v>41.069647542963693</v>
      </c>
      <c r="Q56">
        <v>43.477960026099325</v>
      </c>
      <c r="R56">
        <v>43.477960026099325</v>
      </c>
      <c r="S56">
        <v>46.160715606150958</v>
      </c>
      <c r="T56">
        <v>46.160715606150958</v>
      </c>
      <c r="U56">
        <v>48.637638863515583</v>
      </c>
      <c r="V56">
        <v>48.637638863515583</v>
      </c>
      <c r="W56">
        <v>50.770269788106532</v>
      </c>
      <c r="X56">
        <v>50.770269788106532</v>
      </c>
      <c r="Y56">
        <v>50.770269788106532</v>
      </c>
      <c r="Z56">
        <v>50.770269788106532</v>
      </c>
      <c r="AA56">
        <v>50.770269788106532</v>
      </c>
    </row>
    <row r="57" spans="1:27" x14ac:dyDescent="0.2">
      <c r="A57" t="s">
        <v>154</v>
      </c>
      <c r="B57" t="s">
        <v>155</v>
      </c>
      <c r="C57">
        <v>-39.375962448561097</v>
      </c>
      <c r="D57">
        <v>-42.972315656226499</v>
      </c>
      <c r="E57">
        <v>-44.691208282475564</v>
      </c>
      <c r="F57">
        <v>-47.353358209789128</v>
      </c>
      <c r="G57">
        <v>-57.978231956643384</v>
      </c>
      <c r="H57">
        <v>-60.297361234909118</v>
      </c>
      <c r="I57">
        <v>-63.536231653528091</v>
      </c>
      <c r="J57">
        <v>-75.348444829737375</v>
      </c>
      <c r="K57">
        <v>-78.362382622926859</v>
      </c>
      <c r="L57">
        <v>-94.406584338019996</v>
      </c>
      <c r="M57">
        <v>-102.70544420570835</v>
      </c>
      <c r="N57">
        <v>-110.08213476489918</v>
      </c>
      <c r="O57">
        <v>-110.08213476489918</v>
      </c>
      <c r="P57">
        <v>-110.08213476489918</v>
      </c>
      <c r="Q57">
        <v>-116.53731992438189</v>
      </c>
      <c r="R57">
        <v>-116.53731992438189</v>
      </c>
      <c r="S57">
        <v>-123.72811602253654</v>
      </c>
      <c r="T57">
        <v>-123.72811602253654</v>
      </c>
      <c r="U57">
        <v>-130.3672039166872</v>
      </c>
      <c r="V57">
        <v>-130.3672039166872</v>
      </c>
      <c r="W57">
        <v>-136.08345859355094</v>
      </c>
      <c r="X57">
        <v>-136.08345859355094</v>
      </c>
      <c r="Y57">
        <v>-136.08345859355094</v>
      </c>
      <c r="Z57">
        <v>-136.08345859355094</v>
      </c>
      <c r="AA57">
        <v>-136.08345859355094</v>
      </c>
    </row>
    <row r="58" spans="1:27" x14ac:dyDescent="0.2">
      <c r="A58" t="s">
        <v>278</v>
      </c>
      <c r="B58" t="s">
        <v>279</v>
      </c>
      <c r="C58">
        <v>2.654968262104779</v>
      </c>
      <c r="D58">
        <v>2.8974563952683479</v>
      </c>
      <c r="E58">
        <v>3.0133546510790814</v>
      </c>
      <c r="F58">
        <v>3.1928530842974512</v>
      </c>
      <c r="G58">
        <v>3.9092470676475433</v>
      </c>
      <c r="H58">
        <v>4.0656169503534452</v>
      </c>
      <c r="I58">
        <v>4.2840014070568682</v>
      </c>
      <c r="J58">
        <v>5.0804530780228827</v>
      </c>
      <c r="K58">
        <v>5.2836712011437967</v>
      </c>
      <c r="L58">
        <v>6.3654694276639958</v>
      </c>
      <c r="M58">
        <v>6.9250293264004608</v>
      </c>
      <c r="N58">
        <v>7.4224109291893274</v>
      </c>
      <c r="O58">
        <v>7.4224109291893274</v>
      </c>
      <c r="P58">
        <v>7.4224109291893274</v>
      </c>
      <c r="Q58">
        <v>7.8576590008224994</v>
      </c>
      <c r="R58">
        <v>7.8576590008224994</v>
      </c>
      <c r="S58">
        <v>8.3425064618796725</v>
      </c>
      <c r="T58">
        <v>8.3425064618796725</v>
      </c>
      <c r="U58">
        <v>8.7901543808688434</v>
      </c>
      <c r="V58">
        <v>8.7901543808688434</v>
      </c>
      <c r="W58">
        <v>9.1755792391185214</v>
      </c>
      <c r="X58">
        <v>9.1755792391185214</v>
      </c>
      <c r="Y58">
        <v>9.1755792391185214</v>
      </c>
      <c r="Z58">
        <v>9.1755792391185214</v>
      </c>
      <c r="AA58">
        <v>9.1755792391185214</v>
      </c>
    </row>
    <row r="59" spans="1:27" x14ac:dyDescent="0.2">
      <c r="A59" t="s">
        <v>130</v>
      </c>
      <c r="B59" t="s">
        <v>131</v>
      </c>
      <c r="C59">
        <v>67.28026220827465</v>
      </c>
      <c r="D59">
        <v>73.425218972731841</v>
      </c>
      <c r="E59">
        <v>76.362227731641127</v>
      </c>
      <c r="F59">
        <v>80.910945629810016</v>
      </c>
      <c r="G59">
        <v>99.065277541112664</v>
      </c>
      <c r="H59">
        <v>103.02788864275719</v>
      </c>
      <c r="I59">
        <v>108.56202768273566</v>
      </c>
      <c r="J59">
        <v>128.74512290976898</v>
      </c>
      <c r="K59">
        <v>133.89492782615972</v>
      </c>
      <c r="L59">
        <v>161.30906658464897</v>
      </c>
      <c r="M59">
        <v>175.48902392936662</v>
      </c>
      <c r="N59">
        <v>188.09330441393925</v>
      </c>
      <c r="O59">
        <v>188.09330441393925</v>
      </c>
      <c r="P59">
        <v>188.09330441393925</v>
      </c>
      <c r="Q59">
        <v>199.12304243495444</v>
      </c>
      <c r="R59">
        <v>199.12304243495444</v>
      </c>
      <c r="S59">
        <v>211.40969187500542</v>
      </c>
      <c r="T59">
        <v>211.40969187500542</v>
      </c>
      <c r="U59">
        <v>222.75365775077955</v>
      </c>
      <c r="V59">
        <v>222.75365775077955</v>
      </c>
      <c r="W59">
        <v>232.52081236982107</v>
      </c>
      <c r="X59">
        <v>232.52081236982107</v>
      </c>
      <c r="Y59">
        <v>232.52081236982107</v>
      </c>
      <c r="Z59">
        <v>232.52081236982107</v>
      </c>
      <c r="AA59">
        <v>232.52081236982107</v>
      </c>
    </row>
    <row r="60" spans="1:27" x14ac:dyDescent="0.2">
      <c r="A60" t="s">
        <v>266</v>
      </c>
      <c r="B60" t="s">
        <v>267</v>
      </c>
      <c r="C60">
        <v>4.5063829634437207</v>
      </c>
      <c r="D60">
        <v>4.9179676922416782</v>
      </c>
      <c r="E60">
        <v>5.1146863999313448</v>
      </c>
      <c r="F60">
        <v>5.4193562119835752</v>
      </c>
      <c r="G60">
        <v>6.6353201418586183</v>
      </c>
      <c r="H60">
        <v>6.9007329475329637</v>
      </c>
      <c r="I60">
        <v>7.2714055499952739</v>
      </c>
      <c r="J60">
        <v>8.6232545692382345</v>
      </c>
      <c r="K60">
        <v>8.9681847520077618</v>
      </c>
      <c r="L60">
        <v>10.804363800720571</v>
      </c>
      <c r="M60">
        <v>11.754127016606722</v>
      </c>
      <c r="N60">
        <v>12.598352543943601</v>
      </c>
      <c r="O60">
        <v>12.598352543943601</v>
      </c>
      <c r="P60">
        <v>12.598352543943601</v>
      </c>
      <c r="Q60">
        <v>13.337116363788484</v>
      </c>
      <c r="R60">
        <v>13.337116363788484</v>
      </c>
      <c r="S60">
        <v>14.160067195089519</v>
      </c>
      <c r="T60">
        <v>14.160067195089519</v>
      </c>
      <c r="U60">
        <v>14.919877767798438</v>
      </c>
      <c r="V60">
        <v>14.919877767798438</v>
      </c>
      <c r="W60">
        <v>15.574074670900817</v>
      </c>
      <c r="X60">
        <v>15.574074670900817</v>
      </c>
      <c r="Y60">
        <v>15.574074670900817</v>
      </c>
      <c r="Z60">
        <v>15.574074670900817</v>
      </c>
      <c r="AA60">
        <v>15.574074670900817</v>
      </c>
    </row>
    <row r="61" spans="1:27" x14ac:dyDescent="0.2">
      <c r="A61" t="s">
        <v>184</v>
      </c>
      <c r="B61" t="s">
        <v>185</v>
      </c>
      <c r="C61">
        <v>26.376555651841432</v>
      </c>
      <c r="D61">
        <v>28.785624653001335</v>
      </c>
      <c r="E61">
        <v>29.937049639121387</v>
      </c>
      <c r="F61">
        <v>31.720329115859556</v>
      </c>
      <c r="G61">
        <v>38.837553845129165</v>
      </c>
      <c r="H61">
        <v>40.391055998934334</v>
      </c>
      <c r="I61">
        <v>42.560660004357892</v>
      </c>
      <c r="J61">
        <v>50.473241153852669</v>
      </c>
      <c r="K61">
        <v>52.492170800006775</v>
      </c>
      <c r="L61">
        <v>63.239610433523296</v>
      </c>
      <c r="M61">
        <v>68.798721259902976</v>
      </c>
      <c r="N61">
        <v>73.740103691255328</v>
      </c>
      <c r="O61">
        <v>73.740103691255328</v>
      </c>
      <c r="P61">
        <v>73.740103691255328</v>
      </c>
      <c r="Q61">
        <v>78.064202456446495</v>
      </c>
      <c r="R61">
        <v>78.064202456446495</v>
      </c>
      <c r="S61">
        <v>82.881060805287987</v>
      </c>
      <c r="T61">
        <v>82.881060805287987</v>
      </c>
      <c r="U61">
        <v>87.328349466391714</v>
      </c>
      <c r="V61">
        <v>87.328349466391714</v>
      </c>
      <c r="W61">
        <v>91.157465003602027</v>
      </c>
      <c r="X61">
        <v>91.157465003602027</v>
      </c>
      <c r="Y61">
        <v>91.157465003602027</v>
      </c>
      <c r="Z61">
        <v>91.157465003602027</v>
      </c>
      <c r="AA61">
        <v>91.157465003602027</v>
      </c>
    </row>
    <row r="62" spans="1:27" x14ac:dyDescent="0.2">
      <c r="A62" t="s">
        <v>230</v>
      </c>
      <c r="B62" t="s">
        <v>231</v>
      </c>
      <c r="C62">
        <v>10.902537796578169</v>
      </c>
      <c r="D62">
        <v>11.89830715275933</v>
      </c>
      <c r="E62">
        <v>12.374239438869703</v>
      </c>
      <c r="F62">
        <v>13.111343712590246</v>
      </c>
      <c r="G62">
        <v>16.053191489905533</v>
      </c>
      <c r="H62">
        <v>16.695319149501753</v>
      </c>
      <c r="I62">
        <v>17.592107569679218</v>
      </c>
      <c r="J62">
        <v>20.862709546280971</v>
      </c>
      <c r="K62">
        <v>21.697217928132208</v>
      </c>
      <c r="L62">
        <v>26.139585929758525</v>
      </c>
      <c r="M62">
        <v>28.437399817969514</v>
      </c>
      <c r="N62">
        <v>30.479880626922494</v>
      </c>
      <c r="O62">
        <v>30.479880626922494</v>
      </c>
      <c r="P62">
        <v>30.479880626922494</v>
      </c>
      <c r="Q62">
        <v>32.267212181728532</v>
      </c>
      <c r="R62">
        <v>32.267212181728532</v>
      </c>
      <c r="S62">
        <v>34.258221959585597</v>
      </c>
      <c r="T62">
        <v>34.258221959585597</v>
      </c>
      <c r="U62">
        <v>36.096473070154389</v>
      </c>
      <c r="V62">
        <v>36.096473070154389</v>
      </c>
      <c r="W62">
        <v>37.679207276354113</v>
      </c>
      <c r="X62">
        <v>37.679207276354113</v>
      </c>
      <c r="Y62">
        <v>37.679207276354113</v>
      </c>
      <c r="Z62">
        <v>37.679207276354113</v>
      </c>
      <c r="AA62">
        <v>37.679207276354113</v>
      </c>
    </row>
    <row r="63" spans="1:27" x14ac:dyDescent="0.2">
      <c r="A63" t="s">
        <v>158</v>
      </c>
      <c r="B63" t="s">
        <v>159</v>
      </c>
      <c r="C63">
        <v>35.139401576906842</v>
      </c>
      <c r="D63">
        <v>38.348813911694606</v>
      </c>
      <c r="E63">
        <v>39.882766468162387</v>
      </c>
      <c r="F63">
        <v>42.258488851482142</v>
      </c>
      <c r="G63">
        <v>51.740205159556538</v>
      </c>
      <c r="H63">
        <v>53.809813365938794</v>
      </c>
      <c r="I63">
        <v>56.700205402554914</v>
      </c>
      <c r="J63">
        <v>67.241512243069124</v>
      </c>
      <c r="K63">
        <v>69.931172732791893</v>
      </c>
      <c r="L63">
        <v>84.249137602452038</v>
      </c>
      <c r="M63">
        <v>91.655101835126544</v>
      </c>
      <c r="N63">
        <v>98.238115322266225</v>
      </c>
      <c r="O63">
        <v>98.238115322266225</v>
      </c>
      <c r="P63">
        <v>98.238115322266225</v>
      </c>
      <c r="Q63">
        <v>103.99877054100976</v>
      </c>
      <c r="R63">
        <v>103.99877054100976</v>
      </c>
      <c r="S63">
        <v>110.41589042933758</v>
      </c>
      <c r="T63">
        <v>110.41589042933758</v>
      </c>
      <c r="U63">
        <v>116.34066181547716</v>
      </c>
      <c r="V63">
        <v>116.34066181547716</v>
      </c>
      <c r="W63">
        <v>121.44188997894335</v>
      </c>
      <c r="X63">
        <v>121.44188997894335</v>
      </c>
      <c r="Y63">
        <v>121.44188997894335</v>
      </c>
      <c r="Z63">
        <v>121.44188997894335</v>
      </c>
      <c r="AA63">
        <v>121.44188997894335</v>
      </c>
    </row>
    <row r="64" spans="1:27" x14ac:dyDescent="0.2">
      <c r="A64" t="s">
        <v>200</v>
      </c>
      <c r="B64" t="s">
        <v>201</v>
      </c>
      <c r="C64">
        <v>21.021162349470593</v>
      </c>
      <c r="D64">
        <v>22.941103347563867</v>
      </c>
      <c r="E64">
        <v>23.858747481466423</v>
      </c>
      <c r="F64">
        <v>25.27995682698516</v>
      </c>
      <c r="G64">
        <v>30.952127920378025</v>
      </c>
      <c r="H64">
        <v>32.190213037193146</v>
      </c>
      <c r="I64">
        <v>33.919309081197916</v>
      </c>
      <c r="J64">
        <v>40.225350519753903</v>
      </c>
      <c r="K64">
        <v>41.834364540544058</v>
      </c>
      <c r="L64">
        <v>50.399685819007232</v>
      </c>
      <c r="M64">
        <v>54.830096398103009</v>
      </c>
      <c r="N64">
        <v>58.768199753649654</v>
      </c>
      <c r="O64">
        <v>58.768199753649654</v>
      </c>
      <c r="P64">
        <v>58.768199753649654</v>
      </c>
      <c r="Q64">
        <v>62.214350318493516</v>
      </c>
      <c r="R64">
        <v>62.214350318493516</v>
      </c>
      <c r="S64">
        <v>66.053212477068442</v>
      </c>
      <c r="T64">
        <v>66.053212477068442</v>
      </c>
      <c r="U64">
        <v>69.597540940345056</v>
      </c>
      <c r="V64">
        <v>69.597540940345056</v>
      </c>
      <c r="W64">
        <v>72.649207747226228</v>
      </c>
      <c r="X64">
        <v>72.649207747226228</v>
      </c>
      <c r="Y64">
        <v>72.649207747226228</v>
      </c>
      <c r="Z64">
        <v>72.649207747226228</v>
      </c>
      <c r="AA64">
        <v>72.649207747226228</v>
      </c>
    </row>
    <row r="65" spans="1:27" x14ac:dyDescent="0.2">
      <c r="A65" t="s">
        <v>66</v>
      </c>
      <c r="B65" t="s">
        <v>67</v>
      </c>
      <c r="C65">
        <v>194.98320616353803</v>
      </c>
      <c r="D65">
        <v>212.79174810948228</v>
      </c>
      <c r="E65">
        <v>221.30341803386156</v>
      </c>
      <c r="F65">
        <v>234.4859409701256</v>
      </c>
      <c r="G65">
        <v>287.09854570202975</v>
      </c>
      <c r="H65">
        <v>298.582487530111</v>
      </c>
      <c r="I65">
        <v>314.62083425993535</v>
      </c>
      <c r="J65">
        <v>373.11294603988853</v>
      </c>
      <c r="K65">
        <v>388.03746388148409</v>
      </c>
      <c r="L65">
        <v>467.48567787320866</v>
      </c>
      <c r="M65">
        <v>508.58024938032173</v>
      </c>
      <c r="N65">
        <v>545.10839210156428</v>
      </c>
      <c r="O65">
        <v>545.10839210156428</v>
      </c>
      <c r="P65">
        <v>545.10839210156428</v>
      </c>
      <c r="Q65">
        <v>577.07339360265712</v>
      </c>
      <c r="R65">
        <v>577.07339360265712</v>
      </c>
      <c r="S65">
        <v>612.68101792214065</v>
      </c>
      <c r="T65">
        <v>612.68101792214065</v>
      </c>
      <c r="U65">
        <v>645.556675127831</v>
      </c>
      <c r="V65">
        <v>645.556675127831</v>
      </c>
      <c r="W65">
        <v>673.8626159819305</v>
      </c>
      <c r="X65">
        <v>673.8626159819305</v>
      </c>
      <c r="Y65">
        <v>673.8626159819305</v>
      </c>
      <c r="Z65">
        <v>673.8626159819305</v>
      </c>
      <c r="AA65">
        <v>673.8626159819305</v>
      </c>
    </row>
    <row r="66" spans="1:27" x14ac:dyDescent="0.2">
      <c r="A66" t="s">
        <v>114</v>
      </c>
      <c r="B66" t="s">
        <v>115</v>
      </c>
      <c r="C66">
        <v>81.702726108680466</v>
      </c>
      <c r="D66">
        <v>89.164940181537972</v>
      </c>
      <c r="E66">
        <v>92.731537788799486</v>
      </c>
      <c r="F66">
        <v>98.25533689988616</v>
      </c>
      <c r="G66">
        <v>120.30130341594436</v>
      </c>
      <c r="H66">
        <v>125.11335555258215</v>
      </c>
      <c r="I66">
        <v>131.83381459049457</v>
      </c>
      <c r="J66">
        <v>156.3434381745256</v>
      </c>
      <c r="K66">
        <v>162.59717570150661</v>
      </c>
      <c r="L66">
        <v>195.8879179931551</v>
      </c>
      <c r="M66">
        <v>213.10754724462601</v>
      </c>
      <c r="N66">
        <v>228.41373129367346</v>
      </c>
      <c r="O66">
        <v>228.41373129367346</v>
      </c>
      <c r="P66">
        <v>228.41373129367346</v>
      </c>
      <c r="Q66">
        <v>241.80784771063759</v>
      </c>
      <c r="R66">
        <v>241.80784771063759</v>
      </c>
      <c r="S66">
        <v>256.72831206445215</v>
      </c>
      <c r="T66">
        <v>256.72831206445215</v>
      </c>
      <c r="U66">
        <v>270.50401546562887</v>
      </c>
      <c r="V66">
        <v>270.50401546562887</v>
      </c>
      <c r="W66">
        <v>282.36489609404197</v>
      </c>
      <c r="X66">
        <v>282.36489609404197</v>
      </c>
      <c r="Y66">
        <v>282.36489609404197</v>
      </c>
      <c r="Z66">
        <v>282.36489609404197</v>
      </c>
      <c r="AA66">
        <v>282.36489609404197</v>
      </c>
    </row>
    <row r="67" spans="1:27" x14ac:dyDescent="0.2">
      <c r="A67" t="s">
        <v>54</v>
      </c>
      <c r="B67" t="s">
        <v>55</v>
      </c>
      <c r="C67">
        <v>213.34235729195987</v>
      </c>
      <c r="D67">
        <v>232.82770884317958</v>
      </c>
      <c r="E67">
        <v>242.14081719690674</v>
      </c>
      <c r="F67">
        <v>256.56457488155098</v>
      </c>
      <c r="G67">
        <v>314.13105631154781</v>
      </c>
      <c r="H67">
        <v>326.69629856400974</v>
      </c>
      <c r="I67">
        <v>344.24477756243533</v>
      </c>
      <c r="J67">
        <v>408.24436632524214</v>
      </c>
      <c r="K67">
        <v>424.57414097825182</v>
      </c>
      <c r="L67">
        <v>511.50300828497984</v>
      </c>
      <c r="M67">
        <v>556.46694610164081</v>
      </c>
      <c r="N67">
        <v>596.43449114811438</v>
      </c>
      <c r="O67">
        <v>596.43449114811438</v>
      </c>
      <c r="P67">
        <v>596.43449114811438</v>
      </c>
      <c r="Q67">
        <v>631.40924053942592</v>
      </c>
      <c r="R67">
        <v>631.40924053942592</v>
      </c>
      <c r="S67">
        <v>670.36959337880648</v>
      </c>
      <c r="T67">
        <v>670.36959337880648</v>
      </c>
      <c r="U67">
        <v>706.34074363213506</v>
      </c>
      <c r="V67">
        <v>706.34074363213506</v>
      </c>
      <c r="W67">
        <v>737.31190400025116</v>
      </c>
      <c r="X67">
        <v>737.31190400025116</v>
      </c>
      <c r="Y67">
        <v>737.31190400025116</v>
      </c>
      <c r="Z67">
        <v>737.31190400025116</v>
      </c>
      <c r="AA67">
        <v>737.31190400025116</v>
      </c>
    </row>
    <row r="68" spans="1:27" x14ac:dyDescent="0.2">
      <c r="A68" t="s">
        <v>68</v>
      </c>
      <c r="B68" t="s">
        <v>69</v>
      </c>
      <c r="C68">
        <v>185.00135278418989</v>
      </c>
      <c r="D68">
        <v>201.8982149085638</v>
      </c>
      <c r="E68">
        <v>209.97414350490632</v>
      </c>
      <c r="F68">
        <v>222.48180826384964</v>
      </c>
      <c r="G68">
        <v>272.40099484619793</v>
      </c>
      <c r="H68">
        <v>283.29703464004592</v>
      </c>
      <c r="I68">
        <v>298.51432386110213</v>
      </c>
      <c r="J68">
        <v>354.01202553198038</v>
      </c>
      <c r="K68">
        <v>368.17250655325955</v>
      </c>
      <c r="L68">
        <v>443.55349630080326</v>
      </c>
      <c r="M68">
        <v>482.54429694712178</v>
      </c>
      <c r="N68">
        <v>517.20243982562135</v>
      </c>
      <c r="O68">
        <v>517.20243982562135</v>
      </c>
      <c r="P68">
        <v>517.20243982562135</v>
      </c>
      <c r="Q68">
        <v>547.53104420035379</v>
      </c>
      <c r="R68">
        <v>547.53104420035379</v>
      </c>
      <c r="S68">
        <v>581.31579314437602</v>
      </c>
      <c r="T68">
        <v>581.31579314437602</v>
      </c>
      <c r="U68">
        <v>612.50843366143079</v>
      </c>
      <c r="V68">
        <v>612.50843366143079</v>
      </c>
      <c r="W68">
        <v>639.36529714661503</v>
      </c>
      <c r="X68">
        <v>639.36529714661503</v>
      </c>
      <c r="Y68">
        <v>639.36529714661503</v>
      </c>
      <c r="Z68">
        <v>639.36529714661503</v>
      </c>
      <c r="AA68">
        <v>639.36529714661503</v>
      </c>
    </row>
    <row r="69" spans="1:27" x14ac:dyDescent="0.2">
      <c r="A69" t="s">
        <v>204</v>
      </c>
      <c r="B69" t="s">
        <v>205</v>
      </c>
      <c r="C69">
        <v>19.257610378970984</v>
      </c>
      <c r="D69">
        <v>21.016479611662309</v>
      </c>
      <c r="E69">
        <v>21.857138796128798</v>
      </c>
      <c r="F69">
        <v>23.159117030631204</v>
      </c>
      <c r="G69">
        <v>28.355426307133826</v>
      </c>
      <c r="H69">
        <v>29.48964335941918</v>
      </c>
      <c r="I69">
        <v>31.07367840799024</v>
      </c>
      <c r="J69">
        <v>36.85068003323174</v>
      </c>
      <c r="K69">
        <v>38.324707234561004</v>
      </c>
      <c r="L69">
        <v>46.171448399923236</v>
      </c>
      <c r="M69">
        <v>50.230173570905336</v>
      </c>
      <c r="N69">
        <v>53.837893200887912</v>
      </c>
      <c r="O69">
        <v>53.837893200887912</v>
      </c>
      <c r="P69">
        <v>53.837893200887912</v>
      </c>
      <c r="Q69">
        <v>56.994931987884634</v>
      </c>
      <c r="R69">
        <v>56.994931987884634</v>
      </c>
      <c r="S69">
        <v>60.511736174037232</v>
      </c>
      <c r="T69">
        <v>60.511736174037232</v>
      </c>
      <c r="U69">
        <v>63.758716310822912</v>
      </c>
      <c r="V69">
        <v>63.758716310822912</v>
      </c>
      <c r="W69">
        <v>66.554366208595383</v>
      </c>
      <c r="X69">
        <v>66.554366208595383</v>
      </c>
      <c r="Y69">
        <v>66.554366208595383</v>
      </c>
      <c r="Z69">
        <v>66.554366208595383</v>
      </c>
      <c r="AA69">
        <v>66.554366208595383</v>
      </c>
    </row>
    <row r="70" spans="1:27" x14ac:dyDescent="0.2">
      <c r="A70" t="s">
        <v>164</v>
      </c>
      <c r="B70" t="s">
        <v>165</v>
      </c>
      <c r="C70">
        <v>31.549130631636967</v>
      </c>
      <c r="D70">
        <v>34.430630158013336</v>
      </c>
      <c r="E70">
        <v>35.807855364333868</v>
      </c>
      <c r="F70">
        <v>37.940844898939837</v>
      </c>
      <c r="G70">
        <v>46.453793127749528</v>
      </c>
      <c r="H70">
        <v>48.311944852859519</v>
      </c>
      <c r="I70">
        <v>50.907019095665447</v>
      </c>
      <c r="J70">
        <v>60.37129713158145</v>
      </c>
      <c r="K70">
        <v>62.786149016844696</v>
      </c>
      <c r="L70">
        <v>75.641215517150755</v>
      </c>
      <c r="M70">
        <v>82.290495884618124</v>
      </c>
      <c r="N70">
        <v>88.200908217652511</v>
      </c>
      <c r="O70">
        <v>88.200908217652511</v>
      </c>
      <c r="P70">
        <v>88.200908217652511</v>
      </c>
      <c r="Q70">
        <v>93.372984458683334</v>
      </c>
      <c r="R70">
        <v>93.372984458683334</v>
      </c>
      <c r="S70">
        <v>99.134452911486491</v>
      </c>
      <c r="T70">
        <v>99.134452911486491</v>
      </c>
      <c r="U70">
        <v>104.45387720546037</v>
      </c>
      <c r="V70">
        <v>104.45387720546037</v>
      </c>
      <c r="W70">
        <v>109.03390152257191</v>
      </c>
      <c r="X70">
        <v>109.03390152257191</v>
      </c>
      <c r="Y70">
        <v>109.03390152257191</v>
      </c>
      <c r="Z70">
        <v>109.03390152257191</v>
      </c>
      <c r="AA70">
        <v>109.03390152257191</v>
      </c>
    </row>
    <row r="71" spans="1:27" x14ac:dyDescent="0.2">
      <c r="A71" t="s">
        <v>156</v>
      </c>
      <c r="B71" t="s">
        <v>157</v>
      </c>
      <c r="C71">
        <v>37.326928950980005</v>
      </c>
      <c r="D71">
        <v>40.736136302813541</v>
      </c>
      <c r="E71">
        <v>42.365581754926083</v>
      </c>
      <c r="F71">
        <v>44.889199592166307</v>
      </c>
      <c r="G71">
        <v>54.961179622624051</v>
      </c>
      <c r="H71">
        <v>57.159626807529023</v>
      </c>
      <c r="I71">
        <v>60.229953943155365</v>
      </c>
      <c r="J71">
        <v>71.427487020808584</v>
      </c>
      <c r="K71">
        <v>74.284586501640902</v>
      </c>
      <c r="L71">
        <v>89.493885278193289</v>
      </c>
      <c r="M71">
        <v>97.360891781463238</v>
      </c>
      <c r="N71">
        <v>104.3537165220898</v>
      </c>
      <c r="O71">
        <v>104.3537165220898</v>
      </c>
      <c r="P71">
        <v>104.3537165220898</v>
      </c>
      <c r="Q71">
        <v>110.47298886059329</v>
      </c>
      <c r="R71">
        <v>110.47298886059329</v>
      </c>
      <c r="S71">
        <v>117.28959265554666</v>
      </c>
      <c r="T71">
        <v>117.28959265554666</v>
      </c>
      <c r="U71">
        <v>123.58319785816261</v>
      </c>
      <c r="V71">
        <v>123.58319785816261</v>
      </c>
      <c r="W71">
        <v>129.00199193761495</v>
      </c>
      <c r="X71">
        <v>129.00199193761495</v>
      </c>
      <c r="Y71">
        <v>129.00199193761495</v>
      </c>
      <c r="Z71">
        <v>129.00199193761495</v>
      </c>
      <c r="AA71">
        <v>129.00199193761495</v>
      </c>
    </row>
    <row r="72" spans="1:27" x14ac:dyDescent="0.2">
      <c r="A72" t="s">
        <v>118</v>
      </c>
      <c r="B72" t="s">
        <v>119</v>
      </c>
      <c r="C72">
        <v>78.429541115877058</v>
      </c>
      <c r="D72">
        <v>85.592803020555095</v>
      </c>
      <c r="E72">
        <v>89.016515141377297</v>
      </c>
      <c r="F72">
        <v>94.319019110737372</v>
      </c>
      <c r="G72">
        <v>115.48177731553041</v>
      </c>
      <c r="H72">
        <v>120.10104840815161</v>
      </c>
      <c r="I72">
        <v>126.55227156232641</v>
      </c>
      <c r="J72">
        <v>150.07998749265448</v>
      </c>
      <c r="K72">
        <v>156.08318699236062</v>
      </c>
      <c r="L72">
        <v>188.04023133709651</v>
      </c>
      <c r="M72">
        <v>204.57000561392951</v>
      </c>
      <c r="N72">
        <v>219.26299137312077</v>
      </c>
      <c r="O72">
        <v>219.26299137312077</v>
      </c>
      <c r="P72">
        <v>219.26299137312077</v>
      </c>
      <c r="Q72">
        <v>232.12051099661255</v>
      </c>
      <c r="R72">
        <v>232.12051099661255</v>
      </c>
      <c r="S72">
        <v>246.44322981200287</v>
      </c>
      <c r="T72">
        <v>246.44322981200287</v>
      </c>
      <c r="U72">
        <v>259.66704923346919</v>
      </c>
      <c r="V72">
        <v>259.66704923346919</v>
      </c>
      <c r="W72">
        <v>271.05275775535176</v>
      </c>
      <c r="X72">
        <v>271.05275775535176</v>
      </c>
      <c r="Y72">
        <v>271.05275775535176</v>
      </c>
      <c r="Z72">
        <v>271.05275775535176</v>
      </c>
      <c r="AA72">
        <v>271.05275775535176</v>
      </c>
    </row>
    <row r="73" spans="1:27" x14ac:dyDescent="0.2">
      <c r="A73" t="s">
        <v>276</v>
      </c>
      <c r="B73" t="s">
        <v>277</v>
      </c>
      <c r="C73">
        <v>2.9653706716752999</v>
      </c>
      <c r="D73">
        <v>3.2362090122219729</v>
      </c>
      <c r="E73">
        <v>3.3656573727108516</v>
      </c>
      <c r="F73">
        <v>3.5661416485776538</v>
      </c>
      <c r="G73">
        <v>4.3662919697369986</v>
      </c>
      <c r="H73">
        <v>4.54094364852648</v>
      </c>
      <c r="I73">
        <v>4.7848602603750452</v>
      </c>
      <c r="J73">
        <v>5.6744281170608586</v>
      </c>
      <c r="K73">
        <v>5.9014052417432916</v>
      </c>
      <c r="L73">
        <v>7.1096806020860921</v>
      </c>
      <c r="M73">
        <v>7.7346607709425239</v>
      </c>
      <c r="N73">
        <v>8.2901931434356282</v>
      </c>
      <c r="O73">
        <v>8.2901931434356282</v>
      </c>
      <c r="P73">
        <v>8.2901931434356282</v>
      </c>
      <c r="Q73">
        <v>8.7763277179789139</v>
      </c>
      <c r="R73">
        <v>8.7763277179789139</v>
      </c>
      <c r="S73">
        <v>9.3178605346896379</v>
      </c>
      <c r="T73">
        <v>9.3178605346896379</v>
      </c>
      <c r="U73">
        <v>9.8178446697747841</v>
      </c>
      <c r="V73">
        <v>9.8178446697747841</v>
      </c>
      <c r="W73">
        <v>10.248331010083094</v>
      </c>
      <c r="X73">
        <v>10.248331010083094</v>
      </c>
      <c r="Y73">
        <v>10.248331010083094</v>
      </c>
      <c r="Z73">
        <v>10.248331010083094</v>
      </c>
      <c r="AA73">
        <v>10.248331010083094</v>
      </c>
    </row>
    <row r="74" spans="1:27" x14ac:dyDescent="0.2">
      <c r="A74" t="s">
        <v>202</v>
      </c>
      <c r="B74" t="s">
        <v>203</v>
      </c>
      <c r="C74">
        <v>19.34526963139011</v>
      </c>
      <c r="D74">
        <v>21.112145109872401</v>
      </c>
      <c r="E74">
        <v>21.956630914267294</v>
      </c>
      <c r="F74">
        <v>23.26453565971558</v>
      </c>
      <c r="G74">
        <v>28.484498160972095</v>
      </c>
      <c r="H74">
        <v>29.623878087410983</v>
      </c>
      <c r="I74">
        <v>31.215123549186533</v>
      </c>
      <c r="J74">
        <v>37.018421668838656</v>
      </c>
      <c r="K74">
        <v>38.499158535592208</v>
      </c>
      <c r="L74">
        <v>46.381617500356647</v>
      </c>
      <c r="M74">
        <v>50.458817695355826</v>
      </c>
      <c r="N74">
        <v>54.082959404686697</v>
      </c>
      <c r="O74">
        <v>54.082959404686697</v>
      </c>
      <c r="P74">
        <v>54.082959404686697</v>
      </c>
      <c r="Q74">
        <v>57.254368804364866</v>
      </c>
      <c r="R74">
        <v>57.254368804364866</v>
      </c>
      <c r="S74">
        <v>60.787181229327778</v>
      </c>
      <c r="T74">
        <v>60.787181229327778</v>
      </c>
      <c r="U74">
        <v>64.048941385327112</v>
      </c>
      <c r="V74">
        <v>64.048941385327112</v>
      </c>
      <c r="W74">
        <v>66.857316879642553</v>
      </c>
      <c r="X74">
        <v>66.857316879642553</v>
      </c>
      <c r="Y74">
        <v>66.857316879642553</v>
      </c>
      <c r="Z74">
        <v>66.857316879642553</v>
      </c>
      <c r="AA74">
        <v>66.857316879642553</v>
      </c>
    </row>
    <row r="75" spans="1:27" x14ac:dyDescent="0.2">
      <c r="A75" t="s">
        <v>300</v>
      </c>
      <c r="B75" t="s">
        <v>301</v>
      </c>
      <c r="C75">
        <v>0.27840421435620122</v>
      </c>
      <c r="D75">
        <v>0.30383190747317496</v>
      </c>
      <c r="E75">
        <v>0.31598518377210194</v>
      </c>
      <c r="F75">
        <v>0.33480767630115088</v>
      </c>
      <c r="G75">
        <v>0.40992989412607367</v>
      </c>
      <c r="H75">
        <v>0.42632708989111667</v>
      </c>
      <c r="I75">
        <v>0.44922723297905037</v>
      </c>
      <c r="J75">
        <v>0.53274442785210385</v>
      </c>
      <c r="K75">
        <v>0.55405420496618796</v>
      </c>
      <c r="L75">
        <v>0.66749329561186055</v>
      </c>
      <c r="M75">
        <v>0.72616964071794488</v>
      </c>
      <c r="N75">
        <v>0.778325870355841</v>
      </c>
      <c r="O75">
        <v>0.778325870355841</v>
      </c>
      <c r="P75">
        <v>0.778325870355841</v>
      </c>
      <c r="Q75">
        <v>0.82396667863315753</v>
      </c>
      <c r="R75">
        <v>0.82396667863315753</v>
      </c>
      <c r="S75">
        <v>0.87480855814067771</v>
      </c>
      <c r="T75">
        <v>0.87480855814067771</v>
      </c>
      <c r="U75">
        <v>0.92174963422554512</v>
      </c>
      <c r="V75">
        <v>0.92174963422554512</v>
      </c>
      <c r="W75">
        <v>0.96216590073461605</v>
      </c>
      <c r="X75">
        <v>0.96216590073461605</v>
      </c>
      <c r="Y75">
        <v>0.96216590073461605</v>
      </c>
      <c r="Z75">
        <v>0.96216590073461605</v>
      </c>
      <c r="AA75">
        <v>0.96216590073461605</v>
      </c>
    </row>
    <row r="76" spans="1:27" x14ac:dyDescent="0.2">
      <c r="A76" t="s">
        <v>30</v>
      </c>
      <c r="B76" t="s">
        <v>31</v>
      </c>
      <c r="C76">
        <v>443.61633009901516</v>
      </c>
      <c r="D76">
        <v>484.13346066588082</v>
      </c>
      <c r="E76">
        <v>503.49879909251609</v>
      </c>
      <c r="F76">
        <v>533.49103566250392</v>
      </c>
      <c r="G76">
        <v>653.19268119058916</v>
      </c>
      <c r="H76">
        <v>679.32038843821294</v>
      </c>
      <c r="I76">
        <v>715.81005673904474</v>
      </c>
      <c r="J76">
        <v>848.88847142979932</v>
      </c>
      <c r="K76">
        <v>882.84401028699108</v>
      </c>
      <c r="L76">
        <v>1063.6007319421346</v>
      </c>
      <c r="M76">
        <v>1157.0971071309127</v>
      </c>
      <c r="N76">
        <v>1240.2041651087141</v>
      </c>
      <c r="O76">
        <v>1240.2041651087141</v>
      </c>
      <c r="P76">
        <v>1240.2041651087141</v>
      </c>
      <c r="Q76">
        <v>1312.9293855855533</v>
      </c>
      <c r="R76">
        <v>1312.9293855855533</v>
      </c>
      <c r="S76">
        <v>1393.9421247591263</v>
      </c>
      <c r="T76">
        <v>1393.9421247591263</v>
      </c>
      <c r="U76">
        <v>1468.7392249101486</v>
      </c>
      <c r="V76">
        <v>1468.7392249101486</v>
      </c>
      <c r="W76">
        <v>1533.1395281401792</v>
      </c>
      <c r="X76">
        <v>1533.1395281401792</v>
      </c>
      <c r="Y76">
        <v>1533.1395281401792</v>
      </c>
      <c r="Z76">
        <v>1533.1395281401792</v>
      </c>
      <c r="AA76">
        <v>1533.1395281401792</v>
      </c>
    </row>
    <row r="77" spans="1:27" x14ac:dyDescent="0.2">
      <c r="A77" t="s">
        <v>234</v>
      </c>
      <c r="B77" t="s">
        <v>235</v>
      </c>
      <c r="C77">
        <v>10.220650923653148</v>
      </c>
      <c r="D77">
        <v>11.154141013748751</v>
      </c>
      <c r="E77">
        <v>11.600306654298702</v>
      </c>
      <c r="F77">
        <v>12.29130957642524</v>
      </c>
      <c r="G77">
        <v>15.049162817888099</v>
      </c>
      <c r="H77">
        <v>15.651129330603624</v>
      </c>
      <c r="I77">
        <v>16.491829135183526</v>
      </c>
      <c r="J77">
        <v>19.557875017046737</v>
      </c>
      <c r="K77">
        <v>20.340190017728606</v>
      </c>
      <c r="L77">
        <v>24.504715146298164</v>
      </c>
      <c r="M77">
        <v>26.658814868502073</v>
      </c>
      <c r="N77">
        <v>28.573551029574688</v>
      </c>
      <c r="O77">
        <v>28.573551029574688</v>
      </c>
      <c r="P77">
        <v>28.573551029574688</v>
      </c>
      <c r="Q77">
        <v>30.249095957493775</v>
      </c>
      <c r="R77">
        <v>30.249095957493775</v>
      </c>
      <c r="S77">
        <v>32.115580284789033</v>
      </c>
      <c r="T77">
        <v>32.115580284789033</v>
      </c>
      <c r="U77">
        <v>33.838860062552158</v>
      </c>
      <c r="V77">
        <v>33.838860062552158</v>
      </c>
      <c r="W77">
        <v>35.322603951206212</v>
      </c>
      <c r="X77">
        <v>35.322603951206212</v>
      </c>
      <c r="Y77">
        <v>35.322603951206212</v>
      </c>
      <c r="Z77">
        <v>35.322603951206212</v>
      </c>
      <c r="AA77">
        <v>35.322603951206212</v>
      </c>
    </row>
    <row r="78" spans="1:27" x14ac:dyDescent="0.2">
      <c r="A78" t="s">
        <v>78</v>
      </c>
      <c r="B78" t="s">
        <v>79</v>
      </c>
      <c r="C78">
        <v>130.58850061479288</v>
      </c>
      <c r="D78">
        <v>142.51563442602975</v>
      </c>
      <c r="E78">
        <v>148.21625980307095</v>
      </c>
      <c r="F78">
        <v>157.04515301104794</v>
      </c>
      <c r="G78">
        <v>192.28203982075377</v>
      </c>
      <c r="H78">
        <v>199.9733214135839</v>
      </c>
      <c r="I78">
        <v>210.71488061243755</v>
      </c>
      <c r="J78">
        <v>249.88952198504072</v>
      </c>
      <c r="K78">
        <v>259.88510286444233</v>
      </c>
      <c r="L78">
        <v>313.09493229457644</v>
      </c>
      <c r="M78">
        <v>340.61770506106927</v>
      </c>
      <c r="N78">
        <v>365.08214731774939</v>
      </c>
      <c r="O78">
        <v>365.08214731774939</v>
      </c>
      <c r="P78">
        <v>365.08214731774939</v>
      </c>
      <c r="Q78">
        <v>386.49046088643814</v>
      </c>
      <c r="R78">
        <v>386.49046088643814</v>
      </c>
      <c r="S78">
        <v>410.33839303314903</v>
      </c>
      <c r="T78">
        <v>410.33839303314903</v>
      </c>
      <c r="U78">
        <v>432.35661124634322</v>
      </c>
      <c r="V78">
        <v>432.35661124634322</v>
      </c>
      <c r="W78">
        <v>451.3142971279035</v>
      </c>
      <c r="X78">
        <v>451.3142971279035</v>
      </c>
      <c r="Y78">
        <v>451.3142971279035</v>
      </c>
      <c r="Z78">
        <v>451.3142971279035</v>
      </c>
      <c r="AA78">
        <v>451.3142971279035</v>
      </c>
    </row>
    <row r="79" spans="1:27" x14ac:dyDescent="0.2">
      <c r="A79" t="s">
        <v>32</v>
      </c>
      <c r="B79" t="s">
        <v>33</v>
      </c>
      <c r="C79">
        <v>418.13612381494175</v>
      </c>
      <c r="D79">
        <v>456.32605230461593</v>
      </c>
      <c r="E79">
        <v>474.57909439680054</v>
      </c>
      <c r="F79">
        <v>502.84865233015341</v>
      </c>
      <c r="G79">
        <v>615.67493639461111</v>
      </c>
      <c r="H79">
        <v>640.30193385039559</v>
      </c>
      <c r="I79">
        <v>674.6957273773321</v>
      </c>
      <c r="J79">
        <v>800.1304526269854</v>
      </c>
      <c r="K79">
        <v>832.1356707320648</v>
      </c>
      <c r="L79">
        <v>1002.5101809073516</v>
      </c>
      <c r="M79">
        <v>1090.6363594532527</v>
      </c>
      <c r="N79">
        <v>1168.9699570391331</v>
      </c>
      <c r="O79">
        <v>1168.9699570391331</v>
      </c>
      <c r="P79">
        <v>1168.9699570391331</v>
      </c>
      <c r="Q79">
        <v>1237.5180237592767</v>
      </c>
      <c r="R79">
        <v>1237.5180237592767</v>
      </c>
      <c r="S79">
        <v>1313.8775949457297</v>
      </c>
      <c r="T79">
        <v>1313.8775949457297</v>
      </c>
      <c r="U79">
        <v>1384.3785377824504</v>
      </c>
      <c r="V79">
        <v>1384.3785377824504</v>
      </c>
      <c r="W79">
        <v>1445.0798495648671</v>
      </c>
      <c r="X79">
        <v>1445.0798495648671</v>
      </c>
      <c r="Y79">
        <v>1445.0798495648671</v>
      </c>
      <c r="Z79">
        <v>1445.0798495648671</v>
      </c>
      <c r="AA79">
        <v>1445.0798495648671</v>
      </c>
    </row>
    <row r="80" spans="1:27" x14ac:dyDescent="0.2">
      <c r="A80" t="s">
        <v>190</v>
      </c>
      <c r="B80" t="s">
        <v>191</v>
      </c>
      <c r="C80">
        <v>23.95884127749795</v>
      </c>
      <c r="D80">
        <v>26.147091426121928</v>
      </c>
      <c r="E80">
        <v>27.192975083166807</v>
      </c>
      <c r="F80">
        <v>28.812796507182288</v>
      </c>
      <c r="G80">
        <v>35.277645817897699</v>
      </c>
      <c r="H80">
        <v>36.688751650613611</v>
      </c>
      <c r="I80">
        <v>38.659486521651942</v>
      </c>
      <c r="J80">
        <v>45.846788698569512</v>
      </c>
      <c r="K80">
        <v>47.680660246512289</v>
      </c>
      <c r="L80">
        <v>57.44297355677714</v>
      </c>
      <c r="M80">
        <v>62.49252800548139</v>
      </c>
      <c r="N80">
        <v>66.980975963845623</v>
      </c>
      <c r="O80">
        <v>66.980975963845623</v>
      </c>
      <c r="P80">
        <v>66.980975963845623</v>
      </c>
      <c r="Q80">
        <v>70.908721396225744</v>
      </c>
      <c r="R80">
        <v>70.908721396225744</v>
      </c>
      <c r="S80">
        <v>75.284059334939016</v>
      </c>
      <c r="T80">
        <v>75.284059334939016</v>
      </c>
      <c r="U80">
        <v>79.323702893902407</v>
      </c>
      <c r="V80">
        <v>79.323702893902407</v>
      </c>
      <c r="W80">
        <v>82.801835998169892</v>
      </c>
      <c r="X80">
        <v>82.801835998169892</v>
      </c>
      <c r="Y80">
        <v>82.801835998169892</v>
      </c>
      <c r="Z80">
        <v>82.801835998169892</v>
      </c>
      <c r="AA80">
        <v>82.801835998169892</v>
      </c>
    </row>
    <row r="81" spans="1:27" x14ac:dyDescent="0.2">
      <c r="A81" t="s">
        <v>64</v>
      </c>
      <c r="B81" t="s">
        <v>65</v>
      </c>
      <c r="C81">
        <v>195.07444866120053</v>
      </c>
      <c r="D81">
        <v>212.89132412406062</v>
      </c>
      <c r="E81">
        <v>221.40697708902303</v>
      </c>
      <c r="F81">
        <v>234.59566879408447</v>
      </c>
      <c r="G81">
        <v>287.23289362306639</v>
      </c>
      <c r="H81">
        <v>298.72220936798902</v>
      </c>
      <c r="I81">
        <v>314.76806125091247</v>
      </c>
      <c r="J81">
        <v>373.28754444647302</v>
      </c>
      <c r="K81">
        <v>388.21904622433192</v>
      </c>
      <c r="L81">
        <v>467.70443805112268</v>
      </c>
      <c r="M81">
        <v>508.81823978538432</v>
      </c>
      <c r="N81">
        <v>545.36347587093474</v>
      </c>
      <c r="O81">
        <v>545.36347587093474</v>
      </c>
      <c r="P81">
        <v>545.36347587093474</v>
      </c>
      <c r="Q81">
        <v>577.34343541191276</v>
      </c>
      <c r="R81">
        <v>577.34343541191276</v>
      </c>
      <c r="S81">
        <v>612.96772233861589</v>
      </c>
      <c r="T81">
        <v>612.96772233861589</v>
      </c>
      <c r="U81">
        <v>645.85876372602513</v>
      </c>
      <c r="V81">
        <v>645.85876372602513</v>
      </c>
      <c r="W81">
        <v>674.17795036058453</v>
      </c>
      <c r="X81">
        <v>674.17795036058453</v>
      </c>
      <c r="Y81">
        <v>674.17795036058453</v>
      </c>
      <c r="Z81">
        <v>674.17795036058453</v>
      </c>
      <c r="AA81">
        <v>674.17795036058453</v>
      </c>
    </row>
    <row r="82" spans="1:27" x14ac:dyDescent="0.2">
      <c r="A82" t="s">
        <v>244</v>
      </c>
      <c r="B82" t="s">
        <v>245</v>
      </c>
      <c r="C82">
        <v>8.8443790032443719</v>
      </c>
      <c r="D82">
        <v>9.652169056368237</v>
      </c>
      <c r="E82">
        <v>10.038255818622968</v>
      </c>
      <c r="F82">
        <v>10.636211054672849</v>
      </c>
      <c r="G82">
        <v>13.022702823643796</v>
      </c>
      <c r="H82">
        <v>13.543610936589548</v>
      </c>
      <c r="I82">
        <v>14.271105472426848</v>
      </c>
      <c r="J82">
        <v>16.92428989513115</v>
      </c>
      <c r="K82">
        <v>17.601261490936395</v>
      </c>
      <c r="L82">
        <v>21.205008344315786</v>
      </c>
      <c r="M82">
        <v>23.069045624941861</v>
      </c>
      <c r="N82">
        <v>24.725951082944764</v>
      </c>
      <c r="O82">
        <v>24.725951082944764</v>
      </c>
      <c r="P82">
        <v>24.725951082944764</v>
      </c>
      <c r="Q82">
        <v>26.175873841306956</v>
      </c>
      <c r="R82">
        <v>26.175873841306956</v>
      </c>
      <c r="S82">
        <v>27.791024864223843</v>
      </c>
      <c r="T82">
        <v>27.791024864223843</v>
      </c>
      <c r="U82">
        <v>29.282254688724706</v>
      </c>
      <c r="V82">
        <v>29.282254688724706</v>
      </c>
      <c r="W82">
        <v>30.566203567619944</v>
      </c>
      <c r="X82">
        <v>30.566203567619944</v>
      </c>
      <c r="Y82">
        <v>30.566203567619944</v>
      </c>
      <c r="Z82">
        <v>30.566203567619944</v>
      </c>
      <c r="AA82">
        <v>30.566203567619944</v>
      </c>
    </row>
    <row r="83" spans="1:27" x14ac:dyDescent="0.2">
      <c r="A83" t="s">
        <v>92</v>
      </c>
      <c r="B83" t="s">
        <v>93</v>
      </c>
      <c r="C83">
        <v>106.10991121250831</v>
      </c>
      <c r="D83">
        <v>115.80132434438315</v>
      </c>
      <c r="E83">
        <v>120.43337731815846</v>
      </c>
      <c r="F83">
        <v>127.60730970877995</v>
      </c>
      <c r="G83">
        <v>156.23910280832905</v>
      </c>
      <c r="H83">
        <v>162.48866692066221</v>
      </c>
      <c r="I83">
        <v>171.2167393581916</v>
      </c>
      <c r="J83">
        <v>203.0481617135984</v>
      </c>
      <c r="K83">
        <v>211.17008818214236</v>
      </c>
      <c r="L83">
        <v>254.40582677997611</v>
      </c>
      <c r="M83">
        <v>276.76950322028722</v>
      </c>
      <c r="N83">
        <v>296.64812793455093</v>
      </c>
      <c r="O83">
        <v>296.64812793455093</v>
      </c>
      <c r="P83">
        <v>296.64812793455093</v>
      </c>
      <c r="Q83">
        <v>314.04349001688252</v>
      </c>
      <c r="R83">
        <v>314.04349001688252</v>
      </c>
      <c r="S83">
        <v>333.42116837888341</v>
      </c>
      <c r="T83">
        <v>333.42116837888341</v>
      </c>
      <c r="U83">
        <v>351.31210953113219</v>
      </c>
      <c r="V83">
        <v>351.31210953113219</v>
      </c>
      <c r="W83">
        <v>366.71620986321852</v>
      </c>
      <c r="X83">
        <v>366.71620986321852</v>
      </c>
      <c r="Y83">
        <v>366.71620986321852</v>
      </c>
      <c r="Z83">
        <v>366.71620986321852</v>
      </c>
      <c r="AA83">
        <v>366.71620986321852</v>
      </c>
    </row>
    <row r="84" spans="1:27" x14ac:dyDescent="0.2">
      <c r="A84" t="s">
        <v>246</v>
      </c>
      <c r="B84" t="s">
        <v>247</v>
      </c>
      <c r="C84">
        <v>8.8247040567477129</v>
      </c>
      <c r="D84">
        <v>9.6306971237779351</v>
      </c>
      <c r="E84">
        <v>10.015925008729051</v>
      </c>
      <c r="F84">
        <v>10.612550051073715</v>
      </c>
      <c r="G84">
        <v>12.993732900350922</v>
      </c>
      <c r="H84">
        <v>13.513482216364961</v>
      </c>
      <c r="I84">
        <v>14.239358389164678</v>
      </c>
      <c r="J84">
        <v>16.886640615508632</v>
      </c>
      <c r="K84">
        <v>17.56210624012898</v>
      </c>
      <c r="L84">
        <v>21.157836303804789</v>
      </c>
      <c r="M84">
        <v>23.017726901690263</v>
      </c>
      <c r="N84">
        <v>24.670946456338704</v>
      </c>
      <c r="O84">
        <v>24.670946456338704</v>
      </c>
      <c r="P84">
        <v>24.670946456338704</v>
      </c>
      <c r="Q84">
        <v>26.117643758997943</v>
      </c>
      <c r="R84">
        <v>26.117643758997943</v>
      </c>
      <c r="S84">
        <v>27.729201764253755</v>
      </c>
      <c r="T84">
        <v>27.729201764253755</v>
      </c>
      <c r="U84">
        <v>29.217114242562133</v>
      </c>
      <c r="V84">
        <v>29.217114242562133</v>
      </c>
      <c r="W84">
        <v>30.498206886385649</v>
      </c>
      <c r="X84">
        <v>30.498206886385649</v>
      </c>
      <c r="Y84">
        <v>30.498206886385649</v>
      </c>
      <c r="Z84">
        <v>30.498206886385649</v>
      </c>
      <c r="AA84">
        <v>30.498206886385649</v>
      </c>
    </row>
    <row r="85" spans="1:27" x14ac:dyDescent="0.2">
      <c r="A85" t="s">
        <v>162</v>
      </c>
      <c r="B85" t="s">
        <v>163</v>
      </c>
      <c r="C85">
        <v>32.142951595053383</v>
      </c>
      <c r="D85">
        <v>35.078687000218785</v>
      </c>
      <c r="E85">
        <v>36.481834480227533</v>
      </c>
      <c r="F85">
        <v>38.654971362004041</v>
      </c>
      <c r="G85">
        <v>47.328151173032886</v>
      </c>
      <c r="H85">
        <v>49.221277219954203</v>
      </c>
      <c r="I85">
        <v>51.865196215567835</v>
      </c>
      <c r="J85">
        <v>61.507611860629005</v>
      </c>
      <c r="K85">
        <v>63.967916335054156</v>
      </c>
      <c r="L85">
        <v>77.06494221177293</v>
      </c>
      <c r="M85">
        <v>83.839376014367772</v>
      </c>
      <c r="N85">
        <v>89.861034732818297</v>
      </c>
      <c r="O85">
        <v>89.861034732818297</v>
      </c>
      <c r="P85">
        <v>89.861034732818297</v>
      </c>
      <c r="Q85">
        <v>95.130460321828679</v>
      </c>
      <c r="R85">
        <v>95.130460321828679</v>
      </c>
      <c r="S85">
        <v>101.00037172310111</v>
      </c>
      <c r="T85">
        <v>101.00037172310111</v>
      </c>
      <c r="U85">
        <v>106.41991876517699</v>
      </c>
      <c r="V85">
        <v>106.41991876517699</v>
      </c>
      <c r="W85">
        <v>111.08614876840433</v>
      </c>
      <c r="X85">
        <v>111.08614876840433</v>
      </c>
      <c r="Y85">
        <v>111.08614876840433</v>
      </c>
      <c r="Z85">
        <v>111.08614876840433</v>
      </c>
      <c r="AA85">
        <v>111.08614876840433</v>
      </c>
    </row>
    <row r="86" spans="1:27" x14ac:dyDescent="0.2">
      <c r="A86" t="s">
        <v>138</v>
      </c>
      <c r="B86" t="s">
        <v>139</v>
      </c>
      <c r="C86">
        <v>59.643047998106482</v>
      </c>
      <c r="D86">
        <v>65.090469563055947</v>
      </c>
      <c r="E86">
        <v>67.694088345578194</v>
      </c>
      <c r="F86">
        <v>71.726465613825027</v>
      </c>
      <c r="G86">
        <v>87.820036804250805</v>
      </c>
      <c r="H86">
        <v>91.33283827642083</v>
      </c>
      <c r="I86">
        <v>96.238778139851334</v>
      </c>
      <c r="J86">
        <v>114.13082073697802</v>
      </c>
      <c r="K86">
        <v>118.69605356645714</v>
      </c>
      <c r="L86">
        <v>142.99831904719767</v>
      </c>
      <c r="M86">
        <v>155.56866061192008</v>
      </c>
      <c r="N86">
        <v>166.74218582197054</v>
      </c>
      <c r="O86">
        <v>166.74218582197054</v>
      </c>
      <c r="P86">
        <v>166.74218582197054</v>
      </c>
      <c r="Q86">
        <v>176.51990030467422</v>
      </c>
      <c r="R86">
        <v>176.51990030467422</v>
      </c>
      <c r="S86">
        <v>187.41184986367495</v>
      </c>
      <c r="T86">
        <v>187.41184986367495</v>
      </c>
      <c r="U86">
        <v>197.46812311545287</v>
      </c>
      <c r="V86">
        <v>197.46812311545287</v>
      </c>
      <c r="W86">
        <v>206.12657438523368</v>
      </c>
      <c r="X86">
        <v>206.12657438523368</v>
      </c>
      <c r="Y86">
        <v>206.12657438523368</v>
      </c>
      <c r="Z86">
        <v>206.12657438523368</v>
      </c>
      <c r="AA86">
        <v>206.12657438523368</v>
      </c>
    </row>
    <row r="87" spans="1:27" x14ac:dyDescent="0.2">
      <c r="A87" t="s">
        <v>256</v>
      </c>
      <c r="B87" t="s">
        <v>257</v>
      </c>
      <c r="C87">
        <v>7.3054425577403821</v>
      </c>
      <c r="D87">
        <v>7.9726758173785877</v>
      </c>
      <c r="E87">
        <v>8.2915828500737305</v>
      </c>
      <c r="F87">
        <v>8.7854928947993205</v>
      </c>
      <c r="G87">
        <v>10.756731183699204</v>
      </c>
      <c r="H87">
        <v>11.187000431047172</v>
      </c>
      <c r="I87">
        <v>11.787909725038286</v>
      </c>
      <c r="J87">
        <v>13.979435708722129</v>
      </c>
      <c r="K87">
        <v>14.538613137071012</v>
      </c>
      <c r="L87">
        <v>17.515302130197981</v>
      </c>
      <c r="M87">
        <v>19.054993868205255</v>
      </c>
      <c r="N87">
        <v>20.423595060285162</v>
      </c>
      <c r="O87">
        <v>20.423595060285162</v>
      </c>
      <c r="P87">
        <v>20.423595060285162</v>
      </c>
      <c r="Q87">
        <v>21.621228881776744</v>
      </c>
      <c r="R87">
        <v>21.621228881776744</v>
      </c>
      <c r="S87">
        <v>22.955340978925296</v>
      </c>
      <c r="T87">
        <v>22.955340978925296</v>
      </c>
      <c r="U87">
        <v>24.187094369331113</v>
      </c>
      <c r="V87">
        <v>24.187094369331113</v>
      </c>
      <c r="W87">
        <v>25.247634038470526</v>
      </c>
      <c r="X87">
        <v>25.247634038470526</v>
      </c>
      <c r="Y87">
        <v>25.247634038470526</v>
      </c>
      <c r="Z87">
        <v>25.247634038470526</v>
      </c>
      <c r="AA87">
        <v>25.247634038470526</v>
      </c>
    </row>
    <row r="88" spans="1:27" x14ac:dyDescent="0.2">
      <c r="A88" t="s">
        <v>218</v>
      </c>
      <c r="B88" t="s">
        <v>219</v>
      </c>
      <c r="C88">
        <v>14.899465825892694</v>
      </c>
      <c r="D88">
        <v>16.260289495547742</v>
      </c>
      <c r="E88">
        <v>16.910701075369651</v>
      </c>
      <c r="F88">
        <v>17.918031675027429</v>
      </c>
      <c r="G88">
        <v>21.938376409520757</v>
      </c>
      <c r="H88">
        <v>22.815911465901586</v>
      </c>
      <c r="I88">
        <v>24.041467264816962</v>
      </c>
      <c r="J88">
        <v>28.511089227124597</v>
      </c>
      <c r="K88">
        <v>29.65153279620958</v>
      </c>
      <c r="L88">
        <v>35.722496406814471</v>
      </c>
      <c r="M88">
        <v>38.862701021597509</v>
      </c>
      <c r="N88">
        <v>41.653966099585851</v>
      </c>
      <c r="O88">
        <v>41.653966099585851</v>
      </c>
      <c r="P88">
        <v>41.653966099585851</v>
      </c>
      <c r="Q88">
        <v>44.096542857148691</v>
      </c>
      <c r="R88">
        <v>44.096542857148691</v>
      </c>
      <c r="S88">
        <v>46.817467351765913</v>
      </c>
      <c r="T88">
        <v>46.817467351765913</v>
      </c>
      <c r="U88">
        <v>49.329631043592336</v>
      </c>
      <c r="V88">
        <v>49.329631043592336</v>
      </c>
      <c r="W88">
        <v>51.492603982254892</v>
      </c>
      <c r="X88">
        <v>51.492603982254892</v>
      </c>
      <c r="Y88">
        <v>51.492603982254892</v>
      </c>
      <c r="Z88">
        <v>51.492603982254892</v>
      </c>
      <c r="AA88">
        <v>51.492603982254892</v>
      </c>
    </row>
    <row r="89" spans="1:27" x14ac:dyDescent="0.2">
      <c r="A89" t="s">
        <v>142</v>
      </c>
      <c r="B89" t="s">
        <v>143</v>
      </c>
      <c r="C89">
        <v>54.774157445624446</v>
      </c>
      <c r="D89">
        <v>59.776885114416707</v>
      </c>
      <c r="E89">
        <v>62.167960518993375</v>
      </c>
      <c r="F89">
        <v>65.8711593792884</v>
      </c>
      <c r="G89">
        <v>80.650950684969686</v>
      </c>
      <c r="H89">
        <v>83.876988712368487</v>
      </c>
      <c r="I89">
        <v>88.382437905824176</v>
      </c>
      <c r="J89">
        <v>104.81388450576905</v>
      </c>
      <c r="K89">
        <v>109.00643988599981</v>
      </c>
      <c r="L89">
        <v>131.32481831242944</v>
      </c>
      <c r="M89">
        <v>142.86899472731088</v>
      </c>
      <c r="N89">
        <v>153.13038225897068</v>
      </c>
      <c r="O89">
        <v>153.13038225897068</v>
      </c>
      <c r="P89">
        <v>153.13038225897068</v>
      </c>
      <c r="Q89">
        <v>162.10990444152208</v>
      </c>
      <c r="R89">
        <v>162.10990444152208</v>
      </c>
      <c r="S89">
        <v>172.11270242148859</v>
      </c>
      <c r="T89">
        <v>172.11270242148859</v>
      </c>
      <c r="U89">
        <v>181.34804355339375</v>
      </c>
      <c r="V89">
        <v>181.34804355339375</v>
      </c>
      <c r="W89">
        <v>189.29967226796407</v>
      </c>
      <c r="X89">
        <v>189.29967226796407</v>
      </c>
      <c r="Y89">
        <v>189.29967226796407</v>
      </c>
      <c r="Z89">
        <v>189.29967226796407</v>
      </c>
      <c r="AA89">
        <v>189.29967226796407</v>
      </c>
    </row>
    <row r="90" spans="1:27" x14ac:dyDescent="0.2">
      <c r="A90" t="s">
        <v>290</v>
      </c>
      <c r="B90" t="s">
        <v>291</v>
      </c>
      <c r="C90">
        <v>1.3779532415377824</v>
      </c>
      <c r="D90">
        <v>1.5038068398261066</v>
      </c>
      <c r="E90">
        <v>1.5639591134191511</v>
      </c>
      <c r="F90">
        <v>1.6571204711026215</v>
      </c>
      <c r="G90">
        <v>2.0289356169427584</v>
      </c>
      <c r="H90">
        <v>2.1100930416204688</v>
      </c>
      <c r="I90">
        <v>2.2234366074593259</v>
      </c>
      <c r="J90">
        <v>2.6368024383810709</v>
      </c>
      <c r="K90">
        <v>2.7422745359163132</v>
      </c>
      <c r="L90">
        <v>3.3037378852904316</v>
      </c>
      <c r="M90">
        <v>3.5941546813417715</v>
      </c>
      <c r="N90">
        <v>3.8523003630158867</v>
      </c>
      <c r="O90">
        <v>3.8523003630158867</v>
      </c>
      <c r="P90">
        <v>3.8523003630158867</v>
      </c>
      <c r="Q90">
        <v>4.0781981636564613</v>
      </c>
      <c r="R90">
        <v>4.0781981636564613</v>
      </c>
      <c r="S90">
        <v>4.3298385090990275</v>
      </c>
      <c r="T90">
        <v>4.3298385090990275</v>
      </c>
      <c r="U90">
        <v>4.5621719459400989</v>
      </c>
      <c r="V90">
        <v>4.5621719459400989</v>
      </c>
      <c r="W90">
        <v>4.7622110350602629</v>
      </c>
      <c r="X90">
        <v>4.7622110350602629</v>
      </c>
      <c r="Y90">
        <v>4.7622110350602629</v>
      </c>
      <c r="Z90">
        <v>4.7622110350602629</v>
      </c>
      <c r="AA90">
        <v>4.7622110350602629</v>
      </c>
    </row>
    <row r="91" spans="1:27" x14ac:dyDescent="0.2">
      <c r="A91" t="s">
        <v>292</v>
      </c>
      <c r="B91" t="s">
        <v>293</v>
      </c>
      <c r="C91">
        <v>0.99515239322794002</v>
      </c>
      <c r="D91">
        <v>1.086043365256282</v>
      </c>
      <c r="E91">
        <v>1.1294850998665331</v>
      </c>
      <c r="F91">
        <v>1.1967658647432908</v>
      </c>
      <c r="G91">
        <v>1.465289295776609</v>
      </c>
      <c r="H91">
        <v>1.5239008676076737</v>
      </c>
      <c r="I91">
        <v>1.6057571435692946</v>
      </c>
      <c r="J91">
        <v>1.9042883153972694</v>
      </c>
      <c r="K91">
        <v>1.9804598480131599</v>
      </c>
      <c r="L91">
        <v>2.3859464632308716</v>
      </c>
      <c r="M91">
        <v>2.5956843272686601</v>
      </c>
      <c r="N91">
        <v>2.7821161198545696</v>
      </c>
      <c r="O91">
        <v>2.7821161198545696</v>
      </c>
      <c r="P91">
        <v>2.7821161198545696</v>
      </c>
      <c r="Q91">
        <v>2.9452586200177233</v>
      </c>
      <c r="R91">
        <v>2.9452586200177233</v>
      </c>
      <c r="S91">
        <v>3.1269922844491869</v>
      </c>
      <c r="T91">
        <v>3.1269922844491869</v>
      </c>
      <c r="U91">
        <v>3.2947825756794176</v>
      </c>
      <c r="V91">
        <v>3.2947825756794176</v>
      </c>
      <c r="W91">
        <v>3.4392500164286468</v>
      </c>
      <c r="X91">
        <v>3.4392500164286468</v>
      </c>
      <c r="Y91">
        <v>3.4392500164286468</v>
      </c>
      <c r="Z91">
        <v>3.4392500164286468</v>
      </c>
      <c r="AA91">
        <v>3.4392500164286468</v>
      </c>
    </row>
    <row r="92" spans="1:27" x14ac:dyDescent="0.2">
      <c r="A92" t="s">
        <v>288</v>
      </c>
      <c r="B92" t="s">
        <v>289</v>
      </c>
      <c r="C92">
        <v>1.5844756757086944</v>
      </c>
      <c r="D92">
        <v>1.7291917365858553</v>
      </c>
      <c r="E92">
        <v>1.7983594060492893</v>
      </c>
      <c r="F92">
        <v>1.9054834366156117</v>
      </c>
      <c r="G92">
        <v>2.3330248340191346</v>
      </c>
      <c r="H92">
        <v>2.4263458273799006</v>
      </c>
      <c r="I92">
        <v>2.5566768993321931</v>
      </c>
      <c r="J92">
        <v>3.031996441767232</v>
      </c>
      <c r="K92">
        <v>3.1532762994379211</v>
      </c>
      <c r="L92">
        <v>3.7988896577637887</v>
      </c>
      <c r="M92">
        <v>4.1328330277485845</v>
      </c>
      <c r="N92">
        <v>4.4296686104606708</v>
      </c>
      <c r="O92">
        <v>4.4296686104606708</v>
      </c>
      <c r="P92">
        <v>4.4296686104606708</v>
      </c>
      <c r="Q92">
        <v>4.6894231213696447</v>
      </c>
      <c r="R92">
        <v>4.6894231213696447</v>
      </c>
      <c r="S92">
        <v>4.9787783725940722</v>
      </c>
      <c r="T92">
        <v>4.9787783725940722</v>
      </c>
      <c r="U92">
        <v>5.245933068581909</v>
      </c>
      <c r="V92">
        <v>5.245933068581909</v>
      </c>
      <c r="W92">
        <v>5.4759532618274358</v>
      </c>
      <c r="X92">
        <v>5.4759532618274358</v>
      </c>
      <c r="Y92">
        <v>5.4759532618274358</v>
      </c>
      <c r="Z92">
        <v>5.4759532618274358</v>
      </c>
      <c r="AA92">
        <v>5.4759532618274358</v>
      </c>
    </row>
    <row r="93" spans="1:27" x14ac:dyDescent="0.2">
      <c r="A93" t="s">
        <v>298</v>
      </c>
      <c r="B93" t="s">
        <v>299</v>
      </c>
      <c r="C93">
        <v>0.7916351524392311</v>
      </c>
      <c r="D93">
        <v>0.86393813737565539</v>
      </c>
      <c r="E93">
        <v>0.89849566287068161</v>
      </c>
      <c r="F93">
        <v>0.95201693149435107</v>
      </c>
      <c r="G93">
        <v>1.1656250067058795</v>
      </c>
      <c r="H93">
        <v>1.2122500069741147</v>
      </c>
      <c r="I93">
        <v>1.2773659690518375</v>
      </c>
      <c r="J93">
        <v>1.5148449434542735</v>
      </c>
      <c r="K93">
        <v>1.5754387411924444</v>
      </c>
      <c r="L93">
        <v>1.8979998490532546</v>
      </c>
      <c r="M93">
        <v>2.0648445123427321</v>
      </c>
      <c r="N93">
        <v>2.2131493966474833</v>
      </c>
      <c r="O93">
        <v>2.2131493966474833</v>
      </c>
      <c r="P93">
        <v>2.2131493966474833</v>
      </c>
      <c r="Q93">
        <v>2.3429278495405708</v>
      </c>
      <c r="R93">
        <v>2.3429278495405708</v>
      </c>
      <c r="S93">
        <v>2.4874954133876379</v>
      </c>
      <c r="T93">
        <v>2.4874954133876379</v>
      </c>
      <c r="U93">
        <v>2.62097114401922</v>
      </c>
      <c r="V93">
        <v>2.62097114401922</v>
      </c>
      <c r="W93">
        <v>2.7358937480930123</v>
      </c>
      <c r="X93">
        <v>2.7358937480930123</v>
      </c>
      <c r="Y93">
        <v>2.7358937480930123</v>
      </c>
      <c r="Z93">
        <v>2.7358937480930123</v>
      </c>
      <c r="AA93">
        <v>2.7358937480930123</v>
      </c>
    </row>
    <row r="94" spans="1:27" x14ac:dyDescent="0.2">
      <c r="A94" t="s">
        <v>282</v>
      </c>
      <c r="B94" t="s">
        <v>283</v>
      </c>
      <c r="C94">
        <v>2.1811758029410533</v>
      </c>
      <c r="D94">
        <v>2.3803907073547963</v>
      </c>
      <c r="E94">
        <v>2.4756063356489881</v>
      </c>
      <c r="F94">
        <v>2.6230723693451328</v>
      </c>
      <c r="G94">
        <v>3.2116222379665413</v>
      </c>
      <c r="H94">
        <v>3.3400871274852029</v>
      </c>
      <c r="I94">
        <v>3.5194997779107524</v>
      </c>
      <c r="J94">
        <v>4.1738206365510129</v>
      </c>
      <c r="K94">
        <v>4.3407734620130531</v>
      </c>
      <c r="L94">
        <v>5.2295193461087788</v>
      </c>
      <c r="M94">
        <v>5.6892229624723685</v>
      </c>
      <c r="N94">
        <v>6.097844312985635</v>
      </c>
      <c r="O94">
        <v>6.097844312985635</v>
      </c>
      <c r="P94">
        <v>6.097844312985635</v>
      </c>
      <c r="Q94">
        <v>6.45542017393789</v>
      </c>
      <c r="R94">
        <v>6.45542017393789</v>
      </c>
      <c r="S94">
        <v>6.853744163444615</v>
      </c>
      <c r="T94">
        <v>6.853744163444615</v>
      </c>
      <c r="U94">
        <v>7.2215070565354864</v>
      </c>
      <c r="V94">
        <v>7.2215070565354864</v>
      </c>
      <c r="W94">
        <v>7.5381509074867274</v>
      </c>
      <c r="X94">
        <v>7.5381509074867274</v>
      </c>
      <c r="Y94">
        <v>7.5381509074867274</v>
      </c>
      <c r="Z94">
        <v>7.5381509074867274</v>
      </c>
      <c r="AA94">
        <v>7.5381509074867274</v>
      </c>
    </row>
    <row r="95" spans="1:27" x14ac:dyDescent="0.2">
      <c r="A95" t="s">
        <v>310</v>
      </c>
      <c r="B95" t="s">
        <v>311</v>
      </c>
      <c r="C95">
        <v>8.4505601574897521E-4</v>
      </c>
      <c r="D95">
        <v>9.2223812696380441E-4</v>
      </c>
      <c r="E95">
        <v>9.5912765204235646E-4</v>
      </c>
      <c r="F95">
        <v>1.0162606253338888E-3</v>
      </c>
      <c r="G95">
        <v>1.2442833305079349E-3</v>
      </c>
      <c r="H95">
        <v>1.2940546637282523E-3</v>
      </c>
      <c r="I95">
        <v>1.3635647597687206E-3</v>
      </c>
      <c r="J95">
        <v>1.617069212311435E-3</v>
      </c>
      <c r="K95">
        <v>1.6817519808038923E-3</v>
      </c>
      <c r="L95">
        <v>2.0260800513860738E-3</v>
      </c>
      <c r="M95">
        <v>2.2041836714362315E-3</v>
      </c>
      <c r="N95">
        <v>2.3624964172264153E-3</v>
      </c>
      <c r="O95">
        <v>2.3624964172264153E-3</v>
      </c>
      <c r="P95">
        <v>2.3624964172264153E-3</v>
      </c>
      <c r="Q95">
        <v>2.5010325370462302E-3</v>
      </c>
      <c r="R95">
        <v>2.5010325370462302E-3</v>
      </c>
      <c r="S95">
        <v>2.655355761747291E-3</v>
      </c>
      <c r="T95">
        <v>2.655355761747291E-3</v>
      </c>
      <c r="U95">
        <v>2.797838657787417E-3</v>
      </c>
      <c r="V95">
        <v>2.797838657787417E-3</v>
      </c>
      <c r="W95">
        <v>2.9205164312779653E-3</v>
      </c>
      <c r="X95">
        <v>2.9205164312779653E-3</v>
      </c>
      <c r="Y95">
        <v>2.9205164312779653E-3</v>
      </c>
      <c r="Z95">
        <v>2.9205164312779653E-3</v>
      </c>
      <c r="AA95">
        <v>2.9205164312779653E-3</v>
      </c>
    </row>
    <row r="96" spans="1:27" x14ac:dyDescent="0.2">
      <c r="A96" t="s">
        <v>306</v>
      </c>
      <c r="B96" t="s">
        <v>307</v>
      </c>
      <c r="C96">
        <v>3.2635268039253047E-2</v>
      </c>
      <c r="D96">
        <v>3.5615968537667839E-2</v>
      </c>
      <c r="E96">
        <v>3.7040607279174555E-2</v>
      </c>
      <c r="F96">
        <v>3.9247028939395613E-2</v>
      </c>
      <c r="G96">
        <v>4.8053051219226456E-2</v>
      </c>
      <c r="H96">
        <v>4.9975173267995512E-2</v>
      </c>
      <c r="I96">
        <v>5.2659587760571308E-2</v>
      </c>
      <c r="J96">
        <v>6.2449691142703961E-2</v>
      </c>
      <c r="K96">
        <v>6.4947678788412122E-2</v>
      </c>
      <c r="L96">
        <v>7.8245304824395956E-2</v>
      </c>
      <c r="M96">
        <v>8.5123499015992324E-2</v>
      </c>
      <c r="N96">
        <v>9.1237388269018505E-2</v>
      </c>
      <c r="O96">
        <v>9.1237388269018505E-2</v>
      </c>
      <c r="P96">
        <v>9.1237388269018505E-2</v>
      </c>
      <c r="Q96">
        <v>9.6587522839009829E-2</v>
      </c>
      <c r="R96">
        <v>9.6587522839009829E-2</v>
      </c>
      <c r="S96">
        <v>0.10254734054214429</v>
      </c>
      <c r="T96">
        <v>0.10254734054214429</v>
      </c>
      <c r="U96">
        <v>0.10804989589542137</v>
      </c>
      <c r="V96">
        <v>0.10804989589542137</v>
      </c>
      <c r="W96">
        <v>0.11278759605459296</v>
      </c>
      <c r="X96">
        <v>0.11278759605459296</v>
      </c>
      <c r="Y96">
        <v>0.11278759605459296</v>
      </c>
      <c r="Z96">
        <v>0.11278759605459296</v>
      </c>
      <c r="AA96">
        <v>0.11278759605459296</v>
      </c>
    </row>
    <row r="97" spans="1:27" x14ac:dyDescent="0.2">
      <c r="A97" t="s">
        <v>102</v>
      </c>
      <c r="B97" t="s">
        <v>103</v>
      </c>
      <c r="C97">
        <v>91.701806690201664</v>
      </c>
      <c r="D97">
        <v>100.07727400912357</v>
      </c>
      <c r="E97">
        <v>104.08036496948851</v>
      </c>
      <c r="F97">
        <v>110.28018696326848</v>
      </c>
      <c r="G97">
        <v>135.02422007013243</v>
      </c>
      <c r="H97">
        <v>140.42518887293775</v>
      </c>
      <c r="I97">
        <v>147.96812244340751</v>
      </c>
      <c r="J97">
        <v>175.4773240453554</v>
      </c>
      <c r="K97">
        <v>182.49641700716961</v>
      </c>
      <c r="L97">
        <v>219.86140297032128</v>
      </c>
      <c r="M97">
        <v>239.18843387985123</v>
      </c>
      <c r="N97">
        <v>256.36784511471416</v>
      </c>
      <c r="O97">
        <v>256.36784511471416</v>
      </c>
      <c r="P97">
        <v>256.36784511471416</v>
      </c>
      <c r="Q97">
        <v>271.40118283738298</v>
      </c>
      <c r="R97">
        <v>271.40118283738298</v>
      </c>
      <c r="S97">
        <v>288.14766857987252</v>
      </c>
      <c r="T97">
        <v>288.14766857987252</v>
      </c>
      <c r="U97">
        <v>303.60929330749644</v>
      </c>
      <c r="V97">
        <v>303.60929330749644</v>
      </c>
      <c r="W97">
        <v>316.92175219798071</v>
      </c>
      <c r="X97">
        <v>316.92175219798071</v>
      </c>
      <c r="Y97">
        <v>316.92175219798071</v>
      </c>
      <c r="Z97">
        <v>316.92175219798071</v>
      </c>
      <c r="AA97">
        <v>316.92175219798071</v>
      </c>
    </row>
    <row r="98" spans="1:27" x14ac:dyDescent="0.2">
      <c r="A98" t="s">
        <v>294</v>
      </c>
      <c r="B98" t="s">
        <v>295</v>
      </c>
      <c r="C98">
        <v>0.96301035315849537</v>
      </c>
      <c r="D98">
        <v>1.0509656730346983</v>
      </c>
      <c r="E98">
        <v>1.0930042999560863</v>
      </c>
      <c r="F98">
        <v>1.1581119895779506</v>
      </c>
      <c r="G98">
        <v>1.417962486758533</v>
      </c>
      <c r="H98">
        <v>1.4746809862288743</v>
      </c>
      <c r="I98">
        <v>1.5538934181724353</v>
      </c>
      <c r="J98">
        <v>1.8427824477997077</v>
      </c>
      <c r="K98">
        <v>1.9164937457116957</v>
      </c>
      <c r="L98">
        <v>2.3088837064645813</v>
      </c>
      <c r="M98">
        <v>2.5118473288124958</v>
      </c>
      <c r="N98">
        <v>2.6922576334451107</v>
      </c>
      <c r="O98">
        <v>2.6922576334451107</v>
      </c>
      <c r="P98">
        <v>2.6922576334451107</v>
      </c>
      <c r="Q98">
        <v>2.8501308574522128</v>
      </c>
      <c r="R98">
        <v>2.8501308574522128</v>
      </c>
      <c r="S98">
        <v>3.025994776944235</v>
      </c>
      <c r="T98">
        <v>3.025994776944235</v>
      </c>
      <c r="U98">
        <v>3.1883656748225668</v>
      </c>
      <c r="V98">
        <v>3.1883656748225668</v>
      </c>
      <c r="W98">
        <v>3.3281670178958103</v>
      </c>
      <c r="X98">
        <v>3.3281670178958103</v>
      </c>
      <c r="Y98">
        <v>3.3281670178958103</v>
      </c>
      <c r="Z98">
        <v>3.3281670178958103</v>
      </c>
      <c r="AA98">
        <v>3.3281670178958103</v>
      </c>
    </row>
    <row r="99" spans="1:27" x14ac:dyDescent="0.2">
      <c r="A99" t="s">
        <v>236</v>
      </c>
      <c r="B99" t="s">
        <v>237</v>
      </c>
      <c r="C99">
        <v>10.146135454711905</v>
      </c>
      <c r="D99">
        <v>11.072819769682706</v>
      </c>
      <c r="E99">
        <v>11.515732560470015</v>
      </c>
      <c r="F99">
        <v>12.20169760319272</v>
      </c>
      <c r="G99">
        <v>14.939444226291075</v>
      </c>
      <c r="H99">
        <v>15.537021995342718</v>
      </c>
      <c r="I99">
        <v>16.371592528837535</v>
      </c>
      <c r="J99">
        <v>19.415284859210825</v>
      </c>
      <c r="K99">
        <v>20.191896253579255</v>
      </c>
      <c r="L99">
        <v>24.32605917281489</v>
      </c>
      <c r="M99">
        <v>26.464454048806438</v>
      </c>
      <c r="N99">
        <v>28.365230486177804</v>
      </c>
      <c r="O99">
        <v>28.365230486177804</v>
      </c>
      <c r="P99">
        <v>28.365230486177804</v>
      </c>
      <c r="Q99">
        <v>30.028559556519067</v>
      </c>
      <c r="R99">
        <v>30.028559556519067</v>
      </c>
      <c r="S99">
        <v>31.881435948668233</v>
      </c>
      <c r="T99">
        <v>31.881435948668233</v>
      </c>
      <c r="U99">
        <v>33.592151849461466</v>
      </c>
      <c r="V99">
        <v>33.592151849461466</v>
      </c>
      <c r="W99">
        <v>35.065078240044443</v>
      </c>
      <c r="X99">
        <v>35.065078240044443</v>
      </c>
      <c r="Y99">
        <v>35.065078240044443</v>
      </c>
      <c r="Z99">
        <v>35.065078240044443</v>
      </c>
      <c r="AA99">
        <v>35.065078240044443</v>
      </c>
    </row>
    <row r="100" spans="1:27" x14ac:dyDescent="0.2">
      <c r="A100" t="s">
        <v>284</v>
      </c>
      <c r="B100" t="s">
        <v>285</v>
      </c>
      <c r="C100">
        <v>1.7750937978133561</v>
      </c>
      <c r="D100">
        <v>1.9372197212625317</v>
      </c>
      <c r="E100">
        <v>2.0147085101130329</v>
      </c>
      <c r="F100">
        <v>2.1347199468111668</v>
      </c>
      <c r="G100">
        <v>2.613696111907549</v>
      </c>
      <c r="H100">
        <v>2.718243956383851</v>
      </c>
      <c r="I100">
        <v>2.8642543250071526</v>
      </c>
      <c r="J100">
        <v>3.3967565178089063</v>
      </c>
      <c r="K100">
        <v>3.5326267785212622</v>
      </c>
      <c r="L100">
        <v>4.2559097457003654</v>
      </c>
      <c r="M100">
        <v>4.6300277040690023</v>
      </c>
      <c r="N100">
        <v>4.9625736749037159</v>
      </c>
      <c r="O100">
        <v>4.9625736749037159</v>
      </c>
      <c r="P100">
        <v>4.9625736749037159</v>
      </c>
      <c r="Q100">
        <v>5.2535775876411765</v>
      </c>
      <c r="R100">
        <v>5.2535775876411765</v>
      </c>
      <c r="S100">
        <v>5.5777433162084344</v>
      </c>
      <c r="T100">
        <v>5.5777433162084344</v>
      </c>
      <c r="U100">
        <v>5.8770376829033433</v>
      </c>
      <c r="V100">
        <v>5.8770376829033433</v>
      </c>
      <c r="W100">
        <v>6.1347301326276602</v>
      </c>
      <c r="X100">
        <v>6.1347301326276602</v>
      </c>
      <c r="Y100">
        <v>6.1347301326276602</v>
      </c>
      <c r="Z100">
        <v>6.1347301326276602</v>
      </c>
      <c r="AA100">
        <v>6.1347301326276602</v>
      </c>
    </row>
    <row r="101" spans="1:27" x14ac:dyDescent="0.2">
      <c r="A101" t="s">
        <v>270</v>
      </c>
      <c r="B101" t="s">
        <v>271</v>
      </c>
      <c r="C101">
        <v>4.3741119897585969</v>
      </c>
      <c r="D101">
        <v>4.7736159182176428</v>
      </c>
      <c r="E101">
        <v>4.9645605549463481</v>
      </c>
      <c r="F101">
        <v>5.2602877243027581</v>
      </c>
      <c r="G101">
        <v>6.4405607831898513</v>
      </c>
      <c r="H101">
        <v>6.6981832145174467</v>
      </c>
      <c r="I101">
        <v>7.0579758659316942</v>
      </c>
      <c r="J101">
        <v>8.3701455264736584</v>
      </c>
      <c r="K101">
        <v>8.7049513475326012</v>
      </c>
      <c r="L101">
        <v>10.48723502325921</v>
      </c>
      <c r="M101">
        <v>11.409120869122733</v>
      </c>
      <c r="N101">
        <v>12.228566759793903</v>
      </c>
      <c r="O101">
        <v>12.228566759793903</v>
      </c>
      <c r="P101">
        <v>12.228566759793903</v>
      </c>
      <c r="Q101">
        <v>12.945646446140387</v>
      </c>
      <c r="R101">
        <v>12.945646446140387</v>
      </c>
      <c r="S101">
        <v>13.744442093864215</v>
      </c>
      <c r="T101">
        <v>13.744442093864215</v>
      </c>
      <c r="U101">
        <v>14.481950770555033</v>
      </c>
      <c r="V101">
        <v>14.481950770555033</v>
      </c>
      <c r="W101">
        <v>15.116945741185829</v>
      </c>
      <c r="X101">
        <v>15.116945741185829</v>
      </c>
      <c r="Y101">
        <v>15.116945741185829</v>
      </c>
      <c r="Z101">
        <v>15.116945741185829</v>
      </c>
      <c r="AA101">
        <v>15.116945741185829</v>
      </c>
    </row>
    <row r="102" spans="1:27" x14ac:dyDescent="0.2">
      <c r="A102" t="s">
        <v>168</v>
      </c>
      <c r="B102" t="s">
        <v>169</v>
      </c>
      <c r="C102">
        <v>31.182088838801462</v>
      </c>
      <c r="D102">
        <v>34.030065072109487</v>
      </c>
      <c r="E102">
        <v>35.391267674993863</v>
      </c>
      <c r="F102">
        <v>37.499442062963247</v>
      </c>
      <c r="G102">
        <v>45.913350866037227</v>
      </c>
      <c r="H102">
        <v>47.749884900678715</v>
      </c>
      <c r="I102">
        <v>50.314768114966562</v>
      </c>
      <c r="J102">
        <v>59.668938978081009</v>
      </c>
      <c r="K102">
        <v>62.055696537204241</v>
      </c>
      <c r="L102">
        <v>74.761207516935656</v>
      </c>
      <c r="M102">
        <v>81.333130323726095</v>
      </c>
      <c r="N102">
        <v>87.174781068225968</v>
      </c>
      <c r="O102">
        <v>87.174781068225968</v>
      </c>
      <c r="P102">
        <v>87.174781068225968</v>
      </c>
      <c r="Q102">
        <v>92.286685504259864</v>
      </c>
      <c r="R102">
        <v>92.286685504259864</v>
      </c>
      <c r="S102">
        <v>97.981125177887662</v>
      </c>
      <c r="T102">
        <v>97.981125177887662</v>
      </c>
      <c r="U102">
        <v>103.23866342332002</v>
      </c>
      <c r="V102">
        <v>103.23866342332002</v>
      </c>
      <c r="W102">
        <v>107.76540385263726</v>
      </c>
      <c r="X102">
        <v>107.76540385263726</v>
      </c>
      <c r="Y102">
        <v>107.76540385263726</v>
      </c>
      <c r="Z102">
        <v>107.76540385263726</v>
      </c>
      <c r="AA102">
        <v>107.76540385263726</v>
      </c>
    </row>
    <row r="103" spans="1:27" x14ac:dyDescent="0.2">
      <c r="A103" t="s">
        <v>150</v>
      </c>
      <c r="B103" t="s">
        <v>151</v>
      </c>
      <c r="C103">
        <v>46.848155401325009</v>
      </c>
      <c r="D103">
        <v>51.126971802850683</v>
      </c>
      <c r="E103">
        <v>53.172050674964709</v>
      </c>
      <c r="F103">
        <v>56.339384391806206</v>
      </c>
      <c r="G103">
        <v>68.980490931419837</v>
      </c>
      <c r="H103">
        <v>71.739710568676628</v>
      </c>
      <c r="I103">
        <v>75.593206337686354</v>
      </c>
      <c r="J103">
        <v>89.646968178696369</v>
      </c>
      <c r="K103">
        <v>93.232846905844212</v>
      </c>
      <c r="L103">
        <v>112.32168203516447</v>
      </c>
      <c r="M103">
        <v>122.19537787798168</v>
      </c>
      <c r="N103">
        <v>130.97190863874502</v>
      </c>
      <c r="O103">
        <v>130.97190863874502</v>
      </c>
      <c r="P103">
        <v>130.97190863874502</v>
      </c>
      <c r="Q103">
        <v>138.65206421312195</v>
      </c>
      <c r="R103">
        <v>138.65206421312195</v>
      </c>
      <c r="S103">
        <v>147.20742418700621</v>
      </c>
      <c r="T103">
        <v>147.20742418700621</v>
      </c>
      <c r="U103">
        <v>155.10638086125999</v>
      </c>
      <c r="V103">
        <v>155.10638086125999</v>
      </c>
      <c r="W103">
        <v>161.90738255779246</v>
      </c>
      <c r="X103">
        <v>161.90738255779246</v>
      </c>
      <c r="Y103">
        <v>161.90738255779246</v>
      </c>
      <c r="Z103">
        <v>161.90738255779246</v>
      </c>
      <c r="AA103">
        <v>161.90738255779246</v>
      </c>
    </row>
    <row r="104" spans="1:27" x14ac:dyDescent="0.2">
      <c r="A104" t="s">
        <v>24</v>
      </c>
      <c r="B104" t="s">
        <v>25</v>
      </c>
      <c r="C104">
        <v>793.22451104076924</v>
      </c>
      <c r="D104">
        <v>865.672658013861</v>
      </c>
      <c r="E104">
        <v>900.29956433441532</v>
      </c>
      <c r="F104">
        <v>953.92828711596326</v>
      </c>
      <c r="G104">
        <v>1167.9652212919393</v>
      </c>
      <c r="H104">
        <v>1214.6838301436169</v>
      </c>
      <c r="I104">
        <v>1279.9305249384338</v>
      </c>
      <c r="J104">
        <v>1517.8862836896803</v>
      </c>
      <c r="K104">
        <v>1578.6017350372674</v>
      </c>
      <c r="L104">
        <v>1901.8104458622975</v>
      </c>
      <c r="M104">
        <v>2068.9900816449785</v>
      </c>
      <c r="N104">
        <v>2217.5927162994876</v>
      </c>
      <c r="O104">
        <v>2217.5927162994876</v>
      </c>
      <c r="P104">
        <v>2217.5927162994876</v>
      </c>
      <c r="Q104">
        <v>2347.6317241966881</v>
      </c>
      <c r="R104">
        <v>2347.6317241966881</v>
      </c>
      <c r="S104">
        <v>2492.4895350096663</v>
      </c>
      <c r="T104">
        <v>2492.4895350096663</v>
      </c>
      <c r="U104">
        <v>2626.2332436358106</v>
      </c>
      <c r="V104">
        <v>2626.2332436358106</v>
      </c>
      <c r="W104">
        <v>2741.3865767629213</v>
      </c>
      <c r="X104">
        <v>2741.3865767629213</v>
      </c>
      <c r="Y104">
        <v>2741.3865767629213</v>
      </c>
      <c r="Z104">
        <v>2741.3865767629213</v>
      </c>
      <c r="AA104">
        <v>2741.3865767629213</v>
      </c>
    </row>
    <row r="105" spans="1:27" x14ac:dyDescent="0.2">
      <c r="A105" t="s">
        <v>4</v>
      </c>
      <c r="B105" t="s">
        <v>5</v>
      </c>
      <c r="C105">
        <v>10714.084609635695</v>
      </c>
      <c r="D105">
        <v>11692.641834831085</v>
      </c>
      <c r="E105">
        <v>12160.347508224328</v>
      </c>
      <c r="F105">
        <v>12884.710743841324</v>
      </c>
      <c r="G105">
        <v>15775.707921096438</v>
      </c>
      <c r="H105">
        <v>16406.736237940298</v>
      </c>
      <c r="I105">
        <v>17288.023438223016</v>
      </c>
      <c r="J105">
        <v>20502.092213361855</v>
      </c>
      <c r="K105">
        <v>21322.175901896328</v>
      </c>
      <c r="L105">
        <v>25687.7564231123</v>
      </c>
      <c r="M105">
        <v>27945.852003685784</v>
      </c>
      <c r="N105">
        <v>29953.028003345935</v>
      </c>
      <c r="O105">
        <v>29953.028003345935</v>
      </c>
      <c r="P105">
        <v>29953.028003345935</v>
      </c>
      <c r="Q105">
        <v>31709.465069739214</v>
      </c>
      <c r="R105">
        <v>31709.465069739214</v>
      </c>
      <c r="S105">
        <v>33666.059728394539</v>
      </c>
      <c r="T105">
        <v>33666.059728394539</v>
      </c>
      <c r="U105">
        <v>35472.536192853317</v>
      </c>
      <c r="V105">
        <v>35472.536192853317</v>
      </c>
      <c r="W105">
        <v>37027.91242875233</v>
      </c>
      <c r="X105">
        <v>37027.91242875233</v>
      </c>
      <c r="Y105">
        <v>37027.91242875233</v>
      </c>
      <c r="Z105">
        <v>37027.91242875233</v>
      </c>
      <c r="AA105">
        <v>37027.91242875233</v>
      </c>
    </row>
    <row r="106" spans="1:27" x14ac:dyDescent="0.2">
      <c r="A106" t="s">
        <v>14</v>
      </c>
      <c r="B106" t="s">
        <v>15</v>
      </c>
      <c r="C106">
        <v>1541.1092074634921</v>
      </c>
      <c r="D106">
        <v>1681.8644473859276</v>
      </c>
      <c r="E106">
        <v>1749.1390252813646</v>
      </c>
      <c r="F106">
        <v>1853.3311137919816</v>
      </c>
      <c r="G106">
        <v>2269.170873411942</v>
      </c>
      <c r="H106">
        <v>2359.9377083484196</v>
      </c>
      <c r="I106">
        <v>2486.701670764206</v>
      </c>
      <c r="J106">
        <v>2949.0119066132584</v>
      </c>
      <c r="K106">
        <v>3066.9723828777887</v>
      </c>
      <c r="L106">
        <v>3694.9155606942618</v>
      </c>
      <c r="M106">
        <v>4019.7190336316239</v>
      </c>
      <c r="N106">
        <v>4308.4303446561862</v>
      </c>
      <c r="O106">
        <v>4308.4303446561862</v>
      </c>
      <c r="P106">
        <v>4308.4303446561862</v>
      </c>
      <c r="Q106">
        <v>4561.0754780457837</v>
      </c>
      <c r="R106">
        <v>4561.0754780457837</v>
      </c>
      <c r="S106">
        <v>4842.5111912765506</v>
      </c>
      <c r="T106">
        <v>4842.5111912765506</v>
      </c>
      <c r="U106">
        <v>5102.3539696264397</v>
      </c>
      <c r="V106">
        <v>5102.3539696264397</v>
      </c>
      <c r="W106">
        <v>5326.0786017856944</v>
      </c>
      <c r="X106">
        <v>5326.0786017856944</v>
      </c>
      <c r="Y106">
        <v>5326.0786017856944</v>
      </c>
      <c r="Z106">
        <v>5326.0786017856944</v>
      </c>
      <c r="AA106">
        <v>5326.0786017856944</v>
      </c>
    </row>
    <row r="107" spans="1:27" x14ac:dyDescent="0.2">
      <c r="A107" t="s">
        <v>248</v>
      </c>
      <c r="B107" t="s">
        <v>249</v>
      </c>
      <c r="C107">
        <v>8.4794898779217771</v>
      </c>
      <c r="D107">
        <v>9.2539532491134739</v>
      </c>
      <c r="E107">
        <v>9.6241113790780126</v>
      </c>
      <c r="F107">
        <v>10.197397007122147</v>
      </c>
      <c r="G107">
        <v>12.485430207792263</v>
      </c>
      <c r="H107">
        <v>12.984847416103953</v>
      </c>
      <c r="I107">
        <v>13.682327991123737</v>
      </c>
      <c r="J107">
        <v>16.226051009814825</v>
      </c>
      <c r="K107">
        <v>16.875093050207418</v>
      </c>
      <c r="L107">
        <v>20.330161512856233</v>
      </c>
      <c r="M107">
        <v>22.117294928027555</v>
      </c>
      <c r="N107">
        <v>23.705842078105036</v>
      </c>
      <c r="O107">
        <v>23.705842078105036</v>
      </c>
      <c r="P107">
        <v>23.705842078105036</v>
      </c>
      <c r="Q107">
        <v>25.0959459337619</v>
      </c>
      <c r="R107">
        <v>25.0959459337619</v>
      </c>
      <c r="S107">
        <v>26.644461295339557</v>
      </c>
      <c r="T107">
        <v>26.644461295339557</v>
      </c>
      <c r="U107">
        <v>28.074168027476606</v>
      </c>
      <c r="V107">
        <v>28.074168027476606</v>
      </c>
      <c r="W107">
        <v>29.305145523846615</v>
      </c>
      <c r="X107">
        <v>29.305145523846615</v>
      </c>
      <c r="Y107">
        <v>29.305145523846615</v>
      </c>
      <c r="Z107">
        <v>29.305145523846615</v>
      </c>
      <c r="AA107">
        <v>29.305145523846615</v>
      </c>
    </row>
    <row r="108" spans="1:27" x14ac:dyDescent="0.2">
      <c r="A108" t="s">
        <v>194</v>
      </c>
      <c r="B108" t="s">
        <v>195</v>
      </c>
      <c r="C108">
        <v>21.896456391967856</v>
      </c>
      <c r="D108">
        <v>23.896341252804746</v>
      </c>
      <c r="E108">
        <v>24.852194902916935</v>
      </c>
      <c r="F108">
        <v>26.33258156948925</v>
      </c>
      <c r="G108">
        <v>32.240934539199579</v>
      </c>
      <c r="H108">
        <v>33.530571920767557</v>
      </c>
      <c r="I108">
        <v>35.331665290184787</v>
      </c>
      <c r="J108">
        <v>41.900282147318805</v>
      </c>
      <c r="K108">
        <v>43.576293433211546</v>
      </c>
      <c r="L108">
        <v>52.498263623969649</v>
      </c>
      <c r="M108">
        <v>57.113150775827222</v>
      </c>
      <c r="N108">
        <v>61.215231667370361</v>
      </c>
      <c r="O108">
        <v>61.215231667370361</v>
      </c>
      <c r="P108">
        <v>61.215231667370361</v>
      </c>
      <c r="Q108">
        <v>64.804875489571245</v>
      </c>
      <c r="R108">
        <v>64.804875489571245</v>
      </c>
      <c r="S108">
        <v>68.803582908912816</v>
      </c>
      <c r="T108">
        <v>68.803582908912816</v>
      </c>
      <c r="U108">
        <v>72.495492630398843</v>
      </c>
      <c r="V108">
        <v>72.495492630398843</v>
      </c>
      <c r="W108">
        <v>75.674226900598327</v>
      </c>
      <c r="X108">
        <v>75.674226900598327</v>
      </c>
      <c r="Y108">
        <v>75.674226900598327</v>
      </c>
      <c r="Z108">
        <v>75.674226900598327</v>
      </c>
      <c r="AA108">
        <v>75.674226900598327</v>
      </c>
    </row>
    <row r="109" spans="1:27" x14ac:dyDescent="0.2">
      <c r="A109" t="s">
        <v>112</v>
      </c>
      <c r="B109" t="s">
        <v>113</v>
      </c>
      <c r="C109">
        <v>81.813558177338592</v>
      </c>
      <c r="D109">
        <v>89.285894955543355</v>
      </c>
      <c r="E109">
        <v>92.857330753765069</v>
      </c>
      <c r="F109">
        <v>98.388623055244437</v>
      </c>
      <c r="G109">
        <v>120.46449555107732</v>
      </c>
      <c r="H109">
        <v>125.28307537312041</v>
      </c>
      <c r="I109">
        <v>132.01265090460629</v>
      </c>
      <c r="J109">
        <v>156.55552248920267</v>
      </c>
      <c r="K109">
        <v>162.81774338877077</v>
      </c>
      <c r="L109">
        <v>196.15364551793115</v>
      </c>
      <c r="M109">
        <v>213.39663368558962</v>
      </c>
      <c r="N109">
        <v>228.72358100805783</v>
      </c>
      <c r="O109">
        <v>228.72358100805783</v>
      </c>
      <c r="P109">
        <v>228.72358100805783</v>
      </c>
      <c r="Q109">
        <v>242.13586692438929</v>
      </c>
      <c r="R109">
        <v>242.13586692438929</v>
      </c>
      <c r="S109">
        <v>257.07657131190206</v>
      </c>
      <c r="T109">
        <v>257.07657131190206</v>
      </c>
      <c r="U109">
        <v>270.87096184602882</v>
      </c>
      <c r="V109">
        <v>270.87096184602882</v>
      </c>
      <c r="W109">
        <v>282.74793209591195</v>
      </c>
      <c r="X109">
        <v>282.74793209591195</v>
      </c>
      <c r="Y109">
        <v>282.74793209591195</v>
      </c>
      <c r="Z109">
        <v>282.74793209591195</v>
      </c>
      <c r="AA109">
        <v>282.74793209591195</v>
      </c>
    </row>
    <row r="110" spans="1:27" x14ac:dyDescent="0.2">
      <c r="A110" t="s">
        <v>62</v>
      </c>
      <c r="B110" t="s">
        <v>63</v>
      </c>
      <c r="C110">
        <v>195.90564328960406</v>
      </c>
      <c r="D110">
        <v>213.79843485158068</v>
      </c>
      <c r="E110">
        <v>222.35037224564391</v>
      </c>
      <c r="F110">
        <v>235.59525977633064</v>
      </c>
      <c r="G110">
        <v>288.4567670719922</v>
      </c>
      <c r="H110">
        <v>299.99503775487193</v>
      </c>
      <c r="I110">
        <v>316.1092595651989</v>
      </c>
      <c r="J110">
        <v>374.87808899971031</v>
      </c>
      <c r="K110">
        <v>389.87321255969874</v>
      </c>
      <c r="L110">
        <v>469.69728447081843</v>
      </c>
      <c r="M110">
        <v>510.986268405462</v>
      </c>
      <c r="N110">
        <v>547.68722044528783</v>
      </c>
      <c r="O110">
        <v>547.68722044528783</v>
      </c>
      <c r="P110">
        <v>547.68722044528783</v>
      </c>
      <c r="Q110">
        <v>579.80344370901105</v>
      </c>
      <c r="R110">
        <v>579.80344370901105</v>
      </c>
      <c r="S110">
        <v>615.57952250870119</v>
      </c>
      <c r="T110">
        <v>615.57952250870119</v>
      </c>
      <c r="U110">
        <v>648.61070965641602</v>
      </c>
      <c r="V110">
        <v>648.61070965641602</v>
      </c>
      <c r="W110">
        <v>677.05056179059841</v>
      </c>
      <c r="X110">
        <v>677.05056179059841</v>
      </c>
      <c r="Y110">
        <v>677.05056179059841</v>
      </c>
      <c r="Z110">
        <v>677.05056179059841</v>
      </c>
      <c r="AA110">
        <v>677.05056179059841</v>
      </c>
    </row>
    <row r="111" spans="1:27" x14ac:dyDescent="0.2">
      <c r="A111" t="s">
        <v>34</v>
      </c>
      <c r="B111" t="s">
        <v>35</v>
      </c>
      <c r="C111">
        <v>360.18648208503942</v>
      </c>
      <c r="D111">
        <v>393.08365410709337</v>
      </c>
      <c r="E111">
        <v>408.80700027137704</v>
      </c>
      <c r="F111">
        <v>433.1586696014827</v>
      </c>
      <c r="G111">
        <v>530.34831677458874</v>
      </c>
      <c r="H111">
        <v>551.56224944557243</v>
      </c>
      <c r="I111">
        <v>581.18939426865199</v>
      </c>
      <c r="J111">
        <v>689.24007404912413</v>
      </c>
      <c r="K111">
        <v>716.80967701108898</v>
      </c>
      <c r="L111">
        <v>863.57192012251619</v>
      </c>
      <c r="M111">
        <v>939.48465863561933</v>
      </c>
      <c r="N111">
        <v>1006.9619736451464</v>
      </c>
      <c r="O111">
        <v>1006.9619736451464</v>
      </c>
      <c r="P111">
        <v>1006.9619736451464</v>
      </c>
      <c r="Q111">
        <v>1066.0099381701787</v>
      </c>
      <c r="R111">
        <v>1066.0099381701787</v>
      </c>
      <c r="S111">
        <v>1131.7868078370125</v>
      </c>
      <c r="T111">
        <v>1131.7868078370125</v>
      </c>
      <c r="U111">
        <v>1192.516998647495</v>
      </c>
      <c r="V111">
        <v>1192.516998647495</v>
      </c>
      <c r="W111">
        <v>1244.8056929353204</v>
      </c>
      <c r="X111">
        <v>1244.8056929353204</v>
      </c>
      <c r="Y111">
        <v>1244.8056929353204</v>
      </c>
      <c r="Z111">
        <v>1244.8056929353204</v>
      </c>
      <c r="AA111">
        <v>1244.8056929353204</v>
      </c>
    </row>
    <row r="112" spans="1:27" x14ac:dyDescent="0.2">
      <c r="A112" t="s">
        <v>322</v>
      </c>
      <c r="B112" t="s">
        <v>323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330</v>
      </c>
      <c r="B113" t="s">
        <v>331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26</v>
      </c>
      <c r="B114" t="s">
        <v>27</v>
      </c>
      <c r="C114">
        <v>680.65962653219481</v>
      </c>
      <c r="D114">
        <v>742.82680363688678</v>
      </c>
      <c r="E114">
        <v>772.53987578236217</v>
      </c>
      <c r="F114">
        <v>818.55825508331509</v>
      </c>
      <c r="G114">
        <v>1002.2216412401102</v>
      </c>
      <c r="H114">
        <v>1042.3105068897146</v>
      </c>
      <c r="I114">
        <v>1098.2981753156816</v>
      </c>
      <c r="J114">
        <v>1302.486114075032</v>
      </c>
      <c r="K114">
        <v>1354.5855586380333</v>
      </c>
      <c r="L114">
        <v>1631.9283756337752</v>
      </c>
      <c r="M114">
        <v>1775.3838877514277</v>
      </c>
      <c r="N114">
        <v>1902.8986233625662</v>
      </c>
      <c r="O114">
        <v>1902.8986233625662</v>
      </c>
      <c r="P114">
        <v>1902.8986233625662</v>
      </c>
      <c r="Q114">
        <v>2014.4840589081609</v>
      </c>
      <c r="R114">
        <v>2014.4840589081609</v>
      </c>
      <c r="S114">
        <v>2138.7853910478652</v>
      </c>
      <c r="T114">
        <v>2138.7853910478652</v>
      </c>
      <c r="U114">
        <v>2253.5498007419869</v>
      </c>
      <c r="V114">
        <v>2253.5498007419869</v>
      </c>
      <c r="W114">
        <v>2352.3619574886256</v>
      </c>
      <c r="X114">
        <v>2352.3619574886256</v>
      </c>
      <c r="Y114">
        <v>2352.3619574886256</v>
      </c>
      <c r="Z114">
        <v>2352.3619574886256</v>
      </c>
      <c r="AA114">
        <v>2352.3619574886256</v>
      </c>
    </row>
    <row r="115" spans="1:27" x14ac:dyDescent="0.2">
      <c r="A115" t="s">
        <v>328</v>
      </c>
      <c r="B115" t="s">
        <v>329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326</v>
      </c>
      <c r="B116" t="s">
        <v>327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324</v>
      </c>
      <c r="B117" t="s">
        <v>325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314</v>
      </c>
      <c r="B118" t="s">
        <v>315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6</v>
      </c>
      <c r="B119" t="s">
        <v>7</v>
      </c>
      <c r="C119">
        <v>4299.1111905597318</v>
      </c>
      <c r="D119">
        <v>4691.7650168751497</v>
      </c>
      <c r="E119">
        <v>4879.4356175501562</v>
      </c>
      <c r="F119">
        <v>5170.092095049914</v>
      </c>
      <c r="G119">
        <v>6330.1275781966797</v>
      </c>
      <c r="H119">
        <v>6583.3326813245476</v>
      </c>
      <c r="I119">
        <v>6936.9561408056379</v>
      </c>
      <c r="J119">
        <v>8226.6266578744617</v>
      </c>
      <c r="K119">
        <v>8555.6917241894389</v>
      </c>
      <c r="L119">
        <v>10307.415437027221</v>
      </c>
      <c r="M119">
        <v>11213.494148694876</v>
      </c>
      <c r="N119">
        <v>12018.889393922016</v>
      </c>
      <c r="O119">
        <v>12018.889393922016</v>
      </c>
      <c r="P119">
        <v>12018.889393922016</v>
      </c>
      <c r="Q119">
        <v>12723.673659005584</v>
      </c>
      <c r="R119">
        <v>12723.673659005584</v>
      </c>
      <c r="S119">
        <v>13508.772741091374</v>
      </c>
      <c r="T119">
        <v>13508.772741091374</v>
      </c>
      <c r="U119">
        <v>14233.635710425495</v>
      </c>
      <c r="V119">
        <v>14233.635710425495</v>
      </c>
      <c r="W119">
        <v>14857.742727022174</v>
      </c>
      <c r="X119">
        <v>14857.742727022174</v>
      </c>
      <c r="Y119">
        <v>14857.742727022174</v>
      </c>
      <c r="Z119">
        <v>14857.742727022174</v>
      </c>
      <c r="AA119">
        <v>14857.742727022174</v>
      </c>
    </row>
    <row r="120" spans="1:27" x14ac:dyDescent="0.2">
      <c r="A120" t="s">
        <v>128</v>
      </c>
      <c r="B120" t="s">
        <v>129</v>
      </c>
      <c r="C120">
        <v>69.229442030949045</v>
      </c>
      <c r="D120">
        <v>75.552424643453733</v>
      </c>
      <c r="E120">
        <v>78.574521629191892</v>
      </c>
      <c r="F120">
        <v>83.255020659822804</v>
      </c>
      <c r="G120">
        <v>101.93530262384826</v>
      </c>
      <c r="H120">
        <v>106.01271472880219</v>
      </c>
      <c r="I120">
        <v>111.70718358615278</v>
      </c>
      <c r="J120">
        <v>132.4750042688311</v>
      </c>
      <c r="K120">
        <v>137.77400443958436</v>
      </c>
      <c r="L120">
        <v>165.98235957551023</v>
      </c>
      <c r="M120">
        <v>180.57312516971339</v>
      </c>
      <c r="N120">
        <v>193.54256489108869</v>
      </c>
      <c r="O120">
        <v>193.54256489108869</v>
      </c>
      <c r="P120">
        <v>193.54256489108869</v>
      </c>
      <c r="Q120">
        <v>204.8918460008837</v>
      </c>
      <c r="R120">
        <v>204.8918460008837</v>
      </c>
      <c r="S120">
        <v>217.53445257294891</v>
      </c>
      <c r="T120">
        <v>217.53445257294891</v>
      </c>
      <c r="U120">
        <v>229.20706504831139</v>
      </c>
      <c r="V120">
        <v>229.20706504831139</v>
      </c>
      <c r="W120">
        <v>239.25718438959856</v>
      </c>
      <c r="X120">
        <v>239.25718438959856</v>
      </c>
      <c r="Y120">
        <v>239.25718438959856</v>
      </c>
      <c r="Z120">
        <v>239.25718438959856</v>
      </c>
      <c r="AA120">
        <v>239.25718438959856</v>
      </c>
    </row>
    <row r="121" spans="1:27" x14ac:dyDescent="0.2">
      <c r="A121" t="s">
        <v>10</v>
      </c>
      <c r="B121" t="s">
        <v>11</v>
      </c>
      <c r="C121">
        <v>1962.7136478236505</v>
      </c>
      <c r="D121">
        <v>2141.9755904949006</v>
      </c>
      <c r="E121">
        <v>2227.6546141146964</v>
      </c>
      <c r="F121">
        <v>2360.3507482527971</v>
      </c>
      <c r="G121">
        <v>2889.9526528816982</v>
      </c>
      <c r="H121">
        <v>3005.5507589969661</v>
      </c>
      <c r="I121">
        <v>3166.9938013723799</v>
      </c>
      <c r="J121">
        <v>3755.7792067382752</v>
      </c>
      <c r="K121">
        <v>3906.010375007806</v>
      </c>
      <c r="L121">
        <v>4705.7412696059046</v>
      </c>
      <c r="M121">
        <v>5119.4019019007001</v>
      </c>
      <c r="N121">
        <v>5487.0965647348985</v>
      </c>
      <c r="O121">
        <v>5487.0965647348985</v>
      </c>
      <c r="P121">
        <v>5487.0965647348985</v>
      </c>
      <c r="Q121">
        <v>5808.8583509590817</v>
      </c>
      <c r="R121">
        <v>5808.8583509590817</v>
      </c>
      <c r="S121">
        <v>6167.2870156298795</v>
      </c>
      <c r="T121">
        <v>6167.2870156298795</v>
      </c>
      <c r="U121">
        <v>6498.215521465715</v>
      </c>
      <c r="V121">
        <v>6498.215521465715</v>
      </c>
      <c r="W121">
        <v>6783.1449649903707</v>
      </c>
      <c r="X121">
        <v>6783.1449649903707</v>
      </c>
      <c r="Y121">
        <v>6783.1449649903707</v>
      </c>
      <c r="Z121">
        <v>6783.1449649903707</v>
      </c>
      <c r="AA121">
        <v>6783.1449649903707</v>
      </c>
    </row>
    <row r="122" spans="1:27" x14ac:dyDescent="0.2">
      <c r="A122" t="s">
        <v>238</v>
      </c>
      <c r="B122" t="s">
        <v>239</v>
      </c>
      <c r="C122">
        <v>9.7970849966409244</v>
      </c>
      <c r="D122">
        <v>10.691889234111132</v>
      </c>
      <c r="E122">
        <v>11.119564803475576</v>
      </c>
      <c r="F122">
        <v>11.78193106679584</v>
      </c>
      <c r="G122">
        <v>14.425492892427197</v>
      </c>
      <c r="H122">
        <v>15.002512608124285</v>
      </c>
      <c r="I122">
        <v>15.808371990628739</v>
      </c>
      <c r="J122">
        <v>18.747354285650534</v>
      </c>
      <c r="K122">
        <v>19.497248457076555</v>
      </c>
      <c r="L122">
        <v>23.489186637923826</v>
      </c>
      <c r="M122">
        <v>25.554015798739076</v>
      </c>
      <c r="N122">
        <v>27.389401143204534</v>
      </c>
      <c r="O122">
        <v>27.389401143204534</v>
      </c>
      <c r="P122">
        <v>27.389401143204534</v>
      </c>
      <c r="Q122">
        <v>28.995507857653067</v>
      </c>
      <c r="R122">
        <v>28.995507857653067</v>
      </c>
      <c r="S122">
        <v>30.784641028916269</v>
      </c>
      <c r="T122">
        <v>30.784641028916269</v>
      </c>
      <c r="U122">
        <v>32.436504357568467</v>
      </c>
      <c r="V122">
        <v>32.436504357568467</v>
      </c>
      <c r="W122">
        <v>33.858758683538014</v>
      </c>
      <c r="X122">
        <v>33.858758683538014</v>
      </c>
      <c r="Y122">
        <v>33.858758683538014</v>
      </c>
      <c r="Z122">
        <v>33.858758683538014</v>
      </c>
      <c r="AA122">
        <v>33.858758683538014</v>
      </c>
    </row>
    <row r="123" spans="1:27" x14ac:dyDescent="0.2">
      <c r="A123" t="s">
        <v>206</v>
      </c>
      <c r="B123" t="s">
        <v>207</v>
      </c>
      <c r="C123">
        <v>18.626156452550077</v>
      </c>
      <c r="D123">
        <v>20.327352647871368</v>
      </c>
      <c r="E123">
        <v>21.140446753786222</v>
      </c>
      <c r="F123">
        <v>22.399733332776226</v>
      </c>
      <c r="G123">
        <v>27.425656469411354</v>
      </c>
      <c r="H123">
        <v>28.52268272818781</v>
      </c>
      <c r="I123">
        <v>30.054777523979595</v>
      </c>
      <c r="J123">
        <v>35.64235220125552</v>
      </c>
      <c r="K123">
        <v>37.068046289305734</v>
      </c>
      <c r="L123">
        <v>44.657494082283236</v>
      </c>
      <c r="M123">
        <v>48.583134312037188</v>
      </c>
      <c r="N123">
        <v>52.072557399460877</v>
      </c>
      <c r="O123">
        <v>52.072557399460877</v>
      </c>
      <c r="P123">
        <v>52.072557399460877</v>
      </c>
      <c r="Q123">
        <v>55.126077395772697</v>
      </c>
      <c r="R123">
        <v>55.126077395772697</v>
      </c>
      <c r="S123">
        <v>58.52756614204992</v>
      </c>
      <c r="T123">
        <v>58.52756614204992</v>
      </c>
      <c r="U123">
        <v>61.668078325853081</v>
      </c>
      <c r="V123">
        <v>61.668078325853081</v>
      </c>
      <c r="W123">
        <v>64.37205931610761</v>
      </c>
      <c r="X123">
        <v>64.37205931610761</v>
      </c>
      <c r="Y123">
        <v>64.37205931610761</v>
      </c>
      <c r="Z123">
        <v>64.37205931610761</v>
      </c>
      <c r="AA123">
        <v>64.37205931610761</v>
      </c>
    </row>
    <row r="124" spans="1:27" x14ac:dyDescent="0.2">
      <c r="A124" t="s">
        <v>100</v>
      </c>
      <c r="B124" t="s">
        <v>101</v>
      </c>
      <c r="C124">
        <v>93.255869757509004</v>
      </c>
      <c r="D124">
        <v>101.77327544058713</v>
      </c>
      <c r="E124">
        <v>105.84420645821059</v>
      </c>
      <c r="F124">
        <v>112.1490963315904</v>
      </c>
      <c r="G124">
        <v>137.31246455709075</v>
      </c>
      <c r="H124">
        <v>142.80496313937439</v>
      </c>
      <c r="I124">
        <v>150.47572619220784</v>
      </c>
      <c r="J124">
        <v>178.45112399861134</v>
      </c>
      <c r="K124">
        <v>185.5891689585558</v>
      </c>
      <c r="L124">
        <v>223.58737630296073</v>
      </c>
      <c r="M124">
        <v>243.24194083501439</v>
      </c>
      <c r="N124">
        <v>260.71249015626614</v>
      </c>
      <c r="O124">
        <v>260.71249015626614</v>
      </c>
      <c r="P124">
        <v>260.71249015626614</v>
      </c>
      <c r="Q124">
        <v>276.00059663187881</v>
      </c>
      <c r="R124">
        <v>276.00059663187881</v>
      </c>
      <c r="S124">
        <v>293.0308837076127</v>
      </c>
      <c r="T124">
        <v>293.0308837076127</v>
      </c>
      <c r="U124">
        <v>308.75453533325555</v>
      </c>
      <c r="V124">
        <v>308.75453533325555</v>
      </c>
      <c r="W124">
        <v>322.2925993829341</v>
      </c>
      <c r="X124">
        <v>322.2925993829341</v>
      </c>
      <c r="Y124">
        <v>322.2925993829341</v>
      </c>
      <c r="Z124">
        <v>322.2925993829341</v>
      </c>
      <c r="AA124">
        <v>322.2925993829341</v>
      </c>
    </row>
    <row r="125" spans="1:27" x14ac:dyDescent="0.2">
      <c r="A125" t="s">
        <v>126</v>
      </c>
      <c r="B125" t="s">
        <v>127</v>
      </c>
      <c r="C125">
        <v>70.636184039072248</v>
      </c>
      <c r="D125">
        <v>77.087649635069241</v>
      </c>
      <c r="E125">
        <v>80.171155620472021</v>
      </c>
      <c r="F125">
        <v>84.946762374236471</v>
      </c>
      <c r="G125">
        <v>104.00662759924839</v>
      </c>
      <c r="H125">
        <v>108.16689270321832</v>
      </c>
      <c r="I125">
        <v>113.97707314686198</v>
      </c>
      <c r="J125">
        <v>135.16689586963233</v>
      </c>
      <c r="K125">
        <v>140.57357170441765</v>
      </c>
      <c r="L125">
        <v>169.35512051323238</v>
      </c>
      <c r="M125">
        <v>184.24237041078828</v>
      </c>
      <c r="N125">
        <v>197.47534909972774</v>
      </c>
      <c r="O125">
        <v>197.47534909972774</v>
      </c>
      <c r="P125">
        <v>197.47534909972774</v>
      </c>
      <c r="Q125">
        <v>209.05524756004263</v>
      </c>
      <c r="R125">
        <v>209.05524756004263</v>
      </c>
      <c r="S125">
        <v>221.95475185127694</v>
      </c>
      <c r="T125">
        <v>221.95475185127694</v>
      </c>
      <c r="U125">
        <v>233.86455176932162</v>
      </c>
      <c r="V125">
        <v>233.86455176932162</v>
      </c>
      <c r="W125">
        <v>244.11888949875814</v>
      </c>
      <c r="X125">
        <v>244.11888949875814</v>
      </c>
      <c r="Y125">
        <v>244.11888949875814</v>
      </c>
      <c r="Z125">
        <v>244.11888949875814</v>
      </c>
      <c r="AA125">
        <v>244.11888949875814</v>
      </c>
    </row>
    <row r="126" spans="1:27" x14ac:dyDescent="0.2">
      <c r="A126" t="s">
        <v>70</v>
      </c>
      <c r="B126" t="s">
        <v>71</v>
      </c>
      <c r="C126">
        <v>177.06518456750084</v>
      </c>
      <c r="D126">
        <v>193.23720691024536</v>
      </c>
      <c r="E126">
        <v>200.96669518665516</v>
      </c>
      <c r="F126">
        <v>212.93780748243501</v>
      </c>
      <c r="G126">
        <v>260.71556614549701</v>
      </c>
      <c r="H126">
        <v>271.14418879131688</v>
      </c>
      <c r="I126">
        <v>285.7086883692553</v>
      </c>
      <c r="J126">
        <v>338.82565557808073</v>
      </c>
      <c r="K126">
        <v>352.37868180120392</v>
      </c>
      <c r="L126">
        <v>424.52598592443286</v>
      </c>
      <c r="M126">
        <v>461.84416338083588</v>
      </c>
      <c r="N126">
        <v>495.01554495828339</v>
      </c>
      <c r="O126">
        <v>495.01554495828339</v>
      </c>
      <c r="P126">
        <v>495.01554495828339</v>
      </c>
      <c r="Q126">
        <v>524.04311611097194</v>
      </c>
      <c r="R126">
        <v>524.04311611097194</v>
      </c>
      <c r="S126">
        <v>556.3785705133962</v>
      </c>
      <c r="T126">
        <v>556.3785705133962</v>
      </c>
      <c r="U126">
        <v>586.23311247851859</v>
      </c>
      <c r="V126">
        <v>586.23311247851859</v>
      </c>
      <c r="W126">
        <v>611.93787311048902</v>
      </c>
      <c r="X126">
        <v>611.93787311048902</v>
      </c>
      <c r="Y126">
        <v>611.93787311048902</v>
      </c>
      <c r="Z126">
        <v>611.93787311048902</v>
      </c>
      <c r="AA126">
        <v>611.93787311048902</v>
      </c>
    </row>
    <row r="127" spans="1:27" x14ac:dyDescent="0.2">
      <c r="A127" t="s">
        <v>94</v>
      </c>
      <c r="B127" t="s">
        <v>95</v>
      </c>
      <c r="C127">
        <v>104.74124818427124</v>
      </c>
      <c r="D127">
        <v>114.30765622761666</v>
      </c>
      <c r="E127">
        <v>118.87996247672132</v>
      </c>
      <c r="F127">
        <v>125.96136160708542</v>
      </c>
      <c r="G127">
        <v>154.22384635268625</v>
      </c>
      <c r="H127">
        <v>160.39280020679374</v>
      </c>
      <c r="I127">
        <v>169.00829324512733</v>
      </c>
      <c r="J127">
        <v>200.42913669780762</v>
      </c>
      <c r="K127">
        <v>208.44630216571989</v>
      </c>
      <c r="L127">
        <v>251.12436282149162</v>
      </c>
      <c r="M127">
        <v>273.19958046686497</v>
      </c>
      <c r="N127">
        <v>292.82179992748439</v>
      </c>
      <c r="O127">
        <v>292.82179992748439</v>
      </c>
      <c r="P127">
        <v>292.82179992748439</v>
      </c>
      <c r="Q127">
        <v>309.99278722076173</v>
      </c>
      <c r="R127">
        <v>309.99278722076173</v>
      </c>
      <c r="S127">
        <v>329.12052180612488</v>
      </c>
      <c r="T127">
        <v>329.12052180612488</v>
      </c>
      <c r="U127">
        <v>346.78069592242355</v>
      </c>
      <c r="V127">
        <v>346.78069592242355</v>
      </c>
      <c r="W127">
        <v>361.98610583655676</v>
      </c>
      <c r="X127">
        <v>361.98610583655676</v>
      </c>
      <c r="Y127">
        <v>361.98610583655676</v>
      </c>
      <c r="Z127">
        <v>361.98610583655676</v>
      </c>
      <c r="AA127">
        <v>361.98610583655676</v>
      </c>
    </row>
    <row r="128" spans="1:27" x14ac:dyDescent="0.2">
      <c r="A128" t="s">
        <v>134</v>
      </c>
      <c r="B128" t="s">
        <v>135</v>
      </c>
      <c r="C128">
        <v>65.00220041345203</v>
      </c>
      <c r="D128">
        <v>70.939093315247518</v>
      </c>
      <c r="E128">
        <v>73.776657047857412</v>
      </c>
      <c r="F128">
        <v>78.171358595329465</v>
      </c>
      <c r="G128">
        <v>95.710997748603901</v>
      </c>
      <c r="H128">
        <v>99.539437658548053</v>
      </c>
      <c r="I128">
        <v>104.886194689295</v>
      </c>
      <c r="J128">
        <v>124.38590467630591</v>
      </c>
      <c r="K128">
        <v>129.36134086335815</v>
      </c>
      <c r="L128">
        <v>155.84725639420367</v>
      </c>
      <c r="M128">
        <v>169.54709047514424</v>
      </c>
      <c r="N128">
        <v>181.72459899301069</v>
      </c>
      <c r="O128">
        <v>181.72459899301069</v>
      </c>
      <c r="P128">
        <v>181.72459899301069</v>
      </c>
      <c r="Q128">
        <v>192.38087793452948</v>
      </c>
      <c r="R128">
        <v>192.38087793452948</v>
      </c>
      <c r="S128">
        <v>204.25151016898289</v>
      </c>
      <c r="T128">
        <v>204.25151016898289</v>
      </c>
      <c r="U128">
        <v>215.21137743373532</v>
      </c>
      <c r="V128">
        <v>215.21137743373532</v>
      </c>
      <c r="W128">
        <v>224.64782314868719</v>
      </c>
      <c r="X128">
        <v>224.64782314868719</v>
      </c>
      <c r="Y128">
        <v>224.64782314868719</v>
      </c>
      <c r="Z128">
        <v>224.64782314868719</v>
      </c>
      <c r="AA128">
        <v>224.64782314868719</v>
      </c>
    </row>
    <row r="129" spans="1:27" x14ac:dyDescent="0.2">
      <c r="A129" t="s">
        <v>48</v>
      </c>
      <c r="B129" t="s">
        <v>49</v>
      </c>
      <c r="C129">
        <v>241.52051891666932</v>
      </c>
      <c r="D129">
        <v>263.57948684812413</v>
      </c>
      <c r="E129">
        <v>274.12266632204904</v>
      </c>
      <c r="F129">
        <v>290.45150736863133</v>
      </c>
      <c r="G129">
        <v>355.62134351210597</v>
      </c>
      <c r="H129">
        <v>369.84619725259023</v>
      </c>
      <c r="I129">
        <v>389.7124713844442</v>
      </c>
      <c r="J129">
        <v>462.16509675453557</v>
      </c>
      <c r="K129">
        <v>480.65170062471697</v>
      </c>
      <c r="L129">
        <v>579.06209323150415</v>
      </c>
      <c r="M129">
        <v>629.96484752682329</v>
      </c>
      <c r="N129">
        <v>675.21128776484647</v>
      </c>
      <c r="O129">
        <v>675.21128776484647</v>
      </c>
      <c r="P129">
        <v>675.21128776484647</v>
      </c>
      <c r="Q129">
        <v>714.8054861659175</v>
      </c>
      <c r="R129">
        <v>714.8054861659175</v>
      </c>
      <c r="S129">
        <v>758.91170470772568</v>
      </c>
      <c r="T129">
        <v>758.91170470772568</v>
      </c>
      <c r="U129">
        <v>799.63390814398088</v>
      </c>
      <c r="V129">
        <v>799.63390814398088</v>
      </c>
      <c r="W129">
        <v>834.69572530259654</v>
      </c>
      <c r="X129">
        <v>834.69572530259654</v>
      </c>
      <c r="Y129">
        <v>834.69572530259654</v>
      </c>
      <c r="Z129">
        <v>834.69572530259654</v>
      </c>
      <c r="AA129">
        <v>834.69572530259654</v>
      </c>
    </row>
    <row r="130" spans="1:27" x14ac:dyDescent="0.2">
      <c r="A130" t="s">
        <v>16</v>
      </c>
      <c r="B130" t="s">
        <v>17</v>
      </c>
      <c r="C130">
        <v>1283.3073391165276</v>
      </c>
      <c r="D130">
        <v>1400.5165748648956</v>
      </c>
      <c r="E130">
        <v>1456.5372378594914</v>
      </c>
      <c r="F130">
        <v>1543.29972764023</v>
      </c>
      <c r="G130">
        <v>1889.576430700801</v>
      </c>
      <c r="H130">
        <v>1965.1594879288332</v>
      </c>
      <c r="I130">
        <v>2070.7179535559517</v>
      </c>
      <c r="J130">
        <v>2455.6913971902736</v>
      </c>
      <c r="K130">
        <v>2553.9190530778847</v>
      </c>
      <c r="L130">
        <v>3076.8178098547464</v>
      </c>
      <c r="M130">
        <v>3347.2870787244719</v>
      </c>
      <c r="N130">
        <v>3587.7018024373933</v>
      </c>
      <c r="O130">
        <v>3587.7018024373933</v>
      </c>
      <c r="P130">
        <v>3587.7018024373933</v>
      </c>
      <c r="Q130">
        <v>3798.0836185350208</v>
      </c>
      <c r="R130">
        <v>3798.0836185350208</v>
      </c>
      <c r="S130">
        <v>4032.4398306252619</v>
      </c>
      <c r="T130">
        <v>4032.4398306252619</v>
      </c>
      <c r="U130">
        <v>4248.8152457210417</v>
      </c>
      <c r="V130">
        <v>4248.8152457210417</v>
      </c>
      <c r="W130">
        <v>4435.1144781185094</v>
      </c>
      <c r="X130">
        <v>4435.1144781185094</v>
      </c>
      <c r="Y130">
        <v>4435.1144781185094</v>
      </c>
      <c r="Z130">
        <v>4435.1144781185094</v>
      </c>
      <c r="AA130">
        <v>4435.1144781185094</v>
      </c>
    </row>
    <row r="131" spans="1:27" x14ac:dyDescent="0.2">
      <c r="A131" t="s">
        <v>176</v>
      </c>
      <c r="B131" t="s">
        <v>177</v>
      </c>
      <c r="C131">
        <v>28.386689800662182</v>
      </c>
      <c r="D131">
        <v>30.979351835348393</v>
      </c>
      <c r="E131">
        <v>32.218525908762324</v>
      </c>
      <c r="F131">
        <v>34.137707548785123</v>
      </c>
      <c r="G131">
        <v>41.797329726075489</v>
      </c>
      <c r="H131">
        <v>43.469222915118507</v>
      </c>
      <c r="I131">
        <v>45.804170536982603</v>
      </c>
      <c r="J131">
        <v>54.319762548997041</v>
      </c>
      <c r="K131">
        <v>56.492553050956914</v>
      </c>
      <c r="L131">
        <v>68.059045623184673</v>
      </c>
      <c r="M131">
        <v>74.041811404998413</v>
      </c>
      <c r="N131">
        <v>79.359772253136995</v>
      </c>
      <c r="O131">
        <v>79.359772253136995</v>
      </c>
      <c r="P131">
        <v>79.359772253136995</v>
      </c>
      <c r="Q131">
        <v>84.013406788862994</v>
      </c>
      <c r="R131">
        <v>84.013406788862994</v>
      </c>
      <c r="S131">
        <v>89.197353683488984</v>
      </c>
      <c r="T131">
        <v>89.197353683488984</v>
      </c>
      <c r="U131">
        <v>93.983566308939956</v>
      </c>
      <c r="V131">
        <v>93.983566308939956</v>
      </c>
      <c r="W131">
        <v>98.104495379453269</v>
      </c>
      <c r="X131">
        <v>98.104495379453269</v>
      </c>
      <c r="Y131">
        <v>98.104495379453269</v>
      </c>
      <c r="Z131">
        <v>98.104495379453269</v>
      </c>
      <c r="AA131">
        <v>98.104495379453269</v>
      </c>
    </row>
    <row r="132" spans="1:27" x14ac:dyDescent="0.2">
      <c r="A132" t="s">
        <v>152</v>
      </c>
      <c r="B132" t="s">
        <v>153</v>
      </c>
      <c r="C132">
        <v>45.429963865378383</v>
      </c>
      <c r="D132">
        <v>49.579251555420548</v>
      </c>
      <c r="E132">
        <v>51.562421617637369</v>
      </c>
      <c r="F132">
        <v>54.633873525894018</v>
      </c>
      <c r="G132">
        <v>66.892307361622002</v>
      </c>
      <c r="H132">
        <v>69.567999656086883</v>
      </c>
      <c r="I132">
        <v>73.304842057710005</v>
      </c>
      <c r="J132">
        <v>86.933167167638686</v>
      </c>
      <c r="K132">
        <v>90.410493854344224</v>
      </c>
      <c r="L132">
        <v>108.92147006521672</v>
      </c>
      <c r="M132">
        <v>118.49626850742466</v>
      </c>
      <c r="N132">
        <v>127.00711534673444</v>
      </c>
      <c r="O132">
        <v>127.00711534673444</v>
      </c>
      <c r="P132">
        <v>127.00711534673444</v>
      </c>
      <c r="Q132">
        <v>134.45477656702147</v>
      </c>
      <c r="R132">
        <v>134.45477656702147</v>
      </c>
      <c r="S132">
        <v>142.75114792122585</v>
      </c>
      <c r="T132">
        <v>142.75114792122585</v>
      </c>
      <c r="U132">
        <v>150.41098667499219</v>
      </c>
      <c r="V132">
        <v>150.41098667499219</v>
      </c>
      <c r="W132">
        <v>157.006107841985</v>
      </c>
      <c r="X132">
        <v>157.006107841985</v>
      </c>
      <c r="Y132">
        <v>157.006107841985</v>
      </c>
      <c r="Z132">
        <v>157.006107841985</v>
      </c>
      <c r="AA132">
        <v>157.006107841985</v>
      </c>
    </row>
    <row r="133" spans="1:27" x14ac:dyDescent="0.2">
      <c r="A133" t="s">
        <v>182</v>
      </c>
      <c r="B133" t="s">
        <v>183</v>
      </c>
      <c r="C133">
        <v>26.489775433600048</v>
      </c>
      <c r="D133">
        <v>28.909185218831723</v>
      </c>
      <c r="E133">
        <v>30.065552627584992</v>
      </c>
      <c r="F133">
        <v>31.856486724427317</v>
      </c>
      <c r="G133">
        <v>39.004261713602389</v>
      </c>
      <c r="H133">
        <v>40.56443218214649</v>
      </c>
      <c r="I133">
        <v>42.743349082522649</v>
      </c>
      <c r="J133">
        <v>50.689894511611698</v>
      </c>
      <c r="K133">
        <v>52.717490292076157</v>
      </c>
      <c r="L133">
        <v>63.511062665053899</v>
      </c>
      <c r="M133">
        <v>69.094035640944014</v>
      </c>
      <c r="N133">
        <v>74.056628659753216</v>
      </c>
      <c r="O133">
        <v>74.056628659753216</v>
      </c>
      <c r="P133">
        <v>74.056628659753216</v>
      </c>
      <c r="Q133">
        <v>78.39928835931957</v>
      </c>
      <c r="R133">
        <v>78.39928835931957</v>
      </c>
      <c r="S133">
        <v>83.236822783468867</v>
      </c>
      <c r="T133">
        <v>83.236822783468867</v>
      </c>
      <c r="U133">
        <v>87.703201164180953</v>
      </c>
      <c r="V133">
        <v>87.703201164180953</v>
      </c>
      <c r="W133">
        <v>91.548752949974059</v>
      </c>
      <c r="X133">
        <v>91.548752949974059</v>
      </c>
      <c r="Y133">
        <v>91.548752949974059</v>
      </c>
      <c r="Z133">
        <v>91.548752949974059</v>
      </c>
      <c r="AA133">
        <v>91.548752949974059</v>
      </c>
    </row>
    <row r="134" spans="1:27" x14ac:dyDescent="0.2">
      <c r="A134" t="s">
        <v>148</v>
      </c>
      <c r="B134" t="s">
        <v>149</v>
      </c>
      <c r="C134">
        <v>47.063541085147918</v>
      </c>
      <c r="D134">
        <v>51.362029462842152</v>
      </c>
      <c r="E134">
        <v>53.416510641355842</v>
      </c>
      <c r="F134">
        <v>56.598406262132563</v>
      </c>
      <c r="G134">
        <v>69.297630636973409</v>
      </c>
      <c r="H134">
        <v>72.069535862452355</v>
      </c>
      <c r="I134">
        <v>75.94074818431686</v>
      </c>
      <c r="J134">
        <v>90.059122582181672</v>
      </c>
      <c r="K134">
        <v>93.661487485468925</v>
      </c>
      <c r="L134">
        <v>112.83808405966339</v>
      </c>
      <c r="M134">
        <v>122.757174490864</v>
      </c>
      <c r="N134">
        <v>131.57405559334956</v>
      </c>
      <c r="O134">
        <v>131.57405559334956</v>
      </c>
      <c r="P134">
        <v>131.57405559334956</v>
      </c>
      <c r="Q134">
        <v>139.28952089435464</v>
      </c>
      <c r="R134">
        <v>139.28952089435464</v>
      </c>
      <c r="S134">
        <v>147.88421437118137</v>
      </c>
      <c r="T134">
        <v>147.88421437118137</v>
      </c>
      <c r="U134">
        <v>155.81948671614182</v>
      </c>
      <c r="V134">
        <v>155.81948671614182</v>
      </c>
      <c r="W134">
        <v>162.65175620515285</v>
      </c>
      <c r="X134">
        <v>162.65175620515285</v>
      </c>
      <c r="Y134">
        <v>162.65175620515285</v>
      </c>
      <c r="Z134">
        <v>162.65175620515285</v>
      </c>
      <c r="AA134">
        <v>162.65175620515285</v>
      </c>
    </row>
    <row r="135" spans="1:27" x14ac:dyDescent="0.2">
      <c r="A135" t="s">
        <v>146</v>
      </c>
      <c r="B135" t="s">
        <v>147</v>
      </c>
      <c r="C135">
        <v>52.047991007042341</v>
      </c>
      <c r="D135">
        <v>56.801727748213914</v>
      </c>
      <c r="E135">
        <v>59.073796858142465</v>
      </c>
      <c r="F135">
        <v>62.592683682997162</v>
      </c>
      <c r="G135">
        <v>76.636869496858807</v>
      </c>
      <c r="H135">
        <v>79.702344276733172</v>
      </c>
      <c r="I135">
        <v>83.983552606344816</v>
      </c>
      <c r="J135">
        <v>99.597189123084078</v>
      </c>
      <c r="K135">
        <v>103.58107668800744</v>
      </c>
      <c r="L135">
        <v>124.78864634864074</v>
      </c>
      <c r="M135">
        <v>135.75825716961847</v>
      </c>
      <c r="N135">
        <v>145.50892483616914</v>
      </c>
      <c r="O135">
        <v>145.50892483616914</v>
      </c>
      <c r="P135">
        <v>145.50892483616914</v>
      </c>
      <c r="Q135">
        <v>154.04152691715848</v>
      </c>
      <c r="R135">
        <v>154.04152691715848</v>
      </c>
      <c r="S135">
        <v>163.5464753013193</v>
      </c>
      <c r="T135">
        <v>163.5464753013193</v>
      </c>
      <c r="U135">
        <v>172.32216395810147</v>
      </c>
      <c r="V135">
        <v>172.32216395810147</v>
      </c>
      <c r="W135">
        <v>179.87803189159092</v>
      </c>
      <c r="X135">
        <v>179.87803189159092</v>
      </c>
      <c r="Y135">
        <v>179.87803189159092</v>
      </c>
      <c r="Z135">
        <v>179.87803189159092</v>
      </c>
      <c r="AA135">
        <v>179.87803189159092</v>
      </c>
    </row>
    <row r="136" spans="1:27" x14ac:dyDescent="0.2">
      <c r="A136" t="s">
        <v>90</v>
      </c>
      <c r="B136" t="s">
        <v>91</v>
      </c>
      <c r="C136">
        <v>106.40376492949763</v>
      </c>
      <c r="D136">
        <v>116.12201681506794</v>
      </c>
      <c r="E136">
        <v>120.76689748767065</v>
      </c>
      <c r="F136">
        <v>127.96069688858671</v>
      </c>
      <c r="G136">
        <v>156.6717809679343</v>
      </c>
      <c r="H136">
        <v>162.93865220665168</v>
      </c>
      <c r="I136">
        <v>171.69089558635426</v>
      </c>
      <c r="J136">
        <v>203.61046976159872</v>
      </c>
      <c r="K136">
        <v>211.75488855206265</v>
      </c>
      <c r="L136">
        <v>255.11036132315672</v>
      </c>
      <c r="M136">
        <v>277.53597023869503</v>
      </c>
      <c r="N136">
        <v>297.46964549153876</v>
      </c>
      <c r="O136">
        <v>297.46964549153876</v>
      </c>
      <c r="P136">
        <v>297.46964549153876</v>
      </c>
      <c r="Q136">
        <v>314.91318113040109</v>
      </c>
      <c r="R136">
        <v>314.91318113040109</v>
      </c>
      <c r="S136">
        <v>334.3445227435368</v>
      </c>
      <c r="T136">
        <v>334.3445227435368</v>
      </c>
      <c r="U136">
        <v>352.28500987596743</v>
      </c>
      <c r="V136">
        <v>352.28500987596743</v>
      </c>
      <c r="W136">
        <v>367.73176929699025</v>
      </c>
      <c r="X136">
        <v>367.73176929699025</v>
      </c>
      <c r="Y136">
        <v>367.73176929699025</v>
      </c>
      <c r="Z136">
        <v>367.73176929699025</v>
      </c>
      <c r="AA136">
        <v>367.73176929699025</v>
      </c>
    </row>
    <row r="137" spans="1:27" x14ac:dyDescent="0.2">
      <c r="A137" t="s">
        <v>98</v>
      </c>
      <c r="B137" t="s">
        <v>99</v>
      </c>
      <c r="C137">
        <v>100.6524459959974</v>
      </c>
      <c r="D137">
        <v>109.84540851697578</v>
      </c>
      <c r="E137">
        <v>114.2392248576548</v>
      </c>
      <c r="F137">
        <v>121.04418618760874</v>
      </c>
      <c r="G137">
        <v>148.20338343685893</v>
      </c>
      <c r="H137">
        <v>154.1315187743333</v>
      </c>
      <c r="I137">
        <v>162.41068732351988</v>
      </c>
      <c r="J137">
        <v>192.60494988573083</v>
      </c>
      <c r="K137">
        <v>200.30914788116004</v>
      </c>
      <c r="L137">
        <v>241.32117771501905</v>
      </c>
      <c r="M137">
        <v>262.53464127802533</v>
      </c>
      <c r="N137">
        <v>281.39086476991031</v>
      </c>
      <c r="O137">
        <v>281.39086476991031</v>
      </c>
      <c r="P137">
        <v>281.39086476991031</v>
      </c>
      <c r="Q137">
        <v>297.89154526775906</v>
      </c>
      <c r="R137">
        <v>297.89154526775906</v>
      </c>
      <c r="S137">
        <v>316.27258717583283</v>
      </c>
      <c r="T137">
        <v>316.27258717583283</v>
      </c>
      <c r="U137">
        <v>333.24335802623773</v>
      </c>
      <c r="V137">
        <v>333.24335802623773</v>
      </c>
      <c r="W137">
        <v>347.85519172843652</v>
      </c>
      <c r="X137">
        <v>347.85519172843652</v>
      </c>
      <c r="Y137">
        <v>347.85519172843652</v>
      </c>
      <c r="Z137">
        <v>347.85519172843652</v>
      </c>
      <c r="AA137">
        <v>347.85519172843652</v>
      </c>
    </row>
    <row r="138" spans="1:27" x14ac:dyDescent="0.2">
      <c r="A138" t="s">
        <v>122</v>
      </c>
      <c r="B138" t="s">
        <v>123</v>
      </c>
      <c r="C138">
        <v>76.77219326039716</v>
      </c>
      <c r="D138">
        <v>83.784083416789457</v>
      </c>
      <c r="E138">
        <v>87.135446753461011</v>
      </c>
      <c r="F138">
        <v>92.325899913173899</v>
      </c>
      <c r="G138">
        <v>113.04145351332781</v>
      </c>
      <c r="H138">
        <v>117.56311165386093</v>
      </c>
      <c r="I138">
        <v>123.87800963377521</v>
      </c>
      <c r="J138">
        <v>146.90854543290936</v>
      </c>
      <c r="K138">
        <v>152.78488725022572</v>
      </c>
      <c r="L138">
        <v>184.06662560491415</v>
      </c>
      <c r="M138">
        <v>200.24709800442517</v>
      </c>
      <c r="N138">
        <v>214.62959631090251</v>
      </c>
      <c r="O138">
        <v>214.62959631090251</v>
      </c>
      <c r="P138">
        <v>214.62959631090251</v>
      </c>
      <c r="Q138">
        <v>227.21541496213817</v>
      </c>
      <c r="R138">
        <v>227.21541496213817</v>
      </c>
      <c r="S138">
        <v>241.23547068686656</v>
      </c>
      <c r="T138">
        <v>241.23547068686656</v>
      </c>
      <c r="U138">
        <v>254.17984860647533</v>
      </c>
      <c r="V138">
        <v>254.17984860647533</v>
      </c>
      <c r="W138">
        <v>265.3249579952585</v>
      </c>
      <c r="X138">
        <v>265.3249579952585</v>
      </c>
      <c r="Y138">
        <v>265.3249579952585</v>
      </c>
      <c r="Z138">
        <v>265.3249579952585</v>
      </c>
      <c r="AA138">
        <v>265.3249579952585</v>
      </c>
    </row>
    <row r="139" spans="1:27" x14ac:dyDescent="0.2">
      <c r="A139" t="s">
        <v>186</v>
      </c>
      <c r="B139" t="s">
        <v>187</v>
      </c>
      <c r="C139">
        <v>26.342945680560618</v>
      </c>
      <c r="D139">
        <v>28.748944957947213</v>
      </c>
      <c r="E139">
        <v>29.898902756265098</v>
      </c>
      <c r="F139">
        <v>31.679909913114731</v>
      </c>
      <c r="G139">
        <v>38.78806561449808</v>
      </c>
      <c r="H139">
        <v>40.339588239078012</v>
      </c>
      <c r="I139">
        <v>42.506427655778332</v>
      </c>
      <c r="J139">
        <v>50.408926305165743</v>
      </c>
      <c r="K139">
        <v>52.425283357372372</v>
      </c>
      <c r="L139">
        <v>63.159028210486447</v>
      </c>
      <c r="M139">
        <v>68.711055414664358</v>
      </c>
      <c r="N139">
        <v>73.646141355914011</v>
      </c>
      <c r="O139">
        <v>73.646141355914011</v>
      </c>
      <c r="P139">
        <v>73.646141355914011</v>
      </c>
      <c r="Q139">
        <v>77.964730196411764</v>
      </c>
      <c r="R139">
        <v>77.964730196411764</v>
      </c>
      <c r="S139">
        <v>82.775450728287865</v>
      </c>
      <c r="T139">
        <v>82.775450728287865</v>
      </c>
      <c r="U139">
        <v>87.217072491630177</v>
      </c>
      <c r="V139">
        <v>87.217072491630177</v>
      </c>
      <c r="W139">
        <v>91.041308829867916</v>
      </c>
      <c r="X139">
        <v>91.041308829867916</v>
      </c>
      <c r="Y139">
        <v>91.041308829867916</v>
      </c>
      <c r="Z139">
        <v>91.041308829867916</v>
      </c>
      <c r="AA139">
        <v>91.041308829867916</v>
      </c>
    </row>
    <row r="140" spans="1:27" x14ac:dyDescent="0.2">
      <c r="A140" t="s">
        <v>28</v>
      </c>
      <c r="B140" t="s">
        <v>29</v>
      </c>
      <c r="C140">
        <v>518.44498112607062</v>
      </c>
      <c r="D140">
        <v>565.79649090329792</v>
      </c>
      <c r="E140">
        <v>588.42835053942986</v>
      </c>
      <c r="F140">
        <v>623.47964028565127</v>
      </c>
      <c r="G140">
        <v>763.37241056017274</v>
      </c>
      <c r="H140">
        <v>793.90730698257971</v>
      </c>
      <c r="I140">
        <v>836.55200716595414</v>
      </c>
      <c r="J140">
        <v>992.07792339459309</v>
      </c>
      <c r="K140">
        <v>1031.7610403303765</v>
      </c>
      <c r="L140">
        <v>1243.0075810652379</v>
      </c>
      <c r="M140">
        <v>1352.2748085797955</v>
      </c>
      <c r="N140">
        <v>1449.4002617729352</v>
      </c>
      <c r="O140">
        <v>1449.4002617729352</v>
      </c>
      <c r="P140">
        <v>1449.4002617729352</v>
      </c>
      <c r="Q140">
        <v>1534.3926820228587</v>
      </c>
      <c r="R140">
        <v>1534.3926820228587</v>
      </c>
      <c r="S140">
        <v>1629.0705493196729</v>
      </c>
      <c r="T140">
        <v>1629.0705493196729</v>
      </c>
      <c r="U140">
        <v>1716.4843313313188</v>
      </c>
      <c r="V140">
        <v>1716.4843313313188</v>
      </c>
      <c r="W140">
        <v>1791.7475976433461</v>
      </c>
      <c r="X140">
        <v>1791.7475976433461</v>
      </c>
      <c r="Y140">
        <v>1791.7475976433461</v>
      </c>
      <c r="Z140">
        <v>1791.7475976433461</v>
      </c>
      <c r="AA140">
        <v>1791.7475976433461</v>
      </c>
    </row>
    <row r="141" spans="1:27" x14ac:dyDescent="0.2">
      <c r="A141" t="s">
        <v>56</v>
      </c>
      <c r="B141" t="s">
        <v>57</v>
      </c>
      <c r="C141">
        <v>207.97545999772581</v>
      </c>
      <c r="D141">
        <v>226.97063284348422</v>
      </c>
      <c r="E141">
        <v>236.0494581572236</v>
      </c>
      <c r="F141">
        <v>250.11036794296481</v>
      </c>
      <c r="G141">
        <v>306.22869159807391</v>
      </c>
      <c r="H141">
        <v>318.47783926199691</v>
      </c>
      <c r="I141">
        <v>335.58486403796962</v>
      </c>
      <c r="J141">
        <v>397.97446206043259</v>
      </c>
      <c r="K141">
        <v>413.89344054284982</v>
      </c>
      <c r="L141">
        <v>498.63550205694833</v>
      </c>
      <c r="M141">
        <v>542.46831505025273</v>
      </c>
      <c r="N141">
        <v>581.43042586374111</v>
      </c>
      <c r="O141">
        <v>581.43042586374111</v>
      </c>
      <c r="P141">
        <v>581.43042586374111</v>
      </c>
      <c r="Q141">
        <v>615.52534112245291</v>
      </c>
      <c r="R141">
        <v>615.52534112245291</v>
      </c>
      <c r="S141">
        <v>653.50559692489151</v>
      </c>
      <c r="T141">
        <v>653.50559692489151</v>
      </c>
      <c r="U141">
        <v>688.57184731953487</v>
      </c>
      <c r="V141">
        <v>688.57184731953487</v>
      </c>
      <c r="W141">
        <v>718.76388890932287</v>
      </c>
      <c r="X141">
        <v>718.76388890932287</v>
      </c>
      <c r="Y141">
        <v>718.76388890932287</v>
      </c>
      <c r="Z141">
        <v>718.76388890932287</v>
      </c>
      <c r="AA141">
        <v>718.76388890932287</v>
      </c>
    </row>
    <row r="142" spans="1:27" x14ac:dyDescent="0.2">
      <c r="A142" t="s">
        <v>74</v>
      </c>
      <c r="B142" t="s">
        <v>75</v>
      </c>
      <c r="C142">
        <v>152.4865951041989</v>
      </c>
      <c r="D142">
        <v>166.41376338980868</v>
      </c>
      <c r="E142">
        <v>173.07031392540102</v>
      </c>
      <c r="F142">
        <v>183.37970454926807</v>
      </c>
      <c r="G142">
        <v>224.5253863389205</v>
      </c>
      <c r="H142">
        <v>233.50640179247733</v>
      </c>
      <c r="I142">
        <v>246.04918910247909</v>
      </c>
      <c r="J142">
        <v>291.79293873750368</v>
      </c>
      <c r="K142">
        <v>303.46465628700378</v>
      </c>
      <c r="L142">
        <v>365.59712337007574</v>
      </c>
      <c r="M142">
        <v>397.73512853309433</v>
      </c>
      <c r="N142">
        <v>426.30195856239817</v>
      </c>
      <c r="O142">
        <v>426.30195856239817</v>
      </c>
      <c r="P142">
        <v>426.30195856239817</v>
      </c>
      <c r="Q142">
        <v>451.30018449840054</v>
      </c>
      <c r="R142">
        <v>451.30018449840054</v>
      </c>
      <c r="S142">
        <v>479.14712321205297</v>
      </c>
      <c r="T142">
        <v>479.14712321205297</v>
      </c>
      <c r="U142">
        <v>504.85752734246779</v>
      </c>
      <c r="V142">
        <v>504.85752734246779</v>
      </c>
      <c r="W142">
        <v>526.99418529875493</v>
      </c>
      <c r="X142">
        <v>526.99418529875493</v>
      </c>
      <c r="Y142">
        <v>526.99418529875493</v>
      </c>
      <c r="Z142">
        <v>526.99418529875493</v>
      </c>
      <c r="AA142">
        <v>526.99418529875493</v>
      </c>
    </row>
    <row r="143" spans="1:27" x14ac:dyDescent="0.2">
      <c r="A143" t="s">
        <v>46</v>
      </c>
      <c r="B143" t="s">
        <v>47</v>
      </c>
      <c r="C143">
        <v>245.99663032459657</v>
      </c>
      <c r="D143">
        <v>268.46441817101334</v>
      </c>
      <c r="E143">
        <v>279.2029948978539</v>
      </c>
      <c r="F143">
        <v>295.83445914189645</v>
      </c>
      <c r="G143">
        <v>362.21209099698598</v>
      </c>
      <c r="H143">
        <v>376.70057463686544</v>
      </c>
      <c r="I143">
        <v>396.93503138390037</v>
      </c>
      <c r="J143">
        <v>470.73042474905901</v>
      </c>
      <c r="K143">
        <v>489.55964173902134</v>
      </c>
      <c r="L143">
        <v>589.79387889111547</v>
      </c>
      <c r="M143">
        <v>641.64001638310117</v>
      </c>
      <c r="N143">
        <v>687.72501107697735</v>
      </c>
      <c r="O143">
        <v>687.72501107697735</v>
      </c>
      <c r="P143">
        <v>687.72501107697735</v>
      </c>
      <c r="Q143">
        <v>728.05301066374363</v>
      </c>
      <c r="R143">
        <v>728.05301066374363</v>
      </c>
      <c r="S143">
        <v>772.97665187779955</v>
      </c>
      <c r="T143">
        <v>772.97665187779955</v>
      </c>
      <c r="U143">
        <v>814.45356187138805</v>
      </c>
      <c r="V143">
        <v>814.45356187138805</v>
      </c>
      <c r="W143">
        <v>850.16518137586786</v>
      </c>
      <c r="X143">
        <v>850.16518137586786</v>
      </c>
      <c r="Y143">
        <v>850.16518137586786</v>
      </c>
      <c r="Z143">
        <v>850.16518137586786</v>
      </c>
      <c r="AA143">
        <v>850.16518137586786</v>
      </c>
    </row>
    <row r="144" spans="1:27" x14ac:dyDescent="0.2">
      <c r="A144" t="s">
        <v>320</v>
      </c>
      <c r="B144" t="s">
        <v>321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60</v>
      </c>
      <c r="B145" t="s">
        <v>61</v>
      </c>
      <c r="C145">
        <v>204.16955843842928</v>
      </c>
      <c r="D145">
        <v>222.81712412922059</v>
      </c>
      <c r="E145">
        <v>231.7298090943894</v>
      </c>
      <c r="F145">
        <v>245.53340756811684</v>
      </c>
      <c r="G145">
        <v>300.62477921885767</v>
      </c>
      <c r="H145">
        <v>312.64977038761197</v>
      </c>
      <c r="I145">
        <v>329.44374067018191</v>
      </c>
      <c r="J145">
        <v>390.69162385571093</v>
      </c>
      <c r="K145">
        <v>406.31928880993928</v>
      </c>
      <c r="L145">
        <v>489.51059071010042</v>
      </c>
      <c r="M145">
        <v>532.54127362843633</v>
      </c>
      <c r="N145">
        <v>570.7903870608867</v>
      </c>
      <c r="O145">
        <v>570.7903870608867</v>
      </c>
      <c r="P145">
        <v>570.7903870608867</v>
      </c>
      <c r="Q145">
        <v>604.2613734620852</v>
      </c>
      <c r="R145">
        <v>604.2613734620852</v>
      </c>
      <c r="S145">
        <v>641.54659959716514</v>
      </c>
      <c r="T145">
        <v>641.54659959716514</v>
      </c>
      <c r="U145">
        <v>675.9711459318338</v>
      </c>
      <c r="V145">
        <v>675.9711459318338</v>
      </c>
      <c r="W145">
        <v>705.61068032598359</v>
      </c>
      <c r="X145">
        <v>705.61068032598359</v>
      </c>
      <c r="Y145">
        <v>705.61068032598359</v>
      </c>
      <c r="Z145">
        <v>705.61068032598359</v>
      </c>
      <c r="AA145">
        <v>705.61068032598359</v>
      </c>
    </row>
    <row r="146" spans="1:27" x14ac:dyDescent="0.2">
      <c r="A146" t="s">
        <v>52</v>
      </c>
      <c r="B146" t="s">
        <v>53</v>
      </c>
      <c r="C146">
        <v>216.05048164894094</v>
      </c>
      <c r="D146">
        <v>235.78317627731616</v>
      </c>
      <c r="E146">
        <v>245.2145033284088</v>
      </c>
      <c r="F146">
        <v>259.82135325034147</v>
      </c>
      <c r="G146">
        <v>318.11857185079589</v>
      </c>
      <c r="H146">
        <v>330.84331472482774</v>
      </c>
      <c r="I146">
        <v>348.61455053538771</v>
      </c>
      <c r="J146">
        <v>413.42653702064098</v>
      </c>
      <c r="K146">
        <v>429.96359850146655</v>
      </c>
      <c r="L146">
        <v>517.99592311440585</v>
      </c>
      <c r="M146">
        <v>563.53062398408986</v>
      </c>
      <c r="N146">
        <v>604.00550889313445</v>
      </c>
      <c r="O146">
        <v>604.00550889313445</v>
      </c>
      <c r="P146">
        <v>604.00550889313445</v>
      </c>
      <c r="Q146">
        <v>639.42422061760931</v>
      </c>
      <c r="R146">
        <v>639.42422061760931</v>
      </c>
      <c r="S146">
        <v>678.87912822717328</v>
      </c>
      <c r="T146">
        <v>678.87912822717328</v>
      </c>
      <c r="U146">
        <v>715.30688892292028</v>
      </c>
      <c r="V146">
        <v>715.30688892292028</v>
      </c>
      <c r="W146">
        <v>746.67119088195875</v>
      </c>
      <c r="X146">
        <v>746.67119088195875</v>
      </c>
      <c r="Y146">
        <v>746.67119088195875</v>
      </c>
      <c r="Z146">
        <v>746.67119088195875</v>
      </c>
      <c r="AA146">
        <v>746.67119088195875</v>
      </c>
    </row>
    <row r="147" spans="1:27" x14ac:dyDescent="0.2">
      <c r="A147" t="s">
        <v>308</v>
      </c>
      <c r="B147" t="s">
        <v>309</v>
      </c>
      <c r="C147">
        <v>2.4191999128970933E-2</v>
      </c>
      <c r="D147">
        <v>2.6401544451982912E-2</v>
      </c>
      <c r="E147">
        <v>2.7457606230062225E-2</v>
      </c>
      <c r="F147">
        <v>2.9093191107686298E-2</v>
      </c>
      <c r="G147">
        <v>3.5620953743713428E-2</v>
      </c>
      <c r="H147">
        <v>3.7045791893461966E-2</v>
      </c>
      <c r="I147">
        <v>3.9035705167288319E-2</v>
      </c>
      <c r="J147">
        <v>4.6292951291579974E-2</v>
      </c>
      <c r="K147">
        <v>4.8144669343243171E-2</v>
      </c>
      <c r="L147">
        <v>5.800198557833499E-2</v>
      </c>
      <c r="M147">
        <v>6.3100680269362289E-2</v>
      </c>
      <c r="N147">
        <v>6.7632808006322639E-2</v>
      </c>
      <c r="O147">
        <v>6.7632808006322639E-2</v>
      </c>
      <c r="P147">
        <v>6.7632808006322639E-2</v>
      </c>
      <c r="Q147">
        <v>7.159877668479131E-2</v>
      </c>
      <c r="R147">
        <v>7.159877668479131E-2</v>
      </c>
      <c r="S147">
        <v>7.6016693660672652E-2</v>
      </c>
      <c r="T147">
        <v>7.6016693660672652E-2</v>
      </c>
      <c r="U147">
        <v>8.009564941349448E-2</v>
      </c>
      <c r="V147">
        <v>8.009564941349448E-2</v>
      </c>
      <c r="W147">
        <v>8.3607630316674092E-2</v>
      </c>
      <c r="X147">
        <v>8.3607630316674092E-2</v>
      </c>
      <c r="Y147">
        <v>8.3607630316674092E-2</v>
      </c>
      <c r="Z147">
        <v>8.3607630316674092E-2</v>
      </c>
      <c r="AA147">
        <v>8.3607630316674092E-2</v>
      </c>
    </row>
    <row r="148" spans="1:27" x14ac:dyDescent="0.2">
      <c r="A148" t="s">
        <v>8</v>
      </c>
      <c r="B148" t="s">
        <v>9</v>
      </c>
      <c r="C148">
        <v>1982.8662649716075</v>
      </c>
      <c r="D148">
        <v>2163.9688211749735</v>
      </c>
      <c r="E148">
        <v>2250.5275740219722</v>
      </c>
      <c r="F148">
        <v>2384.5861964635828</v>
      </c>
      <c r="G148">
        <v>2919.6259113592291</v>
      </c>
      <c r="H148">
        <v>3036.4109478135983</v>
      </c>
      <c r="I148">
        <v>3199.5116440336265</v>
      </c>
      <c r="J148">
        <v>3794.3425399731473</v>
      </c>
      <c r="K148">
        <v>3946.1162415720728</v>
      </c>
      <c r="L148">
        <v>4754.0585584314376</v>
      </c>
      <c r="M148">
        <v>5171.9665471152111</v>
      </c>
      <c r="N148">
        <v>5543.4366000964446</v>
      </c>
      <c r="O148">
        <v>5543.4366000964446</v>
      </c>
      <c r="P148">
        <v>5543.4366000964446</v>
      </c>
      <c r="Q148">
        <v>5868.5021500142311</v>
      </c>
      <c r="R148">
        <v>5868.5021500142311</v>
      </c>
      <c r="S148">
        <v>6230.6110640489496</v>
      </c>
      <c r="T148">
        <v>6230.6110640489496</v>
      </c>
      <c r="U148">
        <v>6564.9374549959684</v>
      </c>
      <c r="V148">
        <v>6564.9374549959684</v>
      </c>
      <c r="W148">
        <v>6852.7924776013524</v>
      </c>
      <c r="X148">
        <v>6852.7924776013524</v>
      </c>
      <c r="Y148">
        <v>6852.7924776013524</v>
      </c>
      <c r="Z148">
        <v>6852.7924776013524</v>
      </c>
      <c r="AA148">
        <v>6852.7924776013524</v>
      </c>
    </row>
    <row r="149" spans="1:27" x14ac:dyDescent="0.2">
      <c r="A149" t="s">
        <v>88</v>
      </c>
      <c r="B149" t="s">
        <v>89</v>
      </c>
      <c r="C149">
        <v>110.99771886051467</v>
      </c>
      <c r="D149">
        <v>121.13555365729033</v>
      </c>
      <c r="E149">
        <v>125.98097580358196</v>
      </c>
      <c r="F149">
        <v>133.48536555868975</v>
      </c>
      <c r="G149">
        <v>163.43604297063675</v>
      </c>
      <c r="H149">
        <v>169.9734846894622</v>
      </c>
      <c r="I149">
        <v>179.1036038229602</v>
      </c>
      <c r="J149">
        <v>212.40129702769497</v>
      </c>
      <c r="K149">
        <v>220.89734890880277</v>
      </c>
      <c r="L149">
        <v>266.124682555307</v>
      </c>
      <c r="M149">
        <v>289.51851110387474</v>
      </c>
      <c r="N149">
        <v>310.31281742412568</v>
      </c>
      <c r="O149">
        <v>310.31281742412568</v>
      </c>
      <c r="P149">
        <v>310.31281742412568</v>
      </c>
      <c r="Q149">
        <v>328.50947302234357</v>
      </c>
      <c r="R149">
        <v>328.50947302234357</v>
      </c>
      <c r="S149">
        <v>348.77975758310669</v>
      </c>
      <c r="T149">
        <v>348.77975758310669</v>
      </c>
      <c r="U149">
        <v>367.49482042196092</v>
      </c>
      <c r="V149">
        <v>367.49482042196092</v>
      </c>
      <c r="W149">
        <v>383.60848952621438</v>
      </c>
      <c r="X149">
        <v>383.60848952621438</v>
      </c>
      <c r="Y149">
        <v>383.60848952621438</v>
      </c>
      <c r="Z149">
        <v>383.60848952621438</v>
      </c>
      <c r="AA149">
        <v>383.60848952621438</v>
      </c>
    </row>
    <row r="150" spans="1:27" x14ac:dyDescent="0.2">
      <c r="A150" t="s">
        <v>208</v>
      </c>
      <c r="B150" t="s">
        <v>209</v>
      </c>
      <c r="C150">
        <v>17.818232340604293</v>
      </c>
      <c r="D150">
        <v>19.445637819689956</v>
      </c>
      <c r="E150">
        <v>20.223463332477554</v>
      </c>
      <c r="F150">
        <v>21.428127370654718</v>
      </c>
      <c r="G150">
        <v>26.236047158224359</v>
      </c>
      <c r="H150">
        <v>27.285489044553334</v>
      </c>
      <c r="I150">
        <v>28.751128029643642</v>
      </c>
      <c r="J150">
        <v>34.09633728276085</v>
      </c>
      <c r="K150">
        <v>35.460190774071279</v>
      </c>
      <c r="L150">
        <v>42.720440329939542</v>
      </c>
      <c r="M150">
        <v>46.475802842735511</v>
      </c>
      <c r="N150">
        <v>49.813869473109577</v>
      </c>
      <c r="O150">
        <v>49.813869473109577</v>
      </c>
      <c r="P150">
        <v>49.813869473109577</v>
      </c>
      <c r="Q150">
        <v>52.734940650062789</v>
      </c>
      <c r="R150">
        <v>52.734940650062789</v>
      </c>
      <c r="S150">
        <v>55.988887160150249</v>
      </c>
      <c r="T150">
        <v>55.988887160150249</v>
      </c>
      <c r="U150">
        <v>58.993177170387014</v>
      </c>
      <c r="V150">
        <v>58.993177170387014</v>
      </c>
      <c r="W150">
        <v>61.579870869200874</v>
      </c>
      <c r="X150">
        <v>61.579870869200874</v>
      </c>
      <c r="Y150">
        <v>61.579870869200874</v>
      </c>
      <c r="Z150">
        <v>61.579870869200874</v>
      </c>
      <c r="AA150">
        <v>61.579870869200874</v>
      </c>
    </row>
    <row r="151" spans="1:27" x14ac:dyDescent="0.2">
      <c r="A151" t="s">
        <v>22</v>
      </c>
      <c r="B151" t="s">
        <v>23</v>
      </c>
      <c r="C151">
        <v>990.70399021377943</v>
      </c>
      <c r="D151">
        <v>1081.1886730378926</v>
      </c>
      <c r="E151">
        <v>1124.4362199594084</v>
      </c>
      <c r="F151">
        <v>1191.4162349617654</v>
      </c>
      <c r="G151">
        <v>1458.7393468800315</v>
      </c>
      <c r="H151">
        <v>1517.0889207552329</v>
      </c>
      <c r="I151">
        <v>1598.5792932560437</v>
      </c>
      <c r="J151">
        <v>1895.7760092020678</v>
      </c>
      <c r="K151">
        <v>1971.6070495701501</v>
      </c>
      <c r="L151">
        <v>2375.2811103553836</v>
      </c>
      <c r="M151">
        <v>2584.081431004925</v>
      </c>
      <c r="N151">
        <v>2769.6798600238894</v>
      </c>
      <c r="O151">
        <v>2769.6798600238894</v>
      </c>
      <c r="P151">
        <v>2769.6798600238894</v>
      </c>
      <c r="Q151">
        <v>2932.0931014379285</v>
      </c>
      <c r="R151">
        <v>2932.0931014379285</v>
      </c>
      <c r="S151">
        <v>3113.0144032743442</v>
      </c>
      <c r="T151">
        <v>3113.0144032743442</v>
      </c>
      <c r="U151">
        <v>3280.054659793977</v>
      </c>
      <c r="V151">
        <v>3280.054659793977</v>
      </c>
      <c r="W151">
        <v>3423.8763206573813</v>
      </c>
      <c r="X151">
        <v>3423.8763206573813</v>
      </c>
      <c r="Y151">
        <v>3423.8763206573813</v>
      </c>
      <c r="Z151">
        <v>3423.8763206573813</v>
      </c>
      <c r="AA151">
        <v>3423.8763206573813</v>
      </c>
    </row>
    <row r="152" spans="1:27" x14ac:dyDescent="0.2">
      <c r="A152" t="s">
        <v>40</v>
      </c>
      <c r="B152" t="s">
        <v>41</v>
      </c>
      <c r="C152">
        <v>287.37124908581427</v>
      </c>
      <c r="D152">
        <v>313.61793485992541</v>
      </c>
      <c r="E152">
        <v>326.16265225432244</v>
      </c>
      <c r="F152">
        <v>345.59139258962728</v>
      </c>
      <c r="G152">
        <v>423.13319855821157</v>
      </c>
      <c r="H152">
        <v>440.05852650054004</v>
      </c>
      <c r="I152">
        <v>463.69625317303792</v>
      </c>
      <c r="J152">
        <v>549.90342739384778</v>
      </c>
      <c r="K152">
        <v>571.89956448960163</v>
      </c>
      <c r="L152">
        <v>688.99237951537282</v>
      </c>
      <c r="M152">
        <v>749.55861276697146</v>
      </c>
      <c r="N152">
        <v>803.39472617965237</v>
      </c>
      <c r="O152">
        <v>803.39472617965237</v>
      </c>
      <c r="P152">
        <v>803.39472617965237</v>
      </c>
      <c r="Q152">
        <v>850.50556505207589</v>
      </c>
      <c r="R152">
        <v>850.50556505207589</v>
      </c>
      <c r="S152">
        <v>902.98499483992134</v>
      </c>
      <c r="T152">
        <v>902.98499483992134</v>
      </c>
      <c r="U152">
        <v>951.43798144120012</v>
      </c>
      <c r="V152">
        <v>951.43798144120012</v>
      </c>
      <c r="W152">
        <v>993.15600290490124</v>
      </c>
      <c r="X152">
        <v>993.15600290490124</v>
      </c>
      <c r="Y152">
        <v>993.15600290490124</v>
      </c>
      <c r="Z152">
        <v>993.15600290490124</v>
      </c>
      <c r="AA152">
        <v>993.15600290490124</v>
      </c>
    </row>
    <row r="153" spans="1:27" x14ac:dyDescent="0.2">
      <c r="A153" t="s">
        <v>18</v>
      </c>
      <c r="B153" t="s">
        <v>19</v>
      </c>
      <c r="C153">
        <v>1177.591203436097</v>
      </c>
      <c r="D153">
        <v>1285.1449910375663</v>
      </c>
      <c r="E153">
        <v>1336.550790679069</v>
      </c>
      <c r="F153">
        <v>1416.1659706439477</v>
      </c>
      <c r="G153">
        <v>1733.9171336348072</v>
      </c>
      <c r="H153">
        <v>1803.2738189801996</v>
      </c>
      <c r="I153">
        <v>1900.136602182454</v>
      </c>
      <c r="J153">
        <v>2253.3967503651761</v>
      </c>
      <c r="K153">
        <v>2343.5326203797831</v>
      </c>
      <c r="L153">
        <v>2823.3560870576989</v>
      </c>
      <c r="M153">
        <v>3071.544671438467</v>
      </c>
      <c r="N153">
        <v>3292.1545403228442</v>
      </c>
      <c r="O153">
        <v>3292.1545403228442</v>
      </c>
      <c r="P153">
        <v>3292.1545403228442</v>
      </c>
      <c r="Q153">
        <v>3485.2055487975813</v>
      </c>
      <c r="R153">
        <v>3485.2055487975813</v>
      </c>
      <c r="S153">
        <v>3700.2559933918305</v>
      </c>
      <c r="T153">
        <v>3700.2559933918305</v>
      </c>
      <c r="U153">
        <v>3898.8068608964445</v>
      </c>
      <c r="V153">
        <v>3898.8068608964445</v>
      </c>
      <c r="W153">
        <v>4069.7591578179181</v>
      </c>
      <c r="X153">
        <v>4069.7591578179181</v>
      </c>
      <c r="Y153">
        <v>4069.7591578179181</v>
      </c>
      <c r="Z153">
        <v>4069.7591578179181</v>
      </c>
      <c r="AA153">
        <v>4069.7591578179181</v>
      </c>
    </row>
    <row r="154" spans="1:27" x14ac:dyDescent="0.2">
      <c r="A154" t="s">
        <v>12</v>
      </c>
      <c r="B154" t="s">
        <v>13</v>
      </c>
      <c r="C154">
        <v>1666.9325036130444</v>
      </c>
      <c r="D154">
        <v>1819.1796534868267</v>
      </c>
      <c r="E154">
        <v>1891.9468396262996</v>
      </c>
      <c r="F154">
        <v>2004.645652998219</v>
      </c>
      <c r="G154">
        <v>2454.4364973122601</v>
      </c>
      <c r="H154">
        <v>2552.6139572047509</v>
      </c>
      <c r="I154">
        <v>2689.7275168501742</v>
      </c>
      <c r="J154">
        <v>3189.782902385241</v>
      </c>
      <c r="K154">
        <v>3317.3742184806501</v>
      </c>
      <c r="L154">
        <v>3996.5855867957944</v>
      </c>
      <c r="M154">
        <v>4347.9075201822143</v>
      </c>
      <c r="N154">
        <v>4660.1905603307368</v>
      </c>
      <c r="O154">
        <v>4660.1905603307368</v>
      </c>
      <c r="P154">
        <v>4660.1905603307368</v>
      </c>
      <c r="Q154">
        <v>4933.4628129960302</v>
      </c>
      <c r="R154">
        <v>4933.4628129960302</v>
      </c>
      <c r="S154">
        <v>5237.8762418366969</v>
      </c>
      <c r="T154">
        <v>5237.8762418366969</v>
      </c>
      <c r="U154">
        <v>5518.9337885458326</v>
      </c>
      <c r="V154">
        <v>5518.9337885458326</v>
      </c>
      <c r="W154">
        <v>5760.9243362623993</v>
      </c>
      <c r="X154">
        <v>5760.9243362623993</v>
      </c>
      <c r="Y154">
        <v>5760.9243362623993</v>
      </c>
      <c r="Z154">
        <v>5760.9243362623993</v>
      </c>
      <c r="AA154">
        <v>5760.9243362623993</v>
      </c>
    </row>
    <row r="155" spans="1:27" x14ac:dyDescent="0.2">
      <c r="A155" t="s">
        <v>20</v>
      </c>
      <c r="B155" t="s">
        <v>21</v>
      </c>
      <c r="C155">
        <v>1024.9694985628132</v>
      </c>
      <c r="D155">
        <v>1118.5837778005839</v>
      </c>
      <c r="E155">
        <v>1163.3271289126073</v>
      </c>
      <c r="F155">
        <v>1232.6237836842122</v>
      </c>
      <c r="G155">
        <v>1509.1928080181017</v>
      </c>
      <c r="H155">
        <v>1569.5605203388257</v>
      </c>
      <c r="I155">
        <v>1653.8694027748695</v>
      </c>
      <c r="J155">
        <v>1961.345270366741</v>
      </c>
      <c r="K155">
        <v>2039.7990811814104</v>
      </c>
      <c r="L155">
        <v>2457.4350287024999</v>
      </c>
      <c r="M155">
        <v>2673.4571322470047</v>
      </c>
      <c r="N155">
        <v>2865.4748596456438</v>
      </c>
      <c r="O155">
        <v>2865.4748596456438</v>
      </c>
      <c r="P155">
        <v>2865.4748596456438</v>
      </c>
      <c r="Q155">
        <v>3033.5054926667012</v>
      </c>
      <c r="R155">
        <v>3033.5054926667012</v>
      </c>
      <c r="S155">
        <v>3220.6843249459448</v>
      </c>
      <c r="T155">
        <v>3220.6843249459448</v>
      </c>
      <c r="U155">
        <v>3393.5020077815479</v>
      </c>
      <c r="V155">
        <v>3393.5020077815479</v>
      </c>
      <c r="W155">
        <v>3542.2980327030027</v>
      </c>
      <c r="X155">
        <v>3542.2980327030027</v>
      </c>
      <c r="Y155">
        <v>3542.2980327030027</v>
      </c>
      <c r="Z155">
        <v>3542.2980327030027</v>
      </c>
      <c r="AA155">
        <v>3542.2980327030027</v>
      </c>
    </row>
    <row r="156" spans="1:27" x14ac:dyDescent="0.2">
      <c r="A156" t="s">
        <v>82</v>
      </c>
      <c r="B156" t="s">
        <v>83</v>
      </c>
      <c r="C156">
        <v>117.81036200800733</v>
      </c>
      <c r="D156">
        <v>128.57042086008508</v>
      </c>
      <c r="E156">
        <v>133.71323769448847</v>
      </c>
      <c r="F156">
        <v>141.67822006326514</v>
      </c>
      <c r="G156">
        <v>173.46716297587236</v>
      </c>
      <c r="H156">
        <v>180.40584949490724</v>
      </c>
      <c r="I156">
        <v>190.09634269905419</v>
      </c>
      <c r="J156">
        <v>225.4377292676464</v>
      </c>
      <c r="K156">
        <v>234.45523843835224</v>
      </c>
      <c r="L156">
        <v>282.45846412848869</v>
      </c>
      <c r="M156">
        <v>307.28812223635839</v>
      </c>
      <c r="N156">
        <v>329.35870873528165</v>
      </c>
      <c r="O156">
        <v>329.35870873528165</v>
      </c>
      <c r="P156">
        <v>329.35870873528165</v>
      </c>
      <c r="Q156">
        <v>348.67220999790703</v>
      </c>
      <c r="R156">
        <v>348.67220999790703</v>
      </c>
      <c r="S156">
        <v>370.18661215521416</v>
      </c>
      <c r="T156">
        <v>370.18661215521416</v>
      </c>
      <c r="U156">
        <v>390.05033864150994</v>
      </c>
      <c r="V156">
        <v>390.05033864150994</v>
      </c>
      <c r="W156">
        <v>407.1530071462106</v>
      </c>
      <c r="X156">
        <v>407.1530071462106</v>
      </c>
      <c r="Y156">
        <v>407.1530071462106</v>
      </c>
      <c r="Z156">
        <v>407.1530071462106</v>
      </c>
      <c r="AA156">
        <v>407.1530071462106</v>
      </c>
    </row>
    <row r="157" spans="1:27" x14ac:dyDescent="0.2">
      <c r="A157" t="s">
        <v>318</v>
      </c>
      <c r="B157" t="s">
        <v>319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120</v>
      </c>
      <c r="B158" t="s">
        <v>121</v>
      </c>
      <c r="C158">
        <v>77.423917387898996</v>
      </c>
      <c r="D158">
        <v>84.495331934571681</v>
      </c>
      <c r="E158">
        <v>87.875145211954546</v>
      </c>
      <c r="F158">
        <v>93.109660465157162</v>
      </c>
      <c r="G158">
        <v>114.00106974329054</v>
      </c>
      <c r="H158">
        <v>118.56111253302217</v>
      </c>
      <c r="I158">
        <v>124.92961809142862</v>
      </c>
      <c r="J158">
        <v>148.15566160256313</v>
      </c>
      <c r="K158">
        <v>154.08188806666564</v>
      </c>
      <c r="L158">
        <v>185.6291791269646</v>
      </c>
      <c r="M158">
        <v>201.94700860602876</v>
      </c>
      <c r="N158">
        <v>216.45160087337933</v>
      </c>
      <c r="O158">
        <v>216.45160087337933</v>
      </c>
      <c r="P158">
        <v>216.45160087337933</v>
      </c>
      <c r="Q158">
        <v>229.1442613553746</v>
      </c>
      <c r="R158">
        <v>229.1442613553746</v>
      </c>
      <c r="S158">
        <v>243.2833342423942</v>
      </c>
      <c r="T158">
        <v>243.2833342423942</v>
      </c>
      <c r="U158">
        <v>256.3375978256455</v>
      </c>
      <c r="V158">
        <v>256.3375978256455</v>
      </c>
      <c r="W158">
        <v>267.57731877082495</v>
      </c>
      <c r="X158">
        <v>267.57731877082495</v>
      </c>
      <c r="Y158">
        <v>267.57731877082495</v>
      </c>
      <c r="Z158">
        <v>267.57731877082495</v>
      </c>
      <c r="AA158">
        <v>267.57731877082495</v>
      </c>
    </row>
    <row r="159" spans="1:27" x14ac:dyDescent="0.2">
      <c r="A159" t="s">
        <v>80</v>
      </c>
      <c r="B159" t="s">
        <v>81</v>
      </c>
      <c r="C159">
        <v>128.51816675349849</v>
      </c>
      <c r="D159">
        <v>140.25620926740564</v>
      </c>
      <c r="E159">
        <v>145.86645763810185</v>
      </c>
      <c r="F159">
        <v>154.5553786702734</v>
      </c>
      <c r="G159">
        <v>189.23362425517547</v>
      </c>
      <c r="H159">
        <v>196.8029692253825</v>
      </c>
      <c r="I159">
        <v>207.37423307948691</v>
      </c>
      <c r="J159">
        <v>245.92780455576735</v>
      </c>
      <c r="K159">
        <v>255.76491673799805</v>
      </c>
      <c r="L159">
        <v>308.1311641444143</v>
      </c>
      <c r="M159">
        <v>335.21759429155759</v>
      </c>
      <c r="N159">
        <v>359.2941803207504</v>
      </c>
      <c r="O159">
        <v>359.2941803207504</v>
      </c>
      <c r="P159">
        <v>359.2941803207504</v>
      </c>
      <c r="Q159">
        <v>380.36308914640438</v>
      </c>
      <c r="R159">
        <v>380.36308914640438</v>
      </c>
      <c r="S159">
        <v>403.83293914030128</v>
      </c>
      <c r="T159">
        <v>403.83293914030128</v>
      </c>
      <c r="U159">
        <v>425.50208325801589</v>
      </c>
      <c r="V159">
        <v>425.50208325801589</v>
      </c>
      <c r="W159">
        <v>444.15921634336826</v>
      </c>
      <c r="X159">
        <v>444.15921634336826</v>
      </c>
      <c r="Y159">
        <v>444.15921634336826</v>
      </c>
      <c r="Z159">
        <v>444.15921634336826</v>
      </c>
      <c r="AA159">
        <v>444.15921634336826</v>
      </c>
    </row>
    <row r="160" spans="1:27" x14ac:dyDescent="0.2">
      <c r="A160" t="s">
        <v>316</v>
      </c>
      <c r="B160" t="s">
        <v>317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110</v>
      </c>
      <c r="B161" t="s">
        <v>111</v>
      </c>
      <c r="C161">
        <v>84.55667635952274</v>
      </c>
      <c r="D161">
        <v>92.279552331185698</v>
      </c>
      <c r="E161">
        <v>95.970734424433118</v>
      </c>
      <c r="F161">
        <v>101.68748484338336</v>
      </c>
      <c r="G161">
        <v>124.50353694489523</v>
      </c>
      <c r="H161">
        <v>129.48367842269104</v>
      </c>
      <c r="I161">
        <v>136.43888918396107</v>
      </c>
      <c r="J161">
        <v>161.80465612706004</v>
      </c>
      <c r="K161">
        <v>168.27684237214243</v>
      </c>
      <c r="L161">
        <v>202.73046045556799</v>
      </c>
      <c r="M161">
        <v>220.55158695887201</v>
      </c>
      <c r="N161">
        <v>236.39242988512891</v>
      </c>
      <c r="O161">
        <v>236.39242988512891</v>
      </c>
      <c r="P161">
        <v>236.39242988512891</v>
      </c>
      <c r="Q161">
        <v>250.25441492445893</v>
      </c>
      <c r="R161">
        <v>250.25441492445893</v>
      </c>
      <c r="S161">
        <v>265.69606461704183</v>
      </c>
      <c r="T161">
        <v>265.69606461704183</v>
      </c>
      <c r="U161">
        <v>279.95296581968506</v>
      </c>
      <c r="V161">
        <v>279.95296581968506</v>
      </c>
      <c r="W161">
        <v>292.22815775516085</v>
      </c>
      <c r="X161">
        <v>292.22815775516085</v>
      </c>
      <c r="Y161">
        <v>292.22815775516085</v>
      </c>
      <c r="Z161">
        <v>292.22815775516085</v>
      </c>
      <c r="AA161">
        <v>292.22815775516085</v>
      </c>
    </row>
    <row r="162" spans="1:27" x14ac:dyDescent="0.2">
      <c r="A162" t="s">
        <v>86</v>
      </c>
      <c r="B162" t="s">
        <v>87</v>
      </c>
      <c r="C162">
        <v>112.97535857700481</v>
      </c>
      <c r="D162">
        <v>123.29381856985785</v>
      </c>
      <c r="E162">
        <v>128.22557131265216</v>
      </c>
      <c r="F162">
        <v>135.86366633107593</v>
      </c>
      <c r="G162">
        <v>166.34797317066989</v>
      </c>
      <c r="H162">
        <v>173.00189209749669</v>
      </c>
      <c r="I162">
        <v>182.29468201738607</v>
      </c>
      <c r="J162">
        <v>216.18563822991237</v>
      </c>
      <c r="K162">
        <v>224.83306375910885</v>
      </c>
      <c r="L162">
        <v>270.86621010346391</v>
      </c>
      <c r="M162">
        <v>294.67684509574383</v>
      </c>
      <c r="N162">
        <v>315.84164232768154</v>
      </c>
      <c r="O162">
        <v>315.84164232768154</v>
      </c>
      <c r="P162">
        <v>315.84164232768154</v>
      </c>
      <c r="Q162">
        <v>334.36250665007651</v>
      </c>
      <c r="R162">
        <v>334.36250665007651</v>
      </c>
      <c r="S162">
        <v>354.99394565818727</v>
      </c>
      <c r="T162">
        <v>354.99394565818727</v>
      </c>
      <c r="U162">
        <v>374.04245365201115</v>
      </c>
      <c r="V162">
        <v>374.04245365201115</v>
      </c>
      <c r="W162">
        <v>390.44321903469353</v>
      </c>
      <c r="X162">
        <v>390.44321903469353</v>
      </c>
      <c r="Y162">
        <v>390.44321903469353</v>
      </c>
      <c r="Z162">
        <v>390.44321903469353</v>
      </c>
      <c r="AA162">
        <v>390.44321903469353</v>
      </c>
    </row>
    <row r="163" spans="1:27" x14ac:dyDescent="0.2">
      <c r="A163" t="s">
        <v>72</v>
      </c>
      <c r="B163" t="s">
        <v>73</v>
      </c>
      <c r="C163">
        <v>158.3524211893928</v>
      </c>
      <c r="D163">
        <v>172.81533720395404</v>
      </c>
      <c r="E163">
        <v>179.72795069211222</v>
      </c>
      <c r="F163">
        <v>190.43392104420133</v>
      </c>
      <c r="G163">
        <v>233.16238729677593</v>
      </c>
      <c r="H163">
        <v>242.48888278864698</v>
      </c>
      <c r="I163">
        <v>255.51416371675182</v>
      </c>
      <c r="J163">
        <v>303.0175754365672</v>
      </c>
      <c r="K163">
        <v>315.13827845402989</v>
      </c>
      <c r="L163">
        <v>379.66084576790763</v>
      </c>
      <c r="M163">
        <v>413.03512975846843</v>
      </c>
      <c r="N163">
        <v>442.70086331199809</v>
      </c>
      <c r="O163">
        <v>442.70086331199809</v>
      </c>
      <c r="P163">
        <v>442.70086331199809</v>
      </c>
      <c r="Q163">
        <v>468.66071637121593</v>
      </c>
      <c r="R163">
        <v>468.66071637121593</v>
      </c>
      <c r="S163">
        <v>497.5788659633572</v>
      </c>
      <c r="T163">
        <v>497.5788659633572</v>
      </c>
      <c r="U163">
        <v>524.27829315580584</v>
      </c>
      <c r="V163">
        <v>524.27829315580584</v>
      </c>
      <c r="W163">
        <v>547.26649996850404</v>
      </c>
      <c r="X163">
        <v>547.26649996850404</v>
      </c>
      <c r="Y163">
        <v>547.26649996850404</v>
      </c>
      <c r="Z163">
        <v>547.26649996850404</v>
      </c>
      <c r="AA163">
        <v>547.26649996850404</v>
      </c>
    </row>
    <row r="164" spans="1:27" x14ac:dyDescent="0.2">
      <c r="A164" t="s">
        <v>50</v>
      </c>
      <c r="B164" t="s">
        <v>51</v>
      </c>
      <c r="C164">
        <v>236.73031787543314</v>
      </c>
      <c r="D164">
        <v>258.35177891667496</v>
      </c>
      <c r="E164">
        <v>268.68585007334195</v>
      </c>
      <c r="F164">
        <v>284.69083279213345</v>
      </c>
      <c r="G164">
        <v>348.56812195719016</v>
      </c>
      <c r="H164">
        <v>362.51084683547782</v>
      </c>
      <c r="I164">
        <v>381.9831029043583</v>
      </c>
      <c r="J164">
        <v>452.99873798043723</v>
      </c>
      <c r="K164">
        <v>471.11868749965464</v>
      </c>
      <c r="L164">
        <v>567.57725602438063</v>
      </c>
      <c r="M164">
        <v>617.47042973532143</v>
      </c>
      <c r="N164">
        <v>661.81947398350246</v>
      </c>
      <c r="O164">
        <v>661.81947398350246</v>
      </c>
      <c r="P164">
        <v>661.81947398350246</v>
      </c>
      <c r="Q164">
        <v>700.62838022282062</v>
      </c>
      <c r="R164">
        <v>700.62838022282062</v>
      </c>
      <c r="S164">
        <v>743.85981737987697</v>
      </c>
      <c r="T164">
        <v>743.85981737987697</v>
      </c>
      <c r="U164">
        <v>783.77435634862945</v>
      </c>
      <c r="V164">
        <v>783.77435634862945</v>
      </c>
      <c r="W164">
        <v>818.14077440072549</v>
      </c>
      <c r="X164">
        <v>818.14077440072549</v>
      </c>
      <c r="Y164">
        <v>818.14077440072549</v>
      </c>
      <c r="Z164">
        <v>818.14077440072549</v>
      </c>
      <c r="AA164">
        <v>818.14077440072549</v>
      </c>
    </row>
    <row r="165" spans="1:27" x14ac:dyDescent="0.2">
      <c r="A165" t="s">
        <v>96</v>
      </c>
      <c r="B165" t="s">
        <v>97</v>
      </c>
      <c r="C165">
        <v>103.33405973056641</v>
      </c>
      <c r="D165">
        <v>112.77194401488291</v>
      </c>
      <c r="E165">
        <v>117.28282177547823</v>
      </c>
      <c r="F165">
        <v>124.26908299919076</v>
      </c>
      <c r="G165">
        <v>152.15186401873851</v>
      </c>
      <c r="H165">
        <v>158.23793857948806</v>
      </c>
      <c r="I165">
        <v>166.73768330914018</v>
      </c>
      <c r="J165">
        <v>197.73639079457965</v>
      </c>
      <c r="K165">
        <v>205.64584642636279</v>
      </c>
      <c r="L165">
        <v>247.75053149971203</v>
      </c>
      <c r="M165">
        <v>269.52917074906571</v>
      </c>
      <c r="N165">
        <v>288.88776760503117</v>
      </c>
      <c r="O165">
        <v>288.88776760503117</v>
      </c>
      <c r="P165">
        <v>288.88776760503117</v>
      </c>
      <c r="Q165">
        <v>305.82806435874852</v>
      </c>
      <c r="R165">
        <v>305.82806435874852</v>
      </c>
      <c r="S165">
        <v>324.69881969552853</v>
      </c>
      <c r="T165">
        <v>324.69881969552853</v>
      </c>
      <c r="U165">
        <v>342.12173109501146</v>
      </c>
      <c r="V165">
        <v>342.12173109501146</v>
      </c>
      <c r="W165">
        <v>357.12285780996632</v>
      </c>
      <c r="X165">
        <v>357.12285780996632</v>
      </c>
      <c r="Y165">
        <v>357.12285780996632</v>
      </c>
      <c r="Z165">
        <v>357.12285780996632</v>
      </c>
      <c r="AA165">
        <v>357.12285780996632</v>
      </c>
    </row>
    <row r="166" spans="1:27" x14ac:dyDescent="0.2">
      <c r="A166" t="s">
        <v>332</v>
      </c>
      <c r="B166" t="s">
        <v>333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3CF8-1DC4-F044-8B2A-85F6230AB36C}">
  <dimension ref="A1:AA166"/>
  <sheetViews>
    <sheetView topLeftCell="Q1" workbookViewId="0">
      <selection activeCell="A2" sqref="A2"/>
    </sheetView>
  </sheetViews>
  <sheetFormatPr baseColWidth="10" defaultRowHeight="16" x14ac:dyDescent="0.2"/>
  <cols>
    <col min="1" max="1" width="11.1640625" bestFit="1" customWidth="1"/>
    <col min="2" max="2" width="31.33203125" bestFit="1" customWidth="1"/>
    <col min="3" max="27" width="12.83203125" bestFit="1" customWidth="1"/>
  </cols>
  <sheetData>
    <row r="1" spans="1:27" x14ac:dyDescent="0.2">
      <c r="A1" t="s">
        <v>1027</v>
      </c>
      <c r="B1" t="s">
        <v>1028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58</v>
      </c>
      <c r="B2" t="s">
        <v>59</v>
      </c>
      <c r="C2">
        <v>-52.030227400869371</v>
      </c>
      <c r="D2">
        <v>-94.996356281925088</v>
      </c>
      <c r="E2">
        <v>-94.99635628192506</v>
      </c>
      <c r="F2">
        <v>-112.18280957293889</v>
      </c>
      <c r="G2">
        <v>-257.86118887199939</v>
      </c>
      <c r="H2">
        <v>-257.86118887199956</v>
      </c>
      <c r="I2">
        <v>-257.86118887199956</v>
      </c>
      <c r="J2">
        <v>-339.12808256892168</v>
      </c>
      <c r="K2">
        <v>-339.12808256892168</v>
      </c>
      <c r="L2">
        <v>-442.00227279418476</v>
      </c>
      <c r="M2">
        <v>-509.52686618541884</v>
      </c>
      <c r="N2">
        <v>-568.55725705069392</v>
      </c>
      <c r="O2">
        <v>-568.55725705069392</v>
      </c>
      <c r="P2">
        <v>-568.55725705069392</v>
      </c>
      <c r="Q2">
        <v>-620.3804432706504</v>
      </c>
      <c r="R2">
        <v>-620.3804432706504</v>
      </c>
      <c r="S2">
        <v>-677.58043531526698</v>
      </c>
      <c r="T2">
        <v>-677.58043531526698</v>
      </c>
      <c r="U2">
        <v>-731.97763381023799</v>
      </c>
      <c r="V2">
        <v>-731.97763381023799</v>
      </c>
      <c r="W2">
        <v>-778.29532267433729</v>
      </c>
      <c r="X2">
        <v>-778.29532267433729</v>
      </c>
      <c r="Y2">
        <v>-778.29532267433729</v>
      </c>
      <c r="Z2">
        <v>-778.29532267433729</v>
      </c>
      <c r="AA2">
        <v>-778.29532267433729</v>
      </c>
    </row>
    <row r="3" spans="1:27" x14ac:dyDescent="0.2">
      <c r="A3" t="s">
        <v>42</v>
      </c>
      <c r="B3" t="s">
        <v>43</v>
      </c>
      <c r="C3">
        <v>-53.03713459382287</v>
      </c>
      <c r="D3">
        <v>-96.834759057059728</v>
      </c>
      <c r="E3">
        <v>-96.834759057059685</v>
      </c>
      <c r="F3">
        <v>-114.35381061459179</v>
      </c>
      <c r="G3">
        <v>-262.85140895807223</v>
      </c>
      <c r="H3">
        <v>-262.8514089580724</v>
      </c>
      <c r="I3">
        <v>-262.8514089580724</v>
      </c>
      <c r="J3">
        <v>-345.69100805914297</v>
      </c>
      <c r="K3">
        <v>-345.69100805914297</v>
      </c>
      <c r="L3">
        <v>-450.5560556625415</v>
      </c>
      <c r="M3">
        <v>-519.38740864686849</v>
      </c>
      <c r="N3">
        <v>-579.5601763214388</v>
      </c>
      <c r="O3">
        <v>-579.5601763214388</v>
      </c>
      <c r="P3">
        <v>-579.5601763214388</v>
      </c>
      <c r="Q3">
        <v>-632.38626300086491</v>
      </c>
      <c r="R3">
        <v>-632.38626300086491</v>
      </c>
      <c r="S3">
        <v>-690.69320933539575</v>
      </c>
      <c r="T3">
        <v>-690.69320933539575</v>
      </c>
      <c r="U3">
        <v>-746.14312147736086</v>
      </c>
      <c r="V3">
        <v>-746.14312147736086</v>
      </c>
      <c r="W3">
        <v>-793.35716648687787</v>
      </c>
      <c r="X3">
        <v>-793.35716648687787</v>
      </c>
      <c r="Y3">
        <v>-793.35716648687787</v>
      </c>
      <c r="Z3">
        <v>-793.35716648687787</v>
      </c>
      <c r="AA3">
        <v>-793.35716648687787</v>
      </c>
    </row>
    <row r="4" spans="1:27" x14ac:dyDescent="0.2">
      <c r="A4" t="s">
        <v>140</v>
      </c>
      <c r="B4" t="s">
        <v>141</v>
      </c>
      <c r="C4">
        <v>-12.913124938321928</v>
      </c>
      <c r="D4">
        <v>-23.576676071443526</v>
      </c>
      <c r="E4">
        <v>-23.576676071443515</v>
      </c>
      <c r="F4">
        <v>-27.842096956184591</v>
      </c>
      <c r="G4">
        <v>-63.997293784511101</v>
      </c>
      <c r="H4">
        <v>-63.997293784511143</v>
      </c>
      <c r="I4">
        <v>-63.997293784511143</v>
      </c>
      <c r="J4">
        <v>-84.166522405644329</v>
      </c>
      <c r="K4">
        <v>-84.166522405644329</v>
      </c>
      <c r="L4">
        <v>-109.69835914109788</v>
      </c>
      <c r="M4">
        <v>-126.45695418148442</v>
      </c>
      <c r="N4">
        <v>-141.10741508622647</v>
      </c>
      <c r="O4">
        <v>-141.10741508622647</v>
      </c>
      <c r="P4">
        <v>-141.10741508622647</v>
      </c>
      <c r="Q4">
        <v>-153.96915549732142</v>
      </c>
      <c r="R4">
        <v>-153.96915549732142</v>
      </c>
      <c r="S4">
        <v>-168.16533876694928</v>
      </c>
      <c r="T4">
        <v>-168.16533876694928</v>
      </c>
      <c r="U4">
        <v>-181.66591056050098</v>
      </c>
      <c r="V4">
        <v>-181.66591056050098</v>
      </c>
      <c r="W4">
        <v>-193.16126879809431</v>
      </c>
      <c r="X4">
        <v>-193.16126879809431</v>
      </c>
      <c r="Y4">
        <v>-193.16126879809431</v>
      </c>
      <c r="Z4">
        <v>-193.16126879809431</v>
      </c>
      <c r="AA4">
        <v>-193.16126879809431</v>
      </c>
    </row>
    <row r="5" spans="1:27" x14ac:dyDescent="0.2">
      <c r="A5" t="s">
        <v>210</v>
      </c>
      <c r="B5" t="s">
        <v>211</v>
      </c>
      <c r="C5">
        <v>-4.262582306026963</v>
      </c>
      <c r="D5">
        <v>-7.7825873084229746</v>
      </c>
      <c r="E5">
        <v>-7.782587308422972</v>
      </c>
      <c r="F5">
        <v>-9.1905894518156863</v>
      </c>
      <c r="G5">
        <v>-21.125307268568573</v>
      </c>
      <c r="H5">
        <v>-21.125307268568584</v>
      </c>
      <c r="I5">
        <v>-21.125307268568584</v>
      </c>
      <c r="J5">
        <v>-27.783106790937886</v>
      </c>
      <c r="K5">
        <v>-27.783106790937886</v>
      </c>
      <c r="L5">
        <v>-36.211086542449245</v>
      </c>
      <c r="M5">
        <v>-41.743046547035547</v>
      </c>
      <c r="N5">
        <v>-46.579118042198246</v>
      </c>
      <c r="O5">
        <v>-46.579118042198246</v>
      </c>
      <c r="P5">
        <v>-46.579118042198246</v>
      </c>
      <c r="Q5">
        <v>-50.824738475897057</v>
      </c>
      <c r="R5">
        <v>-50.824738475897057</v>
      </c>
      <c r="S5">
        <v>-55.510854339196001</v>
      </c>
      <c r="T5">
        <v>-55.510854339196001</v>
      </c>
      <c r="U5">
        <v>-59.967351021703784</v>
      </c>
      <c r="V5">
        <v>-59.967351021703784</v>
      </c>
      <c r="W5">
        <v>-63.761932957451251</v>
      </c>
      <c r="X5">
        <v>-63.761932957451251</v>
      </c>
      <c r="Y5">
        <v>-63.761932957451251</v>
      </c>
      <c r="Z5">
        <v>-63.761932957451251</v>
      </c>
      <c r="AA5">
        <v>-63.761932957451251</v>
      </c>
    </row>
    <row r="6" spans="1:27" x14ac:dyDescent="0.2">
      <c r="A6" t="s">
        <v>196</v>
      </c>
      <c r="B6" t="s">
        <v>197</v>
      </c>
      <c r="C6">
        <v>-5.4280087898859932</v>
      </c>
      <c r="D6">
        <v>-9.9104132859664382</v>
      </c>
      <c r="E6">
        <v>-9.9104132859664347</v>
      </c>
      <c r="F6">
        <v>-11.703375265775682</v>
      </c>
      <c r="G6">
        <v>-26.901147077136887</v>
      </c>
      <c r="H6">
        <v>-26.901147077136905</v>
      </c>
      <c r="I6">
        <v>-26.901147077136905</v>
      </c>
      <c r="J6">
        <v>-35.379245969825071</v>
      </c>
      <c r="K6">
        <v>-35.379245969825071</v>
      </c>
      <c r="L6">
        <v>-46.111507516423679</v>
      </c>
      <c r="M6">
        <v>-53.155952731648171</v>
      </c>
      <c r="N6">
        <v>-59.314247563197661</v>
      </c>
      <c r="O6">
        <v>-59.314247563197661</v>
      </c>
      <c r="P6">
        <v>-59.314247563197661</v>
      </c>
      <c r="Q6">
        <v>-64.720656959692491</v>
      </c>
      <c r="R6">
        <v>-64.720656959692491</v>
      </c>
      <c r="S6">
        <v>-70.687997006228585</v>
      </c>
      <c r="T6">
        <v>-70.687997006228585</v>
      </c>
      <c r="U6">
        <v>-76.362938022745098</v>
      </c>
      <c r="V6">
        <v>-76.362938022745098</v>
      </c>
      <c r="W6">
        <v>-81.194991135727179</v>
      </c>
      <c r="X6">
        <v>-81.194991135727179</v>
      </c>
      <c r="Y6">
        <v>-81.194991135727179</v>
      </c>
      <c r="Z6">
        <v>-81.194991135727179</v>
      </c>
      <c r="AA6">
        <v>-81.194991135727179</v>
      </c>
    </row>
    <row r="7" spans="1:27" x14ac:dyDescent="0.2">
      <c r="A7" t="s">
        <v>250</v>
      </c>
      <c r="B7" t="s">
        <v>251</v>
      </c>
      <c r="C7">
        <v>-0.87352148990631473</v>
      </c>
      <c r="D7">
        <v>-1.5948682683188078</v>
      </c>
      <c r="E7">
        <v>-1.5948682683188071</v>
      </c>
      <c r="F7">
        <v>-1.8834070088725501</v>
      </c>
      <c r="G7">
        <v>-4.3291621264126725</v>
      </c>
      <c r="H7">
        <v>-4.3291621264126752</v>
      </c>
      <c r="I7">
        <v>-4.3291621264126752</v>
      </c>
      <c r="J7">
        <v>-5.6935301410911459</v>
      </c>
      <c r="K7">
        <v>-5.6935301410911459</v>
      </c>
      <c r="L7">
        <v>-7.4206572440754384</v>
      </c>
      <c r="M7">
        <v>-8.5543094760747813</v>
      </c>
      <c r="N7">
        <v>-9.5453548270994357</v>
      </c>
      <c r="O7">
        <v>-9.5453548270994357</v>
      </c>
      <c r="P7">
        <v>-9.5453548270994357</v>
      </c>
      <c r="Q7">
        <v>-10.415400358320628</v>
      </c>
      <c r="R7">
        <v>-10.415400358320628</v>
      </c>
      <c r="S7">
        <v>-11.375715635985701</v>
      </c>
      <c r="T7">
        <v>-11.375715635985701</v>
      </c>
      <c r="U7">
        <v>-12.288975566793974</v>
      </c>
      <c r="V7">
        <v>-12.288975566793974</v>
      </c>
      <c r="W7">
        <v>-13.066590784076478</v>
      </c>
      <c r="X7">
        <v>-13.066590784076478</v>
      </c>
      <c r="Y7">
        <v>-13.066590784076478</v>
      </c>
      <c r="Z7">
        <v>-13.066590784076478</v>
      </c>
      <c r="AA7">
        <v>-13.066590784076478</v>
      </c>
    </row>
    <row r="8" spans="1:27" x14ac:dyDescent="0.2">
      <c r="A8" t="s">
        <v>192</v>
      </c>
      <c r="B8" t="s">
        <v>193</v>
      </c>
      <c r="C8">
        <v>-5.9928056408443497</v>
      </c>
      <c r="D8">
        <v>-10.941614677172602</v>
      </c>
      <c r="E8">
        <v>-10.941614677172597</v>
      </c>
      <c r="F8">
        <v>-12.92113849195367</v>
      </c>
      <c r="G8">
        <v>-29.700273560617337</v>
      </c>
      <c r="H8">
        <v>-29.700273560617354</v>
      </c>
      <c r="I8">
        <v>-29.700273560617354</v>
      </c>
      <c r="J8">
        <v>-39.060538223859545</v>
      </c>
      <c r="K8">
        <v>-39.060538223859545</v>
      </c>
      <c r="L8">
        <v>-50.909516371299851</v>
      </c>
      <c r="M8">
        <v>-58.68695238081358</v>
      </c>
      <c r="N8">
        <v>-65.486032012603857</v>
      </c>
      <c r="O8">
        <v>-65.486032012603857</v>
      </c>
      <c r="P8">
        <v>-65.486032012603857</v>
      </c>
      <c r="Q8">
        <v>-71.454990793289369</v>
      </c>
      <c r="R8">
        <v>-71.454990793289369</v>
      </c>
      <c r="S8">
        <v>-78.043246353661985</v>
      </c>
      <c r="T8">
        <v>-78.043246353661985</v>
      </c>
      <c r="U8">
        <v>-84.308678089625246</v>
      </c>
      <c r="V8">
        <v>-84.308678089625246</v>
      </c>
      <c r="W8">
        <v>-89.643517488981971</v>
      </c>
      <c r="X8">
        <v>-89.643517488981971</v>
      </c>
      <c r="Y8">
        <v>-89.643517488981971</v>
      </c>
      <c r="Z8">
        <v>-89.643517488981971</v>
      </c>
      <c r="AA8">
        <v>-89.643517488981971</v>
      </c>
    </row>
    <row r="9" spans="1:27" x14ac:dyDescent="0.2">
      <c r="A9" t="s">
        <v>262</v>
      </c>
      <c r="B9" t="s">
        <v>263</v>
      </c>
      <c r="C9">
        <v>-1.0932923250877142</v>
      </c>
      <c r="D9">
        <v>-1.9961240306359189</v>
      </c>
      <c r="E9">
        <v>-1.996124030635918</v>
      </c>
      <c r="F9">
        <v>-2.3572567493875942</v>
      </c>
      <c r="G9">
        <v>-5.4183437746620333</v>
      </c>
      <c r="H9">
        <v>-5.418343774662036</v>
      </c>
      <c r="I9">
        <v>-5.418343774662036</v>
      </c>
      <c r="J9">
        <v>-7.1259755802666289</v>
      </c>
      <c r="K9">
        <v>-7.1259755802666289</v>
      </c>
      <c r="L9">
        <v>-9.2876336825146009</v>
      </c>
      <c r="M9">
        <v>-10.706503508712425</v>
      </c>
      <c r="N9">
        <v>-11.94688773349586</v>
      </c>
      <c r="O9">
        <v>-11.94688773349586</v>
      </c>
      <c r="P9">
        <v>-11.94688773349586</v>
      </c>
      <c r="Q9">
        <v>-13.035829577231166</v>
      </c>
      <c r="R9">
        <v>-13.035829577231166</v>
      </c>
      <c r="S9">
        <v>-14.237752294494028</v>
      </c>
      <c r="T9">
        <v>-14.237752294494028</v>
      </c>
      <c r="U9">
        <v>-15.380780925958955</v>
      </c>
      <c r="V9">
        <v>-15.380780925958955</v>
      </c>
      <c r="W9">
        <v>-16.354037747628631</v>
      </c>
      <c r="X9">
        <v>-16.354037747628631</v>
      </c>
      <c r="Y9">
        <v>-16.354037747628631</v>
      </c>
      <c r="Z9">
        <v>-16.354037747628631</v>
      </c>
      <c r="AA9">
        <v>-16.354037747628631</v>
      </c>
    </row>
    <row r="10" spans="1:27" x14ac:dyDescent="0.2">
      <c r="A10" t="s">
        <v>38</v>
      </c>
      <c r="B10" t="s">
        <v>39</v>
      </c>
      <c r="C10">
        <v>-435.91012359374628</v>
      </c>
      <c r="D10">
        <v>-795.88107675880758</v>
      </c>
      <c r="E10">
        <v>-795.88107675880713</v>
      </c>
      <c r="F10">
        <v>-939.8694725907809</v>
      </c>
      <c r="G10">
        <v>-2160.3653938546008</v>
      </c>
      <c r="H10">
        <v>-2160.3653938546022</v>
      </c>
      <c r="I10">
        <v>-2160.3653938546022</v>
      </c>
      <c r="J10">
        <v>-2841.2208012809642</v>
      </c>
      <c r="K10">
        <v>-2841.2208012809642</v>
      </c>
      <c r="L10">
        <v>-3703.1025038189714</v>
      </c>
      <c r="M10">
        <v>-4268.8246872722484</v>
      </c>
      <c r="N10">
        <v>-4763.3822985549405</v>
      </c>
      <c r="O10">
        <v>-4763.3822985549405</v>
      </c>
      <c r="P10">
        <v>-4763.3822985549405</v>
      </c>
      <c r="Q10">
        <v>-5197.5578276395108</v>
      </c>
      <c r="R10">
        <v>-5197.5578276395108</v>
      </c>
      <c r="S10">
        <v>-5676.780326699999</v>
      </c>
      <c r="T10">
        <v>-5676.780326699999</v>
      </c>
      <c r="U10">
        <v>-6132.5209740818345</v>
      </c>
      <c r="V10">
        <v>-6132.5209740818345</v>
      </c>
      <c r="W10">
        <v>-6520.5713533694125</v>
      </c>
      <c r="X10">
        <v>-6520.5713533694125</v>
      </c>
      <c r="Y10">
        <v>-6520.5713533694125</v>
      </c>
      <c r="Z10">
        <v>-6520.5713533694125</v>
      </c>
      <c r="AA10">
        <v>-6520.5713533694125</v>
      </c>
    </row>
    <row r="11" spans="1:27" x14ac:dyDescent="0.2">
      <c r="A11" t="s">
        <v>160</v>
      </c>
      <c r="B11" t="s">
        <v>161</v>
      </c>
      <c r="C11">
        <v>-0.26143495675636907</v>
      </c>
      <c r="D11">
        <v>-0.47732576883111488</v>
      </c>
      <c r="E11">
        <v>-0.47732576883111472</v>
      </c>
      <c r="F11">
        <v>-0.56368210239686956</v>
      </c>
      <c r="G11">
        <v>-1.2956685397990524</v>
      </c>
      <c r="H11">
        <v>-1.2956685397990533</v>
      </c>
      <c r="I11">
        <v>-1.2956685397990533</v>
      </c>
      <c r="J11">
        <v>-1.7040082281053988</v>
      </c>
      <c r="K11">
        <v>-1.7040082281053988</v>
      </c>
      <c r="L11">
        <v>-2.2209175482526087</v>
      </c>
      <c r="M11">
        <v>-2.5602066506664443</v>
      </c>
      <c r="N11">
        <v>-2.8568151502656001</v>
      </c>
      <c r="O11">
        <v>-2.8568151502656001</v>
      </c>
      <c r="P11">
        <v>-2.8568151502656001</v>
      </c>
      <c r="Q11">
        <v>-3.1172097924801605</v>
      </c>
      <c r="R11">
        <v>-3.1172097924801605</v>
      </c>
      <c r="S11">
        <v>-3.4046211338036292</v>
      </c>
      <c r="T11">
        <v>-3.4046211338036292</v>
      </c>
      <c r="U11">
        <v>-3.6779493498544924</v>
      </c>
      <c r="V11">
        <v>-3.6779493498544924</v>
      </c>
      <c r="W11">
        <v>-3.9106806599052044</v>
      </c>
      <c r="X11">
        <v>-3.9106806599052044</v>
      </c>
      <c r="Y11">
        <v>-3.9106806599052044</v>
      </c>
      <c r="Z11">
        <v>-3.9106806599052044</v>
      </c>
      <c r="AA11">
        <v>-3.9106806599052044</v>
      </c>
    </row>
    <row r="12" spans="1:27" x14ac:dyDescent="0.2">
      <c r="A12" t="s">
        <v>296</v>
      </c>
      <c r="B12" t="s">
        <v>297</v>
      </c>
      <c r="C12">
        <v>-0.11767903073857834</v>
      </c>
      <c r="D12">
        <v>-0.21485739519883038</v>
      </c>
      <c r="E12">
        <v>-0.21485739519883029</v>
      </c>
      <c r="F12">
        <v>-0.25372874491517933</v>
      </c>
      <c r="G12">
        <v>-0.58321587829630239</v>
      </c>
      <c r="H12">
        <v>-0.58321587829630273</v>
      </c>
      <c r="I12">
        <v>-0.58321587829630273</v>
      </c>
      <c r="J12">
        <v>-0.76702075017793303</v>
      </c>
      <c r="K12">
        <v>-0.76702075017793303</v>
      </c>
      <c r="L12">
        <v>-0.99969578541183257</v>
      </c>
      <c r="M12">
        <v>-1.1524190983444276</v>
      </c>
      <c r="N12">
        <v>-1.2859307035815963</v>
      </c>
      <c r="O12">
        <v>-1.2859307035815963</v>
      </c>
      <c r="P12">
        <v>-1.2859307035815963</v>
      </c>
      <c r="Q12">
        <v>-1.4031414602666121</v>
      </c>
      <c r="R12">
        <v>-1.4031414602666121</v>
      </c>
      <c r="S12">
        <v>-1.5325131727944798</v>
      </c>
      <c r="T12">
        <v>-1.5325131727944798</v>
      </c>
      <c r="U12">
        <v>-1.6555456851158707</v>
      </c>
      <c r="V12">
        <v>-1.6555456851158707</v>
      </c>
      <c r="W12">
        <v>-1.7603044187186223</v>
      </c>
      <c r="X12">
        <v>-1.7603044187186223</v>
      </c>
      <c r="Y12">
        <v>-1.7603044187186223</v>
      </c>
      <c r="Z12">
        <v>-1.7603044187186223</v>
      </c>
      <c r="AA12">
        <v>-1.7603044187186223</v>
      </c>
    </row>
    <row r="13" spans="1:27" x14ac:dyDescent="0.2">
      <c r="A13" t="s">
        <v>254</v>
      </c>
      <c r="B13" t="s">
        <v>255</v>
      </c>
      <c r="C13">
        <v>-1.1124364882769744</v>
      </c>
      <c r="D13">
        <v>-2.0310772845018796</v>
      </c>
      <c r="E13">
        <v>-2.0310772845018787</v>
      </c>
      <c r="F13">
        <v>-2.3985336401639379</v>
      </c>
      <c r="G13">
        <v>-5.5132220199925479</v>
      </c>
      <c r="H13">
        <v>-5.5132220199925506</v>
      </c>
      <c r="I13">
        <v>-5.5132220199925506</v>
      </c>
      <c r="J13">
        <v>-7.2507554184314689</v>
      </c>
      <c r="K13">
        <v>-7.2507554184314689</v>
      </c>
      <c r="L13">
        <v>-9.4502653691916851</v>
      </c>
      <c r="M13">
        <v>-10.893980403641448</v>
      </c>
      <c r="N13">
        <v>-12.156084453463198</v>
      </c>
      <c r="O13">
        <v>-12.156084453463198</v>
      </c>
      <c r="P13">
        <v>-12.156084453463198</v>
      </c>
      <c r="Q13">
        <v>-13.264094281013728</v>
      </c>
      <c r="R13">
        <v>-13.264094281013728</v>
      </c>
      <c r="S13">
        <v>-14.487063340697691</v>
      </c>
      <c r="T13">
        <v>-14.487063340697691</v>
      </c>
      <c r="U13">
        <v>-15.650107046035023</v>
      </c>
      <c r="V13">
        <v>-15.650107046035023</v>
      </c>
      <c r="W13">
        <v>-16.640406141753051</v>
      </c>
      <c r="X13">
        <v>-16.640406141753051</v>
      </c>
      <c r="Y13">
        <v>-16.640406141753051</v>
      </c>
      <c r="Z13">
        <v>-16.640406141753051</v>
      </c>
      <c r="AA13">
        <v>-16.640406141753051</v>
      </c>
    </row>
    <row r="14" spans="1:27" x14ac:dyDescent="0.2">
      <c r="A14" t="s">
        <v>172</v>
      </c>
      <c r="B14" t="s">
        <v>173</v>
      </c>
      <c r="C14">
        <v>-7.2195026592730711</v>
      </c>
      <c r="D14">
        <v>-13.18130788694479</v>
      </c>
      <c r="E14">
        <v>-13.181307886944785</v>
      </c>
      <c r="F14">
        <v>-15.56603021925336</v>
      </c>
      <c r="G14">
        <v>-35.779769410610136</v>
      </c>
      <c r="H14">
        <v>-35.779769410610157</v>
      </c>
      <c r="I14">
        <v>-35.779769410610157</v>
      </c>
      <c r="J14">
        <v>-47.05603293018855</v>
      </c>
      <c r="K14">
        <v>-47.05603293018855</v>
      </c>
      <c r="L14">
        <v>-61.330437002645873</v>
      </c>
      <c r="M14">
        <v>-70.699874844968321</v>
      </c>
      <c r="N14">
        <v>-78.890691705066473</v>
      </c>
      <c r="O14">
        <v>-78.890691705066473</v>
      </c>
      <c r="P14">
        <v>-78.890691705066473</v>
      </c>
      <c r="Q14">
        <v>-86.081466172462484</v>
      </c>
      <c r="R14">
        <v>-86.081466172462484</v>
      </c>
      <c r="S14">
        <v>-94.018304339531653</v>
      </c>
      <c r="T14">
        <v>-94.018304339531653</v>
      </c>
      <c r="U14">
        <v>-101.56623827735038</v>
      </c>
      <c r="V14">
        <v>-101.56623827735038</v>
      </c>
      <c r="W14">
        <v>-107.99309233181029</v>
      </c>
      <c r="X14">
        <v>-107.99309233181029</v>
      </c>
      <c r="Y14">
        <v>-107.99309233181029</v>
      </c>
      <c r="Z14">
        <v>-107.99309233181029</v>
      </c>
      <c r="AA14">
        <v>-107.99309233181029</v>
      </c>
    </row>
    <row r="15" spans="1:27" x14ac:dyDescent="0.2">
      <c r="A15" t="s">
        <v>228</v>
      </c>
      <c r="B15" t="s">
        <v>229</v>
      </c>
      <c r="C15">
        <v>-2.5169941947948598</v>
      </c>
      <c r="D15">
        <v>-4.5955070587347544</v>
      </c>
      <c r="E15">
        <v>-4.5955070587347526</v>
      </c>
      <c r="F15">
        <v>-5.426912288416144</v>
      </c>
      <c r="G15">
        <v>-12.474193327144263</v>
      </c>
      <c r="H15">
        <v>-12.47419332714427</v>
      </c>
      <c r="I15">
        <v>-12.47419332714427</v>
      </c>
      <c r="J15">
        <v>-16.405529204041596</v>
      </c>
      <c r="K15">
        <v>-16.405529204041596</v>
      </c>
      <c r="L15">
        <v>-21.382131316429877</v>
      </c>
      <c r="M15">
        <v>-24.648674978869831</v>
      </c>
      <c r="N15">
        <v>-27.504306379048693</v>
      </c>
      <c r="O15">
        <v>-27.504306379048693</v>
      </c>
      <c r="P15">
        <v>-27.504306379048693</v>
      </c>
      <c r="Q15">
        <v>-30.011284829602687</v>
      </c>
      <c r="R15">
        <v>-30.011284829602687</v>
      </c>
      <c r="S15">
        <v>-32.778369563047583</v>
      </c>
      <c r="T15">
        <v>-32.778369563047583</v>
      </c>
      <c r="U15">
        <v>-35.409867437736054</v>
      </c>
      <c r="V15">
        <v>-35.409867437736054</v>
      </c>
      <c r="W15">
        <v>-37.650514073566526</v>
      </c>
      <c r="X15">
        <v>-37.650514073566526</v>
      </c>
      <c r="Y15">
        <v>-37.650514073566526</v>
      </c>
      <c r="Z15">
        <v>-37.650514073566526</v>
      </c>
      <c r="AA15">
        <v>-37.650514073566526</v>
      </c>
    </row>
    <row r="16" spans="1:27" x14ac:dyDescent="0.2">
      <c r="A16" t="s">
        <v>260</v>
      </c>
      <c r="B16" t="s">
        <v>261</v>
      </c>
      <c r="C16">
        <v>-1.540420424370744</v>
      </c>
      <c r="D16">
        <v>-2.8124867940714084</v>
      </c>
      <c r="E16">
        <v>-2.8124867940714076</v>
      </c>
      <c r="F16">
        <v>-3.321313393424866</v>
      </c>
      <c r="G16">
        <v>-7.6343053227615307</v>
      </c>
      <c r="H16">
        <v>-7.6343053227615352</v>
      </c>
      <c r="I16">
        <v>-7.6343053227615352</v>
      </c>
      <c r="J16">
        <v>-10.04031408208157</v>
      </c>
      <c r="K16">
        <v>-10.04031408208157</v>
      </c>
      <c r="L16">
        <v>-13.086034073706063</v>
      </c>
      <c r="M16">
        <v>-15.085184721382241</v>
      </c>
      <c r="N16">
        <v>-16.832853803180999</v>
      </c>
      <c r="O16">
        <v>-16.832853803180999</v>
      </c>
      <c r="P16">
        <v>-16.832853803180999</v>
      </c>
      <c r="Q16">
        <v>-18.367144512582275</v>
      </c>
      <c r="R16">
        <v>-18.367144512582275</v>
      </c>
      <c r="S16">
        <v>-20.060622331552928</v>
      </c>
      <c r="T16">
        <v>-20.060622331552928</v>
      </c>
      <c r="U16">
        <v>-21.671119916823958</v>
      </c>
      <c r="V16">
        <v>-21.671119916823958</v>
      </c>
      <c r="W16">
        <v>-23.042413441762807</v>
      </c>
      <c r="X16">
        <v>-23.042413441762807</v>
      </c>
      <c r="Y16">
        <v>-23.042413441762807</v>
      </c>
      <c r="Z16">
        <v>-23.042413441762807</v>
      </c>
      <c r="AA16">
        <v>-23.042413441762807</v>
      </c>
    </row>
    <row r="17" spans="1:27" x14ac:dyDescent="0.2">
      <c r="A17" t="s">
        <v>280</v>
      </c>
      <c r="B17" t="s">
        <v>281</v>
      </c>
      <c r="C17">
        <v>-0.32436146921762687</v>
      </c>
      <c r="D17">
        <v>-0.59221647171604541</v>
      </c>
      <c r="E17">
        <v>-0.59221647171604519</v>
      </c>
      <c r="F17">
        <v>-0.69935848355396024</v>
      </c>
      <c r="G17">
        <v>-1.6075315879808776</v>
      </c>
      <c r="H17">
        <v>-1.6075315879808785</v>
      </c>
      <c r="I17">
        <v>-1.6075315879808785</v>
      </c>
      <c r="J17">
        <v>-2.1141572622297273</v>
      </c>
      <c r="K17">
        <v>-2.1141572622297273</v>
      </c>
      <c r="L17">
        <v>-2.7554849125771175</v>
      </c>
      <c r="M17">
        <v>-3.1764397577665426</v>
      </c>
      <c r="N17">
        <v>-3.5444409229744323</v>
      </c>
      <c r="O17">
        <v>-3.5444409229744323</v>
      </c>
      <c r="P17">
        <v>-3.5444409229744323</v>
      </c>
      <c r="Q17">
        <v>-3.8675116774482619</v>
      </c>
      <c r="R17">
        <v>-3.8675116774482619</v>
      </c>
      <c r="S17">
        <v>-4.2241019593988343</v>
      </c>
      <c r="T17">
        <v>-4.2241019593988343</v>
      </c>
      <c r="U17">
        <v>-4.563219355315824</v>
      </c>
      <c r="V17">
        <v>-4.563219355315824</v>
      </c>
      <c r="W17">
        <v>-4.8519683068622701</v>
      </c>
      <c r="X17">
        <v>-4.8519683068622701</v>
      </c>
      <c r="Y17">
        <v>-4.8519683068622701</v>
      </c>
      <c r="Z17">
        <v>-4.8519683068622701</v>
      </c>
      <c r="AA17">
        <v>-4.8519683068622701</v>
      </c>
    </row>
    <row r="18" spans="1:27" x14ac:dyDescent="0.2">
      <c r="A18" t="s">
        <v>188</v>
      </c>
      <c r="B18" t="s">
        <v>189</v>
      </c>
      <c r="C18">
        <v>-9.0321437882278008</v>
      </c>
      <c r="D18">
        <v>-16.490812978490428</v>
      </c>
      <c r="E18">
        <v>-16.490812978490421</v>
      </c>
      <c r="F18">
        <v>-19.474280956404812</v>
      </c>
      <c r="G18">
        <v>-44.763197311268122</v>
      </c>
      <c r="H18">
        <v>-44.763197311268151</v>
      </c>
      <c r="I18">
        <v>-44.763197311268151</v>
      </c>
      <c r="J18">
        <v>-58.870655720741865</v>
      </c>
      <c r="K18">
        <v>-58.870655720741865</v>
      </c>
      <c r="L18">
        <v>-76.729014690676891</v>
      </c>
      <c r="M18">
        <v>-88.450889977753818</v>
      </c>
      <c r="N18">
        <v>-98.698221285045875</v>
      </c>
      <c r="O18">
        <v>-98.698221285045875</v>
      </c>
      <c r="P18">
        <v>-98.698221285045875</v>
      </c>
      <c r="Q18">
        <v>-107.69442393271932</v>
      </c>
      <c r="R18">
        <v>-107.69442393271932</v>
      </c>
      <c r="S18">
        <v>-117.62400868836524</v>
      </c>
      <c r="T18">
        <v>-117.62400868836524</v>
      </c>
      <c r="U18">
        <v>-127.06704484305899</v>
      </c>
      <c r="V18">
        <v>-127.06704484305899</v>
      </c>
      <c r="W18">
        <v>-135.10752528408725</v>
      </c>
      <c r="X18">
        <v>-135.10752528408725</v>
      </c>
      <c r="Y18">
        <v>-135.10752528408725</v>
      </c>
      <c r="Z18">
        <v>-135.10752528408725</v>
      </c>
      <c r="AA18">
        <v>-135.10752528408725</v>
      </c>
    </row>
    <row r="19" spans="1:27" x14ac:dyDescent="0.2">
      <c r="A19" t="s">
        <v>76</v>
      </c>
      <c r="B19" t="s">
        <v>77</v>
      </c>
      <c r="C19">
        <v>-4.3710367928113723</v>
      </c>
      <c r="D19">
        <v>-7.9806026080211643</v>
      </c>
      <c r="E19">
        <v>-7.9806026080211607</v>
      </c>
      <c r="F19">
        <v>-9.4244290801633976</v>
      </c>
      <c r="G19">
        <v>-21.662806416616942</v>
      </c>
      <c r="H19">
        <v>-21.662806416616956</v>
      </c>
      <c r="I19">
        <v>-21.662806416616956</v>
      </c>
      <c r="J19">
        <v>-28.490002839379503</v>
      </c>
      <c r="K19">
        <v>-28.490002839379503</v>
      </c>
      <c r="L19">
        <v>-37.132418853455725</v>
      </c>
      <c r="M19">
        <v>-42.80513059962388</v>
      </c>
      <c r="N19">
        <v>-47.764248082970546</v>
      </c>
      <c r="O19">
        <v>-47.764248082970546</v>
      </c>
      <c r="P19">
        <v>-47.764248082970546</v>
      </c>
      <c r="Q19">
        <v>-52.117891436148746</v>
      </c>
      <c r="R19">
        <v>-52.117891436148746</v>
      </c>
      <c r="S19">
        <v>-56.923237910020951</v>
      </c>
      <c r="T19">
        <v>-56.923237910020951</v>
      </c>
      <c r="U19">
        <v>-61.493122915816805</v>
      </c>
      <c r="V19">
        <v>-61.493122915816805</v>
      </c>
      <c r="W19">
        <v>-65.384251828691504</v>
      </c>
      <c r="X19">
        <v>-65.384251828691504</v>
      </c>
      <c r="Y19">
        <v>-65.384251828691504</v>
      </c>
      <c r="Z19">
        <v>-65.384251828691504</v>
      </c>
      <c r="AA19">
        <v>-65.384251828691504</v>
      </c>
    </row>
    <row r="20" spans="1:27" x14ac:dyDescent="0.2">
      <c r="A20" t="s">
        <v>144</v>
      </c>
      <c r="B20" t="s">
        <v>145</v>
      </c>
      <c r="C20">
        <v>-14.213154307093156</v>
      </c>
      <c r="D20">
        <v>-25.950258876324636</v>
      </c>
      <c r="E20">
        <v>-25.950258876324625</v>
      </c>
      <c r="F20">
        <v>-30.645101178950171</v>
      </c>
      <c r="G20">
        <v>-70.440223891602301</v>
      </c>
      <c r="H20">
        <v>-70.440223891602344</v>
      </c>
      <c r="I20">
        <v>-70.440223891602344</v>
      </c>
      <c r="J20">
        <v>-92.639990409501337</v>
      </c>
      <c r="K20">
        <v>-92.639990409501337</v>
      </c>
      <c r="L20">
        <v>-120.74224582775244</v>
      </c>
      <c r="M20">
        <v>-139.18801309298061</v>
      </c>
      <c r="N20">
        <v>-155.31340973428297</v>
      </c>
      <c r="O20">
        <v>-155.31340973428297</v>
      </c>
      <c r="P20">
        <v>-155.31340973428297</v>
      </c>
      <c r="Q20">
        <v>-169.47000637481887</v>
      </c>
      <c r="R20">
        <v>-169.47000637481887</v>
      </c>
      <c r="S20">
        <v>-185.09539096195311</v>
      </c>
      <c r="T20">
        <v>-185.09539096195311</v>
      </c>
      <c r="U20">
        <v>-199.95513335988235</v>
      </c>
      <c r="V20">
        <v>-199.95513335988235</v>
      </c>
      <c r="W20">
        <v>-212.6077872470413</v>
      </c>
      <c r="X20">
        <v>-212.6077872470413</v>
      </c>
      <c r="Y20">
        <v>-212.6077872470413</v>
      </c>
      <c r="Z20">
        <v>-212.6077872470413</v>
      </c>
      <c r="AA20">
        <v>-212.6077872470413</v>
      </c>
    </row>
    <row r="21" spans="1:27" x14ac:dyDescent="0.2">
      <c r="A21" t="s">
        <v>268</v>
      </c>
      <c r="B21" t="s">
        <v>269</v>
      </c>
      <c r="C21">
        <v>-1.2037912380085574</v>
      </c>
      <c r="D21">
        <v>-2.197872026463791</v>
      </c>
      <c r="E21">
        <v>-2.1978720264637901</v>
      </c>
      <c r="F21">
        <v>-2.5955043820706019</v>
      </c>
      <c r="G21">
        <v>-5.965975074354489</v>
      </c>
      <c r="H21">
        <v>-5.9659750743544926</v>
      </c>
      <c r="I21">
        <v>-5.9659750743544926</v>
      </c>
      <c r="J21">
        <v>-7.8461970041724109</v>
      </c>
      <c r="K21">
        <v>-7.8461970041724109</v>
      </c>
      <c r="L21">
        <v>-10.22633360930914</v>
      </c>
      <c r="M21">
        <v>-11.788608424066148</v>
      </c>
      <c r="N21">
        <v>-13.154358120917392</v>
      </c>
      <c r="O21">
        <v>-13.154358120917392</v>
      </c>
      <c r="P21">
        <v>-13.154358120917392</v>
      </c>
      <c r="Q21">
        <v>-14.3533591749898</v>
      </c>
      <c r="R21">
        <v>-14.3533591749898</v>
      </c>
      <c r="S21">
        <v>-15.676760064764078</v>
      </c>
      <c r="T21">
        <v>-15.676760064764078</v>
      </c>
      <c r="U21">
        <v>-16.935314451158405</v>
      </c>
      <c r="V21">
        <v>-16.935314451158405</v>
      </c>
      <c r="W21">
        <v>-18.00693821305028</v>
      </c>
      <c r="X21">
        <v>-18.00693821305028</v>
      </c>
      <c r="Y21">
        <v>-18.00693821305028</v>
      </c>
      <c r="Z21">
        <v>-18.00693821305028</v>
      </c>
      <c r="AA21">
        <v>-18.00693821305028</v>
      </c>
    </row>
    <row r="22" spans="1:27" x14ac:dyDescent="0.2">
      <c r="A22" t="s">
        <v>258</v>
      </c>
      <c r="B22" t="s">
        <v>259</v>
      </c>
      <c r="C22">
        <v>-1.5925945400216601</v>
      </c>
      <c r="D22">
        <v>-2.907745860323077</v>
      </c>
      <c r="E22">
        <v>-2.9077458603230761</v>
      </c>
      <c r="F22">
        <v>-3.4338064416602352</v>
      </c>
      <c r="G22">
        <v>-7.8928796200913487</v>
      </c>
      <c r="H22">
        <v>-7.8928796200913531</v>
      </c>
      <c r="I22">
        <v>-7.8928796200913531</v>
      </c>
      <c r="J22">
        <v>-10.380380014603878</v>
      </c>
      <c r="K22">
        <v>-10.380380014603878</v>
      </c>
      <c r="L22">
        <v>-13.52925869236968</v>
      </c>
      <c r="M22">
        <v>-15.596120670956097</v>
      </c>
      <c r="N22">
        <v>-17.402983390641438</v>
      </c>
      <c r="O22">
        <v>-17.402983390641438</v>
      </c>
      <c r="P22">
        <v>-17.402983390641438</v>
      </c>
      <c r="Q22">
        <v>-18.989240601945678</v>
      </c>
      <c r="R22">
        <v>-18.989240601945678</v>
      </c>
      <c r="S22">
        <v>-20.740076598061595</v>
      </c>
      <c r="T22">
        <v>-20.740076598061595</v>
      </c>
      <c r="U22">
        <v>-22.40512181587507</v>
      </c>
      <c r="V22">
        <v>-22.40512181587507</v>
      </c>
      <c r="W22">
        <v>-23.822861120050284</v>
      </c>
      <c r="X22">
        <v>-23.822861120050284</v>
      </c>
      <c r="Y22">
        <v>-23.822861120050284</v>
      </c>
      <c r="Z22">
        <v>-23.822861120050284</v>
      </c>
      <c r="AA22">
        <v>-23.822861120050284</v>
      </c>
    </row>
    <row r="23" spans="1:27" x14ac:dyDescent="0.2">
      <c r="A23" t="s">
        <v>242</v>
      </c>
      <c r="B23" t="s">
        <v>243</v>
      </c>
      <c r="C23">
        <v>-2.1681488205864423</v>
      </c>
      <c r="D23">
        <v>-3.9585880769997157</v>
      </c>
      <c r="E23">
        <v>-3.9585880769997144</v>
      </c>
      <c r="F23">
        <v>-4.6747638520137782</v>
      </c>
      <c r="G23">
        <v>-10.745319796901402</v>
      </c>
      <c r="H23">
        <v>-10.745319796901407</v>
      </c>
      <c r="I23">
        <v>-10.745319796901407</v>
      </c>
      <c r="J23">
        <v>-14.131788173527442</v>
      </c>
      <c r="K23">
        <v>-14.131788173527442</v>
      </c>
      <c r="L23">
        <v>-18.418653047040614</v>
      </c>
      <c r="M23">
        <v>-21.232466763321568</v>
      </c>
      <c r="N23">
        <v>-23.692319020879921</v>
      </c>
      <c r="O23">
        <v>-23.692319020879921</v>
      </c>
      <c r="P23">
        <v>-23.692319020879921</v>
      </c>
      <c r="Q23">
        <v>-25.851840239500483</v>
      </c>
      <c r="R23">
        <v>-25.851840239500483</v>
      </c>
      <c r="S23">
        <v>-28.235418045793462</v>
      </c>
      <c r="T23">
        <v>-28.235418045793462</v>
      </c>
      <c r="U23">
        <v>-30.502200792126555</v>
      </c>
      <c r="V23">
        <v>-30.502200792126555</v>
      </c>
      <c r="W23">
        <v>-32.432302725167673</v>
      </c>
      <c r="X23">
        <v>-32.432302725167673</v>
      </c>
      <c r="Y23">
        <v>-32.432302725167673</v>
      </c>
      <c r="Z23">
        <v>-32.432302725167673</v>
      </c>
      <c r="AA23">
        <v>-32.432302725167673</v>
      </c>
    </row>
    <row r="24" spans="1:27" x14ac:dyDescent="0.2">
      <c r="A24" t="s">
        <v>312</v>
      </c>
      <c r="B24" t="s">
        <v>313</v>
      </c>
      <c r="C24">
        <v>-1.8632527503933444E-8</v>
      </c>
      <c r="D24">
        <v>-3.4019113688648898E-8</v>
      </c>
      <c r="E24">
        <v>-3.4019113688648885E-8</v>
      </c>
      <c r="F24">
        <v>-4.0173748785141499E-8</v>
      </c>
      <c r="G24">
        <v>-9.2342584952343026E-8</v>
      </c>
      <c r="H24">
        <v>-9.2342584952343079E-8</v>
      </c>
      <c r="I24">
        <v>-9.2342584952343079E-8</v>
      </c>
      <c r="J24">
        <v>-1.2144504534139445E-7</v>
      </c>
      <c r="K24">
        <v>-1.2144504534139445E-7</v>
      </c>
      <c r="L24">
        <v>-1.5828528753462901E-7</v>
      </c>
      <c r="M24">
        <v>-1.8246649731217978E-7</v>
      </c>
      <c r="N24">
        <v>-2.0360585103614217E-7</v>
      </c>
      <c r="O24">
        <v>-2.0360585103614217E-7</v>
      </c>
      <c r="P24">
        <v>-2.0360585103614217E-7</v>
      </c>
      <c r="Q24">
        <v>-2.2216423509134375E-7</v>
      </c>
      <c r="R24">
        <v>-2.2216423509134375E-7</v>
      </c>
      <c r="S24">
        <v>-2.4264810529980422E-7</v>
      </c>
      <c r="T24">
        <v>-2.4264810529980422E-7</v>
      </c>
      <c r="U24">
        <v>-2.6212826803838832E-7</v>
      </c>
      <c r="V24">
        <v>-2.6212826803838832E-7</v>
      </c>
      <c r="W24">
        <v>-2.7871508025871207E-7</v>
      </c>
      <c r="X24">
        <v>-2.7871508025871207E-7</v>
      </c>
      <c r="Y24">
        <v>-2.7871508025871207E-7</v>
      </c>
      <c r="Z24">
        <v>-2.7871508025871207E-7</v>
      </c>
      <c r="AA24">
        <v>-2.7871508025871207E-7</v>
      </c>
    </row>
    <row r="25" spans="1:27" x14ac:dyDescent="0.2">
      <c r="A25" t="s">
        <v>272</v>
      </c>
      <c r="B25" t="s">
        <v>273</v>
      </c>
      <c r="C25">
        <v>-2.1518153616692048</v>
      </c>
      <c r="D25">
        <v>-3.9287665836077381</v>
      </c>
      <c r="E25">
        <v>-3.9287665836077363</v>
      </c>
      <c r="F25">
        <v>-4.639547144286122</v>
      </c>
      <c r="G25">
        <v>-10.66437136855145</v>
      </c>
      <c r="H25">
        <v>-10.664371368551455</v>
      </c>
      <c r="I25">
        <v>-10.664371368551455</v>
      </c>
      <c r="J25">
        <v>-14.025328238965853</v>
      </c>
      <c r="K25">
        <v>-14.025328238965853</v>
      </c>
      <c r="L25">
        <v>-18.279898589782775</v>
      </c>
      <c r="M25">
        <v>-21.072514817081768</v>
      </c>
      <c r="N25">
        <v>-23.513836106927101</v>
      </c>
      <c r="O25">
        <v>-23.513836106927101</v>
      </c>
      <c r="P25">
        <v>-23.513836106927101</v>
      </c>
      <c r="Q25">
        <v>-25.657088861514968</v>
      </c>
      <c r="R25">
        <v>-25.657088861514968</v>
      </c>
      <c r="S25">
        <v>-28.022710303463644</v>
      </c>
      <c r="T25">
        <v>-28.022710303463644</v>
      </c>
      <c r="U25">
        <v>-30.272416545402756</v>
      </c>
      <c r="V25">
        <v>-30.272416545402756</v>
      </c>
      <c r="W25">
        <v>-32.187978313889637</v>
      </c>
      <c r="X25">
        <v>-32.187978313889637</v>
      </c>
      <c r="Y25">
        <v>-32.187978313889637</v>
      </c>
      <c r="Z25">
        <v>-32.187978313889637</v>
      </c>
      <c r="AA25">
        <v>-32.187978313889637</v>
      </c>
    </row>
    <row r="26" spans="1:27" x14ac:dyDescent="0.2">
      <c r="A26" t="s">
        <v>226</v>
      </c>
      <c r="B26" t="s">
        <v>227</v>
      </c>
      <c r="C26">
        <v>-7.0033623026157343</v>
      </c>
      <c r="D26">
        <v>-12.78668062211028</v>
      </c>
      <c r="E26">
        <v>-12.786680622110275</v>
      </c>
      <c r="F26">
        <v>-15.100008183925643</v>
      </c>
      <c r="G26">
        <v>-34.708580370795417</v>
      </c>
      <c r="H26">
        <v>-34.708580370795438</v>
      </c>
      <c r="I26">
        <v>-34.708580370795438</v>
      </c>
      <c r="J26">
        <v>-45.647250605363638</v>
      </c>
      <c r="K26">
        <v>-45.647250605363638</v>
      </c>
      <c r="L26">
        <v>-59.494301862412136</v>
      </c>
      <c r="M26">
        <v>-68.583233729116287</v>
      </c>
      <c r="N26">
        <v>-76.528830639723509</v>
      </c>
      <c r="O26">
        <v>-76.528830639723509</v>
      </c>
      <c r="P26">
        <v>-76.528830639723509</v>
      </c>
      <c r="Q26">
        <v>-83.504324826554893</v>
      </c>
      <c r="R26">
        <v>-83.504324826554893</v>
      </c>
      <c r="S26">
        <v>-91.203546759774696</v>
      </c>
      <c r="T26">
        <v>-91.203546759774696</v>
      </c>
      <c r="U26">
        <v>-98.525507634026411</v>
      </c>
      <c r="V26">
        <v>-98.525507634026411</v>
      </c>
      <c r="W26">
        <v>-104.7599519626264</v>
      </c>
      <c r="X26">
        <v>-104.7599519626264</v>
      </c>
      <c r="Y26">
        <v>-104.7599519626264</v>
      </c>
      <c r="Z26">
        <v>-104.7599519626264</v>
      </c>
      <c r="AA26">
        <v>-104.7599519626264</v>
      </c>
    </row>
    <row r="27" spans="1:27" x14ac:dyDescent="0.2">
      <c r="A27" t="s">
        <v>232</v>
      </c>
      <c r="B27" t="s">
        <v>233</v>
      </c>
      <c r="C27">
        <v>-6.1182587691816108</v>
      </c>
      <c r="D27">
        <v>-11.170665955084358</v>
      </c>
      <c r="E27">
        <v>-11.170665955084354</v>
      </c>
      <c r="F27">
        <v>-13.191629033887246</v>
      </c>
      <c r="G27">
        <v>-30.32201777425529</v>
      </c>
      <c r="H27">
        <v>-30.322017774255311</v>
      </c>
      <c r="I27">
        <v>-30.322017774255311</v>
      </c>
      <c r="J27">
        <v>-39.878229804130775</v>
      </c>
      <c r="K27">
        <v>-39.878229804130775</v>
      </c>
      <c r="L27">
        <v>-51.975253936253942</v>
      </c>
      <c r="M27">
        <v>-59.915502447342277</v>
      </c>
      <c r="N27">
        <v>-66.856913711550064</v>
      </c>
      <c r="O27">
        <v>-66.856913711550064</v>
      </c>
      <c r="P27">
        <v>-66.856913711550064</v>
      </c>
      <c r="Q27">
        <v>-72.950826411456575</v>
      </c>
      <c r="R27">
        <v>-72.950826411456575</v>
      </c>
      <c r="S27">
        <v>-79.6770002224564</v>
      </c>
      <c r="T27">
        <v>-79.6770002224564</v>
      </c>
      <c r="U27">
        <v>-86.073592229379045</v>
      </c>
      <c r="V27">
        <v>-86.073592229379045</v>
      </c>
      <c r="W27">
        <v>-91.520110920863104</v>
      </c>
      <c r="X27">
        <v>-91.520110920863104</v>
      </c>
      <c r="Y27">
        <v>-91.520110920863104</v>
      </c>
      <c r="Z27">
        <v>-91.520110920863104</v>
      </c>
      <c r="AA27">
        <v>-91.520110920863104</v>
      </c>
    </row>
    <row r="28" spans="1:27" x14ac:dyDescent="0.2">
      <c r="A28" t="s">
        <v>136</v>
      </c>
      <c r="B28" t="s">
        <v>137</v>
      </c>
      <c r="C28">
        <v>-32.189546308508355</v>
      </c>
      <c r="D28">
        <v>-58.771405823713394</v>
      </c>
      <c r="E28">
        <v>-58.771405823713373</v>
      </c>
      <c r="F28">
        <v>-69.40415070540999</v>
      </c>
      <c r="G28">
        <v>-159.53100908845062</v>
      </c>
      <c r="H28">
        <v>-159.5310090884507</v>
      </c>
      <c r="I28">
        <v>-159.5310090884507</v>
      </c>
      <c r="J28">
        <v>-209.80840683747516</v>
      </c>
      <c r="K28">
        <v>-209.80840683747516</v>
      </c>
      <c r="L28">
        <v>-273.45359302305525</v>
      </c>
      <c r="M28">
        <v>-315.22904038337197</v>
      </c>
      <c r="N28">
        <v>-351.7493785653914</v>
      </c>
      <c r="O28">
        <v>-351.7493785653914</v>
      </c>
      <c r="P28">
        <v>-351.7493785653914</v>
      </c>
      <c r="Q28">
        <v>-383.81083468452937</v>
      </c>
      <c r="R28">
        <v>-383.81083468452937</v>
      </c>
      <c r="S28">
        <v>-419.19875983389602</v>
      </c>
      <c r="T28">
        <v>-419.19875983389602</v>
      </c>
      <c r="U28">
        <v>-452.8526804004191</v>
      </c>
      <c r="V28">
        <v>-452.8526804004191</v>
      </c>
      <c r="W28">
        <v>-481.50804988606342</v>
      </c>
      <c r="X28">
        <v>-481.50804988606342</v>
      </c>
      <c r="Y28">
        <v>-481.50804988606342</v>
      </c>
      <c r="Z28">
        <v>-481.50804988606342</v>
      </c>
      <c r="AA28">
        <v>-481.50804988606342</v>
      </c>
    </row>
    <row r="29" spans="1:27" x14ac:dyDescent="0.2">
      <c r="A29" t="s">
        <v>180</v>
      </c>
      <c r="B29" t="s">
        <v>181</v>
      </c>
      <c r="C29">
        <v>-23.955602353743423</v>
      </c>
      <c r="D29">
        <v>-43.737939459905363</v>
      </c>
      <c r="E29">
        <v>-43.737939459905348</v>
      </c>
      <c r="F29">
        <v>-51.650875102847259</v>
      </c>
      <c r="G29">
        <v>-118.72368066909374</v>
      </c>
      <c r="H29">
        <v>-118.7236806690938</v>
      </c>
      <c r="I29">
        <v>-118.7236806690938</v>
      </c>
      <c r="J29">
        <v>-156.14034185199063</v>
      </c>
      <c r="K29">
        <v>-156.14034185199063</v>
      </c>
      <c r="L29">
        <v>-203.50537015587582</v>
      </c>
      <c r="M29">
        <v>-234.59484235663709</v>
      </c>
      <c r="N29">
        <v>-261.77343912615555</v>
      </c>
      <c r="O29">
        <v>-261.77343912615555</v>
      </c>
      <c r="P29">
        <v>-261.77343912615555</v>
      </c>
      <c r="Q29">
        <v>-285.63371619595233</v>
      </c>
      <c r="R29">
        <v>-285.63371619595233</v>
      </c>
      <c r="S29">
        <v>-311.96956619139604</v>
      </c>
      <c r="T29">
        <v>-311.96956619139604</v>
      </c>
      <c r="U29">
        <v>-337.01496232743904</v>
      </c>
      <c r="V29">
        <v>-337.01496232743904</v>
      </c>
      <c r="W29">
        <v>-358.34041470003876</v>
      </c>
      <c r="X29">
        <v>-358.34041470003876</v>
      </c>
      <c r="Y29">
        <v>-358.34041470003876</v>
      </c>
      <c r="Z29">
        <v>-358.34041470003876</v>
      </c>
      <c r="AA29">
        <v>-358.34041470003876</v>
      </c>
    </row>
    <row r="30" spans="1:27" x14ac:dyDescent="0.2">
      <c r="A30" t="s">
        <v>178</v>
      </c>
      <c r="B30" t="s">
        <v>179</v>
      </c>
      <c r="C30">
        <v>-13.607148975183369</v>
      </c>
      <c r="D30">
        <v>-24.84381938346387</v>
      </c>
      <c r="E30">
        <v>-24.84381938346386</v>
      </c>
      <c r="F30">
        <v>-29.338488001459329</v>
      </c>
      <c r="G30">
        <v>-67.436868666089353</v>
      </c>
      <c r="H30">
        <v>-67.436868666089396</v>
      </c>
      <c r="I30">
        <v>-67.436868666089396</v>
      </c>
      <c r="J30">
        <v>-88.690105188863711</v>
      </c>
      <c r="K30">
        <v>-88.690105188863711</v>
      </c>
      <c r="L30">
        <v>-115.59416657824595</v>
      </c>
      <c r="M30">
        <v>-133.25346286930642</v>
      </c>
      <c r="N30">
        <v>-148.69132202718663</v>
      </c>
      <c r="O30">
        <v>-148.69132202718663</v>
      </c>
      <c r="P30">
        <v>-148.69132202718663</v>
      </c>
      <c r="Q30">
        <v>-162.24432478134787</v>
      </c>
      <c r="R30">
        <v>-162.24432478134787</v>
      </c>
      <c r="S30">
        <v>-177.20349086635707</v>
      </c>
      <c r="T30">
        <v>-177.20349086635707</v>
      </c>
      <c r="U30">
        <v>-191.42965939817714</v>
      </c>
      <c r="V30">
        <v>-191.42965939817714</v>
      </c>
      <c r="W30">
        <v>-203.5428429079125</v>
      </c>
      <c r="X30">
        <v>-203.5428429079125</v>
      </c>
      <c r="Y30">
        <v>-203.5428429079125</v>
      </c>
      <c r="Z30">
        <v>-203.5428429079125</v>
      </c>
      <c r="AA30">
        <v>-203.5428429079125</v>
      </c>
    </row>
    <row r="31" spans="1:27" x14ac:dyDescent="0.2">
      <c r="A31" t="s">
        <v>108</v>
      </c>
      <c r="B31" t="s">
        <v>109</v>
      </c>
      <c r="C31">
        <v>-2.4217203180825972</v>
      </c>
      <c r="D31">
        <v>-4.4215568073397939</v>
      </c>
      <c r="E31">
        <v>-4.4215568073397913</v>
      </c>
      <c r="F31">
        <v>-5.2214914839645239</v>
      </c>
      <c r="G31">
        <v>-12.002017126025878</v>
      </c>
      <c r="H31">
        <v>-12.002017126025885</v>
      </c>
      <c r="I31">
        <v>-12.002017126025885</v>
      </c>
      <c r="J31">
        <v>-15.784543120713476</v>
      </c>
      <c r="K31">
        <v>-15.784543120713476</v>
      </c>
      <c r="L31">
        <v>-20.572769679005454</v>
      </c>
      <c r="M31">
        <v>-23.715667335898747</v>
      </c>
      <c r="N31">
        <v>-26.463206681467806</v>
      </c>
      <c r="O31">
        <v>-26.463206681467806</v>
      </c>
      <c r="P31">
        <v>-26.463206681467806</v>
      </c>
      <c r="Q31">
        <v>-28.875290373697641</v>
      </c>
      <c r="R31">
        <v>-28.875290373697641</v>
      </c>
      <c r="S31">
        <v>-31.537634742507684</v>
      </c>
      <c r="T31">
        <v>-31.537634742507684</v>
      </c>
      <c r="U31">
        <v>-34.069524519330805</v>
      </c>
      <c r="V31">
        <v>-34.069524519330805</v>
      </c>
      <c r="W31">
        <v>-36.225357653493568</v>
      </c>
      <c r="X31">
        <v>-36.225357653493568</v>
      </c>
      <c r="Y31">
        <v>-36.225357653493568</v>
      </c>
      <c r="Z31">
        <v>-36.225357653493568</v>
      </c>
      <c r="AA31">
        <v>-36.225357653493568</v>
      </c>
    </row>
    <row r="32" spans="1:27" x14ac:dyDescent="0.2">
      <c r="A32" t="s">
        <v>116</v>
      </c>
      <c r="B32" t="s">
        <v>117</v>
      </c>
      <c r="C32">
        <v>-5.9865398171822068</v>
      </c>
      <c r="D32">
        <v>-10.930174588463732</v>
      </c>
      <c r="E32">
        <v>-10.930174588463725</v>
      </c>
      <c r="F32">
        <v>-12.907628697016735</v>
      </c>
      <c r="G32">
        <v>-29.669220212986655</v>
      </c>
      <c r="H32">
        <v>-29.669220212986673</v>
      </c>
      <c r="I32">
        <v>-29.669220212986673</v>
      </c>
      <c r="J32">
        <v>-39.019698180092561</v>
      </c>
      <c r="K32">
        <v>-39.019698180092561</v>
      </c>
      <c r="L32">
        <v>-50.856287538024596</v>
      </c>
      <c r="M32">
        <v>-58.625591789977705</v>
      </c>
      <c r="N32">
        <v>-65.417562592182833</v>
      </c>
      <c r="O32">
        <v>-65.417562592182833</v>
      </c>
      <c r="P32">
        <v>-65.417562592182833</v>
      </c>
      <c r="Q32">
        <v>-71.380280482472784</v>
      </c>
      <c r="R32">
        <v>-71.380280482472784</v>
      </c>
      <c r="S32">
        <v>-77.961647641976697</v>
      </c>
      <c r="T32">
        <v>-77.961647641976697</v>
      </c>
      <c r="U32">
        <v>-84.220528507983957</v>
      </c>
      <c r="V32">
        <v>-84.220528507983957</v>
      </c>
      <c r="W32">
        <v>-89.549790025302528</v>
      </c>
      <c r="X32">
        <v>-89.549790025302528</v>
      </c>
      <c r="Y32">
        <v>-89.549790025302528</v>
      </c>
      <c r="Z32">
        <v>-89.549790025302528</v>
      </c>
      <c r="AA32">
        <v>-89.549790025302528</v>
      </c>
    </row>
    <row r="33" spans="1:27" x14ac:dyDescent="0.2">
      <c r="A33" t="s">
        <v>304</v>
      </c>
      <c r="B33" t="s">
        <v>305</v>
      </c>
      <c r="C33">
        <v>-0.10988608980161907</v>
      </c>
      <c r="D33">
        <v>-0.20062910847565887</v>
      </c>
      <c r="E33">
        <v>-0.20062910847565882</v>
      </c>
      <c r="F33">
        <v>-0.23692631961712157</v>
      </c>
      <c r="G33">
        <v>-0.54459415559401014</v>
      </c>
      <c r="H33">
        <v>-0.54459415559401037</v>
      </c>
      <c r="I33">
        <v>-0.54459415559401037</v>
      </c>
      <c r="J33">
        <v>-0.716227100994695</v>
      </c>
      <c r="K33">
        <v>-0.716227100994695</v>
      </c>
      <c r="L33">
        <v>-0.93349392972228218</v>
      </c>
      <c r="M33">
        <v>-1.076103599213809</v>
      </c>
      <c r="N33">
        <v>-1.2007737987435905</v>
      </c>
      <c r="O33">
        <v>-1.2007737987435905</v>
      </c>
      <c r="P33">
        <v>-1.2007737987435905</v>
      </c>
      <c r="Q33">
        <v>-1.3102226245366722</v>
      </c>
      <c r="R33">
        <v>-1.3102226245366722</v>
      </c>
      <c r="S33">
        <v>-1.431027083337896</v>
      </c>
      <c r="T33">
        <v>-1.431027083337896</v>
      </c>
      <c r="U33">
        <v>-1.5459121364575177</v>
      </c>
      <c r="V33">
        <v>-1.5459121364575177</v>
      </c>
      <c r="W33">
        <v>-1.6437335370581776</v>
      </c>
      <c r="X33">
        <v>-1.6437335370581776</v>
      </c>
      <c r="Y33">
        <v>-1.6437335370581776</v>
      </c>
      <c r="Z33">
        <v>-1.6437335370581776</v>
      </c>
      <c r="AA33">
        <v>-1.6437335370581776</v>
      </c>
    </row>
    <row r="34" spans="1:27" x14ac:dyDescent="0.2">
      <c r="A34" t="s">
        <v>212</v>
      </c>
      <c r="B34" t="s">
        <v>213</v>
      </c>
      <c r="C34">
        <v>-3.5904524208636781</v>
      </c>
      <c r="D34">
        <v>-6.5554181564074305</v>
      </c>
      <c r="E34">
        <v>-6.5554181564074279</v>
      </c>
      <c r="F34">
        <v>-7.7414045705999985</v>
      </c>
      <c r="G34">
        <v>-17.794239542700645</v>
      </c>
      <c r="H34">
        <v>-17.794239542700655</v>
      </c>
      <c r="I34">
        <v>-17.794239542700655</v>
      </c>
      <c r="J34">
        <v>-23.402228009906736</v>
      </c>
      <c r="K34">
        <v>-23.402228009906736</v>
      </c>
      <c r="L34">
        <v>-30.501272234582078</v>
      </c>
      <c r="M34">
        <v>-35.160945119374063</v>
      </c>
      <c r="N34">
        <v>-39.234458159280841</v>
      </c>
      <c r="O34">
        <v>-39.234458159280841</v>
      </c>
      <c r="P34">
        <v>-39.234458159280841</v>
      </c>
      <c r="Q34">
        <v>-42.810623279351084</v>
      </c>
      <c r="R34">
        <v>-42.810623279351084</v>
      </c>
      <c r="S34">
        <v>-46.757825899237091</v>
      </c>
      <c r="T34">
        <v>-46.757825899237091</v>
      </c>
      <c r="U34">
        <v>-50.511616008968709</v>
      </c>
      <c r="V34">
        <v>-50.511616008968709</v>
      </c>
      <c r="W34">
        <v>-53.707863006500332</v>
      </c>
      <c r="X34">
        <v>-53.707863006500332</v>
      </c>
      <c r="Y34">
        <v>-53.707863006500332</v>
      </c>
      <c r="Z34">
        <v>-53.707863006500332</v>
      </c>
      <c r="AA34">
        <v>-53.707863006500332</v>
      </c>
    </row>
    <row r="35" spans="1:27" x14ac:dyDescent="0.2">
      <c r="A35" t="s">
        <v>132</v>
      </c>
      <c r="B35" t="s">
        <v>133</v>
      </c>
      <c r="C35">
        <v>-17.062528528785052</v>
      </c>
      <c r="D35">
        <v>-31.152622622669782</v>
      </c>
      <c r="E35">
        <v>-31.152622622669764</v>
      </c>
      <c r="F35">
        <v>-36.788660830368535</v>
      </c>
      <c r="G35">
        <v>-84.561688683324974</v>
      </c>
      <c r="H35">
        <v>-84.561688683325016</v>
      </c>
      <c r="I35">
        <v>-84.561688683325016</v>
      </c>
      <c r="J35">
        <v>-111.21194107346366</v>
      </c>
      <c r="K35">
        <v>-111.21194107346366</v>
      </c>
      <c r="L35">
        <v>-144.94798055048665</v>
      </c>
      <c r="M35">
        <v>-167.09165277117143</v>
      </c>
      <c r="N35">
        <v>-186.44977935485917</v>
      </c>
      <c r="O35">
        <v>-186.44977935485917</v>
      </c>
      <c r="P35">
        <v>-186.44977935485917</v>
      </c>
      <c r="Q35">
        <v>-203.4444118502723</v>
      </c>
      <c r="R35">
        <v>-203.4444118502723</v>
      </c>
      <c r="S35">
        <v>-222.20228674072953</v>
      </c>
      <c r="T35">
        <v>-222.20228674072953</v>
      </c>
      <c r="U35">
        <v>-240.04102774901727</v>
      </c>
      <c r="V35">
        <v>-240.04102774901727</v>
      </c>
      <c r="W35">
        <v>-255.23021540222905</v>
      </c>
      <c r="X35">
        <v>-255.23021540222905</v>
      </c>
      <c r="Y35">
        <v>-255.23021540222905</v>
      </c>
      <c r="Z35">
        <v>-255.23021540222905</v>
      </c>
      <c r="AA35">
        <v>-255.23021540222905</v>
      </c>
    </row>
    <row r="36" spans="1:27" x14ac:dyDescent="0.2">
      <c r="A36" t="s">
        <v>84</v>
      </c>
      <c r="B36" t="s">
        <v>85</v>
      </c>
      <c r="C36">
        <v>-20.967778403330794</v>
      </c>
      <c r="D36">
        <v>-38.282795350803802</v>
      </c>
      <c r="E36">
        <v>-38.282795350803788</v>
      </c>
      <c r="F36">
        <v>-45.208802830431907</v>
      </c>
      <c r="G36">
        <v>-103.91606066663415</v>
      </c>
      <c r="H36">
        <v>-103.91606066663421</v>
      </c>
      <c r="I36">
        <v>-103.91606066663421</v>
      </c>
      <c r="J36">
        <v>-136.66598900032491</v>
      </c>
      <c r="K36">
        <v>-136.66598900032491</v>
      </c>
      <c r="L36">
        <v>-178.1234903763303</v>
      </c>
      <c r="M36">
        <v>-205.33537819096546</v>
      </c>
      <c r="N36">
        <v>-229.12416821851795</v>
      </c>
      <c r="O36">
        <v>-229.12416821851795</v>
      </c>
      <c r="P36">
        <v>-229.12416821851795</v>
      </c>
      <c r="Q36">
        <v>-250.00851063052974</v>
      </c>
      <c r="R36">
        <v>-250.00851063052974</v>
      </c>
      <c r="S36">
        <v>-273.05966411912209</v>
      </c>
      <c r="T36">
        <v>-273.05966411912209</v>
      </c>
      <c r="U36">
        <v>-294.98131352912435</v>
      </c>
      <c r="V36">
        <v>-294.98131352912435</v>
      </c>
      <c r="W36">
        <v>-313.64698317485477</v>
      </c>
      <c r="X36">
        <v>-313.64698317485477</v>
      </c>
      <c r="Y36">
        <v>-313.64698317485477</v>
      </c>
      <c r="Z36">
        <v>-313.64698317485477</v>
      </c>
      <c r="AA36">
        <v>-313.64698317485477</v>
      </c>
    </row>
    <row r="37" spans="1:27" x14ac:dyDescent="0.2">
      <c r="A37" t="s">
        <v>302</v>
      </c>
      <c r="B37" t="s">
        <v>303</v>
      </c>
      <c r="C37">
        <v>-390.75967936350423</v>
      </c>
      <c r="D37">
        <v>-713.44577134802239</v>
      </c>
      <c r="E37">
        <v>-713.44577134802216</v>
      </c>
      <c r="F37">
        <v>-842.52022119907531</v>
      </c>
      <c r="G37">
        <v>-1936.6003286434004</v>
      </c>
      <c r="H37">
        <v>-1936.6003286434016</v>
      </c>
      <c r="I37">
        <v>-1936.6003286434016</v>
      </c>
      <c r="J37">
        <v>-2546.9344922674231</v>
      </c>
      <c r="K37">
        <v>-2546.9344922674231</v>
      </c>
      <c r="L37">
        <v>-3319.544715119001</v>
      </c>
      <c r="M37">
        <v>-3826.6708566101438</v>
      </c>
      <c r="N37">
        <v>-4270.0034684301691</v>
      </c>
      <c r="O37">
        <v>-4270.0034684301691</v>
      </c>
      <c r="P37">
        <v>-4270.0034684301691</v>
      </c>
      <c r="Q37">
        <v>-4659.2082181016458</v>
      </c>
      <c r="R37">
        <v>-4659.2082181016458</v>
      </c>
      <c r="S37">
        <v>-5088.7940889982219</v>
      </c>
      <c r="T37">
        <v>-5088.7940889982219</v>
      </c>
      <c r="U37">
        <v>-5497.3302977370013</v>
      </c>
      <c r="V37">
        <v>-5497.3302977370013</v>
      </c>
      <c r="W37">
        <v>-5845.1874214422032</v>
      </c>
      <c r="X37">
        <v>-5845.1874214422032</v>
      </c>
      <c r="Y37">
        <v>-5845.1874214422032</v>
      </c>
      <c r="Z37">
        <v>-5845.1874214422032</v>
      </c>
      <c r="AA37">
        <v>-5845.1874214422032</v>
      </c>
    </row>
    <row r="38" spans="1:27" x14ac:dyDescent="0.2">
      <c r="A38" t="s">
        <v>170</v>
      </c>
      <c r="B38" t="s">
        <v>171</v>
      </c>
      <c r="C38">
        <v>-1.0390140202328755</v>
      </c>
      <c r="D38">
        <v>-1.8970231532431929</v>
      </c>
      <c r="E38">
        <v>-1.8970231532431918</v>
      </c>
      <c r="F38">
        <v>-2.240226841166002</v>
      </c>
      <c r="G38">
        <v>-5.1493411406356495</v>
      </c>
      <c r="H38">
        <v>-5.1493411406356531</v>
      </c>
      <c r="I38">
        <v>-5.1493411406356531</v>
      </c>
      <c r="J38">
        <v>-6.7721947422800293</v>
      </c>
      <c r="K38">
        <v>-6.7721947422800293</v>
      </c>
      <c r="L38">
        <v>-8.8265337544974969</v>
      </c>
      <c r="M38">
        <v>-10.174961442569529</v>
      </c>
      <c r="N38">
        <v>-11.353764741972805</v>
      </c>
      <c r="O38">
        <v>-11.353764741972805</v>
      </c>
      <c r="P38">
        <v>-11.353764741972805</v>
      </c>
      <c r="Q38">
        <v>-12.388644267692008</v>
      </c>
      <c r="R38">
        <v>-12.388644267692008</v>
      </c>
      <c r="S38">
        <v>-13.530895544698199</v>
      </c>
      <c r="T38">
        <v>-13.530895544698199</v>
      </c>
      <c r="U38">
        <v>-14.617176630156631</v>
      </c>
      <c r="V38">
        <v>-14.617176630156631</v>
      </c>
      <c r="W38">
        <v>-15.542114507975311</v>
      </c>
      <c r="X38">
        <v>-15.542114507975311</v>
      </c>
      <c r="Y38">
        <v>-15.542114507975311</v>
      </c>
      <c r="Z38">
        <v>-15.542114507975311</v>
      </c>
      <c r="AA38">
        <v>-15.542114507975311</v>
      </c>
    </row>
    <row r="39" spans="1:27" x14ac:dyDescent="0.2">
      <c r="A39" t="s">
        <v>252</v>
      </c>
      <c r="B39" t="s">
        <v>253</v>
      </c>
      <c r="C39">
        <v>-4.0942134352762265</v>
      </c>
      <c r="D39">
        <v>-7.4751808250841156</v>
      </c>
      <c r="E39">
        <v>-7.475180825084113</v>
      </c>
      <c r="F39">
        <v>-8.8275679178155286</v>
      </c>
      <c r="G39">
        <v>-20.290873145374725</v>
      </c>
      <c r="H39">
        <v>-20.290873145374736</v>
      </c>
      <c r="I39">
        <v>-20.290873145374736</v>
      </c>
      <c r="J39">
        <v>-26.68569447593736</v>
      </c>
      <c r="K39">
        <v>-26.68569447593736</v>
      </c>
      <c r="L39">
        <v>-34.780775216568465</v>
      </c>
      <c r="M39">
        <v>-40.09422686351121</v>
      </c>
      <c r="N39">
        <v>-44.739277086108892</v>
      </c>
      <c r="O39">
        <v>-44.739277086108892</v>
      </c>
      <c r="P39">
        <v>-44.739277086108892</v>
      </c>
      <c r="Q39">
        <v>-48.817198630557549</v>
      </c>
      <c r="R39">
        <v>-48.817198630557549</v>
      </c>
      <c r="S39">
        <v>-53.318216358626316</v>
      </c>
      <c r="T39">
        <v>-53.318216358626316</v>
      </c>
      <c r="U39">
        <v>-57.59868469491839</v>
      </c>
      <c r="V39">
        <v>-57.59868469491839</v>
      </c>
      <c r="W39">
        <v>-61.243383430853015</v>
      </c>
      <c r="X39">
        <v>-61.243383430853015</v>
      </c>
      <c r="Y39">
        <v>-61.243383430853015</v>
      </c>
      <c r="Z39">
        <v>-61.243383430853015</v>
      </c>
      <c r="AA39">
        <v>-61.243383430853015</v>
      </c>
    </row>
    <row r="40" spans="1:27" x14ac:dyDescent="0.2">
      <c r="A40" t="s">
        <v>216</v>
      </c>
      <c r="B40" t="s">
        <v>217</v>
      </c>
      <c r="C40">
        <v>-1.2972191507701607</v>
      </c>
      <c r="D40">
        <v>-2.3684519322365949</v>
      </c>
      <c r="E40">
        <v>-2.368451932236594</v>
      </c>
      <c r="F40">
        <v>-2.796945088169783</v>
      </c>
      <c r="G40">
        <v>-6.4290027000637302</v>
      </c>
      <c r="H40">
        <v>-6.4290027000637338</v>
      </c>
      <c r="I40">
        <v>-6.4290027000637338</v>
      </c>
      <c r="J40">
        <v>-8.4551512697216999</v>
      </c>
      <c r="K40">
        <v>-8.4551512697216999</v>
      </c>
      <c r="L40">
        <v>-11.020013588158424</v>
      </c>
      <c r="M40">
        <v>-12.703538724810308</v>
      </c>
      <c r="N40">
        <v>-14.175286155739339</v>
      </c>
      <c r="O40">
        <v>-14.175286155739339</v>
      </c>
      <c r="P40">
        <v>-14.175286155739339</v>
      </c>
      <c r="Q40">
        <v>-15.467343349733703</v>
      </c>
      <c r="R40">
        <v>-15.467343349733703</v>
      </c>
      <c r="S40">
        <v>-16.893455223750568</v>
      </c>
      <c r="T40">
        <v>-16.893455223750568</v>
      </c>
      <c r="U40">
        <v>-18.249687767042179</v>
      </c>
      <c r="V40">
        <v>-18.249687767042179</v>
      </c>
      <c r="W40">
        <v>-19.404481739995671</v>
      </c>
      <c r="X40">
        <v>-19.404481739995671</v>
      </c>
      <c r="Y40">
        <v>-19.404481739995671</v>
      </c>
      <c r="Z40">
        <v>-19.404481739995671</v>
      </c>
      <c r="AA40">
        <v>-19.404481739995671</v>
      </c>
    </row>
    <row r="41" spans="1:27" x14ac:dyDescent="0.2">
      <c r="A41" t="s">
        <v>36</v>
      </c>
      <c r="B41" t="s">
        <v>37</v>
      </c>
      <c r="C41">
        <v>-4.619403066424141</v>
      </c>
      <c r="D41">
        <v>-8.4340676839039279</v>
      </c>
      <c r="E41">
        <v>-8.4340676839039244</v>
      </c>
      <c r="F41">
        <v>-9.9599336852533256</v>
      </c>
      <c r="G41">
        <v>-22.893706718014183</v>
      </c>
      <c r="H41">
        <v>-22.893706718014194</v>
      </c>
      <c r="I41">
        <v>-22.893706718014194</v>
      </c>
      <c r="J41">
        <v>-30.108830631465594</v>
      </c>
      <c r="K41">
        <v>-30.108830631465594</v>
      </c>
      <c r="L41">
        <v>-39.242316559196524</v>
      </c>
      <c r="M41">
        <v>-45.23735693000409</v>
      </c>
      <c r="N41">
        <v>-50.47825596498911</v>
      </c>
      <c r="O41">
        <v>-50.47825596498911</v>
      </c>
      <c r="P41">
        <v>-50.47825596498911</v>
      </c>
      <c r="Q41">
        <v>-55.079277280770192</v>
      </c>
      <c r="R41">
        <v>-55.079277280770192</v>
      </c>
      <c r="S41">
        <v>-60.15766789810435</v>
      </c>
      <c r="T41">
        <v>-60.15766789810435</v>
      </c>
      <c r="U41">
        <v>-64.987217913262526</v>
      </c>
      <c r="V41">
        <v>-64.987217913262526</v>
      </c>
      <c r="W41">
        <v>-69.099444298898604</v>
      </c>
      <c r="X41">
        <v>-69.099444298898604</v>
      </c>
      <c r="Y41">
        <v>-69.099444298898604</v>
      </c>
      <c r="Z41">
        <v>-69.099444298898604</v>
      </c>
      <c r="AA41">
        <v>-69.099444298898604</v>
      </c>
    </row>
    <row r="42" spans="1:27" x14ac:dyDescent="0.2">
      <c r="A42" t="s">
        <v>198</v>
      </c>
      <c r="B42" t="s">
        <v>199</v>
      </c>
      <c r="C42">
        <v>-3.8702759257004118</v>
      </c>
      <c r="D42">
        <v>-7.0663175833256222</v>
      </c>
      <c r="E42">
        <v>-7.0663175833256187</v>
      </c>
      <c r="F42">
        <v>-8.3447343757010835</v>
      </c>
      <c r="G42">
        <v>-19.181041508327343</v>
      </c>
      <c r="H42">
        <v>-19.181041508327354</v>
      </c>
      <c r="I42">
        <v>-19.181041508327354</v>
      </c>
      <c r="J42">
        <v>-25.226091048633553</v>
      </c>
      <c r="K42">
        <v>-25.226091048633553</v>
      </c>
      <c r="L42">
        <v>-32.87840243941767</v>
      </c>
      <c r="M42">
        <v>-37.901229001010506</v>
      </c>
      <c r="N42">
        <v>-42.292213089747023</v>
      </c>
      <c r="O42">
        <v>-42.292213089747023</v>
      </c>
      <c r="P42">
        <v>-42.292213089747023</v>
      </c>
      <c r="Q42">
        <v>-46.147088227518097</v>
      </c>
      <c r="R42">
        <v>-46.147088227518097</v>
      </c>
      <c r="S42">
        <v>-50.40191783752352</v>
      </c>
      <c r="T42">
        <v>-50.40191783752352</v>
      </c>
      <c r="U42">
        <v>-54.448261247452862</v>
      </c>
      <c r="V42">
        <v>-54.448261247452862</v>
      </c>
      <c r="W42">
        <v>-57.89360917498874</v>
      </c>
      <c r="X42">
        <v>-57.89360917498874</v>
      </c>
      <c r="Y42">
        <v>-57.89360917498874</v>
      </c>
      <c r="Z42">
        <v>-57.89360917498874</v>
      </c>
      <c r="AA42">
        <v>-57.89360917498874</v>
      </c>
    </row>
    <row r="43" spans="1:27" x14ac:dyDescent="0.2">
      <c r="A43" t="s">
        <v>274</v>
      </c>
      <c r="B43" t="s">
        <v>275</v>
      </c>
      <c r="C43">
        <v>-1.4639130525216659</v>
      </c>
      <c r="D43">
        <v>-2.6728002711128851</v>
      </c>
      <c r="E43">
        <v>-2.6728002711128838</v>
      </c>
      <c r="F43">
        <v>-3.1563552074660683</v>
      </c>
      <c r="G43">
        <v>-7.2551356967962644</v>
      </c>
      <c r="H43">
        <v>-7.2551356967962679</v>
      </c>
      <c r="I43">
        <v>-7.2551356967962679</v>
      </c>
      <c r="J43">
        <v>-9.5416462958029378</v>
      </c>
      <c r="K43">
        <v>-9.5416462958029378</v>
      </c>
      <c r="L43">
        <v>-12.436095875622437</v>
      </c>
      <c r="M43">
        <v>-14.335955602739336</v>
      </c>
      <c r="N43">
        <v>-15.99682398636835</v>
      </c>
      <c r="O43">
        <v>-15.99682398636835</v>
      </c>
      <c r="P43">
        <v>-15.99682398636835</v>
      </c>
      <c r="Q43">
        <v>-17.45491176573077</v>
      </c>
      <c r="R43">
        <v>-17.45491176573077</v>
      </c>
      <c r="S43">
        <v>-19.064280379730917</v>
      </c>
      <c r="T43">
        <v>-19.064280379730917</v>
      </c>
      <c r="U43">
        <v>-20.59479010216333</v>
      </c>
      <c r="V43">
        <v>-20.59479010216333</v>
      </c>
      <c r="W43">
        <v>-21.897976205279605</v>
      </c>
      <c r="X43">
        <v>-21.897976205279605</v>
      </c>
      <c r="Y43">
        <v>-21.897976205279605</v>
      </c>
      <c r="Z43">
        <v>-21.897976205279605</v>
      </c>
      <c r="AA43">
        <v>-21.897976205279605</v>
      </c>
    </row>
    <row r="44" spans="1:27" x14ac:dyDescent="0.2">
      <c r="A44" t="s">
        <v>224</v>
      </c>
      <c r="B44" t="s">
        <v>225</v>
      </c>
      <c r="C44">
        <v>-4.5073249171152598</v>
      </c>
      <c r="D44">
        <v>-8.2294363314184817</v>
      </c>
      <c r="E44">
        <v>-8.2294363314184782</v>
      </c>
      <c r="F44">
        <v>-9.7182810477521553</v>
      </c>
      <c r="G44">
        <v>-22.338248741544163</v>
      </c>
      <c r="H44">
        <v>-22.338248741544181</v>
      </c>
      <c r="I44">
        <v>-22.338248741544181</v>
      </c>
      <c r="J44">
        <v>-29.378315894711644</v>
      </c>
      <c r="K44">
        <v>-29.378315894711644</v>
      </c>
      <c r="L44">
        <v>-38.290200852620465</v>
      </c>
      <c r="M44">
        <v>-44.139786709039392</v>
      </c>
      <c r="N44">
        <v>-49.253528564598952</v>
      </c>
      <c r="O44">
        <v>-49.253528564598952</v>
      </c>
      <c r="P44">
        <v>-49.253528564598952</v>
      </c>
      <c r="Q44">
        <v>-53.742917717828206</v>
      </c>
      <c r="R44">
        <v>-53.742917717828206</v>
      </c>
      <c r="S44">
        <v>-58.698094012083388</v>
      </c>
      <c r="T44">
        <v>-58.698094012083388</v>
      </c>
      <c r="U44">
        <v>-63.410467192938455</v>
      </c>
      <c r="V44">
        <v>-63.410467192938455</v>
      </c>
      <c r="W44">
        <v>-67.422920790572718</v>
      </c>
      <c r="X44">
        <v>-67.422920790572718</v>
      </c>
      <c r="Y44">
        <v>-67.422920790572718</v>
      </c>
      <c r="Z44">
        <v>-67.422920790572718</v>
      </c>
      <c r="AA44">
        <v>-67.422920790572718</v>
      </c>
    </row>
    <row r="45" spans="1:27" x14ac:dyDescent="0.2">
      <c r="A45" t="s">
        <v>264</v>
      </c>
      <c r="B45" t="s">
        <v>265</v>
      </c>
      <c r="C45">
        <v>-0.79183958471113802</v>
      </c>
      <c r="D45">
        <v>-1.4457341254305955</v>
      </c>
      <c r="E45">
        <v>-1.4457341254305947</v>
      </c>
      <c r="F45">
        <v>-1.7072919681777201</v>
      </c>
      <c r="G45">
        <v>-3.9243475746583534</v>
      </c>
      <c r="H45">
        <v>-3.924347574658356</v>
      </c>
      <c r="I45">
        <v>-3.924347574658356</v>
      </c>
      <c r="J45">
        <v>-5.1611352377209201</v>
      </c>
      <c r="K45">
        <v>-5.1611352377209201</v>
      </c>
      <c r="L45">
        <v>-6.7267608391209599</v>
      </c>
      <c r="M45">
        <v>-7.7544066646283429</v>
      </c>
      <c r="N45">
        <v>-8.6527806007629096</v>
      </c>
      <c r="O45">
        <v>-8.6527806007629096</v>
      </c>
      <c r="P45">
        <v>-8.6527806007629096</v>
      </c>
      <c r="Q45">
        <v>-9.4414692593508729</v>
      </c>
      <c r="R45">
        <v>-9.4414692593508729</v>
      </c>
      <c r="S45">
        <v>-10.311986652963739</v>
      </c>
      <c r="T45">
        <v>-10.311986652963739</v>
      </c>
      <c r="U45">
        <v>-11.139848786523959</v>
      </c>
      <c r="V45">
        <v>-11.139848786523959</v>
      </c>
      <c r="W45">
        <v>-11.844750174564314</v>
      </c>
      <c r="X45">
        <v>-11.844750174564314</v>
      </c>
      <c r="Y45">
        <v>-11.844750174564314</v>
      </c>
      <c r="Z45">
        <v>-11.844750174564314</v>
      </c>
      <c r="AA45">
        <v>-11.844750174564314</v>
      </c>
    </row>
    <row r="46" spans="1:27" x14ac:dyDescent="0.2">
      <c r="A46" t="s">
        <v>214</v>
      </c>
      <c r="B46" t="s">
        <v>215</v>
      </c>
      <c r="C46">
        <v>-1.3787527688332168</v>
      </c>
      <c r="D46">
        <v>-2.5173153337127738</v>
      </c>
      <c r="E46">
        <v>-2.5173153337127725</v>
      </c>
      <c r="F46">
        <v>-2.9727404057356583</v>
      </c>
      <c r="G46">
        <v>-6.8330823425529319</v>
      </c>
      <c r="H46">
        <v>-6.8330823425529363</v>
      </c>
      <c r="I46">
        <v>-6.8330823425529363</v>
      </c>
      <c r="J46">
        <v>-8.9865796516428027</v>
      </c>
      <c r="K46">
        <v>-8.9865796516428027</v>
      </c>
      <c r="L46">
        <v>-11.712650278276016</v>
      </c>
      <c r="M46">
        <v>-13.501989375051625</v>
      </c>
      <c r="N46">
        <v>-15.06623998314036</v>
      </c>
      <c r="O46">
        <v>-15.06623998314036</v>
      </c>
      <c r="P46">
        <v>-15.06623998314036</v>
      </c>
      <c r="Q46">
        <v>-16.439506352707113</v>
      </c>
      <c r="R46">
        <v>-16.439506352707113</v>
      </c>
      <c r="S46">
        <v>-17.955253089717054</v>
      </c>
      <c r="T46">
        <v>-17.955253089717054</v>
      </c>
      <c r="U46">
        <v>-19.396728397212218</v>
      </c>
      <c r="V46">
        <v>-19.396728397212218</v>
      </c>
      <c r="W46">
        <v>-20.624104193118605</v>
      </c>
      <c r="X46">
        <v>-20.624104193118605</v>
      </c>
      <c r="Y46">
        <v>-20.624104193118605</v>
      </c>
      <c r="Z46">
        <v>-20.624104193118605</v>
      </c>
      <c r="AA46">
        <v>-20.624104193118605</v>
      </c>
    </row>
    <row r="47" spans="1:27" x14ac:dyDescent="0.2">
      <c r="A47" t="s">
        <v>174</v>
      </c>
      <c r="B47" t="s">
        <v>175</v>
      </c>
      <c r="C47">
        <v>-9.1392723763228307</v>
      </c>
      <c r="D47">
        <v>-16.68640746329341</v>
      </c>
      <c r="E47">
        <v>-16.686407463293403</v>
      </c>
      <c r="F47">
        <v>-19.705261803470684</v>
      </c>
      <c r="G47">
        <v>-45.294125321163811</v>
      </c>
      <c r="H47">
        <v>-45.294125321163833</v>
      </c>
      <c r="I47">
        <v>-45.294125321163833</v>
      </c>
      <c r="J47">
        <v>-59.568909687403881</v>
      </c>
      <c r="K47">
        <v>-59.568909687403881</v>
      </c>
      <c r="L47">
        <v>-77.639083352388042</v>
      </c>
      <c r="M47">
        <v>-89.499989635734892</v>
      </c>
      <c r="N47">
        <v>-99.868862645687074</v>
      </c>
      <c r="O47">
        <v>-99.868862645687074</v>
      </c>
      <c r="P47">
        <v>-99.868862645687074</v>
      </c>
      <c r="Q47">
        <v>-108.9717675902303</v>
      </c>
      <c r="R47">
        <v>-108.9717675902303</v>
      </c>
      <c r="S47">
        <v>-119.01912531541515</v>
      </c>
      <c r="T47">
        <v>-119.01912531541515</v>
      </c>
      <c r="U47">
        <v>-128.5741635766189</v>
      </c>
      <c r="V47">
        <v>-128.5741635766189</v>
      </c>
      <c r="W47">
        <v>-136.71001067006645</v>
      </c>
      <c r="X47">
        <v>-136.71001067006645</v>
      </c>
      <c r="Y47">
        <v>-136.71001067006645</v>
      </c>
      <c r="Z47">
        <v>-136.71001067006645</v>
      </c>
      <c r="AA47">
        <v>-136.71001067006645</v>
      </c>
    </row>
    <row r="48" spans="1:27" x14ac:dyDescent="0.2">
      <c r="A48" t="s">
        <v>124</v>
      </c>
      <c r="B48" t="s">
        <v>125</v>
      </c>
      <c r="C48">
        <v>-22.231504849538602</v>
      </c>
      <c r="D48">
        <v>-40.590096581719479</v>
      </c>
      <c r="E48">
        <v>-40.590096581719457</v>
      </c>
      <c r="F48">
        <v>-47.933534017458179</v>
      </c>
      <c r="G48">
        <v>-110.1790739207851</v>
      </c>
      <c r="H48">
        <v>-110.17907392078516</v>
      </c>
      <c r="I48">
        <v>-110.17907392078516</v>
      </c>
      <c r="J48">
        <v>-144.90283800142944</v>
      </c>
      <c r="K48">
        <v>-144.90283800142944</v>
      </c>
      <c r="L48">
        <v>-188.85897990457016</v>
      </c>
      <c r="M48">
        <v>-217.71092617561914</v>
      </c>
      <c r="N48">
        <v>-242.93346481033583</v>
      </c>
      <c r="O48">
        <v>-242.93346481033583</v>
      </c>
      <c r="P48">
        <v>-242.93346481033583</v>
      </c>
      <c r="Q48">
        <v>-265.07650498755891</v>
      </c>
      <c r="R48">
        <v>-265.07650498755891</v>
      </c>
      <c r="S48">
        <v>-289.51694978392771</v>
      </c>
      <c r="T48">
        <v>-289.51694978392771</v>
      </c>
      <c r="U48">
        <v>-312.75981537482568</v>
      </c>
      <c r="V48">
        <v>-312.75981537482568</v>
      </c>
      <c r="W48">
        <v>-332.550463543018</v>
      </c>
      <c r="X48">
        <v>-332.550463543018</v>
      </c>
      <c r="Y48">
        <v>-332.550463543018</v>
      </c>
      <c r="Z48">
        <v>-332.550463543018</v>
      </c>
      <c r="AA48">
        <v>-332.550463543018</v>
      </c>
    </row>
    <row r="49" spans="1:27" x14ac:dyDescent="0.2">
      <c r="A49" t="s">
        <v>166</v>
      </c>
      <c r="B49" t="s">
        <v>167</v>
      </c>
      <c r="C49">
        <v>-3.474965698536034</v>
      </c>
      <c r="D49">
        <v>-6.3445634596646414</v>
      </c>
      <c r="E49">
        <v>-6.3445634596646387</v>
      </c>
      <c r="F49">
        <v>-7.4924026802321606</v>
      </c>
      <c r="G49">
        <v>-17.221888718843989</v>
      </c>
      <c r="H49">
        <v>-17.221888718843999</v>
      </c>
      <c r="I49">
        <v>-17.221888718843999</v>
      </c>
      <c r="J49">
        <v>-22.649496517818562</v>
      </c>
      <c r="K49">
        <v>-22.649496517818562</v>
      </c>
      <c r="L49">
        <v>-29.520200340486976</v>
      </c>
      <c r="M49">
        <v>-34.029995080269543</v>
      </c>
      <c r="N49">
        <v>-37.972483777226081</v>
      </c>
      <c r="O49">
        <v>-37.972483777226081</v>
      </c>
      <c r="P49">
        <v>-37.972483777226081</v>
      </c>
      <c r="Q49">
        <v>-41.433621725283281</v>
      </c>
      <c r="R49">
        <v>-41.433621725283281</v>
      </c>
      <c r="S49">
        <v>-45.253862770554115</v>
      </c>
      <c r="T49">
        <v>-45.253862770554115</v>
      </c>
      <c r="U49">
        <v>-48.886912409374673</v>
      </c>
      <c r="V49">
        <v>-48.886912409374673</v>
      </c>
      <c r="W49">
        <v>-51.980352282280563</v>
      </c>
      <c r="X49">
        <v>-51.980352282280563</v>
      </c>
      <c r="Y49">
        <v>-51.980352282280563</v>
      </c>
      <c r="Z49">
        <v>-51.980352282280563</v>
      </c>
      <c r="AA49">
        <v>-51.980352282280563</v>
      </c>
    </row>
    <row r="50" spans="1:27" x14ac:dyDescent="0.2">
      <c r="A50" t="s">
        <v>44</v>
      </c>
      <c r="B50" t="s">
        <v>45</v>
      </c>
      <c r="C50">
        <v>-28.990022763081051</v>
      </c>
      <c r="D50">
        <v>-52.929742355436069</v>
      </c>
      <c r="E50">
        <v>-52.929742355436048</v>
      </c>
      <c r="F50">
        <v>-62.505631161080501</v>
      </c>
      <c r="G50">
        <v>-143.67420840812045</v>
      </c>
      <c r="H50">
        <v>-143.67420840812053</v>
      </c>
      <c r="I50">
        <v>-143.67420840812053</v>
      </c>
      <c r="J50">
        <v>-188.95421612377572</v>
      </c>
      <c r="K50">
        <v>-188.95421612377572</v>
      </c>
      <c r="L50">
        <v>-246.27330284208736</v>
      </c>
      <c r="M50">
        <v>-283.89642304100011</v>
      </c>
      <c r="N50">
        <v>-316.78677275469948</v>
      </c>
      <c r="O50">
        <v>-316.78677275469948</v>
      </c>
      <c r="P50">
        <v>-316.78677275469948</v>
      </c>
      <c r="Q50">
        <v>-345.66143702623833</v>
      </c>
      <c r="R50">
        <v>-345.66143702623833</v>
      </c>
      <c r="S50">
        <v>-377.53193143414444</v>
      </c>
      <c r="T50">
        <v>-377.53193143414444</v>
      </c>
      <c r="U50">
        <v>-407.84077499285422</v>
      </c>
      <c r="V50">
        <v>-407.84077499285422</v>
      </c>
      <c r="W50">
        <v>-433.64790522425335</v>
      </c>
      <c r="X50">
        <v>-433.64790522425335</v>
      </c>
      <c r="Y50">
        <v>-433.64790522425335</v>
      </c>
      <c r="Z50">
        <v>-433.64790522425335</v>
      </c>
      <c r="AA50">
        <v>-433.64790522425335</v>
      </c>
    </row>
    <row r="51" spans="1:27" x14ac:dyDescent="0.2">
      <c r="A51" t="s">
        <v>240</v>
      </c>
      <c r="B51" t="s">
        <v>241</v>
      </c>
      <c r="C51">
        <v>-3.6675226731873618</v>
      </c>
      <c r="D51">
        <v>-6.6961323818531602</v>
      </c>
      <c r="E51">
        <v>-6.6961323818531575</v>
      </c>
      <c r="F51">
        <v>-7.9075763878698515</v>
      </c>
      <c r="G51">
        <v>-18.176198797610954</v>
      </c>
      <c r="H51">
        <v>-18.176198797610965</v>
      </c>
      <c r="I51">
        <v>-18.176198797610965</v>
      </c>
      <c r="J51">
        <v>-23.904564597680274</v>
      </c>
      <c r="K51">
        <v>-23.904564597680274</v>
      </c>
      <c r="L51">
        <v>-31.155992161701217</v>
      </c>
      <c r="M51">
        <v>-35.915686470782227</v>
      </c>
      <c r="N51">
        <v>-40.076638819452747</v>
      </c>
      <c r="O51">
        <v>-40.076638819452747</v>
      </c>
      <c r="P51">
        <v>-40.076638819452747</v>
      </c>
      <c r="Q51">
        <v>-43.729567510195416</v>
      </c>
      <c r="R51">
        <v>-43.729567510195416</v>
      </c>
      <c r="S51">
        <v>-47.761498143776748</v>
      </c>
      <c r="T51">
        <v>-47.761498143776748</v>
      </c>
      <c r="U51">
        <v>-51.595864603509845</v>
      </c>
      <c r="V51">
        <v>-51.595864603509845</v>
      </c>
      <c r="W51">
        <v>-54.860720103178174</v>
      </c>
      <c r="X51">
        <v>-54.860720103178174</v>
      </c>
      <c r="Y51">
        <v>-54.860720103178174</v>
      </c>
      <c r="Z51">
        <v>-54.860720103178174</v>
      </c>
      <c r="AA51">
        <v>-54.860720103178174</v>
      </c>
    </row>
    <row r="52" spans="1:27" x14ac:dyDescent="0.2">
      <c r="A52" t="s">
        <v>106</v>
      </c>
      <c r="B52" t="s">
        <v>107</v>
      </c>
      <c r="C52">
        <v>-61.719065101518851</v>
      </c>
      <c r="D52">
        <v>-112.68615554183121</v>
      </c>
      <c r="E52">
        <v>-112.68615554183116</v>
      </c>
      <c r="F52">
        <v>-133.07299378030044</v>
      </c>
      <c r="G52">
        <v>-305.87895341160964</v>
      </c>
      <c r="H52">
        <v>-305.87895341160981</v>
      </c>
      <c r="I52">
        <v>-305.87895341160981</v>
      </c>
      <c r="J52">
        <v>-402.27900686582063</v>
      </c>
      <c r="K52">
        <v>-402.27900686582063</v>
      </c>
      <c r="L52">
        <v>-524.30997157524939</v>
      </c>
      <c r="M52">
        <v>-604.40869463786532</v>
      </c>
      <c r="N52">
        <v>-674.43146253222869</v>
      </c>
      <c r="O52">
        <v>-674.43146253222869</v>
      </c>
      <c r="P52">
        <v>-674.43146253222869</v>
      </c>
      <c r="Q52">
        <v>-735.90493216431003</v>
      </c>
      <c r="R52">
        <v>-735.90493216431003</v>
      </c>
      <c r="S52">
        <v>-803.75645250475463</v>
      </c>
      <c r="T52">
        <v>-803.75645250475463</v>
      </c>
      <c r="U52">
        <v>-868.28325553762511</v>
      </c>
      <c r="V52">
        <v>-868.28325553762511</v>
      </c>
      <c r="W52">
        <v>-923.22601856517008</v>
      </c>
      <c r="X52">
        <v>-923.22601856517008</v>
      </c>
      <c r="Y52">
        <v>-923.22601856517008</v>
      </c>
      <c r="Z52">
        <v>-923.22601856517008</v>
      </c>
      <c r="AA52">
        <v>-923.22601856517008</v>
      </c>
    </row>
    <row r="53" spans="1:27" x14ac:dyDescent="0.2">
      <c r="A53" t="s">
        <v>222</v>
      </c>
      <c r="B53" t="s">
        <v>223</v>
      </c>
      <c r="C53">
        <v>-2.3021420730731874</v>
      </c>
      <c r="D53">
        <v>-4.2032318425272921</v>
      </c>
      <c r="E53">
        <v>-4.2032318425272903</v>
      </c>
      <c r="F53">
        <v>-4.9636678272350752</v>
      </c>
      <c r="G53">
        <v>-11.409388764366277</v>
      </c>
      <c r="H53">
        <v>-11.409388764366284</v>
      </c>
      <c r="I53">
        <v>-11.409388764366284</v>
      </c>
      <c r="J53">
        <v>-15.005143472225289</v>
      </c>
      <c r="K53">
        <v>-15.005143472225289</v>
      </c>
      <c r="L53">
        <v>-19.556939867928826</v>
      </c>
      <c r="M53">
        <v>-22.544649420213471</v>
      </c>
      <c r="N53">
        <v>-25.156522425378046</v>
      </c>
      <c r="O53">
        <v>-25.156522425378046</v>
      </c>
      <c r="P53">
        <v>-25.156522425378046</v>
      </c>
      <c r="Q53">
        <v>-27.449503704096717</v>
      </c>
      <c r="R53">
        <v>-27.449503704096717</v>
      </c>
      <c r="S53">
        <v>-29.980388438672431</v>
      </c>
      <c r="T53">
        <v>-29.980388438672431</v>
      </c>
      <c r="U53">
        <v>-32.387260089410084</v>
      </c>
      <c r="V53">
        <v>-32.387260089410084</v>
      </c>
      <c r="W53">
        <v>-34.436643795539631</v>
      </c>
      <c r="X53">
        <v>-34.436643795539631</v>
      </c>
      <c r="Y53">
        <v>-34.436643795539631</v>
      </c>
      <c r="Z53">
        <v>-34.436643795539631</v>
      </c>
      <c r="AA53">
        <v>-34.436643795539631</v>
      </c>
    </row>
    <row r="54" spans="1:27" x14ac:dyDescent="0.2">
      <c r="A54" t="s">
        <v>104</v>
      </c>
      <c r="B54" t="s">
        <v>105</v>
      </c>
      <c r="C54">
        <v>-4.8897144387448401</v>
      </c>
      <c r="D54">
        <v>-8.9275999384180444</v>
      </c>
      <c r="E54">
        <v>-8.9275999384180409</v>
      </c>
      <c r="F54">
        <v>-10.54275430167727</v>
      </c>
      <c r="G54">
        <v>-24.233366667896938</v>
      </c>
      <c r="H54">
        <v>-24.233366667896952</v>
      </c>
      <c r="I54">
        <v>-24.233366667896952</v>
      </c>
      <c r="J54">
        <v>-31.870694493512843</v>
      </c>
      <c r="K54">
        <v>-31.870694493512843</v>
      </c>
      <c r="L54">
        <v>-41.538640194442976</v>
      </c>
      <c r="M54">
        <v>-47.884489439568029</v>
      </c>
      <c r="N54">
        <v>-53.432067625510463</v>
      </c>
      <c r="O54">
        <v>-53.432067625510463</v>
      </c>
      <c r="P54">
        <v>-53.432067625510463</v>
      </c>
      <c r="Q54">
        <v>-58.302324677611104</v>
      </c>
      <c r="R54">
        <v>-58.302324677611104</v>
      </c>
      <c r="S54">
        <v>-63.677885019520708</v>
      </c>
      <c r="T54">
        <v>-63.677885019520708</v>
      </c>
      <c r="U54">
        <v>-68.790043474236285</v>
      </c>
      <c r="V54">
        <v>-68.790043474236285</v>
      </c>
      <c r="W54">
        <v>-73.142903019960528</v>
      </c>
      <c r="X54">
        <v>-73.142903019960528</v>
      </c>
      <c r="Y54">
        <v>-73.142903019960528</v>
      </c>
      <c r="Z54">
        <v>-73.142903019960528</v>
      </c>
      <c r="AA54">
        <v>-73.142903019960528</v>
      </c>
    </row>
    <row r="55" spans="1:27" x14ac:dyDescent="0.2">
      <c r="A55" t="s">
        <v>286</v>
      </c>
      <c r="B55" t="s">
        <v>287</v>
      </c>
      <c r="C55">
        <v>-0.22686275212774379</v>
      </c>
      <c r="D55">
        <v>-0.41420412527094036</v>
      </c>
      <c r="E55">
        <v>-0.41420412527094019</v>
      </c>
      <c r="F55">
        <v>-0.4891406821088442</v>
      </c>
      <c r="G55">
        <v>-1.1243291043824317</v>
      </c>
      <c r="H55">
        <v>-1.1243291043824324</v>
      </c>
      <c r="I55">
        <v>-1.1243291043824324</v>
      </c>
      <c r="J55">
        <v>-1.4786698805414946</v>
      </c>
      <c r="K55">
        <v>-1.4786698805414946</v>
      </c>
      <c r="L55">
        <v>-1.9272230213456853</v>
      </c>
      <c r="M55">
        <v>-2.221644473226295</v>
      </c>
      <c r="N55">
        <v>-2.4790294127095494</v>
      </c>
      <c r="O55">
        <v>-2.4790294127095494</v>
      </c>
      <c r="P55">
        <v>-2.4790294127095494</v>
      </c>
      <c r="Q55">
        <v>-2.7049894216733281</v>
      </c>
      <c r="R55">
        <v>-2.7049894216733281</v>
      </c>
      <c r="S55">
        <v>-2.9543934367076723</v>
      </c>
      <c r="T55">
        <v>-2.9543934367076723</v>
      </c>
      <c r="U55">
        <v>-3.1915766814305671</v>
      </c>
      <c r="V55">
        <v>-3.1915766814305671</v>
      </c>
      <c r="W55">
        <v>-3.3935315621376727</v>
      </c>
      <c r="X55">
        <v>-3.3935315621376727</v>
      </c>
      <c r="Y55">
        <v>-3.3935315621376727</v>
      </c>
      <c r="Z55">
        <v>-3.3935315621376727</v>
      </c>
      <c r="AA55">
        <v>-3.3935315621376727</v>
      </c>
    </row>
    <row r="56" spans="1:27" x14ac:dyDescent="0.2">
      <c r="A56" t="s">
        <v>220</v>
      </c>
      <c r="B56" t="s">
        <v>221</v>
      </c>
      <c r="C56">
        <v>-1.453704530372214</v>
      </c>
      <c r="D56">
        <v>-2.6541616363102807</v>
      </c>
      <c r="E56">
        <v>-2.6541616363102798</v>
      </c>
      <c r="F56">
        <v>-3.1343445272610846</v>
      </c>
      <c r="G56">
        <v>-7.204542382302316</v>
      </c>
      <c r="H56">
        <v>-7.2045423823023205</v>
      </c>
      <c r="I56">
        <v>-7.2045423823023205</v>
      </c>
      <c r="J56">
        <v>-9.4751081176063892</v>
      </c>
      <c r="K56">
        <v>-9.4751081176063892</v>
      </c>
      <c r="L56">
        <v>-12.34937340260376</v>
      </c>
      <c r="M56">
        <v>-14.235984555926118</v>
      </c>
      <c r="N56">
        <v>-15.885270959564998</v>
      </c>
      <c r="O56">
        <v>-15.885270959564998</v>
      </c>
      <c r="P56">
        <v>-15.885270959564998</v>
      </c>
      <c r="Q56">
        <v>-17.333190839019817</v>
      </c>
      <c r="R56">
        <v>-17.333190839019817</v>
      </c>
      <c r="S56">
        <v>-18.931336604016497</v>
      </c>
      <c r="T56">
        <v>-18.931336604016497</v>
      </c>
      <c r="U56">
        <v>-20.451173395857516</v>
      </c>
      <c r="V56">
        <v>-20.451173395857516</v>
      </c>
      <c r="W56">
        <v>-21.745271797914217</v>
      </c>
      <c r="X56">
        <v>-21.745271797914217</v>
      </c>
      <c r="Y56">
        <v>-21.745271797914217</v>
      </c>
      <c r="Z56">
        <v>-21.745271797914217</v>
      </c>
      <c r="AA56">
        <v>-21.745271797914217</v>
      </c>
    </row>
    <row r="57" spans="1:27" x14ac:dyDescent="0.2">
      <c r="A57" t="s">
        <v>154</v>
      </c>
      <c r="B57" t="s">
        <v>155</v>
      </c>
      <c r="C57">
        <v>-8.9720980704364113</v>
      </c>
      <c r="D57">
        <v>-16.381182006544694</v>
      </c>
      <c r="E57">
        <v>-16.381182006544687</v>
      </c>
      <c r="F57">
        <v>-19.344815880790915</v>
      </c>
      <c r="G57">
        <v>-44.465611447245905</v>
      </c>
      <c r="H57">
        <v>-44.465611447245934</v>
      </c>
      <c r="I57">
        <v>-44.465611447245934</v>
      </c>
      <c r="J57">
        <v>-58.479283432779731</v>
      </c>
      <c r="K57">
        <v>-58.479283432779731</v>
      </c>
      <c r="L57">
        <v>-76.218919981098338</v>
      </c>
      <c r="M57">
        <v>-87.862868207670431</v>
      </c>
      <c r="N57">
        <v>-98.042075227061474</v>
      </c>
      <c r="O57">
        <v>-98.042075227061474</v>
      </c>
      <c r="P57">
        <v>-98.042075227061474</v>
      </c>
      <c r="Q57">
        <v>-106.97847109374896</v>
      </c>
      <c r="R57">
        <v>-106.97847109374896</v>
      </c>
      <c r="S57">
        <v>-116.8420439414799</v>
      </c>
      <c r="T57">
        <v>-116.8420439414799</v>
      </c>
      <c r="U57">
        <v>-126.22230276475233</v>
      </c>
      <c r="V57">
        <v>-126.22230276475233</v>
      </c>
      <c r="W57">
        <v>-134.20933006876362</v>
      </c>
      <c r="X57">
        <v>-134.20933006876362</v>
      </c>
      <c r="Y57">
        <v>-134.20933006876362</v>
      </c>
      <c r="Z57">
        <v>-134.20933006876362</v>
      </c>
      <c r="AA57">
        <v>-134.20933006876362</v>
      </c>
    </row>
    <row r="58" spans="1:27" x14ac:dyDescent="0.2">
      <c r="A58" t="s">
        <v>278</v>
      </c>
      <c r="B58" t="s">
        <v>279</v>
      </c>
      <c r="C58">
        <v>-0.22175872248473402</v>
      </c>
      <c r="D58">
        <v>-0.40488523041574009</v>
      </c>
      <c r="E58">
        <v>-0.40488523041573987</v>
      </c>
      <c r="F58">
        <v>-0.47813584099821638</v>
      </c>
      <c r="G58">
        <v>-1.099033594108294</v>
      </c>
      <c r="H58">
        <v>-1.0990335941082947</v>
      </c>
      <c r="I58">
        <v>-1.0990335941082947</v>
      </c>
      <c r="J58">
        <v>-1.4454022998931748</v>
      </c>
      <c r="K58">
        <v>-1.4454022998931748</v>
      </c>
      <c r="L58">
        <v>-1.8838637508731999</v>
      </c>
      <c r="M58">
        <v>-2.1716612162075721</v>
      </c>
      <c r="N58">
        <v>-2.423255428264373</v>
      </c>
      <c r="O58">
        <v>-2.423255428264373</v>
      </c>
      <c r="P58">
        <v>-2.423255428264373</v>
      </c>
      <c r="Q58">
        <v>-2.6441317177851458</v>
      </c>
      <c r="R58">
        <v>-2.6441317177851458</v>
      </c>
      <c r="S58">
        <v>-2.8879245627447112</v>
      </c>
      <c r="T58">
        <v>-2.8879245627447112</v>
      </c>
      <c r="U58">
        <v>-3.1197715841319695</v>
      </c>
      <c r="V58">
        <v>-3.1197715841319695</v>
      </c>
      <c r="W58">
        <v>-3.3171828203314955</v>
      </c>
      <c r="X58">
        <v>-3.3171828203314955</v>
      </c>
      <c r="Y58">
        <v>-3.3171828203314955</v>
      </c>
      <c r="Z58">
        <v>-3.3171828203314955</v>
      </c>
      <c r="AA58">
        <v>-3.3171828203314955</v>
      </c>
    </row>
    <row r="59" spans="1:27" x14ac:dyDescent="0.2">
      <c r="A59" t="s">
        <v>130</v>
      </c>
      <c r="B59" t="s">
        <v>131</v>
      </c>
      <c r="C59">
        <v>-9.1459163234156104</v>
      </c>
      <c r="D59">
        <v>-16.698537926615838</v>
      </c>
      <c r="E59">
        <v>-16.698537926615831</v>
      </c>
      <c r="F59">
        <v>-19.719586873506977</v>
      </c>
      <c r="G59">
        <v>-45.327052644024562</v>
      </c>
      <c r="H59">
        <v>-45.327052644024583</v>
      </c>
      <c r="I59">
        <v>-45.327052644024583</v>
      </c>
      <c r="J59">
        <v>-59.612214303793579</v>
      </c>
      <c r="K59">
        <v>-59.612214303793579</v>
      </c>
      <c r="L59">
        <v>-77.695524384111906</v>
      </c>
      <c r="M59">
        <v>-89.565053151894517</v>
      </c>
      <c r="N59">
        <v>-99.94146398770998</v>
      </c>
      <c r="O59">
        <v>-99.94146398770998</v>
      </c>
      <c r="P59">
        <v>-99.94146398770998</v>
      </c>
      <c r="Q59">
        <v>-109.05098644143249</v>
      </c>
      <c r="R59">
        <v>-109.05098644143249</v>
      </c>
      <c r="S59">
        <v>-119.10564826156052</v>
      </c>
      <c r="T59">
        <v>-119.10564826156052</v>
      </c>
      <c r="U59">
        <v>-128.66763271782915</v>
      </c>
      <c r="V59">
        <v>-128.66763271782915</v>
      </c>
      <c r="W59">
        <v>-136.80939430155757</v>
      </c>
      <c r="X59">
        <v>-136.80939430155757</v>
      </c>
      <c r="Y59">
        <v>-136.80939430155757</v>
      </c>
      <c r="Z59">
        <v>-136.80939430155757</v>
      </c>
      <c r="AA59">
        <v>-136.80939430155757</v>
      </c>
    </row>
    <row r="60" spans="1:27" x14ac:dyDescent="0.2">
      <c r="A60" t="s">
        <v>266</v>
      </c>
      <c r="B60" t="s">
        <v>267</v>
      </c>
      <c r="C60">
        <v>-0.61581788316817976</v>
      </c>
      <c r="D60">
        <v>-1.1243551673050702</v>
      </c>
      <c r="E60">
        <v>-1.1243551673050698</v>
      </c>
      <c r="F60">
        <v>-1.3277701015373979</v>
      </c>
      <c r="G60">
        <v>-3.0519861129750039</v>
      </c>
      <c r="H60">
        <v>-3.0519861129750057</v>
      </c>
      <c r="I60">
        <v>-3.0519861129750057</v>
      </c>
      <c r="J60">
        <v>-4.0138424981588203</v>
      </c>
      <c r="K60">
        <v>-4.0138424981588203</v>
      </c>
      <c r="L60">
        <v>-5.231437908016737</v>
      </c>
      <c r="M60">
        <v>-6.0306435667505491</v>
      </c>
      <c r="N60">
        <v>-6.7293137852212173</v>
      </c>
      <c r="O60">
        <v>-6.7293137852212173</v>
      </c>
      <c r="P60">
        <v>-6.7293137852212173</v>
      </c>
      <c r="Q60">
        <v>-7.3426811762788011</v>
      </c>
      <c r="R60">
        <v>-7.3426811762788011</v>
      </c>
      <c r="S60">
        <v>-8.0196872125346381</v>
      </c>
      <c r="T60">
        <v>-8.0196872125346381</v>
      </c>
      <c r="U60">
        <v>-8.6635200247451163</v>
      </c>
      <c r="V60">
        <v>-8.6635200247451163</v>
      </c>
      <c r="W60">
        <v>-9.2117256070458282</v>
      </c>
      <c r="X60">
        <v>-9.2117256070458282</v>
      </c>
      <c r="Y60">
        <v>-9.2117256070458282</v>
      </c>
      <c r="Z60">
        <v>-9.2117256070458282</v>
      </c>
      <c r="AA60">
        <v>-9.2117256070458282</v>
      </c>
    </row>
    <row r="61" spans="1:27" x14ac:dyDescent="0.2">
      <c r="A61" t="s">
        <v>184</v>
      </c>
      <c r="B61" t="s">
        <v>185</v>
      </c>
      <c r="C61">
        <v>-3.0566503653456758</v>
      </c>
      <c r="D61">
        <v>-5.5808068048305808</v>
      </c>
      <c r="E61">
        <v>-5.580806804830579</v>
      </c>
      <c r="F61">
        <v>-6.5904694827626003</v>
      </c>
      <c r="G61">
        <v>-15.148722897199894</v>
      </c>
      <c r="H61">
        <v>-15.148722897199903</v>
      </c>
      <c r="I61">
        <v>-15.148722897199903</v>
      </c>
      <c r="J61">
        <v>-19.922956889978007</v>
      </c>
      <c r="K61">
        <v>-19.922956889978007</v>
      </c>
      <c r="L61">
        <v>-25.966567438015641</v>
      </c>
      <c r="M61">
        <v>-29.933474433614997</v>
      </c>
      <c r="N61">
        <v>-33.40136751843027</v>
      </c>
      <c r="O61">
        <v>-33.40136751843027</v>
      </c>
      <c r="P61">
        <v>-33.40136751843027</v>
      </c>
      <c r="Q61">
        <v>-36.445854713770878</v>
      </c>
      <c r="R61">
        <v>-36.445854713770878</v>
      </c>
      <c r="S61">
        <v>-39.806216282708128</v>
      </c>
      <c r="T61">
        <v>-39.806216282708128</v>
      </c>
      <c r="U61">
        <v>-43.001920490809589</v>
      </c>
      <c r="V61">
        <v>-43.001920490809589</v>
      </c>
      <c r="W61">
        <v>-45.722972995493642</v>
      </c>
      <c r="X61">
        <v>-45.722972995493642</v>
      </c>
      <c r="Y61">
        <v>-45.722972995493642</v>
      </c>
      <c r="Z61">
        <v>-45.722972995493642</v>
      </c>
      <c r="AA61">
        <v>-45.722972995493642</v>
      </c>
    </row>
    <row r="62" spans="1:27" x14ac:dyDescent="0.2">
      <c r="A62" t="s">
        <v>230</v>
      </c>
      <c r="B62" t="s">
        <v>231</v>
      </c>
      <c r="C62">
        <v>-1.0396228067057549</v>
      </c>
      <c r="D62">
        <v>-1.8981346705200959</v>
      </c>
      <c r="E62">
        <v>-1.8981346705200952</v>
      </c>
      <c r="F62">
        <v>-2.2415394507848574</v>
      </c>
      <c r="G62">
        <v>-5.152358279162768</v>
      </c>
      <c r="H62">
        <v>-5.1523582791627707</v>
      </c>
      <c r="I62">
        <v>-5.1523582791627707</v>
      </c>
      <c r="J62">
        <v>-6.7761627547134724</v>
      </c>
      <c r="K62">
        <v>-6.7761627547134724</v>
      </c>
      <c r="L62">
        <v>-8.8317054598330493</v>
      </c>
      <c r="M62">
        <v>-10.180923228231398</v>
      </c>
      <c r="N62">
        <v>-11.360417220434663</v>
      </c>
      <c r="O62">
        <v>-11.360417220434663</v>
      </c>
      <c r="P62">
        <v>-11.360417220434663</v>
      </c>
      <c r="Q62">
        <v>-12.395903110114361</v>
      </c>
      <c r="R62">
        <v>-12.395903110114361</v>
      </c>
      <c r="S62">
        <v>-13.538823663100018</v>
      </c>
      <c r="T62">
        <v>-13.538823663100018</v>
      </c>
      <c r="U62">
        <v>-14.625741230085836</v>
      </c>
      <c r="V62">
        <v>-14.625741230085836</v>
      </c>
      <c r="W62">
        <v>-15.551221054073963</v>
      </c>
      <c r="X62">
        <v>-15.551221054073963</v>
      </c>
      <c r="Y62">
        <v>-15.551221054073963</v>
      </c>
      <c r="Z62">
        <v>-15.551221054073963</v>
      </c>
      <c r="AA62">
        <v>-15.551221054073963</v>
      </c>
    </row>
    <row r="63" spans="1:27" x14ac:dyDescent="0.2">
      <c r="A63" t="s">
        <v>158</v>
      </c>
      <c r="B63" t="s">
        <v>159</v>
      </c>
      <c r="C63">
        <v>-5.4769784811605255</v>
      </c>
      <c r="D63">
        <v>-9.9998217408534469</v>
      </c>
      <c r="E63">
        <v>-9.9998217408534433</v>
      </c>
      <c r="F63">
        <v>-11.808959227744005</v>
      </c>
      <c r="G63">
        <v>-27.143840285326384</v>
      </c>
      <c r="H63">
        <v>-27.143840285326398</v>
      </c>
      <c r="I63">
        <v>-27.143840285326398</v>
      </c>
      <c r="J63">
        <v>-35.698425768482785</v>
      </c>
      <c r="K63">
        <v>-35.698425768482785</v>
      </c>
      <c r="L63">
        <v>-46.52751021183014</v>
      </c>
      <c r="M63">
        <v>-53.635508070527266</v>
      </c>
      <c r="N63">
        <v>-59.849360991304707</v>
      </c>
      <c r="O63">
        <v>-59.849360991304707</v>
      </c>
      <c r="P63">
        <v>-59.849360991304707</v>
      </c>
      <c r="Q63">
        <v>-65.304545216525568</v>
      </c>
      <c r="R63">
        <v>-65.304545216525568</v>
      </c>
      <c r="S63">
        <v>-71.325720621684042</v>
      </c>
      <c r="T63">
        <v>-71.325720621684042</v>
      </c>
      <c r="U63">
        <v>-77.051859069954517</v>
      </c>
      <c r="V63">
        <v>-77.051859069954517</v>
      </c>
      <c r="W63">
        <v>-81.927505360163153</v>
      </c>
      <c r="X63">
        <v>-81.927505360163153</v>
      </c>
      <c r="Y63">
        <v>-81.927505360163153</v>
      </c>
      <c r="Z63">
        <v>-81.927505360163153</v>
      </c>
      <c r="AA63">
        <v>-81.927505360163153</v>
      </c>
    </row>
    <row r="64" spans="1:27" x14ac:dyDescent="0.2">
      <c r="A64" t="s">
        <v>200</v>
      </c>
      <c r="B64" t="s">
        <v>201</v>
      </c>
      <c r="C64">
        <v>-2.5293418582332463</v>
      </c>
      <c r="D64">
        <v>-4.6180513199044206</v>
      </c>
      <c r="E64">
        <v>-4.6180513199044189</v>
      </c>
      <c r="F64">
        <v>-5.4535351890909194</v>
      </c>
      <c r="G64">
        <v>-12.535388200452863</v>
      </c>
      <c r="H64">
        <v>-12.53538820045287</v>
      </c>
      <c r="I64">
        <v>-12.53538820045287</v>
      </c>
      <c r="J64">
        <v>-16.486010102074278</v>
      </c>
      <c r="K64">
        <v>-16.486010102074278</v>
      </c>
      <c r="L64">
        <v>-21.487026020452902</v>
      </c>
      <c r="M64">
        <v>-24.76959442456052</v>
      </c>
      <c r="N64">
        <v>-27.639234746772818</v>
      </c>
      <c r="O64">
        <v>-27.639234746772818</v>
      </c>
      <c r="P64">
        <v>-27.639234746772818</v>
      </c>
      <c r="Q64">
        <v>-30.158511726349545</v>
      </c>
      <c r="R64">
        <v>-30.158511726349545</v>
      </c>
      <c r="S64">
        <v>-32.939170996861208</v>
      </c>
      <c r="T64">
        <v>-32.939170996861208</v>
      </c>
      <c r="U64">
        <v>-35.583578257738438</v>
      </c>
      <c r="V64">
        <v>-35.583578257738438</v>
      </c>
      <c r="W64">
        <v>-37.835216873844757</v>
      </c>
      <c r="X64">
        <v>-37.835216873844757</v>
      </c>
      <c r="Y64">
        <v>-37.835216873844757</v>
      </c>
      <c r="Z64">
        <v>-37.835216873844757</v>
      </c>
      <c r="AA64">
        <v>-37.835216873844757</v>
      </c>
    </row>
    <row r="65" spans="1:27" x14ac:dyDescent="0.2">
      <c r="A65" t="s">
        <v>66</v>
      </c>
      <c r="B65" t="s">
        <v>67</v>
      </c>
      <c r="C65">
        <v>-10.937880020949583</v>
      </c>
      <c r="D65">
        <v>-19.970290335915685</v>
      </c>
      <c r="E65">
        <v>-19.970290335915678</v>
      </c>
      <c r="F65">
        <v>-23.583254827391691</v>
      </c>
      <c r="G65">
        <v>-54.208003440212188</v>
      </c>
      <c r="H65">
        <v>-54.208003440212217</v>
      </c>
      <c r="I65">
        <v>-54.208003440212217</v>
      </c>
      <c r="J65">
        <v>-71.292063559414117</v>
      </c>
      <c r="K65">
        <v>-71.292063559414117</v>
      </c>
      <c r="L65">
        <v>-92.918445110025417</v>
      </c>
      <c r="M65">
        <v>-107.1135762457464</v>
      </c>
      <c r="N65">
        <v>-119.52304214908683</v>
      </c>
      <c r="O65">
        <v>-119.52304214908683</v>
      </c>
      <c r="P65">
        <v>-119.52304214908683</v>
      </c>
      <c r="Q65">
        <v>-130.41739763229469</v>
      </c>
      <c r="R65">
        <v>-130.41739763229469</v>
      </c>
      <c r="S65">
        <v>-142.44207408359983</v>
      </c>
      <c r="T65">
        <v>-142.44207408359983</v>
      </c>
      <c r="U65">
        <v>-153.87754266284787</v>
      </c>
      <c r="V65">
        <v>-153.87754266284787</v>
      </c>
      <c r="W65">
        <v>-163.61452343250576</v>
      </c>
      <c r="X65">
        <v>-163.61452343250576</v>
      </c>
      <c r="Y65">
        <v>-163.61452343250576</v>
      </c>
      <c r="Z65">
        <v>-163.61452343250576</v>
      </c>
      <c r="AA65">
        <v>-163.61452343250576</v>
      </c>
    </row>
    <row r="66" spans="1:27" x14ac:dyDescent="0.2">
      <c r="A66" t="s">
        <v>114</v>
      </c>
      <c r="B66" t="s">
        <v>115</v>
      </c>
      <c r="C66">
        <v>-7.5881459177695758</v>
      </c>
      <c r="D66">
        <v>-13.854373681088882</v>
      </c>
      <c r="E66">
        <v>-13.854373681088875</v>
      </c>
      <c r="F66">
        <v>-16.360865039974712</v>
      </c>
      <c r="G66">
        <v>-37.606761020183001</v>
      </c>
      <c r="H66">
        <v>-37.606761020183022</v>
      </c>
      <c r="I66">
        <v>-37.606761020183022</v>
      </c>
      <c r="J66">
        <v>-49.458814690926928</v>
      </c>
      <c r="K66">
        <v>-49.458814690926928</v>
      </c>
      <c r="L66">
        <v>-64.462100388437392</v>
      </c>
      <c r="M66">
        <v>-74.309961781451065</v>
      </c>
      <c r="N66">
        <v>-82.919019282152959</v>
      </c>
      <c r="O66">
        <v>-82.919019282152959</v>
      </c>
      <c r="P66">
        <v>-82.919019282152959</v>
      </c>
      <c r="Q66">
        <v>-90.476970085078065</v>
      </c>
      <c r="R66">
        <v>-90.476970085078065</v>
      </c>
      <c r="S66">
        <v>-98.819080197065702</v>
      </c>
      <c r="T66">
        <v>-98.819080197065702</v>
      </c>
      <c r="U66">
        <v>-106.75242779744191</v>
      </c>
      <c r="V66">
        <v>-106.75242779744191</v>
      </c>
      <c r="W66">
        <v>-113.50745077604154</v>
      </c>
      <c r="X66">
        <v>-113.50745077604154</v>
      </c>
      <c r="Y66">
        <v>-113.50745077604154</v>
      </c>
      <c r="Z66">
        <v>-113.50745077604154</v>
      </c>
      <c r="AA66">
        <v>-113.50745077604154</v>
      </c>
    </row>
    <row r="67" spans="1:27" x14ac:dyDescent="0.2">
      <c r="A67" t="s">
        <v>54</v>
      </c>
      <c r="B67" t="s">
        <v>55</v>
      </c>
      <c r="C67">
        <v>-26.14960424056067</v>
      </c>
      <c r="D67">
        <v>-47.743729850124275</v>
      </c>
      <c r="E67">
        <v>-47.743729850124254</v>
      </c>
      <c r="F67">
        <v>-56.381380967739467</v>
      </c>
      <c r="G67">
        <v>-129.59712795509679</v>
      </c>
      <c r="H67">
        <v>-129.59712795509688</v>
      </c>
      <c r="I67">
        <v>-129.59712795509688</v>
      </c>
      <c r="J67">
        <v>-170.44063785677992</v>
      </c>
      <c r="K67">
        <v>-170.44063785677992</v>
      </c>
      <c r="L67">
        <v>-222.14364772895732</v>
      </c>
      <c r="M67">
        <v>-256.08048563822325</v>
      </c>
      <c r="N67">
        <v>-285.74826601134458</v>
      </c>
      <c r="O67">
        <v>-285.74826601134458</v>
      </c>
      <c r="P67">
        <v>-285.74826601134458</v>
      </c>
      <c r="Q67">
        <v>-311.79381449022929</v>
      </c>
      <c r="R67">
        <v>-311.79381449022929</v>
      </c>
      <c r="S67">
        <v>-340.5416641393536</v>
      </c>
      <c r="T67">
        <v>-340.5416641393536</v>
      </c>
      <c r="U67">
        <v>-367.88087220160679</v>
      </c>
      <c r="V67">
        <v>-367.88087220160679</v>
      </c>
      <c r="W67">
        <v>-391.15944109583739</v>
      </c>
      <c r="X67">
        <v>-391.15944109583739</v>
      </c>
      <c r="Y67">
        <v>-391.15944109583739</v>
      </c>
      <c r="Z67">
        <v>-391.15944109583739</v>
      </c>
      <c r="AA67">
        <v>-391.15944109583739</v>
      </c>
    </row>
    <row r="68" spans="1:27" x14ac:dyDescent="0.2">
      <c r="A68" t="s">
        <v>68</v>
      </c>
      <c r="B68" t="s">
        <v>69</v>
      </c>
      <c r="C68">
        <v>-33.398539411459488</v>
      </c>
      <c r="D68">
        <v>-60.97877537190832</v>
      </c>
      <c r="E68">
        <v>-60.978775371908291</v>
      </c>
      <c r="F68">
        <v>-72.01087087210098</v>
      </c>
      <c r="G68">
        <v>-165.52276454366159</v>
      </c>
      <c r="H68">
        <v>-165.52276454366168</v>
      </c>
      <c r="I68">
        <v>-165.52276454366168</v>
      </c>
      <c r="J68">
        <v>-217.68850910349022</v>
      </c>
      <c r="K68">
        <v>-217.68850910349022</v>
      </c>
      <c r="L68">
        <v>-283.72411702403184</v>
      </c>
      <c r="M68">
        <v>-327.06859015586031</v>
      </c>
      <c r="N68">
        <v>-364.96057976024952</v>
      </c>
      <c r="O68">
        <v>-364.96057976024952</v>
      </c>
      <c r="P68">
        <v>-364.96057976024952</v>
      </c>
      <c r="Q68">
        <v>-398.22621809889154</v>
      </c>
      <c r="R68">
        <v>-398.22621809889154</v>
      </c>
      <c r="S68">
        <v>-434.94326286439974</v>
      </c>
      <c r="T68">
        <v>-434.94326286439974</v>
      </c>
      <c r="U68">
        <v>-469.86117632669834</v>
      </c>
      <c r="V68">
        <v>-469.86117632669834</v>
      </c>
      <c r="W68">
        <v>-499.59280031244111</v>
      </c>
      <c r="X68">
        <v>-499.59280031244111</v>
      </c>
      <c r="Y68">
        <v>-499.59280031244111</v>
      </c>
      <c r="Z68">
        <v>-499.59280031244111</v>
      </c>
      <c r="AA68">
        <v>-499.59280031244111</v>
      </c>
    </row>
    <row r="69" spans="1:27" x14ac:dyDescent="0.2">
      <c r="A69" t="s">
        <v>204</v>
      </c>
      <c r="B69" t="s">
        <v>205</v>
      </c>
      <c r="C69">
        <v>-1.9144630839528334</v>
      </c>
      <c r="D69">
        <v>-3.4954107697929766</v>
      </c>
      <c r="E69">
        <v>-3.4954107697929753</v>
      </c>
      <c r="F69">
        <v>-4.1277899081008718</v>
      </c>
      <c r="G69">
        <v>-9.4880562999688784</v>
      </c>
      <c r="H69">
        <v>-9.4880562999688838</v>
      </c>
      <c r="I69">
        <v>-9.4880562999688838</v>
      </c>
      <c r="J69">
        <v>-12.478288626489084</v>
      </c>
      <c r="K69">
        <v>-12.478288626489084</v>
      </c>
      <c r="L69">
        <v>-16.263565941546844</v>
      </c>
      <c r="M69">
        <v>-18.748147458180448</v>
      </c>
      <c r="N69">
        <v>-20.920183018820481</v>
      </c>
      <c r="O69">
        <v>-20.920183018820481</v>
      </c>
      <c r="P69">
        <v>-20.920183018820481</v>
      </c>
      <c r="Q69">
        <v>-22.827027979280182</v>
      </c>
      <c r="R69">
        <v>-22.827027979280182</v>
      </c>
      <c r="S69">
        <v>-24.931713633027375</v>
      </c>
      <c r="T69">
        <v>-24.931713633027375</v>
      </c>
      <c r="U69">
        <v>-26.933269912739821</v>
      </c>
      <c r="V69">
        <v>-26.933269912739821</v>
      </c>
      <c r="W69">
        <v>-28.637538948143838</v>
      </c>
      <c r="X69">
        <v>-28.637538948143838</v>
      </c>
      <c r="Y69">
        <v>-28.637538948143838</v>
      </c>
      <c r="Z69">
        <v>-28.637538948143838</v>
      </c>
      <c r="AA69">
        <v>-28.637538948143838</v>
      </c>
    </row>
    <row r="70" spans="1:27" x14ac:dyDescent="0.2">
      <c r="A70" t="s">
        <v>164</v>
      </c>
      <c r="B70" t="s">
        <v>165</v>
      </c>
      <c r="C70">
        <v>-3.7979153791377449</v>
      </c>
      <c r="D70">
        <v>-6.9342022994722381</v>
      </c>
      <c r="E70">
        <v>-6.9342022994722354</v>
      </c>
      <c r="F70">
        <v>-8.1887171945134849</v>
      </c>
      <c r="G70">
        <v>-18.822423499216644</v>
      </c>
      <c r="H70">
        <v>-18.822423499216654</v>
      </c>
      <c r="I70">
        <v>-18.822423499216654</v>
      </c>
      <c r="J70">
        <v>-24.754451875881706</v>
      </c>
      <c r="K70">
        <v>-24.754451875881706</v>
      </c>
      <c r="L70">
        <v>-32.263691959778406</v>
      </c>
      <c r="M70">
        <v>-37.192609331880952</v>
      </c>
      <c r="N70">
        <v>-41.501497462936754</v>
      </c>
      <c r="O70">
        <v>-41.501497462936754</v>
      </c>
      <c r="P70">
        <v>-41.501497462936754</v>
      </c>
      <c r="Q70">
        <v>-45.28429999470896</v>
      </c>
      <c r="R70">
        <v>-45.28429999470896</v>
      </c>
      <c r="S70">
        <v>-49.459579256878321</v>
      </c>
      <c r="T70">
        <v>-49.459579256878321</v>
      </c>
      <c r="U70">
        <v>-53.430270277586928</v>
      </c>
      <c r="V70">
        <v>-53.430270277586928</v>
      </c>
      <c r="W70">
        <v>-56.811202317490732</v>
      </c>
      <c r="X70">
        <v>-56.811202317490732</v>
      </c>
      <c r="Y70">
        <v>-56.811202317490732</v>
      </c>
      <c r="Z70">
        <v>-56.811202317490732</v>
      </c>
      <c r="AA70">
        <v>-56.811202317490732</v>
      </c>
    </row>
    <row r="71" spans="1:27" x14ac:dyDescent="0.2">
      <c r="A71" t="s">
        <v>156</v>
      </c>
      <c r="B71" t="s">
        <v>157</v>
      </c>
      <c r="C71">
        <v>-9.5528538922208188</v>
      </c>
      <c r="D71">
        <v>-17.441521153901792</v>
      </c>
      <c r="E71">
        <v>-17.441521153901785</v>
      </c>
      <c r="F71">
        <v>-20.596988377783063</v>
      </c>
      <c r="G71">
        <v>-47.34383040054535</v>
      </c>
      <c r="H71">
        <v>-47.343830400545379</v>
      </c>
      <c r="I71">
        <v>-47.343830400545379</v>
      </c>
      <c r="J71">
        <v>-62.264594743550468</v>
      </c>
      <c r="K71">
        <v>-62.264594743550468</v>
      </c>
      <c r="L71">
        <v>-81.152501977376033</v>
      </c>
      <c r="M71">
        <v>-93.550152478271215</v>
      </c>
      <c r="N71">
        <v>-104.3882503937771</v>
      </c>
      <c r="O71">
        <v>-104.3882503937771</v>
      </c>
      <c r="P71">
        <v>-104.3882503937771</v>
      </c>
      <c r="Q71">
        <v>-113.90309111077778</v>
      </c>
      <c r="R71">
        <v>-113.90309111077778</v>
      </c>
      <c r="S71">
        <v>-124.40512413916476</v>
      </c>
      <c r="T71">
        <v>-124.40512413916476</v>
      </c>
      <c r="U71">
        <v>-134.39255866188816</v>
      </c>
      <c r="V71">
        <v>-134.39255866188816</v>
      </c>
      <c r="W71">
        <v>-142.89657904479139</v>
      </c>
      <c r="X71">
        <v>-142.89657904479139</v>
      </c>
      <c r="Y71">
        <v>-142.89657904479139</v>
      </c>
      <c r="Z71">
        <v>-142.89657904479139</v>
      </c>
      <c r="AA71">
        <v>-142.89657904479139</v>
      </c>
    </row>
    <row r="72" spans="1:27" x14ac:dyDescent="0.2">
      <c r="A72" t="s">
        <v>118</v>
      </c>
      <c r="B72" t="s">
        <v>119</v>
      </c>
      <c r="C72">
        <v>-13.180738277800437</v>
      </c>
      <c r="D72">
        <v>-24.065282280042783</v>
      </c>
      <c r="E72">
        <v>-24.065282280042776</v>
      </c>
      <c r="F72">
        <v>-28.419100321374458</v>
      </c>
      <c r="G72">
        <v>-65.32358231568098</v>
      </c>
      <c r="H72">
        <v>-65.323582315681023</v>
      </c>
      <c r="I72">
        <v>-65.323582315681023</v>
      </c>
      <c r="J72">
        <v>-85.910800745771198</v>
      </c>
      <c r="K72">
        <v>-85.910800745771198</v>
      </c>
      <c r="L72">
        <v>-111.9717627026123</v>
      </c>
      <c r="M72">
        <v>-129.07766512251752</v>
      </c>
      <c r="N72">
        <v>-144.03174415117175</v>
      </c>
      <c r="O72">
        <v>-144.03174415117175</v>
      </c>
      <c r="P72">
        <v>-144.03174415117175</v>
      </c>
      <c r="Q72">
        <v>-157.16003300188603</v>
      </c>
      <c r="R72">
        <v>-157.16003300188603</v>
      </c>
      <c r="S72">
        <v>-171.65041988456494</v>
      </c>
      <c r="T72">
        <v>-171.65041988456494</v>
      </c>
      <c r="U72">
        <v>-185.4307793453001</v>
      </c>
      <c r="V72">
        <v>-185.4307793453001</v>
      </c>
      <c r="W72">
        <v>-197.16436893441812</v>
      </c>
      <c r="X72">
        <v>-197.16436893441812</v>
      </c>
      <c r="Y72">
        <v>-197.16436893441812</v>
      </c>
      <c r="Z72">
        <v>-197.16436893441812</v>
      </c>
      <c r="AA72">
        <v>-197.16436893441812</v>
      </c>
    </row>
    <row r="73" spans="1:27" x14ac:dyDescent="0.2">
      <c r="A73" t="s">
        <v>276</v>
      </c>
      <c r="B73" t="s">
        <v>277</v>
      </c>
      <c r="C73">
        <v>-0.48017127991367808</v>
      </c>
      <c r="D73">
        <v>-0.8766927277020814</v>
      </c>
      <c r="E73">
        <v>-0.87669272770208106</v>
      </c>
      <c r="F73">
        <v>-1.0353013228623795</v>
      </c>
      <c r="G73">
        <v>-2.3797231587471739</v>
      </c>
      <c r="H73">
        <v>-2.3797231587471752</v>
      </c>
      <c r="I73">
        <v>-2.3797231587471752</v>
      </c>
      <c r="J73">
        <v>-3.1297108161220475</v>
      </c>
      <c r="K73">
        <v>-3.1297108161220475</v>
      </c>
      <c r="L73">
        <v>-4.0791056978696218</v>
      </c>
      <c r="M73">
        <v>-4.702269809464064</v>
      </c>
      <c r="N73">
        <v>-5.2470434872187424</v>
      </c>
      <c r="O73">
        <v>-5.2470434872187424</v>
      </c>
      <c r="P73">
        <v>-5.2470434872187424</v>
      </c>
      <c r="Q73">
        <v>-5.725304046503279</v>
      </c>
      <c r="R73">
        <v>-5.725304046503279</v>
      </c>
      <c r="S73">
        <v>-6.2531855254655797</v>
      </c>
      <c r="T73">
        <v>-6.2531855254655797</v>
      </c>
      <c r="U73">
        <v>-6.7552008678896289</v>
      </c>
      <c r="V73">
        <v>-6.7552008678896289</v>
      </c>
      <c r="W73">
        <v>-7.1826528521595741</v>
      </c>
      <c r="X73">
        <v>-7.1826528521595741</v>
      </c>
      <c r="Y73">
        <v>-7.1826528521595741</v>
      </c>
      <c r="Z73">
        <v>-7.1826528521595741</v>
      </c>
      <c r="AA73">
        <v>-7.1826528521595741</v>
      </c>
    </row>
    <row r="74" spans="1:27" x14ac:dyDescent="0.2">
      <c r="A74" t="s">
        <v>202</v>
      </c>
      <c r="B74" t="s">
        <v>203</v>
      </c>
      <c r="C74">
        <v>-2.5683392274694028</v>
      </c>
      <c r="D74">
        <v>-4.6892523921863729</v>
      </c>
      <c r="E74">
        <v>-4.6892523921863711</v>
      </c>
      <c r="F74">
        <v>-5.5376177438942875</v>
      </c>
      <c r="G74">
        <v>-12.728658699092804</v>
      </c>
      <c r="H74">
        <v>-12.728658699092811</v>
      </c>
      <c r="I74">
        <v>-12.728658699092811</v>
      </c>
      <c r="J74">
        <v>-16.740191252435132</v>
      </c>
      <c r="K74">
        <v>-16.740191252435132</v>
      </c>
      <c r="L74">
        <v>-21.818312787711715</v>
      </c>
      <c r="M74">
        <v>-25.151491800931442</v>
      </c>
      <c r="N74">
        <v>-28.065376210931241</v>
      </c>
      <c r="O74">
        <v>-28.065376210931241</v>
      </c>
      <c r="P74">
        <v>-28.065376210931241</v>
      </c>
      <c r="Q74">
        <v>-30.623495379538646</v>
      </c>
      <c r="R74">
        <v>-30.623495379538646</v>
      </c>
      <c r="S74">
        <v>-33.447026828810607</v>
      </c>
      <c r="T74">
        <v>-33.447026828810607</v>
      </c>
      <c r="U74">
        <v>-36.132205536231346</v>
      </c>
      <c r="V74">
        <v>-36.132205536231346</v>
      </c>
      <c r="W74">
        <v>-38.418559895570574</v>
      </c>
      <c r="X74">
        <v>-38.418559895570574</v>
      </c>
      <c r="Y74">
        <v>-38.418559895570574</v>
      </c>
      <c r="Z74">
        <v>-38.418559895570574</v>
      </c>
      <c r="AA74">
        <v>-38.418559895570574</v>
      </c>
    </row>
    <row r="75" spans="1:27" x14ac:dyDescent="0.2">
      <c r="A75" t="s">
        <v>300</v>
      </c>
      <c r="B75" t="s">
        <v>301</v>
      </c>
      <c r="C75">
        <v>-8.7435253427805226E-2</v>
      </c>
      <c r="D75">
        <v>-0.15963855822181958</v>
      </c>
      <c r="E75">
        <v>-0.15963855822181949</v>
      </c>
      <c r="F75">
        <v>-0.18851988306107675</v>
      </c>
      <c r="G75">
        <v>-0.43332807724460742</v>
      </c>
      <c r="H75">
        <v>-0.4333280772446077</v>
      </c>
      <c r="I75">
        <v>-0.4333280772446077</v>
      </c>
      <c r="J75">
        <v>-0.56989468094086915</v>
      </c>
      <c r="K75">
        <v>-0.56989468094086915</v>
      </c>
      <c r="L75">
        <v>-0.7427717053717835</v>
      </c>
      <c r="M75">
        <v>-0.85624478113376645</v>
      </c>
      <c r="N75">
        <v>-0.95544360157100883</v>
      </c>
      <c r="O75">
        <v>-0.95544360157100883</v>
      </c>
      <c r="P75">
        <v>-0.95544360157100883</v>
      </c>
      <c r="Q75">
        <v>-1.0425309284371322</v>
      </c>
      <c r="R75">
        <v>-1.0425309284371322</v>
      </c>
      <c r="S75">
        <v>-1.1386538179635755</v>
      </c>
      <c r="T75">
        <v>-1.1386538179635755</v>
      </c>
      <c r="U75">
        <v>-1.2300666960877817</v>
      </c>
      <c r="V75">
        <v>-1.2300666960877817</v>
      </c>
      <c r="W75">
        <v>-1.3079021979936432</v>
      </c>
      <c r="X75">
        <v>-1.3079021979936432</v>
      </c>
      <c r="Y75">
        <v>-1.3079021979936432</v>
      </c>
      <c r="Z75">
        <v>-1.3079021979936432</v>
      </c>
      <c r="AA75">
        <v>-1.3079021979936432</v>
      </c>
    </row>
    <row r="76" spans="1:27" x14ac:dyDescent="0.2">
      <c r="A76" t="s">
        <v>30</v>
      </c>
      <c r="B76" t="s">
        <v>31</v>
      </c>
      <c r="C76">
        <v>-23.930718400899462</v>
      </c>
      <c r="D76">
        <v>-43.692506545844566</v>
      </c>
      <c r="E76">
        <v>-43.692506545844545</v>
      </c>
      <c r="F76">
        <v>-51.597222603468225</v>
      </c>
      <c r="G76">
        <v>-118.60035609442406</v>
      </c>
      <c r="H76">
        <v>-118.60035609442413</v>
      </c>
      <c r="I76">
        <v>-118.60035609442413</v>
      </c>
      <c r="J76">
        <v>-155.97815060977888</v>
      </c>
      <c r="K76">
        <v>-155.97815060977888</v>
      </c>
      <c r="L76">
        <v>-203.29397835033186</v>
      </c>
      <c r="M76">
        <v>-234.35115626983216</v>
      </c>
      <c r="N76">
        <v>-261.50152119151846</v>
      </c>
      <c r="O76">
        <v>-261.50152119151846</v>
      </c>
      <c r="P76">
        <v>-261.50152119151846</v>
      </c>
      <c r="Q76">
        <v>-285.33701332789212</v>
      </c>
      <c r="R76">
        <v>-285.33701332789212</v>
      </c>
      <c r="S76">
        <v>-311.64550688120943</v>
      </c>
      <c r="T76">
        <v>-311.64550688120943</v>
      </c>
      <c r="U76">
        <v>-336.66488703789184</v>
      </c>
      <c r="V76">
        <v>-336.66488703789184</v>
      </c>
      <c r="W76">
        <v>-357.96818753372469</v>
      </c>
      <c r="X76">
        <v>-357.96818753372469</v>
      </c>
      <c r="Y76">
        <v>-357.96818753372469</v>
      </c>
      <c r="Z76">
        <v>-357.96818753372469</v>
      </c>
      <c r="AA76">
        <v>-357.96818753372469</v>
      </c>
    </row>
    <row r="77" spans="1:27" x14ac:dyDescent="0.2">
      <c r="A77" t="s">
        <v>234</v>
      </c>
      <c r="B77" t="s">
        <v>235</v>
      </c>
      <c r="C77">
        <v>-1.2721606451800385</v>
      </c>
      <c r="D77">
        <v>-2.3227003212241843</v>
      </c>
      <c r="E77">
        <v>-2.322700321224183</v>
      </c>
      <c r="F77">
        <v>-2.7429162341511262</v>
      </c>
      <c r="G77">
        <v>-6.304813044057795</v>
      </c>
      <c r="H77">
        <v>-6.3048130440577985</v>
      </c>
      <c r="I77">
        <v>-6.3048130440577985</v>
      </c>
      <c r="J77">
        <v>-8.291822309282086</v>
      </c>
      <c r="K77">
        <v>-8.291822309282086</v>
      </c>
      <c r="L77">
        <v>-10.807138938614326</v>
      </c>
      <c r="M77">
        <v>-12.458143260242119</v>
      </c>
      <c r="N77">
        <v>-13.901460806210475</v>
      </c>
      <c r="O77">
        <v>-13.901460806210475</v>
      </c>
      <c r="P77">
        <v>-13.901460806210475</v>
      </c>
      <c r="Q77">
        <v>-15.168559208624215</v>
      </c>
      <c r="R77">
        <v>-15.168559208624215</v>
      </c>
      <c r="S77">
        <v>-16.567122744069316</v>
      </c>
      <c r="T77">
        <v>-16.567122744069316</v>
      </c>
      <c r="U77">
        <v>-17.897156814460342</v>
      </c>
      <c r="V77">
        <v>-17.897156814460342</v>
      </c>
      <c r="W77">
        <v>-19.029643522516057</v>
      </c>
      <c r="X77">
        <v>-19.029643522516057</v>
      </c>
      <c r="Y77">
        <v>-19.029643522516057</v>
      </c>
      <c r="Z77">
        <v>-19.029643522516057</v>
      </c>
      <c r="AA77">
        <v>-19.029643522516057</v>
      </c>
    </row>
    <row r="78" spans="1:27" x14ac:dyDescent="0.2">
      <c r="A78" t="s">
        <v>78</v>
      </c>
      <c r="B78" t="s">
        <v>79</v>
      </c>
      <c r="C78">
        <v>-2.4371678493980471</v>
      </c>
      <c r="D78">
        <v>-4.4497607814876012</v>
      </c>
      <c r="E78">
        <v>-4.4497607814875995</v>
      </c>
      <c r="F78">
        <v>-5.2547980357614543</v>
      </c>
      <c r="G78">
        <v>-12.078574907706317</v>
      </c>
      <c r="H78">
        <v>-12.078574907706324</v>
      </c>
      <c r="I78">
        <v>-12.078574907706324</v>
      </c>
      <c r="J78">
        <v>-15.885228663274534</v>
      </c>
      <c r="K78">
        <v>-15.885228663274534</v>
      </c>
      <c r="L78">
        <v>-20.7039980877895</v>
      </c>
      <c r="M78">
        <v>-23.866943480836962</v>
      </c>
      <c r="N78">
        <v>-26.632008673533868</v>
      </c>
      <c r="O78">
        <v>-26.632008673533868</v>
      </c>
      <c r="P78">
        <v>-26.632008673533868</v>
      </c>
      <c r="Q78">
        <v>-29.05947842752029</v>
      </c>
      <c r="R78">
        <v>-29.05947842752029</v>
      </c>
      <c r="S78">
        <v>-31.738805206603981</v>
      </c>
      <c r="T78">
        <v>-31.738805206603981</v>
      </c>
      <c r="U78">
        <v>-34.286845257396685</v>
      </c>
      <c r="V78">
        <v>-34.286845257396685</v>
      </c>
      <c r="W78">
        <v>-36.456429896884899</v>
      </c>
      <c r="X78">
        <v>-36.456429896884899</v>
      </c>
      <c r="Y78">
        <v>-36.456429896884899</v>
      </c>
      <c r="Z78">
        <v>-36.456429896884899</v>
      </c>
      <c r="AA78">
        <v>-36.456429896884899</v>
      </c>
    </row>
    <row r="79" spans="1:27" x14ac:dyDescent="0.2">
      <c r="A79" t="s">
        <v>32</v>
      </c>
      <c r="B79" t="s">
        <v>33</v>
      </c>
      <c r="C79">
        <v>-26.066113978888719</v>
      </c>
      <c r="D79">
        <v>-47.591294025026812</v>
      </c>
      <c r="E79">
        <v>-47.591294025026798</v>
      </c>
      <c r="F79">
        <v>-56.20136691448198</v>
      </c>
      <c r="G79">
        <v>-129.18335121012711</v>
      </c>
      <c r="H79">
        <v>-129.1833512101272</v>
      </c>
      <c r="I79">
        <v>-129.1833512101272</v>
      </c>
      <c r="J79">
        <v>-169.89645625757527</v>
      </c>
      <c r="K79">
        <v>-169.89645625757527</v>
      </c>
      <c r="L79">
        <v>-221.43438914488726</v>
      </c>
      <c r="M79">
        <v>-255.26287377081866</v>
      </c>
      <c r="N79">
        <v>-284.83593107571335</v>
      </c>
      <c r="O79">
        <v>-284.83593107571335</v>
      </c>
      <c r="P79">
        <v>-284.83593107571335</v>
      </c>
      <c r="Q79">
        <v>-310.79832152138709</v>
      </c>
      <c r="R79">
        <v>-310.79832152138709</v>
      </c>
      <c r="S79">
        <v>-339.45438525024923</v>
      </c>
      <c r="T79">
        <v>-339.45438525024923</v>
      </c>
      <c r="U79">
        <v>-366.70630489260805</v>
      </c>
      <c r="V79">
        <v>-366.70630489260805</v>
      </c>
      <c r="W79">
        <v>-389.91055014543866</v>
      </c>
      <c r="X79">
        <v>-389.91055014543866</v>
      </c>
      <c r="Y79">
        <v>-389.91055014543866</v>
      </c>
      <c r="Z79">
        <v>-389.91055014543866</v>
      </c>
      <c r="AA79">
        <v>-389.91055014543866</v>
      </c>
    </row>
    <row r="80" spans="1:27" x14ac:dyDescent="0.2">
      <c r="A80" t="s">
        <v>190</v>
      </c>
      <c r="B80" t="s">
        <v>191</v>
      </c>
      <c r="C80">
        <v>-6.5729324257131241</v>
      </c>
      <c r="D80">
        <v>-12.000805334162905</v>
      </c>
      <c r="E80">
        <v>-12.0008053341629</v>
      </c>
      <c r="F80">
        <v>-14.171954717177538</v>
      </c>
      <c r="G80">
        <v>-32.575375014435949</v>
      </c>
      <c r="H80">
        <v>-32.57537501443597</v>
      </c>
      <c r="I80">
        <v>-32.57537501443597</v>
      </c>
      <c r="J80">
        <v>-42.841749531733498</v>
      </c>
      <c r="K80">
        <v>-42.841749531733498</v>
      </c>
      <c r="L80">
        <v>-55.837754632593651</v>
      </c>
      <c r="M80">
        <v>-64.368076555171299</v>
      </c>
      <c r="N80">
        <v>-71.825333415332622</v>
      </c>
      <c r="O80">
        <v>-71.825333415332622</v>
      </c>
      <c r="P80">
        <v>-71.825333415332622</v>
      </c>
      <c r="Q80">
        <v>-78.372110512509607</v>
      </c>
      <c r="R80">
        <v>-78.372110512509607</v>
      </c>
      <c r="S80">
        <v>-85.598134715015988</v>
      </c>
      <c r="T80">
        <v>-85.598134715015988</v>
      </c>
      <c r="U80">
        <v>-92.470084497222274</v>
      </c>
      <c r="V80">
        <v>-92.470084497222274</v>
      </c>
      <c r="W80">
        <v>-98.321357002209325</v>
      </c>
      <c r="X80">
        <v>-98.321357002209325</v>
      </c>
      <c r="Y80">
        <v>-98.321357002209325</v>
      </c>
      <c r="Z80">
        <v>-98.321357002209325</v>
      </c>
      <c r="AA80">
        <v>-98.321357002209325</v>
      </c>
    </row>
    <row r="81" spans="1:27" x14ac:dyDescent="0.2">
      <c r="A81" t="s">
        <v>64</v>
      </c>
      <c r="B81" t="s">
        <v>65</v>
      </c>
      <c r="C81">
        <v>-3.5248222437362831</v>
      </c>
      <c r="D81">
        <v>-6.4355911250703404</v>
      </c>
      <c r="E81">
        <v>-6.4355911250703377</v>
      </c>
      <c r="F81">
        <v>-7.5998987953859967</v>
      </c>
      <c r="G81">
        <v>-17.468977164553376</v>
      </c>
      <c r="H81">
        <v>-17.468977164553383</v>
      </c>
      <c r="I81">
        <v>-17.468977164553383</v>
      </c>
      <c r="J81">
        <v>-22.974456746168219</v>
      </c>
      <c r="K81">
        <v>-22.974456746168219</v>
      </c>
      <c r="L81">
        <v>-29.943736953586765</v>
      </c>
      <c r="M81">
        <v>-34.518235291848754</v>
      </c>
      <c r="N81">
        <v>-38.517288249570242</v>
      </c>
      <c r="O81">
        <v>-38.517288249570242</v>
      </c>
      <c r="P81">
        <v>-38.517288249570242</v>
      </c>
      <c r="Q81">
        <v>-42.028084351267431</v>
      </c>
      <c r="R81">
        <v>-42.028084351267431</v>
      </c>
      <c r="S81">
        <v>-45.903135727595533</v>
      </c>
      <c r="T81">
        <v>-45.903135727595533</v>
      </c>
      <c r="U81">
        <v>-49.588309997058893</v>
      </c>
      <c r="V81">
        <v>-49.588309997058893</v>
      </c>
      <c r="W81">
        <v>-52.726132531040477</v>
      </c>
      <c r="X81">
        <v>-52.726132531040477</v>
      </c>
      <c r="Y81">
        <v>-52.726132531040477</v>
      </c>
      <c r="Z81">
        <v>-52.726132531040477</v>
      </c>
      <c r="AA81">
        <v>-52.726132531040477</v>
      </c>
    </row>
    <row r="82" spans="1:27" x14ac:dyDescent="0.2">
      <c r="A82" t="s">
        <v>244</v>
      </c>
      <c r="B82" t="s">
        <v>245</v>
      </c>
      <c r="C82">
        <v>-1.4269142094050677</v>
      </c>
      <c r="D82">
        <v>-2.6052480911917053</v>
      </c>
      <c r="E82">
        <v>-2.605248091191704</v>
      </c>
      <c r="F82">
        <v>-3.0765816915867386</v>
      </c>
      <c r="G82">
        <v>-7.0717698698620692</v>
      </c>
      <c r="H82">
        <v>-7.0717698698620737</v>
      </c>
      <c r="I82">
        <v>-7.0717698698620737</v>
      </c>
      <c r="J82">
        <v>-9.3004913489538943</v>
      </c>
      <c r="K82">
        <v>-9.3004913489538943</v>
      </c>
      <c r="L82">
        <v>-12.121786798664248</v>
      </c>
      <c r="M82">
        <v>-13.973629594812426</v>
      </c>
      <c r="N82">
        <v>-15.592521299117927</v>
      </c>
      <c r="O82">
        <v>-15.592521299117927</v>
      </c>
      <c r="P82">
        <v>-15.592521299117927</v>
      </c>
      <c r="Q82">
        <v>-17.013757462938063</v>
      </c>
      <c r="R82">
        <v>-17.013757462938063</v>
      </c>
      <c r="S82">
        <v>-18.582450999437125</v>
      </c>
      <c r="T82">
        <v>-18.582450999437125</v>
      </c>
      <c r="U82">
        <v>-20.074278718856338</v>
      </c>
      <c r="V82">
        <v>-20.074278718856338</v>
      </c>
      <c r="W82">
        <v>-21.344528181304046</v>
      </c>
      <c r="X82">
        <v>-21.344528181304046</v>
      </c>
      <c r="Y82">
        <v>-21.344528181304046</v>
      </c>
      <c r="Z82">
        <v>-21.344528181304046</v>
      </c>
      <c r="AA82">
        <v>-21.344528181304046</v>
      </c>
    </row>
    <row r="83" spans="1:27" x14ac:dyDescent="0.2">
      <c r="A83" t="s">
        <v>92</v>
      </c>
      <c r="B83" t="s">
        <v>93</v>
      </c>
      <c r="C83">
        <v>-28.661448737623523</v>
      </c>
      <c r="D83">
        <v>-52.329834633586906</v>
      </c>
      <c r="E83">
        <v>-52.329834633586884</v>
      </c>
      <c r="F83">
        <v>-61.797189949695372</v>
      </c>
      <c r="G83">
        <v>-142.04579944146042</v>
      </c>
      <c r="H83">
        <v>-142.0457994414605</v>
      </c>
      <c r="I83">
        <v>-142.0457994414605</v>
      </c>
      <c r="J83">
        <v>-186.81260181990473</v>
      </c>
      <c r="K83">
        <v>-186.81260181990473</v>
      </c>
      <c r="L83">
        <v>-243.48203181967907</v>
      </c>
      <c r="M83">
        <v>-280.67873013699972</v>
      </c>
      <c r="N83">
        <v>-313.19629937058511</v>
      </c>
      <c r="O83">
        <v>-313.19629937058511</v>
      </c>
      <c r="P83">
        <v>-313.19629937058511</v>
      </c>
      <c r="Q83">
        <v>-341.74369709421654</v>
      </c>
      <c r="R83">
        <v>-341.74369709421654</v>
      </c>
      <c r="S83">
        <v>-373.25297010100439</v>
      </c>
      <c r="T83">
        <v>-373.25297010100439</v>
      </c>
      <c r="U83">
        <v>-403.2182920689782</v>
      </c>
      <c r="V83">
        <v>-403.2182920689782</v>
      </c>
      <c r="W83">
        <v>-428.73292330046496</v>
      </c>
      <c r="X83">
        <v>-428.73292330046496</v>
      </c>
      <c r="Y83">
        <v>-428.73292330046496</v>
      </c>
      <c r="Z83">
        <v>-428.73292330046496</v>
      </c>
      <c r="AA83">
        <v>-428.73292330046496</v>
      </c>
    </row>
    <row r="84" spans="1:27" x14ac:dyDescent="0.2">
      <c r="A84" t="s">
        <v>246</v>
      </c>
      <c r="B84" t="s">
        <v>247</v>
      </c>
      <c r="C84">
        <v>-0.75855234753568435</v>
      </c>
      <c r="D84">
        <v>-1.3849585647551197</v>
      </c>
      <c r="E84">
        <v>-1.3849585647551188</v>
      </c>
      <c r="F84">
        <v>-1.6355210769899413</v>
      </c>
      <c r="G84">
        <v>-3.7593764226740496</v>
      </c>
      <c r="H84">
        <v>-3.7593764226740518</v>
      </c>
      <c r="I84">
        <v>-3.7593764226740518</v>
      </c>
      <c r="J84">
        <v>-4.9441721860249368</v>
      </c>
      <c r="K84">
        <v>-4.9441721860249368</v>
      </c>
      <c r="L84">
        <v>-6.4439822463381082</v>
      </c>
      <c r="M84">
        <v>-7.4284280462512813</v>
      </c>
      <c r="N84">
        <v>-8.2890362696559574</v>
      </c>
      <c r="O84">
        <v>-8.2890362696559574</v>
      </c>
      <c r="P84">
        <v>-8.2890362696559574</v>
      </c>
      <c r="Q84">
        <v>-9.0445701492420802</v>
      </c>
      <c r="R84">
        <v>-9.0445701492420802</v>
      </c>
      <c r="S84">
        <v>-9.8784928594038526</v>
      </c>
      <c r="T84">
        <v>-9.8784928594038526</v>
      </c>
      <c r="U84">
        <v>-10.671553445124745</v>
      </c>
      <c r="V84">
        <v>-10.671553445124745</v>
      </c>
      <c r="W84">
        <v>-11.346822291243665</v>
      </c>
      <c r="X84">
        <v>-11.346822291243665</v>
      </c>
      <c r="Y84">
        <v>-11.346822291243665</v>
      </c>
      <c r="Z84">
        <v>-11.346822291243665</v>
      </c>
      <c r="AA84">
        <v>-11.346822291243665</v>
      </c>
    </row>
    <row r="85" spans="1:27" x14ac:dyDescent="0.2">
      <c r="A85" t="s">
        <v>162</v>
      </c>
      <c r="B85" t="s">
        <v>163</v>
      </c>
      <c r="C85">
        <v>-4.236199900313343</v>
      </c>
      <c r="D85">
        <v>-7.7344185315803156</v>
      </c>
      <c r="E85">
        <v>-7.7344185315803111</v>
      </c>
      <c r="F85">
        <v>-9.1337061256398417</v>
      </c>
      <c r="G85">
        <v>-20.994556379278709</v>
      </c>
      <c r="H85">
        <v>-20.994556379278723</v>
      </c>
      <c r="I85">
        <v>-20.994556379278723</v>
      </c>
      <c r="J85">
        <v>-27.611148775181348</v>
      </c>
      <c r="K85">
        <v>-27.611148775181348</v>
      </c>
      <c r="L85">
        <v>-35.986965221637888</v>
      </c>
      <c r="M85">
        <v>-41.484686259617931</v>
      </c>
      <c r="N85">
        <v>-46.290825851749666</v>
      </c>
      <c r="O85">
        <v>-46.290825851749666</v>
      </c>
      <c r="P85">
        <v>-46.290825851749666</v>
      </c>
      <c r="Q85">
        <v>-50.510168861871342</v>
      </c>
      <c r="R85">
        <v>-50.510168861871342</v>
      </c>
      <c r="S85">
        <v>-55.167280942709183</v>
      </c>
      <c r="T85">
        <v>-55.167280942709183</v>
      </c>
      <c r="U85">
        <v>-59.596195025023391</v>
      </c>
      <c r="V85">
        <v>-59.596195025023391</v>
      </c>
      <c r="W85">
        <v>-63.367291150303139</v>
      </c>
      <c r="X85">
        <v>-63.367291150303139</v>
      </c>
      <c r="Y85">
        <v>-63.367291150303139</v>
      </c>
      <c r="Z85">
        <v>-63.367291150303139</v>
      </c>
      <c r="AA85">
        <v>-63.367291150303139</v>
      </c>
    </row>
    <row r="86" spans="1:27" x14ac:dyDescent="0.2">
      <c r="A86" t="s">
        <v>138</v>
      </c>
      <c r="B86" t="s">
        <v>139</v>
      </c>
      <c r="C86">
        <v>-6.5225896315900842</v>
      </c>
      <c r="D86">
        <v>-11.908889879519707</v>
      </c>
      <c r="E86">
        <v>-11.908889879519704</v>
      </c>
      <c r="F86">
        <v>-14.063410196644073</v>
      </c>
      <c r="G86">
        <v>-32.325876724841926</v>
      </c>
      <c r="H86">
        <v>-32.32587672484194</v>
      </c>
      <c r="I86">
        <v>-32.32587672484194</v>
      </c>
      <c r="J86">
        <v>-42.513619979068444</v>
      </c>
      <c r="K86">
        <v>-42.513619979068444</v>
      </c>
      <c r="L86">
        <v>-55.410087283578342</v>
      </c>
      <c r="M86">
        <v>-63.875074556027606</v>
      </c>
      <c r="N86">
        <v>-71.275215486415306</v>
      </c>
      <c r="O86">
        <v>-71.275215486415306</v>
      </c>
      <c r="P86">
        <v>-71.275215486415306</v>
      </c>
      <c r="Q86">
        <v>-77.771850115934598</v>
      </c>
      <c r="R86">
        <v>-77.771850115934598</v>
      </c>
      <c r="S86">
        <v>-84.942529424382442</v>
      </c>
      <c r="T86">
        <v>-84.942529424382442</v>
      </c>
      <c r="U86">
        <v>-91.761846206475113</v>
      </c>
      <c r="V86">
        <v>-91.761846206475113</v>
      </c>
      <c r="W86">
        <v>-97.568303188040048</v>
      </c>
      <c r="X86">
        <v>-97.568303188040048</v>
      </c>
      <c r="Y86">
        <v>-97.568303188040048</v>
      </c>
      <c r="Z86">
        <v>-97.568303188040048</v>
      </c>
      <c r="AA86">
        <v>-97.568303188040048</v>
      </c>
    </row>
    <row r="87" spans="1:27" x14ac:dyDescent="0.2">
      <c r="A87" t="s">
        <v>256</v>
      </c>
      <c r="B87" t="s">
        <v>257</v>
      </c>
      <c r="C87">
        <v>-1.2286821771591032</v>
      </c>
      <c r="D87">
        <v>-2.243317696065025</v>
      </c>
      <c r="E87">
        <v>-2.2433176960650241</v>
      </c>
      <c r="F87">
        <v>-2.6491719446838422</v>
      </c>
      <c r="G87">
        <v>-6.0893342730765969</v>
      </c>
      <c r="H87">
        <v>-6.0893342730766005</v>
      </c>
      <c r="I87">
        <v>-6.0893342730766005</v>
      </c>
      <c r="J87">
        <v>-8.0084337824672378</v>
      </c>
      <c r="K87">
        <v>-8.0084337824672378</v>
      </c>
      <c r="L87">
        <v>-10.437784764264869</v>
      </c>
      <c r="M87">
        <v>-12.032362927079864</v>
      </c>
      <c r="N87">
        <v>-13.426352398009742</v>
      </c>
      <c r="O87">
        <v>-13.426352398009742</v>
      </c>
      <c r="P87">
        <v>-13.426352398009742</v>
      </c>
      <c r="Q87">
        <v>-14.650145344011623</v>
      </c>
      <c r="R87">
        <v>-14.650145344011623</v>
      </c>
      <c r="S87">
        <v>-16.000910356383805</v>
      </c>
      <c r="T87">
        <v>-16.000910356383805</v>
      </c>
      <c r="U87">
        <v>-17.285488026268062</v>
      </c>
      <c r="V87">
        <v>-17.285488026268062</v>
      </c>
      <c r="W87">
        <v>-18.379269884187998</v>
      </c>
      <c r="X87">
        <v>-18.379269884187998</v>
      </c>
      <c r="Y87">
        <v>-18.379269884187998</v>
      </c>
      <c r="Z87">
        <v>-18.379269884187998</v>
      </c>
      <c r="AA87">
        <v>-18.379269884187998</v>
      </c>
    </row>
    <row r="88" spans="1:27" x14ac:dyDescent="0.2">
      <c r="A88" t="s">
        <v>218</v>
      </c>
      <c r="B88" t="s">
        <v>219</v>
      </c>
      <c r="C88">
        <v>-5.4217480896494381</v>
      </c>
      <c r="D88">
        <v>-9.8989825515653784</v>
      </c>
      <c r="E88">
        <v>-9.8989825515653749</v>
      </c>
      <c r="F88">
        <v>-11.689876517499618</v>
      </c>
      <c r="G88">
        <v>-26.870119121142558</v>
      </c>
      <c r="H88">
        <v>-26.870119121142576</v>
      </c>
      <c r="I88">
        <v>-26.870119121142576</v>
      </c>
      <c r="J88">
        <v>-35.338439320059663</v>
      </c>
      <c r="K88">
        <v>-35.338439320059663</v>
      </c>
      <c r="L88">
        <v>-46.058322207189491</v>
      </c>
      <c r="M88">
        <v>-53.094642314011885</v>
      </c>
      <c r="N88">
        <v>-59.245834128709149</v>
      </c>
      <c r="O88">
        <v>-59.245834128709149</v>
      </c>
      <c r="P88">
        <v>-59.245834128709149</v>
      </c>
      <c r="Q88">
        <v>-64.646007737846617</v>
      </c>
      <c r="R88">
        <v>-64.646007737846617</v>
      </c>
      <c r="S88">
        <v>-70.60646501600722</v>
      </c>
      <c r="T88">
        <v>-70.60646501600722</v>
      </c>
      <c r="U88">
        <v>-76.274860519069392</v>
      </c>
      <c r="V88">
        <v>-76.274860519069392</v>
      </c>
      <c r="W88">
        <v>-81.101340310924215</v>
      </c>
      <c r="X88">
        <v>-81.101340310924215</v>
      </c>
      <c r="Y88">
        <v>-81.101340310924215</v>
      </c>
      <c r="Z88">
        <v>-81.101340310924215</v>
      </c>
      <c r="AA88">
        <v>-81.101340310924215</v>
      </c>
    </row>
    <row r="89" spans="1:27" x14ac:dyDescent="0.2">
      <c r="A89" t="s">
        <v>142</v>
      </c>
      <c r="B89" t="s">
        <v>143</v>
      </c>
      <c r="C89">
        <v>-3.5574769158095263</v>
      </c>
      <c r="D89">
        <v>-6.495211753645326</v>
      </c>
      <c r="E89">
        <v>-6.4952117536453233</v>
      </c>
      <c r="F89">
        <v>-7.6703058076528361</v>
      </c>
      <c r="G89">
        <v>-17.630813331406092</v>
      </c>
      <c r="H89">
        <v>-17.630813331406102</v>
      </c>
      <c r="I89">
        <v>-17.630813331406102</v>
      </c>
      <c r="J89">
        <v>-23.187296798582274</v>
      </c>
      <c r="K89">
        <v>-23.187296798582274</v>
      </c>
      <c r="L89">
        <v>-30.221141839068419</v>
      </c>
      <c r="M89">
        <v>-34.838019262800884</v>
      </c>
      <c r="N89">
        <v>-38.874120262638542</v>
      </c>
      <c r="O89">
        <v>-38.874120262638542</v>
      </c>
      <c r="P89">
        <v>-38.874120262638542</v>
      </c>
      <c r="Q89">
        <v>-42.417441095368808</v>
      </c>
      <c r="R89">
        <v>-42.417441095368808</v>
      </c>
      <c r="S89">
        <v>-46.328391737875741</v>
      </c>
      <c r="T89">
        <v>-46.328391737875741</v>
      </c>
      <c r="U89">
        <v>-50.047706213278836</v>
      </c>
      <c r="V89">
        <v>-50.047706213278836</v>
      </c>
      <c r="W89">
        <v>-53.214598175102708</v>
      </c>
      <c r="X89">
        <v>-53.214598175102708</v>
      </c>
      <c r="Y89">
        <v>-53.214598175102708</v>
      </c>
      <c r="Z89">
        <v>-53.214598175102708</v>
      </c>
      <c r="AA89">
        <v>-53.214598175102708</v>
      </c>
    </row>
    <row r="90" spans="1:27" x14ac:dyDescent="0.2">
      <c r="A90" t="s">
        <v>290</v>
      </c>
      <c r="B90" t="s">
        <v>291</v>
      </c>
      <c r="C90">
        <v>-13.850186708538571</v>
      </c>
      <c r="D90">
        <v>-25.28755565487937</v>
      </c>
      <c r="E90">
        <v>-25.287555654879359</v>
      </c>
      <c r="F90">
        <v>-29.86250369622006</v>
      </c>
      <c r="G90">
        <v>-68.641360785273932</v>
      </c>
      <c r="H90">
        <v>-68.641360785273974</v>
      </c>
      <c r="I90">
        <v>-68.641360785273974</v>
      </c>
      <c r="J90">
        <v>-90.27420206143033</v>
      </c>
      <c r="K90">
        <v>-90.27420206143033</v>
      </c>
      <c r="L90">
        <v>-117.65879777214981</v>
      </c>
      <c r="M90">
        <v>-135.63350733244508</v>
      </c>
      <c r="N90">
        <v>-151.34710259819263</v>
      </c>
      <c r="O90">
        <v>-151.34710259819263</v>
      </c>
      <c r="P90">
        <v>-151.34710259819263</v>
      </c>
      <c r="Q90">
        <v>-165.14217597828261</v>
      </c>
      <c r="R90">
        <v>-165.14217597828261</v>
      </c>
      <c r="S90">
        <v>-180.36852821851176</v>
      </c>
      <c r="T90">
        <v>-180.36852821851176</v>
      </c>
      <c r="U90">
        <v>-194.84879081225534</v>
      </c>
      <c r="V90">
        <v>-194.84879081225534</v>
      </c>
      <c r="W90">
        <v>-207.17832828925387</v>
      </c>
      <c r="X90">
        <v>-207.17832828925387</v>
      </c>
      <c r="Y90">
        <v>-207.17832828925387</v>
      </c>
      <c r="Z90">
        <v>-207.17832828925387</v>
      </c>
      <c r="AA90">
        <v>-207.17832828925387</v>
      </c>
    </row>
    <row r="91" spans="1:27" x14ac:dyDescent="0.2">
      <c r="A91" t="s">
        <v>292</v>
      </c>
      <c r="B91" t="s">
        <v>293</v>
      </c>
      <c r="C91">
        <v>-0.17544033094835415</v>
      </c>
      <c r="D91">
        <v>-0.32031749653106889</v>
      </c>
      <c r="E91">
        <v>-0.32031749653106878</v>
      </c>
      <c r="F91">
        <v>-0.37826836862649837</v>
      </c>
      <c r="G91">
        <v>-0.8694801959232592</v>
      </c>
      <c r="H91">
        <v>-0.86948019592325965</v>
      </c>
      <c r="I91">
        <v>-0.86948019592325965</v>
      </c>
      <c r="J91">
        <v>-1.1435034212204551</v>
      </c>
      <c r="K91">
        <v>-1.1435034212204551</v>
      </c>
      <c r="L91">
        <v>-1.4903841265479609</v>
      </c>
      <c r="M91">
        <v>-1.7180697931978288</v>
      </c>
      <c r="N91">
        <v>-1.9171139224810603</v>
      </c>
      <c r="O91">
        <v>-1.9171139224810603</v>
      </c>
      <c r="P91">
        <v>-1.9171139224810603</v>
      </c>
      <c r="Q91">
        <v>-2.091856132834641</v>
      </c>
      <c r="R91">
        <v>-2.091856132834641</v>
      </c>
      <c r="S91">
        <v>-2.2847283541538785</v>
      </c>
      <c r="T91">
        <v>-2.2847283541538785</v>
      </c>
      <c r="U91">
        <v>-2.4681498570639651</v>
      </c>
      <c r="V91">
        <v>-2.4681498570639651</v>
      </c>
      <c r="W91">
        <v>-2.6243281224494575</v>
      </c>
      <c r="X91">
        <v>-2.6243281224494575</v>
      </c>
      <c r="Y91">
        <v>-2.6243281224494575</v>
      </c>
      <c r="Z91">
        <v>-2.6243281224494575</v>
      </c>
      <c r="AA91">
        <v>-2.6243281224494575</v>
      </c>
    </row>
    <row r="92" spans="1:27" x14ac:dyDescent="0.2">
      <c r="A92" t="s">
        <v>288</v>
      </c>
      <c r="B92" t="s">
        <v>289</v>
      </c>
      <c r="C92">
        <v>-0.26553982988300362</v>
      </c>
      <c r="D92">
        <v>-0.48482041203198933</v>
      </c>
      <c r="E92">
        <v>-0.48482041203198917</v>
      </c>
      <c r="F92">
        <v>-0.57253265376460449</v>
      </c>
      <c r="G92">
        <v>-1.3160122422481604</v>
      </c>
      <c r="H92">
        <v>-1.3160122422481613</v>
      </c>
      <c r="I92">
        <v>-1.3160122422481613</v>
      </c>
      <c r="J92">
        <v>-1.7307634014376032</v>
      </c>
      <c r="K92">
        <v>-1.7307634014376032</v>
      </c>
      <c r="L92">
        <v>-2.2557888786722402</v>
      </c>
      <c r="M92">
        <v>-2.6004052668321673</v>
      </c>
      <c r="N92">
        <v>-2.9016709105035701</v>
      </c>
      <c r="O92">
        <v>-2.9016709105035701</v>
      </c>
      <c r="P92">
        <v>-2.9016709105035701</v>
      </c>
      <c r="Q92">
        <v>-3.1661540915363817</v>
      </c>
      <c r="R92">
        <v>-3.1661540915363817</v>
      </c>
      <c r="S92">
        <v>-3.4580781694346618</v>
      </c>
      <c r="T92">
        <v>-3.4580781694346618</v>
      </c>
      <c r="U92">
        <v>-3.735697998446311</v>
      </c>
      <c r="V92">
        <v>-3.735697998446311</v>
      </c>
      <c r="W92">
        <v>-3.9720834965681457</v>
      </c>
      <c r="X92">
        <v>-3.9720834965681457</v>
      </c>
      <c r="Y92">
        <v>-3.9720834965681457</v>
      </c>
      <c r="Z92">
        <v>-3.9720834965681457</v>
      </c>
      <c r="AA92">
        <v>-3.9720834965681457</v>
      </c>
    </row>
    <row r="93" spans="1:27" x14ac:dyDescent="0.2">
      <c r="A93" t="s">
        <v>298</v>
      </c>
      <c r="B93" t="s">
        <v>299</v>
      </c>
      <c r="C93">
        <v>-8.6542571408161809E-2</v>
      </c>
      <c r="D93">
        <v>-0.15800870681772794</v>
      </c>
      <c r="E93">
        <v>-0.15800870681772786</v>
      </c>
      <c r="F93">
        <v>-0.18659516387337682</v>
      </c>
      <c r="G93">
        <v>-0.4289039557604476</v>
      </c>
      <c r="H93">
        <v>-0.42890395576044782</v>
      </c>
      <c r="I93">
        <v>-0.42890395576044782</v>
      </c>
      <c r="J93">
        <v>-0.5640762642860081</v>
      </c>
      <c r="K93">
        <v>-0.5640762642860081</v>
      </c>
      <c r="L93">
        <v>-0.73518827740547976</v>
      </c>
      <c r="M93">
        <v>-0.84750283448677988</v>
      </c>
      <c r="N93">
        <v>-0.94568887117945089</v>
      </c>
      <c r="O93">
        <v>-0.94568887117945089</v>
      </c>
      <c r="P93">
        <v>-0.94568887117945089</v>
      </c>
      <c r="Q93">
        <v>-1.0318870682291168</v>
      </c>
      <c r="R93">
        <v>-1.0318870682291168</v>
      </c>
      <c r="S93">
        <v>-1.1270285781427327</v>
      </c>
      <c r="T93">
        <v>-1.1270285781427327</v>
      </c>
      <c r="U93">
        <v>-1.2175081641511596</v>
      </c>
      <c r="V93">
        <v>-1.2175081641511596</v>
      </c>
      <c r="W93">
        <v>-1.2945489939960695</v>
      </c>
      <c r="X93">
        <v>-1.2945489939960695</v>
      </c>
      <c r="Y93">
        <v>-1.2945489939960695</v>
      </c>
      <c r="Z93">
        <v>-1.2945489939960695</v>
      </c>
      <c r="AA93">
        <v>-1.2945489939960695</v>
      </c>
    </row>
    <row r="94" spans="1:27" x14ac:dyDescent="0.2">
      <c r="A94" t="s">
        <v>282</v>
      </c>
      <c r="B94" t="s">
        <v>283</v>
      </c>
      <c r="C94">
        <v>-0.6504758110319625</v>
      </c>
      <c r="D94">
        <v>-1.1876333236347529</v>
      </c>
      <c r="E94">
        <v>-1.1876333236347525</v>
      </c>
      <c r="F94">
        <v>-1.4024963504115366</v>
      </c>
      <c r="G94">
        <v>-3.2237503917266603</v>
      </c>
      <c r="H94">
        <v>-3.2237503917266621</v>
      </c>
      <c r="I94">
        <v>-3.2237503917266621</v>
      </c>
      <c r="J94">
        <v>-4.239739581631115</v>
      </c>
      <c r="K94">
        <v>-4.239739581631115</v>
      </c>
      <c r="L94">
        <v>-5.5258606628531481</v>
      </c>
      <c r="M94">
        <v>-6.3700452233463931</v>
      </c>
      <c r="N94">
        <v>-7.1080362583996433</v>
      </c>
      <c r="O94">
        <v>-7.1080362583996433</v>
      </c>
      <c r="P94">
        <v>-7.1080362583996433</v>
      </c>
      <c r="Q94">
        <v>-7.7559236648291492</v>
      </c>
      <c r="R94">
        <v>-7.7559236648291492</v>
      </c>
      <c r="S94">
        <v>-8.4710312681378745</v>
      </c>
      <c r="T94">
        <v>-8.4710312681378745</v>
      </c>
      <c r="U94">
        <v>-9.1510986746526424</v>
      </c>
      <c r="V94">
        <v>-9.1510986746526424</v>
      </c>
      <c r="W94">
        <v>-9.7301569977476863</v>
      </c>
      <c r="X94">
        <v>-9.7301569977476863</v>
      </c>
      <c r="Y94">
        <v>-9.7301569977476863</v>
      </c>
      <c r="Z94">
        <v>-9.7301569977476863</v>
      </c>
      <c r="AA94">
        <v>-9.7301569977476863</v>
      </c>
    </row>
    <row r="95" spans="1:27" x14ac:dyDescent="0.2">
      <c r="A95" t="s">
        <v>310</v>
      </c>
      <c r="B95" t="s">
        <v>311</v>
      </c>
      <c r="C95">
        <v>-1.8445257936912043E-4</v>
      </c>
      <c r="D95">
        <v>-3.3677198471318331E-4</v>
      </c>
      <c r="E95">
        <v>-3.3677198471318321E-4</v>
      </c>
      <c r="F95">
        <v>-3.9769975301429654E-4</v>
      </c>
      <c r="G95">
        <v>-9.1414479202974797E-4</v>
      </c>
      <c r="H95">
        <v>-9.1414479202974852E-4</v>
      </c>
      <c r="I95">
        <v>-9.1414479202974852E-4</v>
      </c>
      <c r="J95">
        <v>-1.2022444008249031E-3</v>
      </c>
      <c r="K95">
        <v>-1.2022444008249031E-3</v>
      </c>
      <c r="L95">
        <v>-1.5669441279923895E-3</v>
      </c>
      <c r="M95">
        <v>-1.806325849811581E-3</v>
      </c>
      <c r="N95">
        <v>-2.0155947383055308E-3</v>
      </c>
      <c r="O95">
        <v>-2.0155947383055308E-3</v>
      </c>
      <c r="P95">
        <v>-2.0155947383055308E-3</v>
      </c>
      <c r="Q95">
        <v>-2.1993133351079254E-3</v>
      </c>
      <c r="R95">
        <v>-2.1993133351079254E-3</v>
      </c>
      <c r="S95">
        <v>-2.4020932689958635E-3</v>
      </c>
      <c r="T95">
        <v>-2.4020932689958635E-3</v>
      </c>
      <c r="U95">
        <v>-2.5949370076085413E-3</v>
      </c>
      <c r="V95">
        <v>-2.5949370076085413E-3</v>
      </c>
      <c r="W95">
        <v>-2.7591380424334777E-3</v>
      </c>
      <c r="X95">
        <v>-2.7591380424334777E-3</v>
      </c>
      <c r="Y95">
        <v>-2.7591380424334777E-3</v>
      </c>
      <c r="Z95">
        <v>-2.7591380424334777E-3</v>
      </c>
      <c r="AA95">
        <v>-2.7591380424334777E-3</v>
      </c>
    </row>
    <row r="96" spans="1:27" x14ac:dyDescent="0.2">
      <c r="A96" t="s">
        <v>306</v>
      </c>
      <c r="B96" t="s">
        <v>307</v>
      </c>
      <c r="C96">
        <v>-7.1356523305782802E-3</v>
      </c>
      <c r="D96">
        <v>-1.3028214654472894E-2</v>
      </c>
      <c r="E96">
        <v>-1.3028214654472889E-2</v>
      </c>
      <c r="F96">
        <v>-1.5385239822468762E-2</v>
      </c>
      <c r="G96">
        <v>-3.5364208177752918E-2</v>
      </c>
      <c r="H96">
        <v>-3.5364208177752939E-2</v>
      </c>
      <c r="I96">
        <v>-3.5364208177752939E-2</v>
      </c>
      <c r="J96">
        <v>-4.650950444831297E-2</v>
      </c>
      <c r="K96">
        <v>-4.650950444831297E-2</v>
      </c>
      <c r="L96">
        <v>-6.0618119611217026E-2</v>
      </c>
      <c r="M96">
        <v>-6.9878736876854031E-2</v>
      </c>
      <c r="N96">
        <v>-7.7974422158170117E-2</v>
      </c>
      <c r="O96">
        <v>-7.7974422158170117E-2</v>
      </c>
      <c r="P96">
        <v>-7.7974422158170117E-2</v>
      </c>
      <c r="Q96">
        <v>-8.5081679958128265E-2</v>
      </c>
      <c r="R96">
        <v>-8.5081679958128265E-2</v>
      </c>
      <c r="S96">
        <v>-9.2926336361367559E-2</v>
      </c>
      <c r="T96">
        <v>-9.2926336361367559E-2</v>
      </c>
      <c r="U96">
        <v>-0.10038660543201712</v>
      </c>
      <c r="V96">
        <v>-0.10038660543201712</v>
      </c>
      <c r="W96">
        <v>-0.10673881531078055</v>
      </c>
      <c r="X96">
        <v>-0.10673881531078055</v>
      </c>
      <c r="Y96">
        <v>-0.10673881531078055</v>
      </c>
      <c r="Z96">
        <v>-0.10673881531078055</v>
      </c>
      <c r="AA96">
        <v>-0.10673881531078055</v>
      </c>
    </row>
    <row r="97" spans="1:27" x14ac:dyDescent="0.2">
      <c r="A97" t="s">
        <v>102</v>
      </c>
      <c r="B97" t="s">
        <v>103</v>
      </c>
      <c r="C97">
        <v>-27.776579457361876</v>
      </c>
      <c r="D97">
        <v>-50.714247664054241</v>
      </c>
      <c r="E97">
        <v>-50.71424766405422</v>
      </c>
      <c r="F97">
        <v>-59.889315874886364</v>
      </c>
      <c r="G97">
        <v>-137.66039780086012</v>
      </c>
      <c r="H97">
        <v>-137.66039780086021</v>
      </c>
      <c r="I97">
        <v>-137.66039780086021</v>
      </c>
      <c r="J97">
        <v>-181.04510785861061</v>
      </c>
      <c r="K97">
        <v>-181.04510785861061</v>
      </c>
      <c r="L97">
        <v>-235.96497389894304</v>
      </c>
      <c r="M97">
        <v>-272.01329287335381</v>
      </c>
      <c r="N97">
        <v>-303.5269422302091</v>
      </c>
      <c r="O97">
        <v>-303.5269422302091</v>
      </c>
      <c r="P97">
        <v>-303.5269422302091</v>
      </c>
      <c r="Q97">
        <v>-331.19299178793665</v>
      </c>
      <c r="R97">
        <v>-331.19299178793665</v>
      </c>
      <c r="S97">
        <v>-361.72947420125797</v>
      </c>
      <c r="T97">
        <v>-361.72947420125797</v>
      </c>
      <c r="U97">
        <v>-390.76967221177443</v>
      </c>
      <c r="V97">
        <v>-390.76967221177443</v>
      </c>
      <c r="W97">
        <v>-415.49658634003225</v>
      </c>
      <c r="X97">
        <v>-415.49658634003225</v>
      </c>
      <c r="Y97">
        <v>-415.49658634003225</v>
      </c>
      <c r="Z97">
        <v>-415.49658634003225</v>
      </c>
      <c r="AA97">
        <v>-415.49658634003225</v>
      </c>
    </row>
    <row r="98" spans="1:27" x14ac:dyDescent="0.2">
      <c r="A98" t="s">
        <v>294</v>
      </c>
      <c r="B98" t="s">
        <v>295</v>
      </c>
      <c r="C98">
        <v>-0.36121020657378189</v>
      </c>
      <c r="D98">
        <v>-0.65949458978873121</v>
      </c>
      <c r="E98">
        <v>-0.65949458978873099</v>
      </c>
      <c r="F98">
        <v>-0.77880835514456015</v>
      </c>
      <c r="G98">
        <v>-1.7901534925495941</v>
      </c>
      <c r="H98">
        <v>-1.790153492549595</v>
      </c>
      <c r="I98">
        <v>-1.790153492549595</v>
      </c>
      <c r="J98">
        <v>-2.354333833982897</v>
      </c>
      <c r="K98">
        <v>-2.354333833982897</v>
      </c>
      <c r="L98">
        <v>-3.0685188252588897</v>
      </c>
      <c r="M98">
        <v>-3.5372957948412056</v>
      </c>
      <c r="N98">
        <v>-3.9471033383350638</v>
      </c>
      <c r="O98">
        <v>-3.9471033383350638</v>
      </c>
      <c r="P98">
        <v>-3.9471033383350638</v>
      </c>
      <c r="Q98">
        <v>-4.3068761998987872</v>
      </c>
      <c r="R98">
        <v>-4.3068761998987872</v>
      </c>
      <c r="S98">
        <v>-4.7039765389626407</v>
      </c>
      <c r="T98">
        <v>-4.7039765389626407</v>
      </c>
      <c r="U98">
        <v>-5.0816190034865452</v>
      </c>
      <c r="V98">
        <v>-5.0816190034865452</v>
      </c>
      <c r="W98">
        <v>-5.4031709704560758</v>
      </c>
      <c r="X98">
        <v>-5.4031709704560758</v>
      </c>
      <c r="Y98">
        <v>-5.4031709704560758</v>
      </c>
      <c r="Z98">
        <v>-5.4031709704560758</v>
      </c>
      <c r="AA98">
        <v>-5.4031709704560758</v>
      </c>
    </row>
    <row r="99" spans="1:27" x14ac:dyDescent="0.2">
      <c r="A99" t="s">
        <v>236</v>
      </c>
      <c r="B99" t="s">
        <v>237</v>
      </c>
      <c r="C99">
        <v>-13.575712303458813</v>
      </c>
      <c r="D99">
        <v>-24.786422569791398</v>
      </c>
      <c r="E99">
        <v>-24.786422569791391</v>
      </c>
      <c r="F99">
        <v>-29.270707129957238</v>
      </c>
      <c r="G99">
        <v>-67.281068894494723</v>
      </c>
      <c r="H99">
        <v>-67.281068894494766</v>
      </c>
      <c r="I99">
        <v>-67.281068894494766</v>
      </c>
      <c r="J99">
        <v>-88.485203947088266</v>
      </c>
      <c r="K99">
        <v>-88.485203947088266</v>
      </c>
      <c r="L99">
        <v>-115.32710873426839</v>
      </c>
      <c r="M99">
        <v>-132.94560665519259</v>
      </c>
      <c r="N99">
        <v>-148.34779964146247</v>
      </c>
      <c r="O99">
        <v>-148.34779964146247</v>
      </c>
      <c r="P99">
        <v>-148.34779964146247</v>
      </c>
      <c r="Q99">
        <v>-161.86949081821382</v>
      </c>
      <c r="R99">
        <v>-161.86949081821382</v>
      </c>
      <c r="S99">
        <v>-176.79409665887314</v>
      </c>
      <c r="T99">
        <v>-176.79409665887314</v>
      </c>
      <c r="U99">
        <v>-190.98739839465469</v>
      </c>
      <c r="V99">
        <v>-190.98739839465469</v>
      </c>
      <c r="W99">
        <v>-203.07259674936387</v>
      </c>
      <c r="X99">
        <v>-203.07259674936387</v>
      </c>
      <c r="Y99">
        <v>-203.07259674936387</v>
      </c>
      <c r="Z99">
        <v>-203.07259674936387</v>
      </c>
      <c r="AA99">
        <v>-203.07259674936387</v>
      </c>
    </row>
    <row r="100" spans="1:27" x14ac:dyDescent="0.2">
      <c r="A100" t="s">
        <v>284</v>
      </c>
      <c r="B100" t="s">
        <v>285</v>
      </c>
      <c r="C100">
        <v>-0.19870097049823718</v>
      </c>
      <c r="D100">
        <v>-0.36278657868597802</v>
      </c>
      <c r="E100">
        <v>-0.36278657868597791</v>
      </c>
      <c r="F100">
        <v>-0.42842082860067288</v>
      </c>
      <c r="G100">
        <v>-0.98475964919268055</v>
      </c>
      <c r="H100">
        <v>-0.98475964919268122</v>
      </c>
      <c r="I100">
        <v>-0.98475964919268122</v>
      </c>
      <c r="J100">
        <v>-1.2951140614950516</v>
      </c>
      <c r="K100">
        <v>-1.2951140614950516</v>
      </c>
      <c r="L100">
        <v>-1.6879857143419597</v>
      </c>
      <c r="M100">
        <v>-1.9458589336143568</v>
      </c>
      <c r="N100">
        <v>-2.1712931963449562</v>
      </c>
      <c r="O100">
        <v>-2.1712931963449562</v>
      </c>
      <c r="P100">
        <v>-2.1712931963449562</v>
      </c>
      <c r="Q100">
        <v>-2.3692034863938556</v>
      </c>
      <c r="R100">
        <v>-2.3692034863938556</v>
      </c>
      <c r="S100">
        <v>-2.5876475428495236</v>
      </c>
      <c r="T100">
        <v>-2.5876475428495236</v>
      </c>
      <c r="U100">
        <v>-2.7953878636837812</v>
      </c>
      <c r="V100">
        <v>-2.7953878636837812</v>
      </c>
      <c r="W100">
        <v>-2.9722729204724847</v>
      </c>
      <c r="X100">
        <v>-2.9722729204724847</v>
      </c>
      <c r="Y100">
        <v>-2.9722729204724847</v>
      </c>
      <c r="Z100">
        <v>-2.9722729204724847</v>
      </c>
      <c r="AA100">
        <v>-2.9722729204724847</v>
      </c>
    </row>
    <row r="101" spans="1:27" x14ac:dyDescent="0.2">
      <c r="A101" t="s">
        <v>270</v>
      </c>
      <c r="B101" t="s">
        <v>271</v>
      </c>
      <c r="C101">
        <v>-1.330239215640092</v>
      </c>
      <c r="D101">
        <v>-2.4287396919395992</v>
      </c>
      <c r="E101">
        <v>-2.4287396919395978</v>
      </c>
      <c r="F101">
        <v>-2.8681399269093824</v>
      </c>
      <c r="G101">
        <v>-6.5926497492759104</v>
      </c>
      <c r="H101">
        <v>-6.5926497492759148</v>
      </c>
      <c r="I101">
        <v>-6.5926497492759148</v>
      </c>
      <c r="J101">
        <v>-8.6703729176950102</v>
      </c>
      <c r="K101">
        <v>-8.6703729176950102</v>
      </c>
      <c r="L101">
        <v>-11.300522524009763</v>
      </c>
      <c r="M101">
        <v>-13.026900951248207</v>
      </c>
      <c r="N101">
        <v>-14.536110977154021</v>
      </c>
      <c r="O101">
        <v>-14.536110977154021</v>
      </c>
      <c r="P101">
        <v>-14.536110977154021</v>
      </c>
      <c r="Q101">
        <v>-15.86105684098958</v>
      </c>
      <c r="R101">
        <v>-15.86105684098958</v>
      </c>
      <c r="S101">
        <v>-17.323469679699926</v>
      </c>
      <c r="T101">
        <v>-17.323469679699926</v>
      </c>
      <c r="U101">
        <v>-18.714224444261259</v>
      </c>
      <c r="V101">
        <v>-18.714224444261259</v>
      </c>
      <c r="W101">
        <v>-19.898413120396313</v>
      </c>
      <c r="X101">
        <v>-19.898413120396313</v>
      </c>
      <c r="Y101">
        <v>-19.898413120396313</v>
      </c>
      <c r="Z101">
        <v>-19.898413120396313</v>
      </c>
      <c r="AA101">
        <v>-19.898413120396313</v>
      </c>
    </row>
    <row r="102" spans="1:27" x14ac:dyDescent="0.2">
      <c r="A102" t="s">
        <v>168</v>
      </c>
      <c r="B102" t="s">
        <v>169</v>
      </c>
      <c r="C102">
        <v>-7.9414106387254604</v>
      </c>
      <c r="D102">
        <v>-14.4993614693452</v>
      </c>
      <c r="E102">
        <v>-14.499361469345194</v>
      </c>
      <c r="F102">
        <v>-17.122542066955553</v>
      </c>
      <c r="G102">
        <v>-39.357536780403827</v>
      </c>
      <c r="H102">
        <v>-39.357536780403848</v>
      </c>
      <c r="I102">
        <v>-39.357536780403848</v>
      </c>
      <c r="J102">
        <v>-51.761360603978474</v>
      </c>
      <c r="K102">
        <v>-51.761360603978474</v>
      </c>
      <c r="L102">
        <v>-67.463121474843334</v>
      </c>
      <c r="M102">
        <v>-77.769448222202442</v>
      </c>
      <c r="N102">
        <v>-86.779298792599633</v>
      </c>
      <c r="O102">
        <v>-86.779298792599633</v>
      </c>
      <c r="P102">
        <v>-86.779298792599633</v>
      </c>
      <c r="Q102">
        <v>-94.689108588528683</v>
      </c>
      <c r="R102">
        <v>-94.689108588528683</v>
      </c>
      <c r="S102">
        <v>-103.41958408421218</v>
      </c>
      <c r="T102">
        <v>-103.41958408421218</v>
      </c>
      <c r="U102">
        <v>-111.72226720563179</v>
      </c>
      <c r="V102">
        <v>-111.72226720563179</v>
      </c>
      <c r="W102">
        <v>-118.79176902180853</v>
      </c>
      <c r="X102">
        <v>-118.79176902180853</v>
      </c>
      <c r="Y102">
        <v>-118.79176902180853</v>
      </c>
      <c r="Z102">
        <v>-118.79176902180853</v>
      </c>
      <c r="AA102">
        <v>-118.79176902180853</v>
      </c>
    </row>
    <row r="103" spans="1:27" x14ac:dyDescent="0.2">
      <c r="A103" t="s">
        <v>150</v>
      </c>
      <c r="B103" t="s">
        <v>151</v>
      </c>
      <c r="C103">
        <v>-15.631307741423033</v>
      </c>
      <c r="D103">
        <v>-28.539511617276247</v>
      </c>
      <c r="E103">
        <v>-28.539511617276236</v>
      </c>
      <c r="F103">
        <v>-33.702793689938119</v>
      </c>
      <c r="G103">
        <v>-77.468575464271026</v>
      </c>
      <c r="H103">
        <v>-77.468575464271069</v>
      </c>
      <c r="I103">
        <v>-77.468575464271069</v>
      </c>
      <c r="J103">
        <v>-101.88337985824295</v>
      </c>
      <c r="K103">
        <v>-101.88337985824295</v>
      </c>
      <c r="L103">
        <v>-132.78960891758223</v>
      </c>
      <c r="M103">
        <v>-153.07584928475779</v>
      </c>
      <c r="N103">
        <v>-170.81019817780501</v>
      </c>
      <c r="O103">
        <v>-170.81019817780501</v>
      </c>
      <c r="P103">
        <v>-170.81019817780501</v>
      </c>
      <c r="Q103">
        <v>-186.37930506838296</v>
      </c>
      <c r="R103">
        <v>-186.37930506838296</v>
      </c>
      <c r="S103">
        <v>-203.56375193938416</v>
      </c>
      <c r="T103">
        <v>-203.56375193938416</v>
      </c>
      <c r="U103">
        <v>-219.90616273445897</v>
      </c>
      <c r="V103">
        <v>-219.90616273445897</v>
      </c>
      <c r="W103">
        <v>-233.82126717803715</v>
      </c>
      <c r="X103">
        <v>-233.82126717803715</v>
      </c>
      <c r="Y103">
        <v>-233.82126717803715</v>
      </c>
      <c r="Z103">
        <v>-233.82126717803715</v>
      </c>
      <c r="AA103">
        <v>-233.82126717803715</v>
      </c>
    </row>
    <row r="104" spans="1:27" x14ac:dyDescent="0.2">
      <c r="A104" t="s">
        <v>24</v>
      </c>
      <c r="B104" t="s">
        <v>25</v>
      </c>
      <c r="C104">
        <v>-298.50253828377663</v>
      </c>
      <c r="D104">
        <v>-545.00345077082682</v>
      </c>
      <c r="E104">
        <v>-545.00345077082659</v>
      </c>
      <c r="F104">
        <v>-643.60382574011737</v>
      </c>
      <c r="G104">
        <v>-1479.3750334805961</v>
      </c>
      <c r="H104">
        <v>-1479.375033480597</v>
      </c>
      <c r="I104">
        <v>-1479.375033480597</v>
      </c>
      <c r="J104">
        <v>-1945.6112053902311</v>
      </c>
      <c r="K104">
        <v>-1945.6112053902311</v>
      </c>
      <c r="L104">
        <v>-2535.8105652649492</v>
      </c>
      <c r="M104">
        <v>-2923.2058070456246</v>
      </c>
      <c r="N104">
        <v>-3261.8689724669166</v>
      </c>
      <c r="O104">
        <v>-3261.8689724669166</v>
      </c>
      <c r="P104">
        <v>-3261.8689724669166</v>
      </c>
      <c r="Q104">
        <v>-3559.1836951073833</v>
      </c>
      <c r="R104">
        <v>-3559.1836951073833</v>
      </c>
      <c r="S104">
        <v>-3887.3456822457397</v>
      </c>
      <c r="T104">
        <v>-3887.3456822457397</v>
      </c>
      <c r="U104">
        <v>-4199.4277667842352</v>
      </c>
      <c r="V104">
        <v>-4199.4277667842352</v>
      </c>
      <c r="W104">
        <v>-4465.1569089394134</v>
      </c>
      <c r="X104">
        <v>-4465.1569089394134</v>
      </c>
      <c r="Y104">
        <v>-4465.1569089394134</v>
      </c>
      <c r="Z104">
        <v>-4465.1569089394134</v>
      </c>
      <c r="AA104">
        <v>-4465.1569089394134</v>
      </c>
    </row>
    <row r="105" spans="1:27" x14ac:dyDescent="0.2">
      <c r="A105" t="s">
        <v>4</v>
      </c>
      <c r="B105" t="s">
        <v>5</v>
      </c>
      <c r="C105">
        <v>-51.174377335953849</v>
      </c>
      <c r="D105">
        <v>-93.43375235432309</v>
      </c>
      <c r="E105">
        <v>-93.433752354323062</v>
      </c>
      <c r="F105">
        <v>-110.33750407166406</v>
      </c>
      <c r="G105">
        <v>-253.61960611790198</v>
      </c>
      <c r="H105">
        <v>-253.61960611790212</v>
      </c>
      <c r="I105">
        <v>-253.61960611790212</v>
      </c>
      <c r="J105">
        <v>-333.54973309823612</v>
      </c>
      <c r="K105">
        <v>-333.54973309823612</v>
      </c>
      <c r="L105">
        <v>-434.73173617036463</v>
      </c>
      <c r="M105">
        <v>-501.14561122488976</v>
      </c>
      <c r="N105">
        <v>-559.20500568331101</v>
      </c>
      <c r="O105">
        <v>-559.20500568331101</v>
      </c>
      <c r="P105">
        <v>-559.20500568331101</v>
      </c>
      <c r="Q105">
        <v>-610.17574747805372</v>
      </c>
      <c r="R105">
        <v>-610.17574747805372</v>
      </c>
      <c r="S105">
        <v>-666.43485151679283</v>
      </c>
      <c r="T105">
        <v>-666.43485151679283</v>
      </c>
      <c r="U105">
        <v>-719.937265418484</v>
      </c>
      <c r="V105">
        <v>-719.937265418484</v>
      </c>
      <c r="W105">
        <v>-765.49307029703652</v>
      </c>
      <c r="X105">
        <v>-765.49307029703652</v>
      </c>
      <c r="Y105">
        <v>-765.49307029703652</v>
      </c>
      <c r="Z105">
        <v>-765.49307029703652</v>
      </c>
      <c r="AA105">
        <v>-765.49307029703652</v>
      </c>
    </row>
    <row r="106" spans="1:27" x14ac:dyDescent="0.2">
      <c r="A106" t="s">
        <v>14</v>
      </c>
      <c r="B106" t="s">
        <v>15</v>
      </c>
      <c r="C106">
        <v>-8.8583848608161766</v>
      </c>
      <c r="D106">
        <v>-16.173565374546957</v>
      </c>
      <c r="E106">
        <v>-16.173565374546946</v>
      </c>
      <c r="F106">
        <v>-19.09963787604244</v>
      </c>
      <c r="G106">
        <v>-43.902050131297585</v>
      </c>
      <c r="H106">
        <v>-43.902050131297614</v>
      </c>
      <c r="I106">
        <v>-43.902050131297614</v>
      </c>
      <c r="J106">
        <v>-57.738111528145247</v>
      </c>
      <c r="K106">
        <v>-57.738111528145247</v>
      </c>
      <c r="L106">
        <v>-75.252914264620841</v>
      </c>
      <c r="M106">
        <v>-86.749286002940053</v>
      </c>
      <c r="N106">
        <v>-96.79948080105612</v>
      </c>
      <c r="O106">
        <v>-96.79948080105612</v>
      </c>
      <c r="P106">
        <v>-96.79948080105612</v>
      </c>
      <c r="Q106">
        <v>-105.62261595119099</v>
      </c>
      <c r="R106">
        <v>-105.62261595119099</v>
      </c>
      <c r="S106">
        <v>-115.36117695464281</v>
      </c>
      <c r="T106">
        <v>-115.36117695464281</v>
      </c>
      <c r="U106">
        <v>-124.62254950076033</v>
      </c>
      <c r="V106">
        <v>-124.62254950076033</v>
      </c>
      <c r="W106">
        <v>-132.50834847412548</v>
      </c>
      <c r="X106">
        <v>-132.50834847412548</v>
      </c>
      <c r="Y106">
        <v>-132.50834847412548</v>
      </c>
      <c r="Z106">
        <v>-132.50834847412548</v>
      </c>
      <c r="AA106">
        <v>-132.50834847412548</v>
      </c>
    </row>
    <row r="107" spans="1:27" x14ac:dyDescent="0.2">
      <c r="A107" t="s">
        <v>248</v>
      </c>
      <c r="B107" t="s">
        <v>249</v>
      </c>
      <c r="C107">
        <v>-0.85624621763977771</v>
      </c>
      <c r="D107">
        <v>-1.56332721994984</v>
      </c>
      <c r="E107">
        <v>-1.5633272199498394</v>
      </c>
      <c r="F107">
        <v>-1.846159649485356</v>
      </c>
      <c r="G107">
        <v>-4.2435460822924753</v>
      </c>
      <c r="H107">
        <v>-4.243546082292478</v>
      </c>
      <c r="I107">
        <v>-4.243546082292478</v>
      </c>
      <c r="J107">
        <v>-5.5809315565324153</v>
      </c>
      <c r="K107">
        <v>-5.5809315565324153</v>
      </c>
      <c r="L107">
        <v>-7.2739019830207816</v>
      </c>
      <c r="M107">
        <v>-8.3851344449404479</v>
      </c>
      <c r="N107">
        <v>-9.3565803030330255</v>
      </c>
      <c r="O107">
        <v>-9.3565803030330255</v>
      </c>
      <c r="P107">
        <v>-9.3565803030330255</v>
      </c>
      <c r="Q107">
        <v>-10.209419304581157</v>
      </c>
      <c r="R107">
        <v>-10.209419304581157</v>
      </c>
      <c r="S107">
        <v>-11.150742825231575</v>
      </c>
      <c r="T107">
        <v>-11.150742825231575</v>
      </c>
      <c r="U107">
        <v>-12.045941593106667</v>
      </c>
      <c r="V107">
        <v>-12.045941593106667</v>
      </c>
      <c r="W107">
        <v>-12.808178236705086</v>
      </c>
      <c r="X107">
        <v>-12.808178236705086</v>
      </c>
      <c r="Y107">
        <v>-12.808178236705086</v>
      </c>
      <c r="Z107">
        <v>-12.808178236705086</v>
      </c>
      <c r="AA107">
        <v>-12.808178236705086</v>
      </c>
    </row>
    <row r="108" spans="1:27" x14ac:dyDescent="0.2">
      <c r="A108" t="s">
        <v>194</v>
      </c>
      <c r="B108" t="s">
        <v>195</v>
      </c>
      <c r="C108">
        <v>-3.7705881207210408</v>
      </c>
      <c r="D108">
        <v>-6.8843084184257357</v>
      </c>
      <c r="E108">
        <v>-6.884308418425733</v>
      </c>
      <c r="F108">
        <v>-8.1297966635019208</v>
      </c>
      <c r="G108">
        <v>-18.686989931155285</v>
      </c>
      <c r="H108">
        <v>-18.686989931155296</v>
      </c>
      <c r="I108">
        <v>-18.686989931155296</v>
      </c>
      <c r="J108">
        <v>-24.576335399908604</v>
      </c>
      <c r="K108">
        <v>-24.576335399908604</v>
      </c>
      <c r="L108">
        <v>-32.031544015539062</v>
      </c>
      <c r="M108">
        <v>-36.924996195478059</v>
      </c>
      <c r="N108">
        <v>-41.20288045001444</v>
      </c>
      <c r="O108">
        <v>-41.20288045001444</v>
      </c>
      <c r="P108">
        <v>-41.20288045001444</v>
      </c>
      <c r="Q108">
        <v>-44.958464465309696</v>
      </c>
      <c r="R108">
        <v>-44.958464465309696</v>
      </c>
      <c r="S108">
        <v>-49.103701211001209</v>
      </c>
      <c r="T108">
        <v>-49.103701211001209</v>
      </c>
      <c r="U108">
        <v>-53.045821795356268</v>
      </c>
      <c r="V108">
        <v>-53.045821795356268</v>
      </c>
      <c r="W108">
        <v>-56.402426910007534</v>
      </c>
      <c r="X108">
        <v>-56.402426910007534</v>
      </c>
      <c r="Y108">
        <v>-56.402426910007534</v>
      </c>
      <c r="Z108">
        <v>-56.402426910007534</v>
      </c>
      <c r="AA108">
        <v>-56.402426910007534</v>
      </c>
    </row>
    <row r="109" spans="1:27" x14ac:dyDescent="0.2">
      <c r="A109" t="s">
        <v>112</v>
      </c>
      <c r="B109" t="s">
        <v>113</v>
      </c>
      <c r="C109">
        <v>-5.633088102663133</v>
      </c>
      <c r="D109">
        <v>-10.284845388915581</v>
      </c>
      <c r="E109">
        <v>-10.284845388915578</v>
      </c>
      <c r="F109">
        <v>-12.145548491646355</v>
      </c>
      <c r="G109">
        <v>-27.917517714888177</v>
      </c>
      <c r="H109">
        <v>-27.917517714888191</v>
      </c>
      <c r="I109">
        <v>-27.917517714888191</v>
      </c>
      <c r="J109">
        <v>-36.715933460748886</v>
      </c>
      <c r="K109">
        <v>-36.715933460748886</v>
      </c>
      <c r="L109">
        <v>-47.853677921564959</v>
      </c>
      <c r="M109">
        <v>-55.164274139773511</v>
      </c>
      <c r="N109">
        <v>-61.555239720546261</v>
      </c>
      <c r="O109">
        <v>-61.555239720546261</v>
      </c>
      <c r="P109">
        <v>-61.555239720546261</v>
      </c>
      <c r="Q109">
        <v>-67.165912368362811</v>
      </c>
      <c r="R109">
        <v>-67.165912368362811</v>
      </c>
      <c r="S109">
        <v>-73.358708570779029</v>
      </c>
      <c r="T109">
        <v>-73.358708570779029</v>
      </c>
      <c r="U109">
        <v>-79.248058415425405</v>
      </c>
      <c r="V109">
        <v>-79.248058415425405</v>
      </c>
      <c r="W109">
        <v>-84.262674632129688</v>
      </c>
      <c r="X109">
        <v>-84.262674632129688</v>
      </c>
      <c r="Y109">
        <v>-84.262674632129688</v>
      </c>
      <c r="Z109">
        <v>-84.262674632129688</v>
      </c>
      <c r="AA109">
        <v>-84.262674632129688</v>
      </c>
    </row>
    <row r="110" spans="1:27" x14ac:dyDescent="0.2">
      <c r="A110" t="s">
        <v>62</v>
      </c>
      <c r="B110" t="s">
        <v>63</v>
      </c>
      <c r="C110">
        <v>-15.193700358996596</v>
      </c>
      <c r="D110">
        <v>-27.740531699462398</v>
      </c>
      <c r="E110">
        <v>-27.740531699462387</v>
      </c>
      <c r="F110">
        <v>-32.759264743346641</v>
      </c>
      <c r="G110">
        <v>-75.299798475805289</v>
      </c>
      <c r="H110">
        <v>-75.299798475805332</v>
      </c>
      <c r="I110">
        <v>-75.299798475805332</v>
      </c>
      <c r="J110">
        <v>-99.031096485024349</v>
      </c>
      <c r="K110">
        <v>-99.031096485024349</v>
      </c>
      <c r="L110">
        <v>-129.0720880208589</v>
      </c>
      <c r="M110">
        <v>-148.79040350975777</v>
      </c>
      <c r="N110">
        <v>-166.02826918294247</v>
      </c>
      <c r="O110">
        <v>-166.02826918294247</v>
      </c>
      <c r="P110">
        <v>-166.02826918294247</v>
      </c>
      <c r="Q110">
        <v>-181.16151003941707</v>
      </c>
      <c r="R110">
        <v>-181.16151003941707</v>
      </c>
      <c r="S110">
        <v>-197.86486851154189</v>
      </c>
      <c r="T110">
        <v>-197.86486851154189</v>
      </c>
      <c r="U110">
        <v>-213.74976418831227</v>
      </c>
      <c r="V110">
        <v>-213.74976418831227</v>
      </c>
      <c r="W110">
        <v>-227.27530734038007</v>
      </c>
      <c r="X110">
        <v>-227.27530734038007</v>
      </c>
      <c r="Y110">
        <v>-227.27530734038007</v>
      </c>
      <c r="Z110">
        <v>-227.27530734038007</v>
      </c>
      <c r="AA110">
        <v>-227.27530734038007</v>
      </c>
    </row>
    <row r="111" spans="1:27" x14ac:dyDescent="0.2">
      <c r="A111" t="s">
        <v>34</v>
      </c>
      <c r="B111" t="s">
        <v>35</v>
      </c>
      <c r="C111">
        <v>-13.123982979596526</v>
      </c>
      <c r="D111">
        <v>-23.961658928802628</v>
      </c>
      <c r="E111">
        <v>-23.961658928802617</v>
      </c>
      <c r="F111">
        <v>-28.296729747023321</v>
      </c>
      <c r="G111">
        <v>-65.042303732043635</v>
      </c>
      <c r="H111">
        <v>-65.042303732043678</v>
      </c>
      <c r="I111">
        <v>-65.042303732043678</v>
      </c>
      <c r="J111">
        <v>-85.540875100295381</v>
      </c>
      <c r="K111">
        <v>-85.540875100295381</v>
      </c>
      <c r="L111">
        <v>-111.48962045468468</v>
      </c>
      <c r="M111">
        <v>-128.521866105718</v>
      </c>
      <c r="N111">
        <v>-143.41155396016424</v>
      </c>
      <c r="O111">
        <v>-143.41155396016424</v>
      </c>
      <c r="P111">
        <v>-143.41155396016424</v>
      </c>
      <c r="Q111">
        <v>-156.48331335608432</v>
      </c>
      <c r="R111">
        <v>-156.48331335608432</v>
      </c>
      <c r="S111">
        <v>-170.91130568913454</v>
      </c>
      <c r="T111">
        <v>-170.91130568913454</v>
      </c>
      <c r="U111">
        <v>-184.63232792656194</v>
      </c>
      <c r="V111">
        <v>-184.63232792656194</v>
      </c>
      <c r="W111">
        <v>-196.3153935342385</v>
      </c>
      <c r="X111">
        <v>-196.3153935342385</v>
      </c>
      <c r="Y111">
        <v>-196.3153935342385</v>
      </c>
      <c r="Z111">
        <v>-196.3153935342385</v>
      </c>
      <c r="AA111">
        <v>-196.3153935342385</v>
      </c>
    </row>
    <row r="112" spans="1:27" x14ac:dyDescent="0.2">
      <c r="A112" t="s">
        <v>322</v>
      </c>
      <c r="B112" t="s">
        <v>323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330</v>
      </c>
      <c r="B113" t="s">
        <v>331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26</v>
      </c>
      <c r="B114" t="s">
        <v>27</v>
      </c>
      <c r="C114">
        <v>-82.365470346838279</v>
      </c>
      <c r="D114">
        <v>-150.38219045465576</v>
      </c>
      <c r="E114">
        <v>-150.3821904546557</v>
      </c>
      <c r="F114">
        <v>-177.58888125002724</v>
      </c>
      <c r="G114">
        <v>-408.20229252509961</v>
      </c>
      <c r="H114">
        <v>-408.20229252509984</v>
      </c>
      <c r="I114">
        <v>-408.20229252509984</v>
      </c>
      <c r="J114">
        <v>-536.85031613265494</v>
      </c>
      <c r="K114">
        <v>-536.85031613265494</v>
      </c>
      <c r="L114">
        <v>-699.703363058072</v>
      </c>
      <c r="M114">
        <v>-806.59689730687819</v>
      </c>
      <c r="N114">
        <v>-900.0438444231396</v>
      </c>
      <c r="O114">
        <v>-900.0438444231396</v>
      </c>
      <c r="P114">
        <v>-900.0438444231396</v>
      </c>
      <c r="Q114">
        <v>-982.08156213273367</v>
      </c>
      <c r="R114">
        <v>-982.08156213273367</v>
      </c>
      <c r="S114">
        <v>-1072.6309309119968</v>
      </c>
      <c r="T114">
        <v>-1072.6309309119968</v>
      </c>
      <c r="U114">
        <v>-1158.7433902151008</v>
      </c>
      <c r="V114">
        <v>-1158.7433902151008</v>
      </c>
      <c r="W114">
        <v>-1232.0657341533154</v>
      </c>
      <c r="X114">
        <v>-1232.0657341533154</v>
      </c>
      <c r="Y114">
        <v>-1232.0657341533154</v>
      </c>
      <c r="Z114">
        <v>-1232.0657341533154</v>
      </c>
      <c r="AA114">
        <v>-1232.0657341533154</v>
      </c>
    </row>
    <row r="115" spans="1:27" x14ac:dyDescent="0.2">
      <c r="A115" t="s">
        <v>328</v>
      </c>
      <c r="B115" t="s">
        <v>329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326</v>
      </c>
      <c r="B116" t="s">
        <v>327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324</v>
      </c>
      <c r="B117" t="s">
        <v>325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314</v>
      </c>
      <c r="B118" t="s">
        <v>315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6</v>
      </c>
      <c r="B119" t="s">
        <v>7</v>
      </c>
      <c r="C119">
        <v>-473.26481930876542</v>
      </c>
      <c r="D119">
        <v>-864.0829693933872</v>
      </c>
      <c r="E119">
        <v>-864.08296939338686</v>
      </c>
      <c r="F119">
        <v>-1020.4102452413931</v>
      </c>
      <c r="G119">
        <v>-2345.4948220389892</v>
      </c>
      <c r="H119">
        <v>-2345.4948220389906</v>
      </c>
      <c r="I119">
        <v>-2345.4948220389906</v>
      </c>
      <c r="J119">
        <v>-3084.6951615826893</v>
      </c>
      <c r="K119">
        <v>-3084.6951615826893</v>
      </c>
      <c r="L119">
        <v>-4020.434586155744</v>
      </c>
      <c r="M119">
        <v>-4634.6355244677352</v>
      </c>
      <c r="N119">
        <v>-5171.5735441949646</v>
      </c>
      <c r="O119">
        <v>-5171.5735441949646</v>
      </c>
      <c r="P119">
        <v>-5171.5735441949646</v>
      </c>
      <c r="Q119">
        <v>-5642.955125394481</v>
      </c>
      <c r="R119">
        <v>-5642.955125394481</v>
      </c>
      <c r="S119">
        <v>-6163.243912350772</v>
      </c>
      <c r="T119">
        <v>-6163.243912350772</v>
      </c>
      <c r="U119">
        <v>-6658.0386038726338</v>
      </c>
      <c r="V119">
        <v>-6658.0386038726338</v>
      </c>
      <c r="W119">
        <v>-7079.3424064137953</v>
      </c>
      <c r="X119">
        <v>-7079.3424064137953</v>
      </c>
      <c r="Y119">
        <v>-7079.3424064137953</v>
      </c>
      <c r="Z119">
        <v>-7079.3424064137953</v>
      </c>
      <c r="AA119">
        <v>-7079.3424064137953</v>
      </c>
    </row>
    <row r="120" spans="1:27" x14ac:dyDescent="0.2">
      <c r="A120" t="s">
        <v>128</v>
      </c>
      <c r="B120" t="s">
        <v>129</v>
      </c>
      <c r="C120">
        <v>-13.472247496904791</v>
      </c>
      <c r="D120">
        <v>-24.597517386842263</v>
      </c>
      <c r="E120">
        <v>-24.597517386842252</v>
      </c>
      <c r="F120">
        <v>-29.047625792992779</v>
      </c>
      <c r="G120">
        <v>-66.768298542390013</v>
      </c>
      <c r="H120">
        <v>-66.768298542390056</v>
      </c>
      <c r="I120">
        <v>-66.768298542390056</v>
      </c>
      <c r="J120">
        <v>-87.810830160679558</v>
      </c>
      <c r="K120">
        <v>-87.810830160679558</v>
      </c>
      <c r="L120">
        <v>-114.44816428340627</v>
      </c>
      <c r="M120">
        <v>-131.93238604714523</v>
      </c>
      <c r="N120">
        <v>-147.21719403863838</v>
      </c>
      <c r="O120">
        <v>-147.21719403863838</v>
      </c>
      <c r="P120">
        <v>-147.21719403863838</v>
      </c>
      <c r="Q120">
        <v>-160.63583212096538</v>
      </c>
      <c r="R120">
        <v>-160.63583212096538</v>
      </c>
      <c r="S120">
        <v>-175.44669280986528</v>
      </c>
      <c r="T120">
        <v>-175.44669280986528</v>
      </c>
      <c r="U120">
        <v>-189.53182289427195</v>
      </c>
      <c r="V120">
        <v>-189.53182289427195</v>
      </c>
      <c r="W120">
        <v>-201.52491612167827</v>
      </c>
      <c r="X120">
        <v>-201.52491612167827</v>
      </c>
      <c r="Y120">
        <v>-201.52491612167827</v>
      </c>
      <c r="Z120">
        <v>-201.52491612167827</v>
      </c>
      <c r="AA120">
        <v>-201.52491612167827</v>
      </c>
    </row>
    <row r="121" spans="1:27" x14ac:dyDescent="0.2">
      <c r="A121" t="s">
        <v>10</v>
      </c>
      <c r="B121" t="s">
        <v>11</v>
      </c>
      <c r="C121">
        <v>-429.14439061770207</v>
      </c>
      <c r="D121">
        <v>-783.52825778400666</v>
      </c>
      <c r="E121">
        <v>-783.52825778400631</v>
      </c>
      <c r="F121">
        <v>-925.28181899040032</v>
      </c>
      <c r="G121">
        <v>-2126.8345016032231</v>
      </c>
      <c r="H121">
        <v>-2126.8345016032245</v>
      </c>
      <c r="I121">
        <v>-2126.8345016032245</v>
      </c>
      <c r="J121">
        <v>-2797.1223960662128</v>
      </c>
      <c r="K121">
        <v>-2797.1223960662128</v>
      </c>
      <c r="L121">
        <v>-3645.6268881640585</v>
      </c>
      <c r="M121">
        <v>-4202.5685340140453</v>
      </c>
      <c r="N121">
        <v>-4689.4501484384318</v>
      </c>
      <c r="O121">
        <v>-4689.4501484384318</v>
      </c>
      <c r="P121">
        <v>-4689.4501484384318</v>
      </c>
      <c r="Q121">
        <v>-5116.8868670767088</v>
      </c>
      <c r="R121">
        <v>-5116.8868670767088</v>
      </c>
      <c r="S121">
        <v>-5588.6713845688273</v>
      </c>
      <c r="T121">
        <v>-5588.6713845688273</v>
      </c>
      <c r="U121">
        <v>-6037.3385106910646</v>
      </c>
      <c r="V121">
        <v>-6037.3385106910646</v>
      </c>
      <c r="W121">
        <v>-6419.3659850140402</v>
      </c>
      <c r="X121">
        <v>-6419.3659850140402</v>
      </c>
      <c r="Y121">
        <v>-6419.3659850140402</v>
      </c>
      <c r="Z121">
        <v>-6419.3659850140402</v>
      </c>
      <c r="AA121">
        <v>-6419.3659850140402</v>
      </c>
    </row>
    <row r="122" spans="1:27" x14ac:dyDescent="0.2">
      <c r="A122" t="s">
        <v>238</v>
      </c>
      <c r="B122" t="s">
        <v>239</v>
      </c>
      <c r="C122">
        <v>-2.2199326385113576</v>
      </c>
      <c r="D122">
        <v>-4.0531345409106416</v>
      </c>
      <c r="E122">
        <v>-4.0531345409106398</v>
      </c>
      <c r="F122">
        <v>-4.7864153760494661</v>
      </c>
      <c r="G122">
        <v>-11.001959783337952</v>
      </c>
      <c r="H122">
        <v>-11.001959783337957</v>
      </c>
      <c r="I122">
        <v>-11.001959783337957</v>
      </c>
      <c r="J122">
        <v>-14.469310182525641</v>
      </c>
      <c r="K122">
        <v>-14.469310182525641</v>
      </c>
      <c r="L122">
        <v>-18.858562045331677</v>
      </c>
      <c r="M122">
        <v>-21.739580565902362</v>
      </c>
      <c r="N122">
        <v>-24.258183652840195</v>
      </c>
      <c r="O122">
        <v>-24.258183652840195</v>
      </c>
      <c r="P122">
        <v>-24.258183652840195</v>
      </c>
      <c r="Q122">
        <v>-26.469282628729182</v>
      </c>
      <c r="R122">
        <v>-26.469282628729182</v>
      </c>
      <c r="S122">
        <v>-28.909789534149947</v>
      </c>
      <c r="T122">
        <v>-28.909789534149947</v>
      </c>
      <c r="U122">
        <v>-31.230711859785391</v>
      </c>
      <c r="V122">
        <v>-31.230711859785391</v>
      </c>
      <c r="W122">
        <v>-33.206912126173435</v>
      </c>
      <c r="X122">
        <v>-33.206912126173435</v>
      </c>
      <c r="Y122">
        <v>-33.206912126173435</v>
      </c>
      <c r="Z122">
        <v>-33.206912126173435</v>
      </c>
      <c r="AA122">
        <v>-33.206912126173435</v>
      </c>
    </row>
    <row r="123" spans="1:27" x14ac:dyDescent="0.2">
      <c r="A123" t="s">
        <v>206</v>
      </c>
      <c r="B123" t="s">
        <v>207</v>
      </c>
      <c r="C123">
        <v>-1.8705477267745461</v>
      </c>
      <c r="D123">
        <v>-3.4152304760453687</v>
      </c>
      <c r="E123">
        <v>-3.4152304760453673</v>
      </c>
      <c r="F123">
        <v>-4.033103638258102</v>
      </c>
      <c r="G123">
        <v>-9.2704123115141517</v>
      </c>
      <c r="H123">
        <v>-9.270412311514157</v>
      </c>
      <c r="I123">
        <v>-9.270412311514157</v>
      </c>
      <c r="J123">
        <v>-12.192052497623864</v>
      </c>
      <c r="K123">
        <v>-12.192052497623864</v>
      </c>
      <c r="L123">
        <v>-15.890500347698469</v>
      </c>
      <c r="M123">
        <v>-18.318088712750242</v>
      </c>
      <c r="N123">
        <v>-20.44030052998724</v>
      </c>
      <c r="O123">
        <v>-20.44030052998724</v>
      </c>
      <c r="P123">
        <v>-20.44030052998724</v>
      </c>
      <c r="Q123">
        <v>-22.30340488336806</v>
      </c>
      <c r="R123">
        <v>-22.30340488336806</v>
      </c>
      <c r="S123">
        <v>-24.359811715231949</v>
      </c>
      <c r="T123">
        <v>-24.359811715231949</v>
      </c>
      <c r="U123">
        <v>-26.315454830218059</v>
      </c>
      <c r="V123">
        <v>-26.315454830218059</v>
      </c>
      <c r="W123">
        <v>-27.980630093563999</v>
      </c>
      <c r="X123">
        <v>-27.980630093563999</v>
      </c>
      <c r="Y123">
        <v>-27.980630093563999</v>
      </c>
      <c r="Z123">
        <v>-27.980630093563999</v>
      </c>
      <c r="AA123">
        <v>-27.980630093563999</v>
      </c>
    </row>
    <row r="124" spans="1:27" x14ac:dyDescent="0.2">
      <c r="A124" t="s">
        <v>100</v>
      </c>
      <c r="B124" t="s">
        <v>101</v>
      </c>
      <c r="C124">
        <v>-18.977170288605564</v>
      </c>
      <c r="D124">
        <v>-34.648359617375327</v>
      </c>
      <c r="E124">
        <v>-34.648359617375313</v>
      </c>
      <c r="F124">
        <v>-40.916835983005903</v>
      </c>
      <c r="G124">
        <v>-94.050630498771369</v>
      </c>
      <c r="H124">
        <v>-94.050630498771426</v>
      </c>
      <c r="I124">
        <v>-94.050630498771426</v>
      </c>
      <c r="J124">
        <v>-123.6913942922952</v>
      </c>
      <c r="K124">
        <v>-123.6913942922952</v>
      </c>
      <c r="L124">
        <v>-161.21306436238601</v>
      </c>
      <c r="M124">
        <v>-185.84154998443597</v>
      </c>
      <c r="N124">
        <v>-207.37191484373992</v>
      </c>
      <c r="O124">
        <v>-207.37191484373992</v>
      </c>
      <c r="P124">
        <v>-207.37191484373992</v>
      </c>
      <c r="Q124">
        <v>-226.27357026448482</v>
      </c>
      <c r="R124">
        <v>-226.27357026448482</v>
      </c>
      <c r="S124">
        <v>-247.13632723793279</v>
      </c>
      <c r="T124">
        <v>-247.13632723793279</v>
      </c>
      <c r="U124">
        <v>-266.97681133016442</v>
      </c>
      <c r="V124">
        <v>-266.97681133016442</v>
      </c>
      <c r="W124">
        <v>-283.87042707734406</v>
      </c>
      <c r="X124">
        <v>-283.87042707734406</v>
      </c>
      <c r="Y124">
        <v>-283.87042707734406</v>
      </c>
      <c r="Z124">
        <v>-283.87042707734406</v>
      </c>
      <c r="AA124">
        <v>-283.87042707734406</v>
      </c>
    </row>
    <row r="125" spans="1:27" x14ac:dyDescent="0.2">
      <c r="A125" t="s">
        <v>126</v>
      </c>
      <c r="B125" t="s">
        <v>127</v>
      </c>
      <c r="C125">
        <v>-11.398604192134869</v>
      </c>
      <c r="D125">
        <v>-20.811476694307046</v>
      </c>
      <c r="E125">
        <v>-20.811476694307039</v>
      </c>
      <c r="F125">
        <v>-24.576626076060595</v>
      </c>
      <c r="G125">
        <v>-56.491346959135932</v>
      </c>
      <c r="H125">
        <v>-56.491346959135967</v>
      </c>
      <c r="I125">
        <v>-56.491346959135967</v>
      </c>
      <c r="J125">
        <v>-74.295019967108189</v>
      </c>
      <c r="K125">
        <v>-74.295019967108189</v>
      </c>
      <c r="L125">
        <v>-96.832345566891576</v>
      </c>
      <c r="M125">
        <v>-111.62540244460691</v>
      </c>
      <c r="N125">
        <v>-124.55757849673466</v>
      </c>
      <c r="O125">
        <v>-124.55757849673466</v>
      </c>
      <c r="P125">
        <v>-124.55757849673466</v>
      </c>
      <c r="Q125">
        <v>-135.91082481536813</v>
      </c>
      <c r="R125">
        <v>-135.91082481536813</v>
      </c>
      <c r="S125">
        <v>-148.44200335676643</v>
      </c>
      <c r="T125">
        <v>-148.44200335676643</v>
      </c>
      <c r="U125">
        <v>-160.35915547735868</v>
      </c>
      <c r="V125">
        <v>-160.35915547735868</v>
      </c>
      <c r="W125">
        <v>-170.50627627290416</v>
      </c>
      <c r="X125">
        <v>-170.50627627290416</v>
      </c>
      <c r="Y125">
        <v>-170.50627627290416</v>
      </c>
      <c r="Z125">
        <v>-170.50627627290416</v>
      </c>
      <c r="AA125">
        <v>-170.50627627290416</v>
      </c>
    </row>
    <row r="126" spans="1:27" x14ac:dyDescent="0.2">
      <c r="A126" t="s">
        <v>70</v>
      </c>
      <c r="B126" t="s">
        <v>71</v>
      </c>
      <c r="C126">
        <v>-45.824117678151595</v>
      </c>
      <c r="D126">
        <v>-83.665292786819833</v>
      </c>
      <c r="E126">
        <v>-83.665292786819805</v>
      </c>
      <c r="F126">
        <v>-98.801764361501299</v>
      </c>
      <c r="G126">
        <v>-227.10378281570107</v>
      </c>
      <c r="H126">
        <v>-227.10378281570118</v>
      </c>
      <c r="I126">
        <v>-227.10378281570118</v>
      </c>
      <c r="J126">
        <v>-298.67724859000941</v>
      </c>
      <c r="K126">
        <v>-298.67724859000941</v>
      </c>
      <c r="L126">
        <v>-389.2807157362675</v>
      </c>
      <c r="M126">
        <v>-448.75104804693405</v>
      </c>
      <c r="N126">
        <v>-500.74035719903003</v>
      </c>
      <c r="O126">
        <v>-500.74035719903003</v>
      </c>
      <c r="P126">
        <v>-500.74035719903003</v>
      </c>
      <c r="Q126">
        <v>-546.38212934627938</v>
      </c>
      <c r="R126">
        <v>-546.38212934627938</v>
      </c>
      <c r="S126">
        <v>-596.75936768596898</v>
      </c>
      <c r="T126">
        <v>-596.75936768596898</v>
      </c>
      <c r="U126">
        <v>-644.66812668465968</v>
      </c>
      <c r="V126">
        <v>-644.66812668465968</v>
      </c>
      <c r="W126">
        <v>-685.46109129609306</v>
      </c>
      <c r="X126">
        <v>-685.46109129609306</v>
      </c>
      <c r="Y126">
        <v>-685.46109129609306</v>
      </c>
      <c r="Z126">
        <v>-685.46109129609306</v>
      </c>
      <c r="AA126">
        <v>-685.46109129609306</v>
      </c>
    </row>
    <row r="127" spans="1:27" x14ac:dyDescent="0.2">
      <c r="A127" t="s">
        <v>94</v>
      </c>
      <c r="B127" t="s">
        <v>95</v>
      </c>
      <c r="C127">
        <v>-24.571951455027573</v>
      </c>
      <c r="D127">
        <v>-44.863264520826682</v>
      </c>
      <c r="E127">
        <v>-44.863264520826668</v>
      </c>
      <c r="F127">
        <v>-52.979790568218775</v>
      </c>
      <c r="G127">
        <v>-121.77829949274056</v>
      </c>
      <c r="H127">
        <v>-121.77829949274063</v>
      </c>
      <c r="I127">
        <v>-121.77829949274063</v>
      </c>
      <c r="J127">
        <v>-160.15764677939674</v>
      </c>
      <c r="K127">
        <v>-160.15764677939674</v>
      </c>
      <c r="L127">
        <v>-208.74132081785001</v>
      </c>
      <c r="M127">
        <v>-240.63068808980924</v>
      </c>
      <c r="N127">
        <v>-268.50855776616982</v>
      </c>
      <c r="O127">
        <v>-268.50855776616982</v>
      </c>
      <c r="P127">
        <v>-268.50855776616982</v>
      </c>
      <c r="Q127">
        <v>-292.98273133129152</v>
      </c>
      <c r="R127">
        <v>-292.98273133129152</v>
      </c>
      <c r="S127">
        <v>-319.99617136336019</v>
      </c>
      <c r="T127">
        <v>-319.99617136336019</v>
      </c>
      <c r="U127">
        <v>-345.68595569602661</v>
      </c>
      <c r="V127">
        <v>-345.68595569602661</v>
      </c>
      <c r="W127">
        <v>-367.56008654517802</v>
      </c>
      <c r="X127">
        <v>-367.56008654517802</v>
      </c>
      <c r="Y127">
        <v>-367.56008654517802</v>
      </c>
      <c r="Z127">
        <v>-367.56008654517802</v>
      </c>
      <c r="AA127">
        <v>-367.56008654517802</v>
      </c>
    </row>
    <row r="128" spans="1:27" x14ac:dyDescent="0.2">
      <c r="A128" t="s">
        <v>134</v>
      </c>
      <c r="B128" t="s">
        <v>135</v>
      </c>
      <c r="C128">
        <v>-13.263857090907994</v>
      </c>
      <c r="D128">
        <v>-24.21703991744193</v>
      </c>
      <c r="E128">
        <v>-24.21703991744192</v>
      </c>
      <c r="F128">
        <v>-28.598313491267657</v>
      </c>
      <c r="G128">
        <v>-65.735518165978391</v>
      </c>
      <c r="H128">
        <v>-65.735518165978419</v>
      </c>
      <c r="I128">
        <v>-65.735518165978419</v>
      </c>
      <c r="J128">
        <v>-86.452561278497583</v>
      </c>
      <c r="K128">
        <v>-86.452561278497583</v>
      </c>
      <c r="L128">
        <v>-112.67786579192691</v>
      </c>
      <c r="M128">
        <v>-129.89163943090267</v>
      </c>
      <c r="N128">
        <v>-144.94002010441031</v>
      </c>
      <c r="O128">
        <v>-144.94002010441031</v>
      </c>
      <c r="P128">
        <v>-144.94002010441031</v>
      </c>
      <c r="Q128">
        <v>-158.15109701785715</v>
      </c>
      <c r="R128">
        <v>-158.15109701785715</v>
      </c>
      <c r="S128">
        <v>-172.73286146480999</v>
      </c>
      <c r="T128">
        <v>-172.73286146480999</v>
      </c>
      <c r="U128">
        <v>-186.60012099885142</v>
      </c>
      <c r="V128">
        <v>-186.60012099885142</v>
      </c>
      <c r="W128">
        <v>-198.40770356314155</v>
      </c>
      <c r="X128">
        <v>-198.40770356314155</v>
      </c>
      <c r="Y128">
        <v>-198.40770356314155</v>
      </c>
      <c r="Z128">
        <v>-198.40770356314155</v>
      </c>
      <c r="AA128">
        <v>-198.40770356314155</v>
      </c>
    </row>
    <row r="129" spans="1:27" x14ac:dyDescent="0.2">
      <c r="A129" t="s">
        <v>48</v>
      </c>
      <c r="B129" t="s">
        <v>49</v>
      </c>
      <c r="C129">
        <v>-42.327864133827298</v>
      </c>
      <c r="D129">
        <v>-77.281862155436031</v>
      </c>
      <c r="E129">
        <v>-77.281862155436002</v>
      </c>
      <c r="F129">
        <v>-91.263462778466277</v>
      </c>
      <c r="G129">
        <v>-209.77639178603314</v>
      </c>
      <c r="H129">
        <v>-209.77639178603329</v>
      </c>
      <c r="I129">
        <v>-209.77639178603329</v>
      </c>
      <c r="J129">
        <v>-275.88899991436199</v>
      </c>
      <c r="K129">
        <v>-275.88899991436199</v>
      </c>
      <c r="L129">
        <v>-359.57967289919083</v>
      </c>
      <c r="M129">
        <v>-414.51258320025806</v>
      </c>
      <c r="N129">
        <v>-462.53525173601656</v>
      </c>
      <c r="O129">
        <v>-462.53525173601656</v>
      </c>
      <c r="P129">
        <v>-462.53525173601656</v>
      </c>
      <c r="Q129">
        <v>-504.6946827990393</v>
      </c>
      <c r="R129">
        <v>-504.6946827990393</v>
      </c>
      <c r="S129">
        <v>-551.2282770704353</v>
      </c>
      <c r="T129">
        <v>-551.2282770704353</v>
      </c>
      <c r="U129">
        <v>-595.48173015293128</v>
      </c>
      <c r="V129">
        <v>-595.48173015293128</v>
      </c>
      <c r="W129">
        <v>-633.16230429548693</v>
      </c>
      <c r="X129">
        <v>-633.16230429548693</v>
      </c>
      <c r="Y129">
        <v>-633.16230429548693</v>
      </c>
      <c r="Z129">
        <v>-633.16230429548693</v>
      </c>
      <c r="AA129">
        <v>-633.16230429548693</v>
      </c>
    </row>
    <row r="130" spans="1:27" x14ac:dyDescent="0.2">
      <c r="A130" t="s">
        <v>16</v>
      </c>
      <c r="B130" t="s">
        <v>17</v>
      </c>
      <c r="C130">
        <v>-330.21497216354135</v>
      </c>
      <c r="D130">
        <v>-602.90374869185382</v>
      </c>
      <c r="E130">
        <v>-602.90374869185359</v>
      </c>
      <c r="F130">
        <v>-711.97927033732128</v>
      </c>
      <c r="G130">
        <v>-1636.5414790403588</v>
      </c>
      <c r="H130">
        <v>-1636.5414790403599</v>
      </c>
      <c r="I130">
        <v>-1636.5414790403599</v>
      </c>
      <c r="J130">
        <v>-2152.3098387131108</v>
      </c>
      <c r="K130">
        <v>-2152.3098387131108</v>
      </c>
      <c r="L130">
        <v>-2805.2110378536413</v>
      </c>
      <c r="M130">
        <v>-3233.7625326462289</v>
      </c>
      <c r="N130">
        <v>-3608.4047329617729</v>
      </c>
      <c r="O130">
        <v>-3608.4047329617729</v>
      </c>
      <c r="P130">
        <v>-3608.4047329617729</v>
      </c>
      <c r="Q130">
        <v>-3937.3056978413351</v>
      </c>
      <c r="R130">
        <v>-3937.3056978413351</v>
      </c>
      <c r="S130">
        <v>-4300.3310914311423</v>
      </c>
      <c r="T130">
        <v>-4300.3310914311423</v>
      </c>
      <c r="U130">
        <v>-4645.5682791988702</v>
      </c>
      <c r="V130">
        <v>-4645.5682791988702</v>
      </c>
      <c r="W130">
        <v>-4939.5280618671004</v>
      </c>
      <c r="X130">
        <v>-4939.5280618671004</v>
      </c>
      <c r="Y130">
        <v>-4939.5280618671004</v>
      </c>
      <c r="Z130">
        <v>-4939.5280618671004</v>
      </c>
      <c r="AA130">
        <v>-4939.5280618671004</v>
      </c>
    </row>
    <row r="131" spans="1:27" x14ac:dyDescent="0.2">
      <c r="A131" t="s">
        <v>176</v>
      </c>
      <c r="B131" t="s">
        <v>177</v>
      </c>
      <c r="C131">
        <v>-8.0820398316049058</v>
      </c>
      <c r="D131">
        <v>-14.756121079628819</v>
      </c>
      <c r="E131">
        <v>-14.756121079628814</v>
      </c>
      <c r="F131">
        <v>-17.425753848899969</v>
      </c>
      <c r="G131">
        <v>-40.054493389618983</v>
      </c>
      <c r="H131">
        <v>-40.054493389619005</v>
      </c>
      <c r="I131">
        <v>-40.054493389619005</v>
      </c>
      <c r="J131">
        <v>-52.677968332155039</v>
      </c>
      <c r="K131">
        <v>-52.677968332155039</v>
      </c>
      <c r="L131">
        <v>-68.657781309693249</v>
      </c>
      <c r="M131">
        <v>-79.146615986432735</v>
      </c>
      <c r="N131">
        <v>-88.316016046375353</v>
      </c>
      <c r="O131">
        <v>-88.316016046375353</v>
      </c>
      <c r="P131">
        <v>-88.316016046375353</v>
      </c>
      <c r="Q131">
        <v>-96.365895436742363</v>
      </c>
      <c r="R131">
        <v>-96.365895436742363</v>
      </c>
      <c r="S131">
        <v>-105.25097315339963</v>
      </c>
      <c r="T131">
        <v>-105.25097315339963</v>
      </c>
      <c r="U131">
        <v>-113.70068300334596</v>
      </c>
      <c r="V131">
        <v>-113.70068300334596</v>
      </c>
      <c r="W131">
        <v>-120.89537395526901</v>
      </c>
      <c r="X131">
        <v>-120.89537395526901</v>
      </c>
      <c r="Y131">
        <v>-120.89537395526901</v>
      </c>
      <c r="Z131">
        <v>-120.89537395526901</v>
      </c>
      <c r="AA131">
        <v>-120.89537395526901</v>
      </c>
    </row>
    <row r="132" spans="1:27" x14ac:dyDescent="0.2">
      <c r="A132" t="s">
        <v>152</v>
      </c>
      <c r="B132" t="s">
        <v>153</v>
      </c>
      <c r="C132">
        <v>-9.6190356698322095</v>
      </c>
      <c r="D132">
        <v>-17.562355292813088</v>
      </c>
      <c r="E132">
        <v>-17.562355292813081</v>
      </c>
      <c r="F132">
        <v>-20.739683463425784</v>
      </c>
      <c r="G132">
        <v>-47.671826504138217</v>
      </c>
      <c r="H132">
        <v>-47.671826504138238</v>
      </c>
      <c r="I132">
        <v>-47.671826504138238</v>
      </c>
      <c r="J132">
        <v>-62.695961286875992</v>
      </c>
      <c r="K132">
        <v>-62.695961286875992</v>
      </c>
      <c r="L132">
        <v>-81.714723162696188</v>
      </c>
      <c r="M132">
        <v>-94.198264074730432</v>
      </c>
      <c r="N132">
        <v>-105.11144788541142</v>
      </c>
      <c r="O132">
        <v>-105.11144788541142</v>
      </c>
      <c r="P132">
        <v>-105.11144788541142</v>
      </c>
      <c r="Q132">
        <v>-114.69220702631401</v>
      </c>
      <c r="R132">
        <v>-114.69220702631401</v>
      </c>
      <c r="S132">
        <v>-125.26699770620428</v>
      </c>
      <c r="T132">
        <v>-125.26699770620428</v>
      </c>
      <c r="U132">
        <v>-135.32362476321626</v>
      </c>
      <c r="V132">
        <v>-135.32362476321626</v>
      </c>
      <c r="W132">
        <v>-143.88656064845355</v>
      </c>
      <c r="X132">
        <v>-143.88656064845355</v>
      </c>
      <c r="Y132">
        <v>-143.88656064845355</v>
      </c>
      <c r="Z132">
        <v>-143.88656064845355</v>
      </c>
      <c r="AA132">
        <v>-143.88656064845355</v>
      </c>
    </row>
    <row r="133" spans="1:27" x14ac:dyDescent="0.2">
      <c r="A133" t="s">
        <v>182</v>
      </c>
      <c r="B133" t="s">
        <v>183</v>
      </c>
      <c r="C133">
        <v>-5.1211907839938355</v>
      </c>
      <c r="D133">
        <v>-9.3502275236233352</v>
      </c>
      <c r="E133">
        <v>-9.3502275236233316</v>
      </c>
      <c r="F133">
        <v>-11.041842390599866</v>
      </c>
      <c r="G133">
        <v>-25.380560684978132</v>
      </c>
      <c r="H133">
        <v>-25.380560684978146</v>
      </c>
      <c r="I133">
        <v>-25.380560684978146</v>
      </c>
      <c r="J133">
        <v>-33.379435336014758</v>
      </c>
      <c r="K133">
        <v>-33.379435336014758</v>
      </c>
      <c r="L133">
        <v>-43.505056176250463</v>
      </c>
      <c r="M133">
        <v>-50.151314373506416</v>
      </c>
      <c r="N133">
        <v>-55.961511806350032</v>
      </c>
      <c r="O133">
        <v>-55.961511806350032</v>
      </c>
      <c r="P133">
        <v>-55.961511806350032</v>
      </c>
      <c r="Q133">
        <v>-61.062324101904274</v>
      </c>
      <c r="R133">
        <v>-61.062324101904274</v>
      </c>
      <c r="S133">
        <v>-66.69236046223962</v>
      </c>
      <c r="T133">
        <v>-66.69236046223962</v>
      </c>
      <c r="U133">
        <v>-72.046525637440723</v>
      </c>
      <c r="V133">
        <v>-72.046525637440723</v>
      </c>
      <c r="W133">
        <v>-76.605447118202036</v>
      </c>
      <c r="X133">
        <v>-76.605447118202036</v>
      </c>
      <c r="Y133">
        <v>-76.605447118202036</v>
      </c>
      <c r="Z133">
        <v>-76.605447118202036</v>
      </c>
      <c r="AA133">
        <v>-76.605447118202036</v>
      </c>
    </row>
    <row r="134" spans="1:27" x14ac:dyDescent="0.2">
      <c r="A134" t="s">
        <v>148</v>
      </c>
      <c r="B134" t="s">
        <v>149</v>
      </c>
      <c r="C134">
        <v>-10.714158321578855</v>
      </c>
      <c r="D134">
        <v>-19.561821118634033</v>
      </c>
      <c r="E134">
        <v>-19.561821118634025</v>
      </c>
      <c r="F134">
        <v>-23.100886595470005</v>
      </c>
      <c r="G134">
        <v>-53.099241355977362</v>
      </c>
      <c r="H134">
        <v>-53.099241355977398</v>
      </c>
      <c r="I134">
        <v>-53.099241355977398</v>
      </c>
      <c r="J134">
        <v>-69.833866762538548</v>
      </c>
      <c r="K134">
        <v>-69.833866762538548</v>
      </c>
      <c r="L134">
        <v>-91.017905663342418</v>
      </c>
      <c r="M134">
        <v>-104.92269179121992</v>
      </c>
      <c r="N134">
        <v>-117.07833640607839</v>
      </c>
      <c r="O134">
        <v>-117.07833640607839</v>
      </c>
      <c r="P134">
        <v>-117.07833640607839</v>
      </c>
      <c r="Q134">
        <v>-127.74986043405141</v>
      </c>
      <c r="R134">
        <v>-127.74986043405141</v>
      </c>
      <c r="S134">
        <v>-139.5285860205714</v>
      </c>
      <c r="T134">
        <v>-139.5285860205714</v>
      </c>
      <c r="U134">
        <v>-150.73015530134936</v>
      </c>
      <c r="V134">
        <v>-150.73015530134936</v>
      </c>
      <c r="W134">
        <v>-160.267977378431</v>
      </c>
      <c r="X134">
        <v>-160.267977378431</v>
      </c>
      <c r="Y134">
        <v>-160.267977378431</v>
      </c>
      <c r="Z134">
        <v>-160.267977378431</v>
      </c>
      <c r="AA134">
        <v>-160.267977378431</v>
      </c>
    </row>
    <row r="135" spans="1:27" x14ac:dyDescent="0.2">
      <c r="A135" t="s">
        <v>146</v>
      </c>
      <c r="B135" t="s">
        <v>147</v>
      </c>
      <c r="C135">
        <v>-31.327968948761821</v>
      </c>
      <c r="D135">
        <v>-57.19834504886169</v>
      </c>
      <c r="E135">
        <v>-57.198345048861668</v>
      </c>
      <c r="F135">
        <v>-67.54649653572659</v>
      </c>
      <c r="G135">
        <v>-155.26104192921179</v>
      </c>
      <c r="H135">
        <v>-155.2610419292119</v>
      </c>
      <c r="I135">
        <v>-155.2610419292119</v>
      </c>
      <c r="J135">
        <v>-204.1927274028173</v>
      </c>
      <c r="K135">
        <v>-204.1927274028173</v>
      </c>
      <c r="L135">
        <v>-266.13440242521415</v>
      </c>
      <c r="M135">
        <v>-306.79169859153848</v>
      </c>
      <c r="N135">
        <v>-342.33454251979146</v>
      </c>
      <c r="O135">
        <v>-342.33454251979146</v>
      </c>
      <c r="P135">
        <v>-342.33454251979146</v>
      </c>
      <c r="Q135">
        <v>-373.5378497092114</v>
      </c>
      <c r="R135">
        <v>-373.5378497092114</v>
      </c>
      <c r="S135">
        <v>-407.97859048931463</v>
      </c>
      <c r="T135">
        <v>-407.97859048931463</v>
      </c>
      <c r="U135">
        <v>-440.73173862031069</v>
      </c>
      <c r="V135">
        <v>-440.73173862031069</v>
      </c>
      <c r="W135">
        <v>-468.62012564067322</v>
      </c>
      <c r="X135">
        <v>-468.62012564067322</v>
      </c>
      <c r="Y135">
        <v>-468.62012564067322</v>
      </c>
      <c r="Z135">
        <v>-468.62012564067322</v>
      </c>
      <c r="AA135">
        <v>-468.62012564067322</v>
      </c>
    </row>
    <row r="136" spans="1:27" x14ac:dyDescent="0.2">
      <c r="A136" t="s">
        <v>90</v>
      </c>
      <c r="B136" t="s">
        <v>91</v>
      </c>
      <c r="C136">
        <v>-16.185601800088325</v>
      </c>
      <c r="D136">
        <v>-29.551537097700006</v>
      </c>
      <c r="E136">
        <v>-29.551537097699995</v>
      </c>
      <c r="F136">
        <v>-34.897911757587011</v>
      </c>
      <c r="G136">
        <v>-80.215650233921735</v>
      </c>
      <c r="H136">
        <v>-80.215650233921778</v>
      </c>
      <c r="I136">
        <v>-80.215650233921778</v>
      </c>
      <c r="J136">
        <v>-105.49621590922213</v>
      </c>
      <c r="K136">
        <v>-105.49621590922213</v>
      </c>
      <c r="L136">
        <v>-137.49839544351386</v>
      </c>
      <c r="M136">
        <v>-158.50399612872494</v>
      </c>
      <c r="N136">
        <v>-176.86721398067976</v>
      </c>
      <c r="O136">
        <v>-176.86721398067976</v>
      </c>
      <c r="P136">
        <v>-176.86721398067976</v>
      </c>
      <c r="Q136">
        <v>-192.98840925637111</v>
      </c>
      <c r="R136">
        <v>-192.98840925637111</v>
      </c>
      <c r="S136">
        <v>-210.782225283147</v>
      </c>
      <c r="T136">
        <v>-210.782225283147</v>
      </c>
      <c r="U136">
        <v>-227.70414620992835</v>
      </c>
      <c r="V136">
        <v>-227.70414620992835</v>
      </c>
      <c r="W136">
        <v>-242.11268727738815</v>
      </c>
      <c r="X136">
        <v>-242.11268727738815</v>
      </c>
      <c r="Y136">
        <v>-242.11268727738815</v>
      </c>
      <c r="Z136">
        <v>-242.11268727738815</v>
      </c>
      <c r="AA136">
        <v>-242.11268727738815</v>
      </c>
    </row>
    <row r="137" spans="1:27" x14ac:dyDescent="0.2">
      <c r="A137" t="s">
        <v>98</v>
      </c>
      <c r="B137" t="s">
        <v>99</v>
      </c>
      <c r="C137">
        <v>-14.323054643639964</v>
      </c>
      <c r="D137">
        <v>-26.150913996389122</v>
      </c>
      <c r="E137">
        <v>-26.150913996389111</v>
      </c>
      <c r="F137">
        <v>-30.882058216094059</v>
      </c>
      <c r="G137">
        <v>-70.98488865389622</v>
      </c>
      <c r="H137">
        <v>-70.984888653896263</v>
      </c>
      <c r="I137">
        <v>-70.984888653896263</v>
      </c>
      <c r="J137">
        <v>-93.356310369428627</v>
      </c>
      <c r="K137">
        <v>-93.356310369428627</v>
      </c>
      <c r="L137">
        <v>-121.67586078507864</v>
      </c>
      <c r="M137">
        <v>-140.26425620915967</v>
      </c>
      <c r="N137">
        <v>-156.51433921349866</v>
      </c>
      <c r="O137">
        <v>-156.51433921349866</v>
      </c>
      <c r="P137">
        <v>-156.51433921349866</v>
      </c>
      <c r="Q137">
        <v>-170.78039886988148</v>
      </c>
      <c r="R137">
        <v>-170.78039886988148</v>
      </c>
      <c r="S137">
        <v>-186.52660357813008</v>
      </c>
      <c r="T137">
        <v>-186.52660357813008</v>
      </c>
      <c r="U137">
        <v>-201.50124592404035</v>
      </c>
      <c r="V137">
        <v>-201.50124592404035</v>
      </c>
      <c r="W137">
        <v>-214.2517338943567</v>
      </c>
      <c r="X137">
        <v>-214.2517338943567</v>
      </c>
      <c r="Y137">
        <v>-214.2517338943567</v>
      </c>
      <c r="Z137">
        <v>-214.2517338943567</v>
      </c>
      <c r="AA137">
        <v>-214.2517338943567</v>
      </c>
    </row>
    <row r="138" spans="1:27" x14ac:dyDescent="0.2">
      <c r="A138" t="s">
        <v>122</v>
      </c>
      <c r="B138" t="s">
        <v>123</v>
      </c>
      <c r="C138">
        <v>-13.881414253824389</v>
      </c>
      <c r="D138">
        <v>-25.34457064723998</v>
      </c>
      <c r="E138">
        <v>-25.344570647239969</v>
      </c>
      <c r="F138">
        <v>-29.929833668454059</v>
      </c>
      <c r="G138">
        <v>-68.796124128722639</v>
      </c>
      <c r="H138">
        <v>-68.796124128722681</v>
      </c>
      <c r="I138">
        <v>-68.796124128722681</v>
      </c>
      <c r="J138">
        <v>-90.477740236932064</v>
      </c>
      <c r="K138">
        <v>-90.477740236932064</v>
      </c>
      <c r="L138">
        <v>-117.92407906496008</v>
      </c>
      <c r="M138">
        <v>-135.93931559204685</v>
      </c>
      <c r="N138">
        <v>-151.68833976702794</v>
      </c>
      <c r="O138">
        <v>-151.68833976702794</v>
      </c>
      <c r="P138">
        <v>-151.68833976702794</v>
      </c>
      <c r="Q138">
        <v>-165.51451643025504</v>
      </c>
      <c r="R138">
        <v>-165.51451643025504</v>
      </c>
      <c r="S138">
        <v>-180.77519900942661</v>
      </c>
      <c r="T138">
        <v>-180.77519900942661</v>
      </c>
      <c r="U138">
        <v>-195.28810975914183</v>
      </c>
      <c r="V138">
        <v>-195.28810975914183</v>
      </c>
      <c r="W138">
        <v>-207.64544622528169</v>
      </c>
      <c r="X138">
        <v>-207.64544622528169</v>
      </c>
      <c r="Y138">
        <v>-207.64544622528169</v>
      </c>
      <c r="Z138">
        <v>-207.64544622528169</v>
      </c>
      <c r="AA138">
        <v>-207.64544622528169</v>
      </c>
    </row>
    <row r="139" spans="1:27" x14ac:dyDescent="0.2">
      <c r="A139" t="s">
        <v>186</v>
      </c>
      <c r="B139" t="s">
        <v>187</v>
      </c>
      <c r="C139">
        <v>-7.0215179346187799</v>
      </c>
      <c r="D139">
        <v>-12.819829023961315</v>
      </c>
      <c r="E139">
        <v>-12.819829023961308</v>
      </c>
      <c r="F139">
        <v>-15.139153694322546</v>
      </c>
      <c r="G139">
        <v>-34.798559467310945</v>
      </c>
      <c r="H139">
        <v>-34.798559467310966</v>
      </c>
      <c r="I139">
        <v>-34.798559467310966</v>
      </c>
      <c r="J139">
        <v>-45.765587291105604</v>
      </c>
      <c r="K139">
        <v>-45.765587291105604</v>
      </c>
      <c r="L139">
        <v>-59.648535872337433</v>
      </c>
      <c r="M139">
        <v>-68.761030035998701</v>
      </c>
      <c r="N139">
        <v>-76.727225243155544</v>
      </c>
      <c r="O139">
        <v>-76.727225243155544</v>
      </c>
      <c r="P139">
        <v>-76.727225243155544</v>
      </c>
      <c r="Q139">
        <v>-83.720802816226708</v>
      </c>
      <c r="R139">
        <v>-83.720802816226708</v>
      </c>
      <c r="S139">
        <v>-91.439984339439036</v>
      </c>
      <c r="T139">
        <v>-91.439984339439036</v>
      </c>
      <c r="U139">
        <v>-98.780926785888425</v>
      </c>
      <c r="V139">
        <v>-98.780926785888425</v>
      </c>
      <c r="W139">
        <v>-105.03153339084692</v>
      </c>
      <c r="X139">
        <v>-105.03153339084692</v>
      </c>
      <c r="Y139">
        <v>-105.03153339084692</v>
      </c>
      <c r="Z139">
        <v>-105.03153339084692</v>
      </c>
      <c r="AA139">
        <v>-105.03153339084692</v>
      </c>
    </row>
    <row r="140" spans="1:27" x14ac:dyDescent="0.2">
      <c r="A140" t="s">
        <v>28</v>
      </c>
      <c r="B140" t="s">
        <v>29</v>
      </c>
      <c r="C140">
        <v>-45.137212605743109</v>
      </c>
      <c r="D140">
        <v>-82.411147220865843</v>
      </c>
      <c r="E140">
        <v>-82.4111472208658</v>
      </c>
      <c r="F140">
        <v>-97.320722575176148</v>
      </c>
      <c r="G140">
        <v>-223.69948943737728</v>
      </c>
      <c r="H140">
        <v>-223.69948943737739</v>
      </c>
      <c r="I140">
        <v>-223.69948943737739</v>
      </c>
      <c r="J140">
        <v>-294.20006654123625</v>
      </c>
      <c r="K140">
        <v>-294.20006654123625</v>
      </c>
      <c r="L140">
        <v>-383.44538465344908</v>
      </c>
      <c r="M140">
        <v>-442.02425467325531</v>
      </c>
      <c r="N140">
        <v>-493.23424232442437</v>
      </c>
      <c r="O140">
        <v>-493.23424232442437</v>
      </c>
      <c r="P140">
        <v>-493.23424232442437</v>
      </c>
      <c r="Q140">
        <v>-538.19184276493513</v>
      </c>
      <c r="R140">
        <v>-538.19184276493513</v>
      </c>
      <c r="S140">
        <v>-587.81392459964809</v>
      </c>
      <c r="T140">
        <v>-587.81392459964809</v>
      </c>
      <c r="U140">
        <v>-635.00452968209459</v>
      </c>
      <c r="V140">
        <v>-635.00452968209459</v>
      </c>
      <c r="W140">
        <v>-675.18600637559416</v>
      </c>
      <c r="X140">
        <v>-675.18600637559416</v>
      </c>
      <c r="Y140">
        <v>-675.18600637559416</v>
      </c>
      <c r="Z140">
        <v>-675.18600637559416</v>
      </c>
      <c r="AA140">
        <v>-675.18600637559416</v>
      </c>
    </row>
    <row r="141" spans="1:27" x14ac:dyDescent="0.2">
      <c r="A141" t="s">
        <v>56</v>
      </c>
      <c r="B141" t="s">
        <v>57</v>
      </c>
      <c r="C141">
        <v>-9.3841514761944502</v>
      </c>
      <c r="D141">
        <v>-17.13350568637388</v>
      </c>
      <c r="E141">
        <v>-17.133505686373876</v>
      </c>
      <c r="F141">
        <v>-20.233247684017336</v>
      </c>
      <c r="G141">
        <v>-46.50774323092805</v>
      </c>
      <c r="H141">
        <v>-46.507743230928071</v>
      </c>
      <c r="I141">
        <v>-46.507743230928071</v>
      </c>
      <c r="J141">
        <v>-61.165008412109401</v>
      </c>
      <c r="K141">
        <v>-61.165008412109401</v>
      </c>
      <c r="L141">
        <v>-79.719357149177966</v>
      </c>
      <c r="M141">
        <v>-91.898066418882067</v>
      </c>
      <c r="N141">
        <v>-102.54476464125906</v>
      </c>
      <c r="O141">
        <v>-102.54476464125906</v>
      </c>
      <c r="P141">
        <v>-102.54476464125906</v>
      </c>
      <c r="Q141">
        <v>-111.89157425099333</v>
      </c>
      <c r="R141">
        <v>-111.89157425099333</v>
      </c>
      <c r="S141">
        <v>-122.20814245755147</v>
      </c>
      <c r="T141">
        <v>-122.20814245755147</v>
      </c>
      <c r="U141">
        <v>-132.019199915065</v>
      </c>
      <c r="V141">
        <v>-132.019199915065</v>
      </c>
      <c r="W141">
        <v>-140.37304017371224</v>
      </c>
      <c r="X141">
        <v>-140.37304017371224</v>
      </c>
      <c r="Y141">
        <v>-140.37304017371224</v>
      </c>
      <c r="Z141">
        <v>-140.37304017371224</v>
      </c>
      <c r="AA141">
        <v>-140.37304017371224</v>
      </c>
    </row>
    <row r="142" spans="1:27" x14ac:dyDescent="0.2">
      <c r="A142" t="s">
        <v>74</v>
      </c>
      <c r="B142" t="s">
        <v>75</v>
      </c>
      <c r="C142">
        <v>-15.361356478992089</v>
      </c>
      <c r="D142">
        <v>-28.046636848402628</v>
      </c>
      <c r="E142">
        <v>-28.046636848402617</v>
      </c>
      <c r="F142">
        <v>-33.120749509467004</v>
      </c>
      <c r="G142">
        <v>-76.130700214723731</v>
      </c>
      <c r="H142">
        <v>-76.130700214723774</v>
      </c>
      <c r="I142">
        <v>-76.130700214723774</v>
      </c>
      <c r="J142">
        <v>-100.12386315826912</v>
      </c>
      <c r="K142">
        <v>-100.12386315826912</v>
      </c>
      <c r="L142">
        <v>-130.49634445385357</v>
      </c>
      <c r="M142">
        <v>-150.43224329569503</v>
      </c>
      <c r="N142">
        <v>-167.86032159697453</v>
      </c>
      <c r="O142">
        <v>-167.86032159697453</v>
      </c>
      <c r="P142">
        <v>-167.86032159697453</v>
      </c>
      <c r="Q142">
        <v>-183.16055142815611</v>
      </c>
      <c r="R142">
        <v>-183.16055142815611</v>
      </c>
      <c r="S142">
        <v>-200.04822446527575</v>
      </c>
      <c r="T142">
        <v>-200.04822446527575</v>
      </c>
      <c r="U142">
        <v>-216.108403312885</v>
      </c>
      <c r="V142">
        <v>-216.108403312885</v>
      </c>
      <c r="W142">
        <v>-229.78319516883187</v>
      </c>
      <c r="X142">
        <v>-229.78319516883187</v>
      </c>
      <c r="Y142">
        <v>-229.78319516883187</v>
      </c>
      <c r="Z142">
        <v>-229.78319516883187</v>
      </c>
      <c r="AA142">
        <v>-229.78319516883187</v>
      </c>
    </row>
    <row r="143" spans="1:27" x14ac:dyDescent="0.2">
      <c r="A143" t="s">
        <v>46</v>
      </c>
      <c r="B143" t="s">
        <v>47</v>
      </c>
      <c r="C143">
        <v>-18.179856310291875</v>
      </c>
      <c r="D143">
        <v>-33.192630389653736</v>
      </c>
      <c r="E143">
        <v>-33.192630389653722</v>
      </c>
      <c r="F143">
        <v>-39.197740628878883</v>
      </c>
      <c r="G143">
        <v>-90.099151894455375</v>
      </c>
      <c r="H143">
        <v>-90.099151894455431</v>
      </c>
      <c r="I143">
        <v>-90.099151894455431</v>
      </c>
      <c r="J143">
        <v>-118.49457747679917</v>
      </c>
      <c r="K143">
        <v>-118.49457747679917</v>
      </c>
      <c r="L143">
        <v>-154.43979797186981</v>
      </c>
      <c r="M143">
        <v>-178.03353312519741</v>
      </c>
      <c r="N143">
        <v>-198.65931312809502</v>
      </c>
      <c r="O143">
        <v>-198.65931312809502</v>
      </c>
      <c r="P143">
        <v>-198.65931312809502</v>
      </c>
      <c r="Q143">
        <v>-216.76682728061951</v>
      </c>
      <c r="R143">
        <v>-216.76682728061951</v>
      </c>
      <c r="S143">
        <v>-236.75304852676362</v>
      </c>
      <c r="T143">
        <v>-236.75304852676362</v>
      </c>
      <c r="U143">
        <v>-255.75994704945725</v>
      </c>
      <c r="V143">
        <v>-255.75994704945725</v>
      </c>
      <c r="W143">
        <v>-271.9437880633842</v>
      </c>
      <c r="X143">
        <v>-271.9437880633842</v>
      </c>
      <c r="Y143">
        <v>-271.9437880633842</v>
      </c>
      <c r="Z143">
        <v>-271.9437880633842</v>
      </c>
      <c r="AA143">
        <v>-271.9437880633842</v>
      </c>
    </row>
    <row r="144" spans="1:27" x14ac:dyDescent="0.2">
      <c r="A144" t="s">
        <v>320</v>
      </c>
      <c r="B144" t="s">
        <v>321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60</v>
      </c>
      <c r="B145" t="s">
        <v>61</v>
      </c>
      <c r="C145">
        <v>-34.897394300719213</v>
      </c>
      <c r="D145">
        <v>-63.715372157811338</v>
      </c>
      <c r="E145">
        <v>-63.715372157811316</v>
      </c>
      <c r="F145">
        <v>-75.242564466745591</v>
      </c>
      <c r="G145">
        <v>-172.95107156821757</v>
      </c>
      <c r="H145">
        <v>-172.95107156821766</v>
      </c>
      <c r="I145">
        <v>-172.95107156821766</v>
      </c>
      <c r="J145">
        <v>-227.45790297385435</v>
      </c>
      <c r="K145">
        <v>-227.45790297385435</v>
      </c>
      <c r="L145">
        <v>-296.45704749034007</v>
      </c>
      <c r="M145">
        <v>-341.74672770669559</v>
      </c>
      <c r="N145">
        <v>-381.33922861736164</v>
      </c>
      <c r="O145">
        <v>-381.33922861736164</v>
      </c>
      <c r="P145">
        <v>-381.33922861736164</v>
      </c>
      <c r="Q145">
        <v>-416.09775752986843</v>
      </c>
      <c r="R145">
        <v>-416.09775752986843</v>
      </c>
      <c r="S145">
        <v>-454.46258459471483</v>
      </c>
      <c r="T145">
        <v>-454.46258459471483</v>
      </c>
      <c r="U145">
        <v>-490.9475391982723</v>
      </c>
      <c r="V145">
        <v>-490.9475391982723</v>
      </c>
      <c r="W145">
        <v>-522.01345476568144</v>
      </c>
      <c r="X145">
        <v>-522.01345476568144</v>
      </c>
      <c r="Y145">
        <v>-522.01345476568144</v>
      </c>
      <c r="Z145">
        <v>-522.01345476568144</v>
      </c>
      <c r="AA145">
        <v>-522.01345476568144</v>
      </c>
    </row>
    <row r="146" spans="1:27" x14ac:dyDescent="0.2">
      <c r="A146" t="s">
        <v>52</v>
      </c>
      <c r="B146" t="s">
        <v>53</v>
      </c>
      <c r="C146">
        <v>-25.949830635177033</v>
      </c>
      <c r="D146">
        <v>-47.378984863589167</v>
      </c>
      <c r="E146">
        <v>-47.378984863589146</v>
      </c>
      <c r="F146">
        <v>-55.950647422068336</v>
      </c>
      <c r="G146">
        <v>-128.60705234015512</v>
      </c>
      <c r="H146">
        <v>-128.60705234015521</v>
      </c>
      <c r="I146">
        <v>-128.60705234015521</v>
      </c>
      <c r="J146">
        <v>-169.1385324629353</v>
      </c>
      <c r="K146">
        <v>-169.1385324629353</v>
      </c>
      <c r="L146">
        <v>-220.44654986806307</v>
      </c>
      <c r="M146">
        <v>-254.12412249736207</v>
      </c>
      <c r="N146">
        <v>-283.56525166022624</v>
      </c>
      <c r="O146">
        <v>-283.56525166022624</v>
      </c>
      <c r="P146">
        <v>-283.56525166022624</v>
      </c>
      <c r="Q146">
        <v>-309.41182148245701</v>
      </c>
      <c r="R146">
        <v>-309.41182148245701</v>
      </c>
      <c r="S146">
        <v>-337.94004786238759</v>
      </c>
      <c r="T146">
        <v>-337.94004786238759</v>
      </c>
      <c r="U146">
        <v>-365.07039417236774</v>
      </c>
      <c r="V146">
        <v>-365.07039417236774</v>
      </c>
      <c r="W146">
        <v>-388.17112314239188</v>
      </c>
      <c r="X146">
        <v>-388.17112314239188</v>
      </c>
      <c r="Y146">
        <v>-388.17112314239188</v>
      </c>
      <c r="Z146">
        <v>-388.17112314239188</v>
      </c>
      <c r="AA146">
        <v>-388.17112314239188</v>
      </c>
    </row>
    <row r="147" spans="1:27" x14ac:dyDescent="0.2">
      <c r="A147" t="s">
        <v>308</v>
      </c>
      <c r="B147" t="s">
        <v>309</v>
      </c>
      <c r="C147">
        <v>-1.6656855600590402E-3</v>
      </c>
      <c r="D147">
        <v>-3.0411948365688408E-3</v>
      </c>
      <c r="E147">
        <v>-3.0411948365688395E-3</v>
      </c>
      <c r="F147">
        <v>-3.5913986028316904E-3</v>
      </c>
      <c r="G147">
        <v>-8.2551178470646001E-3</v>
      </c>
      <c r="H147">
        <v>-8.2551178470646035E-3</v>
      </c>
      <c r="I147">
        <v>-8.2551178470646035E-3</v>
      </c>
      <c r="J147">
        <v>-1.0856780344114433E-2</v>
      </c>
      <c r="K147">
        <v>-1.0856780344114433E-2</v>
      </c>
      <c r="L147">
        <v>-1.4150174621267339E-2</v>
      </c>
      <c r="M147">
        <v>-1.6311893794510035E-2</v>
      </c>
      <c r="N147">
        <v>-1.8201681223486119E-2</v>
      </c>
      <c r="O147">
        <v>-1.8201681223486119E-2</v>
      </c>
      <c r="P147">
        <v>-1.8201681223486119E-2</v>
      </c>
      <c r="Q147">
        <v>-1.9860738607528801E-2</v>
      </c>
      <c r="R147">
        <v>-1.9860738607528801E-2</v>
      </c>
      <c r="S147">
        <v>-2.1691928005379054E-2</v>
      </c>
      <c r="T147">
        <v>-2.1691928005379054E-2</v>
      </c>
      <c r="U147">
        <v>-2.3433389316755614E-2</v>
      </c>
      <c r="V147">
        <v>-2.3433389316755614E-2</v>
      </c>
      <c r="W147">
        <v>-2.4916194781391128E-2</v>
      </c>
      <c r="X147">
        <v>-2.4916194781391128E-2</v>
      </c>
      <c r="Y147">
        <v>-2.4916194781391128E-2</v>
      </c>
      <c r="Z147">
        <v>-2.4916194781391128E-2</v>
      </c>
      <c r="AA147">
        <v>-2.4916194781391128E-2</v>
      </c>
    </row>
    <row r="148" spans="1:27" x14ac:dyDescent="0.2">
      <c r="A148" t="s">
        <v>8</v>
      </c>
      <c r="B148" t="s">
        <v>9</v>
      </c>
      <c r="C148">
        <v>-207.99765746552632</v>
      </c>
      <c r="D148">
        <v>-379.76039239972272</v>
      </c>
      <c r="E148">
        <v>-379.76039239972255</v>
      </c>
      <c r="F148">
        <v>-448.46549332364873</v>
      </c>
      <c r="G148">
        <v>-1030.833919356565</v>
      </c>
      <c r="H148">
        <v>-1030.8339193565657</v>
      </c>
      <c r="I148">
        <v>-1030.8339193565657</v>
      </c>
      <c r="J148">
        <v>-1355.7089845417952</v>
      </c>
      <c r="K148">
        <v>-1355.7089845417952</v>
      </c>
      <c r="L148">
        <v>-1766.962051257397</v>
      </c>
      <c r="M148">
        <v>-2036.9004687561098</v>
      </c>
      <c r="N148">
        <v>-2272.8821976971308</v>
      </c>
      <c r="O148">
        <v>-2272.8821976971308</v>
      </c>
      <c r="P148">
        <v>-2272.8821976971308</v>
      </c>
      <c r="Q148">
        <v>-2480.0521808898352</v>
      </c>
      <c r="R148">
        <v>-2480.0521808898352</v>
      </c>
      <c r="S148">
        <v>-2708.7166505002101</v>
      </c>
      <c r="T148">
        <v>-2708.7166505002101</v>
      </c>
      <c r="U148">
        <v>-2926.1765853274824</v>
      </c>
      <c r="V148">
        <v>-2926.1765853274824</v>
      </c>
      <c r="W148">
        <v>-3111.3376208294872</v>
      </c>
      <c r="X148">
        <v>-3111.3376208294872</v>
      </c>
      <c r="Y148">
        <v>-3111.3376208294872</v>
      </c>
      <c r="Z148">
        <v>-3111.3376208294872</v>
      </c>
      <c r="AA148">
        <v>-3111.3376208294872</v>
      </c>
    </row>
    <row r="149" spans="1:27" x14ac:dyDescent="0.2">
      <c r="A149" t="s">
        <v>88</v>
      </c>
      <c r="B149" t="s">
        <v>89</v>
      </c>
      <c r="C149">
        <v>-13.058472512354056</v>
      </c>
      <c r="D149">
        <v>-23.842050462777411</v>
      </c>
      <c r="E149">
        <v>-23.842050462777397</v>
      </c>
      <c r="F149">
        <v>-28.155482079295972</v>
      </c>
      <c r="G149">
        <v>-64.717634634663881</v>
      </c>
      <c r="H149">
        <v>-64.717634634663924</v>
      </c>
      <c r="I149">
        <v>-64.717634634663924</v>
      </c>
      <c r="J149">
        <v>-85.113884094221817</v>
      </c>
      <c r="K149">
        <v>-85.113884094221817</v>
      </c>
      <c r="L149">
        <v>-110.93310212179543</v>
      </c>
      <c r="M149">
        <v>-127.88032858524504</v>
      </c>
      <c r="N149">
        <v>-142.69569217319719</v>
      </c>
      <c r="O149">
        <v>-142.69569217319719</v>
      </c>
      <c r="P149">
        <v>-142.69569217319719</v>
      </c>
      <c r="Q149">
        <v>-155.7022017842738</v>
      </c>
      <c r="R149">
        <v>-155.7022017842738</v>
      </c>
      <c r="S149">
        <v>-170.05817447812012</v>
      </c>
      <c r="T149">
        <v>-170.05817447812012</v>
      </c>
      <c r="U149">
        <v>-183.71070603103385</v>
      </c>
      <c r="V149">
        <v>-183.71070603103385</v>
      </c>
      <c r="W149">
        <v>-195.33545374177521</v>
      </c>
      <c r="X149">
        <v>-195.33545374177521</v>
      </c>
      <c r="Y149">
        <v>-195.33545374177521</v>
      </c>
      <c r="Z149">
        <v>-195.33545374177521</v>
      </c>
      <c r="AA149">
        <v>-195.33545374177521</v>
      </c>
    </row>
    <row r="150" spans="1:27" x14ac:dyDescent="0.2">
      <c r="A150" t="s">
        <v>208</v>
      </c>
      <c r="B150" t="s">
        <v>209</v>
      </c>
      <c r="C150">
        <v>-2.6371991582463643</v>
      </c>
      <c r="D150">
        <v>-4.8149762808643537</v>
      </c>
      <c r="E150">
        <v>-4.8149762808643519</v>
      </c>
      <c r="F150">
        <v>-5.6860872180336326</v>
      </c>
      <c r="G150">
        <v>-13.069927697957379</v>
      </c>
      <c r="H150">
        <v>-13.069927697957388</v>
      </c>
      <c r="I150">
        <v>-13.069927697957388</v>
      </c>
      <c r="J150">
        <v>-17.189013743836149</v>
      </c>
      <c r="K150">
        <v>-17.189013743836149</v>
      </c>
      <c r="L150">
        <v>-22.403285166812999</v>
      </c>
      <c r="M150">
        <v>-25.825830286216323</v>
      </c>
      <c r="N150">
        <v>-28.817839064141754</v>
      </c>
      <c r="O150">
        <v>-28.817839064141754</v>
      </c>
      <c r="P150">
        <v>-28.817839064141754</v>
      </c>
      <c r="Q150">
        <v>-31.444544152780868</v>
      </c>
      <c r="R150">
        <v>-31.444544152780868</v>
      </c>
      <c r="S150">
        <v>-34.343777510143461</v>
      </c>
      <c r="T150">
        <v>-34.343777510143461</v>
      </c>
      <c r="U150">
        <v>-37.100948740179263</v>
      </c>
      <c r="V150">
        <v>-37.100948740179263</v>
      </c>
      <c r="W150">
        <v>-39.44860271338252</v>
      </c>
      <c r="X150">
        <v>-39.44860271338252</v>
      </c>
      <c r="Y150">
        <v>-39.44860271338252</v>
      </c>
      <c r="Z150">
        <v>-39.44860271338252</v>
      </c>
      <c r="AA150">
        <v>-39.44860271338252</v>
      </c>
    </row>
    <row r="151" spans="1:27" x14ac:dyDescent="0.2">
      <c r="A151" t="s">
        <v>22</v>
      </c>
      <c r="B151" t="s">
        <v>23</v>
      </c>
      <c r="C151">
        <v>-462.71329512120116</v>
      </c>
      <c r="D151">
        <v>-844.81808432347373</v>
      </c>
      <c r="E151">
        <v>-844.81808432347339</v>
      </c>
      <c r="F151">
        <v>-997.66001546596044</v>
      </c>
      <c r="G151">
        <v>-2293.2015935190702</v>
      </c>
      <c r="H151">
        <v>-2293.2015935190716</v>
      </c>
      <c r="I151">
        <v>-2293.2015935190716</v>
      </c>
      <c r="J151">
        <v>-3015.9213286655472</v>
      </c>
      <c r="K151">
        <v>-3015.9213286655472</v>
      </c>
      <c r="L151">
        <v>-3930.7982746244911</v>
      </c>
      <c r="M151">
        <v>-4531.3054926508948</v>
      </c>
      <c r="N151">
        <v>-5056.2723827457767</v>
      </c>
      <c r="O151">
        <v>-5056.2723827457767</v>
      </c>
      <c r="P151">
        <v>-5056.2723827457767</v>
      </c>
      <c r="Q151">
        <v>-5517.144426889774</v>
      </c>
      <c r="R151">
        <v>-5517.144426889774</v>
      </c>
      <c r="S151">
        <v>-6025.8332818500503</v>
      </c>
      <c r="T151">
        <v>-6025.8332818500503</v>
      </c>
      <c r="U151">
        <v>-6509.5964368146479</v>
      </c>
      <c r="V151">
        <v>-6509.5964368146479</v>
      </c>
      <c r="W151">
        <v>-6921.5071953739671</v>
      </c>
      <c r="X151">
        <v>-6921.5071953739671</v>
      </c>
      <c r="Y151">
        <v>-6921.5071953739671</v>
      </c>
      <c r="Z151">
        <v>-6921.5071953739671</v>
      </c>
      <c r="AA151">
        <v>-6921.5071953739671</v>
      </c>
    </row>
    <row r="152" spans="1:27" x14ac:dyDescent="0.2">
      <c r="A152" t="s">
        <v>40</v>
      </c>
      <c r="B152" t="s">
        <v>41</v>
      </c>
      <c r="C152">
        <v>-190.48693258570538</v>
      </c>
      <c r="D152">
        <v>-347.78945660845517</v>
      </c>
      <c r="E152">
        <v>-347.78945660845505</v>
      </c>
      <c r="F152">
        <v>-410.71047258268129</v>
      </c>
      <c r="G152">
        <v>-944.05097488214426</v>
      </c>
      <c r="H152">
        <v>-944.05097488214483</v>
      </c>
      <c r="I152">
        <v>-944.05097488214483</v>
      </c>
      <c r="J152">
        <v>-1241.5757422030085</v>
      </c>
      <c r="K152">
        <v>-1241.5757422030085</v>
      </c>
      <c r="L152">
        <v>-1618.2065954043399</v>
      </c>
      <c r="M152">
        <v>-1865.4196734886048</v>
      </c>
      <c r="N152">
        <v>-2081.5347790142364</v>
      </c>
      <c r="O152">
        <v>-2081.5347790142364</v>
      </c>
      <c r="P152">
        <v>-2081.5347790142364</v>
      </c>
      <c r="Q152">
        <v>-2271.2637168449473</v>
      </c>
      <c r="R152">
        <v>-2271.2637168449473</v>
      </c>
      <c r="S152">
        <v>-2480.6775820690636</v>
      </c>
      <c r="T152">
        <v>-2480.6775820690636</v>
      </c>
      <c r="U152">
        <v>-2679.8301900853344</v>
      </c>
      <c r="V152">
        <v>-2679.8301900853344</v>
      </c>
      <c r="W152">
        <v>-2849.4030502653368</v>
      </c>
      <c r="X152">
        <v>-2849.4030502653368</v>
      </c>
      <c r="Y152">
        <v>-2849.4030502653368</v>
      </c>
      <c r="Z152">
        <v>-2849.4030502653368</v>
      </c>
      <c r="AA152">
        <v>-2849.4030502653368</v>
      </c>
    </row>
    <row r="153" spans="1:27" x14ac:dyDescent="0.2">
      <c r="A153" t="s">
        <v>18</v>
      </c>
      <c r="B153" t="s">
        <v>19</v>
      </c>
      <c r="C153">
        <v>-161.01045592669732</v>
      </c>
      <c r="D153">
        <v>-293.97155077727314</v>
      </c>
      <c r="E153">
        <v>-293.97155077727302</v>
      </c>
      <c r="F153">
        <v>-347.15599409767236</v>
      </c>
      <c r="G153">
        <v>-797.96590674495314</v>
      </c>
      <c r="H153">
        <v>-797.9659067449536</v>
      </c>
      <c r="I153">
        <v>-797.9659067449536</v>
      </c>
      <c r="J153">
        <v>-1049.4508657683932</v>
      </c>
      <c r="K153">
        <v>-1049.4508657683932</v>
      </c>
      <c r="L153">
        <v>-1367.8008153783123</v>
      </c>
      <c r="M153">
        <v>-1576.7594556014722</v>
      </c>
      <c r="N153">
        <v>-1759.4323098544653</v>
      </c>
      <c r="O153">
        <v>-1759.4323098544653</v>
      </c>
      <c r="P153">
        <v>-1759.4323098544653</v>
      </c>
      <c r="Q153">
        <v>-1919.8020652384273</v>
      </c>
      <c r="R153">
        <v>-1919.8020652384273</v>
      </c>
      <c r="S153">
        <v>-2096.8106477139536</v>
      </c>
      <c r="T153">
        <v>-2096.8106477139536</v>
      </c>
      <c r="U153">
        <v>-2265.1458284028613</v>
      </c>
      <c r="V153">
        <v>-2265.1458284028613</v>
      </c>
      <c r="W153">
        <v>-2408.4785135364837</v>
      </c>
      <c r="X153">
        <v>-2408.4785135364837</v>
      </c>
      <c r="Y153">
        <v>-2408.4785135364837</v>
      </c>
      <c r="Z153">
        <v>-2408.4785135364837</v>
      </c>
      <c r="AA153">
        <v>-2408.4785135364837</v>
      </c>
    </row>
    <row r="154" spans="1:27" x14ac:dyDescent="0.2">
      <c r="A154" t="s">
        <v>12</v>
      </c>
      <c r="B154" t="s">
        <v>13</v>
      </c>
      <c r="C154">
        <v>-132.86041842252862</v>
      </c>
      <c r="D154">
        <v>-242.57544651863822</v>
      </c>
      <c r="E154">
        <v>-242.57544651863813</v>
      </c>
      <c r="F154">
        <v>-286.46146219661671</v>
      </c>
      <c r="G154">
        <v>-658.4546553008546</v>
      </c>
      <c r="H154">
        <v>-658.45465530085494</v>
      </c>
      <c r="I154">
        <v>-658.45465530085494</v>
      </c>
      <c r="J154">
        <v>-865.97159381594236</v>
      </c>
      <c r="K154">
        <v>-865.97159381594236</v>
      </c>
      <c r="L154">
        <v>-1128.6632759587515</v>
      </c>
      <c r="M154">
        <v>-1301.0889250463542</v>
      </c>
      <c r="N154">
        <v>-1451.824426730416</v>
      </c>
      <c r="O154">
        <v>-1451.824426730416</v>
      </c>
      <c r="P154">
        <v>-1451.824426730416</v>
      </c>
      <c r="Q154">
        <v>-1584.1561605920483</v>
      </c>
      <c r="R154">
        <v>-1584.1561605920483</v>
      </c>
      <c r="S154">
        <v>-1730.2176955198406</v>
      </c>
      <c r="T154">
        <v>-1730.2176955198406</v>
      </c>
      <c r="U154">
        <v>-1869.1222307119053</v>
      </c>
      <c r="V154">
        <v>-1869.1222307119053</v>
      </c>
      <c r="W154">
        <v>-1987.3955466333712</v>
      </c>
      <c r="X154">
        <v>-1987.3955466333712</v>
      </c>
      <c r="Y154">
        <v>-1987.3955466333712</v>
      </c>
      <c r="Z154">
        <v>-1987.3955466333712</v>
      </c>
      <c r="AA154">
        <v>-1987.3955466333712</v>
      </c>
    </row>
    <row r="155" spans="1:27" x14ac:dyDescent="0.2">
      <c r="A155" t="s">
        <v>20</v>
      </c>
      <c r="B155" t="s">
        <v>21</v>
      </c>
      <c r="C155">
        <v>-122.40920970441215</v>
      </c>
      <c r="D155">
        <v>-223.49371659818885</v>
      </c>
      <c r="E155">
        <v>-223.49371659818877</v>
      </c>
      <c r="F155">
        <v>-263.92752344600672</v>
      </c>
      <c r="G155">
        <v>-606.65858905575703</v>
      </c>
      <c r="H155">
        <v>-606.65858905575737</v>
      </c>
      <c r="I155">
        <v>-606.65858905575737</v>
      </c>
      <c r="J155">
        <v>-797.85160760494193</v>
      </c>
      <c r="K155">
        <v>-797.85160760494193</v>
      </c>
      <c r="L155">
        <v>-1039.879154927278</v>
      </c>
      <c r="M155">
        <v>-1198.7412726910497</v>
      </c>
      <c r="N155">
        <v>-1337.6194566876113</v>
      </c>
      <c r="O155">
        <v>-1337.6194566876113</v>
      </c>
      <c r="P155">
        <v>-1337.6194566876113</v>
      </c>
      <c r="Q155">
        <v>-1459.541569783036</v>
      </c>
      <c r="R155">
        <v>-1459.541569783036</v>
      </c>
      <c r="S155">
        <v>-1594.1134556088355</v>
      </c>
      <c r="T155">
        <v>-1594.1134556088355</v>
      </c>
      <c r="U155">
        <v>-1722.0913332875359</v>
      </c>
      <c r="V155">
        <v>-1722.0913332875359</v>
      </c>
      <c r="W155">
        <v>-1831.0609067915434</v>
      </c>
      <c r="X155">
        <v>-1831.0609067915434</v>
      </c>
      <c r="Y155">
        <v>-1831.0609067915434</v>
      </c>
      <c r="Z155">
        <v>-1831.0609067915434</v>
      </c>
      <c r="AA155">
        <v>-1831.0609067915434</v>
      </c>
    </row>
    <row r="156" spans="1:27" x14ac:dyDescent="0.2">
      <c r="A156" t="s">
        <v>82</v>
      </c>
      <c r="B156" t="s">
        <v>83</v>
      </c>
      <c r="C156">
        <v>-11.900151535406938</v>
      </c>
      <c r="D156">
        <v>-21.727197660633834</v>
      </c>
      <c r="E156">
        <v>-21.727197660633824</v>
      </c>
      <c r="F156">
        <v>-25.658016508368487</v>
      </c>
      <c r="G156">
        <v>-58.97700963393654</v>
      </c>
      <c r="H156">
        <v>-58.977009633936575</v>
      </c>
      <c r="I156">
        <v>-58.977009633936575</v>
      </c>
      <c r="J156">
        <v>-77.56405793480603</v>
      </c>
      <c r="K156">
        <v>-77.56405793480603</v>
      </c>
      <c r="L156">
        <v>-101.09304317891923</v>
      </c>
      <c r="M156">
        <v>-116.53700592640853</v>
      </c>
      <c r="N156">
        <v>-130.03820766206226</v>
      </c>
      <c r="O156">
        <v>-130.03820766206226</v>
      </c>
      <c r="P156">
        <v>-130.03820766206226</v>
      </c>
      <c r="Q156">
        <v>-141.8910055426802</v>
      </c>
      <c r="R156">
        <v>-141.8910055426802</v>
      </c>
      <c r="S156">
        <v>-154.97356556900127</v>
      </c>
      <c r="T156">
        <v>-154.97356556900127</v>
      </c>
      <c r="U156">
        <v>-167.41508154017592</v>
      </c>
      <c r="V156">
        <v>-167.41508154017592</v>
      </c>
      <c r="W156">
        <v>-178.00868344788935</v>
      </c>
      <c r="X156">
        <v>-178.00868344788935</v>
      </c>
      <c r="Y156">
        <v>-178.00868344788935</v>
      </c>
      <c r="Z156">
        <v>-178.00868344788935</v>
      </c>
      <c r="AA156">
        <v>-178.00868344788935</v>
      </c>
    </row>
    <row r="157" spans="1:27" x14ac:dyDescent="0.2">
      <c r="A157" t="s">
        <v>318</v>
      </c>
      <c r="B157" t="s">
        <v>319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120</v>
      </c>
      <c r="B158" t="s">
        <v>121</v>
      </c>
      <c r="C158">
        <v>-8.0610452740629679</v>
      </c>
      <c r="D158">
        <v>-14.717789391149557</v>
      </c>
      <c r="E158">
        <v>-14.717789391149552</v>
      </c>
      <c r="F158">
        <v>-17.380487307344247</v>
      </c>
      <c r="G158">
        <v>-39.950444611859552</v>
      </c>
      <c r="H158">
        <v>-39.950444611859581</v>
      </c>
      <c r="I158">
        <v>-39.950444611859581</v>
      </c>
      <c r="J158">
        <v>-52.541127799271628</v>
      </c>
      <c r="K158">
        <v>-52.541127799271628</v>
      </c>
      <c r="L158">
        <v>-68.479430327708315</v>
      </c>
      <c r="M158">
        <v>-78.941018362788398</v>
      </c>
      <c r="N158">
        <v>-88.086599250690966</v>
      </c>
      <c r="O158">
        <v>-88.086599250690966</v>
      </c>
      <c r="P158">
        <v>-88.086599250690966</v>
      </c>
      <c r="Q158">
        <v>-96.115567626068199</v>
      </c>
      <c r="R158">
        <v>-96.115567626068199</v>
      </c>
      <c r="S158">
        <v>-104.97756474930182</v>
      </c>
      <c r="T158">
        <v>-104.97756474930182</v>
      </c>
      <c r="U158">
        <v>-113.40532495245679</v>
      </c>
      <c r="V158">
        <v>-113.40532495245679</v>
      </c>
      <c r="W158">
        <v>-120.58132639574914</v>
      </c>
      <c r="X158">
        <v>-120.58132639574914</v>
      </c>
      <c r="Y158">
        <v>-120.58132639574914</v>
      </c>
      <c r="Z158">
        <v>-120.58132639574914</v>
      </c>
      <c r="AA158">
        <v>-120.58132639574914</v>
      </c>
    </row>
    <row r="159" spans="1:27" x14ac:dyDescent="0.2">
      <c r="A159" t="s">
        <v>80</v>
      </c>
      <c r="B159" t="s">
        <v>81</v>
      </c>
      <c r="C159">
        <v>-15.158067668240843</v>
      </c>
      <c r="D159">
        <v>-27.675473829154868</v>
      </c>
      <c r="E159">
        <v>-27.675473829154857</v>
      </c>
      <c r="F159">
        <v>-32.68243680002773</v>
      </c>
      <c r="G159">
        <v>-75.123203283741361</v>
      </c>
      <c r="H159">
        <v>-75.123203283741404</v>
      </c>
      <c r="I159">
        <v>-75.123203283741404</v>
      </c>
      <c r="J159">
        <v>-98.798845989563944</v>
      </c>
      <c r="K159">
        <v>-98.798845989563944</v>
      </c>
      <c r="L159">
        <v>-128.76938455238334</v>
      </c>
      <c r="M159">
        <v>-148.44145609665787</v>
      </c>
      <c r="N159">
        <v>-165.63889504545622</v>
      </c>
      <c r="O159">
        <v>-165.63889504545622</v>
      </c>
      <c r="P159">
        <v>-165.63889504545622</v>
      </c>
      <c r="Q159">
        <v>-180.73664500249029</v>
      </c>
      <c r="R159">
        <v>-180.73664500249029</v>
      </c>
      <c r="S159">
        <v>-197.40083029145651</v>
      </c>
      <c r="T159">
        <v>-197.40083029145651</v>
      </c>
      <c r="U159">
        <v>-213.24847226689252</v>
      </c>
      <c r="V159">
        <v>-213.24847226689252</v>
      </c>
      <c r="W159">
        <v>-226.74229493711235</v>
      </c>
      <c r="X159">
        <v>-226.74229493711235</v>
      </c>
      <c r="Y159">
        <v>-226.74229493711235</v>
      </c>
      <c r="Z159">
        <v>-226.74229493711235</v>
      </c>
      <c r="AA159">
        <v>-226.74229493711235</v>
      </c>
    </row>
    <row r="160" spans="1:27" x14ac:dyDescent="0.2">
      <c r="A160" t="s">
        <v>316</v>
      </c>
      <c r="B160" t="s">
        <v>317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110</v>
      </c>
      <c r="B161" t="s">
        <v>111</v>
      </c>
      <c r="C161">
        <v>-28.602028758588215</v>
      </c>
      <c r="D161">
        <v>-52.221346130255704</v>
      </c>
      <c r="E161">
        <v>-52.221346130255682</v>
      </c>
      <c r="F161">
        <v>-61.669074034660284</v>
      </c>
      <c r="G161">
        <v>-141.75131473127945</v>
      </c>
      <c r="H161">
        <v>-141.75131473127954</v>
      </c>
      <c r="I161">
        <v>-141.75131473127954</v>
      </c>
      <c r="J161">
        <v>-186.42530803774852</v>
      </c>
      <c r="K161">
        <v>-186.42530803774852</v>
      </c>
      <c r="L161">
        <v>-242.97725282687094</v>
      </c>
      <c r="M161">
        <v>-280.09683616460939</v>
      </c>
      <c r="N161">
        <v>-312.54699103614263</v>
      </c>
      <c r="O161">
        <v>-312.54699103614263</v>
      </c>
      <c r="P161">
        <v>-312.54699103614263</v>
      </c>
      <c r="Q161">
        <v>-341.03520522757441</v>
      </c>
      <c r="R161">
        <v>-341.03520522757441</v>
      </c>
      <c r="S161">
        <v>-372.47915423910234</v>
      </c>
      <c r="T161">
        <v>-372.47915423910234</v>
      </c>
      <c r="U161">
        <v>-402.38235308066254</v>
      </c>
      <c r="V161">
        <v>-402.38235308066254</v>
      </c>
      <c r="W161">
        <v>-427.84408821234825</v>
      </c>
      <c r="X161">
        <v>-427.84408821234825</v>
      </c>
      <c r="Y161">
        <v>-427.84408821234825</v>
      </c>
      <c r="Z161">
        <v>-427.84408821234825</v>
      </c>
      <c r="AA161">
        <v>-427.84408821234825</v>
      </c>
    </row>
    <row r="162" spans="1:27" x14ac:dyDescent="0.2">
      <c r="A162" t="s">
        <v>86</v>
      </c>
      <c r="B162" t="s">
        <v>87</v>
      </c>
      <c r="C162">
        <v>-56.808185821431756</v>
      </c>
      <c r="D162">
        <v>-103.7199130121881</v>
      </c>
      <c r="E162">
        <v>-103.71991301218806</v>
      </c>
      <c r="F162">
        <v>-122.48460578673776</v>
      </c>
      <c r="G162">
        <v>-281.5406940414619</v>
      </c>
      <c r="H162">
        <v>-281.54069404146207</v>
      </c>
      <c r="I162">
        <v>-281.54069404146207</v>
      </c>
      <c r="J162">
        <v>-370.27036194578022</v>
      </c>
      <c r="K162">
        <v>-370.27036194578022</v>
      </c>
      <c r="L162">
        <v>-482.59153381996686</v>
      </c>
      <c r="M162">
        <v>-556.31694000225389</v>
      </c>
      <c r="N162">
        <v>-620.76811734479725</v>
      </c>
      <c r="O162">
        <v>-620.76811734479725</v>
      </c>
      <c r="P162">
        <v>-620.76811734479725</v>
      </c>
      <c r="Q162">
        <v>-677.35024930358929</v>
      </c>
      <c r="R162">
        <v>-677.35024930358929</v>
      </c>
      <c r="S162">
        <v>-739.80294150536702</v>
      </c>
      <c r="T162">
        <v>-739.80294150536702</v>
      </c>
      <c r="U162">
        <v>-799.19545840634032</v>
      </c>
      <c r="V162">
        <v>-799.19545840634032</v>
      </c>
      <c r="W162">
        <v>-849.76652079164626</v>
      </c>
      <c r="X162">
        <v>-849.76652079164626</v>
      </c>
      <c r="Y162">
        <v>-849.76652079164626</v>
      </c>
      <c r="Z162">
        <v>-849.76652079164626</v>
      </c>
      <c r="AA162">
        <v>-849.76652079164626</v>
      </c>
    </row>
    <row r="163" spans="1:27" x14ac:dyDescent="0.2">
      <c r="A163" t="s">
        <v>72</v>
      </c>
      <c r="B163" t="s">
        <v>73</v>
      </c>
      <c r="C163">
        <v>-493.79912542461091</v>
      </c>
      <c r="D163">
        <v>-901.57433464831558</v>
      </c>
      <c r="E163">
        <v>-901.57433464831513</v>
      </c>
      <c r="F163">
        <v>-1064.6844348381089</v>
      </c>
      <c r="G163">
        <v>-2447.2625991985601</v>
      </c>
      <c r="H163">
        <v>-2447.2625991985615</v>
      </c>
      <c r="I163">
        <v>-2447.2625991985615</v>
      </c>
      <c r="J163">
        <v>-3218.5358193660454</v>
      </c>
      <c r="K163">
        <v>-3218.5358193660454</v>
      </c>
      <c r="L163">
        <v>-4194.8756837032743</v>
      </c>
      <c r="M163">
        <v>-4835.7259514591042</v>
      </c>
      <c r="N163">
        <v>-5395.9609694259634</v>
      </c>
      <c r="O163">
        <v>-5395.9609694259634</v>
      </c>
      <c r="P163">
        <v>-5395.9609694259634</v>
      </c>
      <c r="Q163">
        <v>-5887.7951456437604</v>
      </c>
      <c r="R163">
        <v>-5887.7951456437604</v>
      </c>
      <c r="S163">
        <v>-6430.6585436510204</v>
      </c>
      <c r="T163">
        <v>-6430.6585436510204</v>
      </c>
      <c r="U163">
        <v>-6946.921692674212</v>
      </c>
      <c r="V163">
        <v>-6946.921692674212</v>
      </c>
      <c r="W163">
        <v>-7386.5052846613453</v>
      </c>
      <c r="X163">
        <v>-7386.5052846613453</v>
      </c>
      <c r="Y163">
        <v>-7386.5052846613453</v>
      </c>
      <c r="Z163">
        <v>-7386.5052846613453</v>
      </c>
      <c r="AA163">
        <v>-7386.5052846613453</v>
      </c>
    </row>
    <row r="164" spans="1:27" x14ac:dyDescent="0.2">
      <c r="A164" t="s">
        <v>50</v>
      </c>
      <c r="B164" t="s">
        <v>51</v>
      </c>
      <c r="C164">
        <v>-96.105902015826842</v>
      </c>
      <c r="D164">
        <v>-175.46935627151848</v>
      </c>
      <c r="E164">
        <v>-175.46935627151839</v>
      </c>
      <c r="F164">
        <v>-207.21474118517654</v>
      </c>
      <c r="G164">
        <v>-476.29970863826958</v>
      </c>
      <c r="H164">
        <v>-476.29970863826986</v>
      </c>
      <c r="I164">
        <v>-476.29970863826986</v>
      </c>
      <c r="J164">
        <v>-626.40914526618894</v>
      </c>
      <c r="K164">
        <v>-626.40914526618894</v>
      </c>
      <c r="L164">
        <v>-816.42978018621739</v>
      </c>
      <c r="M164">
        <v>-941.15558440225016</v>
      </c>
      <c r="N164">
        <v>-1050.1916052665235</v>
      </c>
      <c r="O164">
        <v>-1050.1916052665235</v>
      </c>
      <c r="P164">
        <v>-1050.1916052665235</v>
      </c>
      <c r="Q164">
        <v>-1145.9150780591849</v>
      </c>
      <c r="R164">
        <v>-1145.9150780591849</v>
      </c>
      <c r="S164">
        <v>-1251.5701386913843</v>
      </c>
      <c r="T164">
        <v>-1251.5701386913843</v>
      </c>
      <c r="U164">
        <v>-1352.0481125471322</v>
      </c>
      <c r="V164">
        <v>-1352.0481125471322</v>
      </c>
      <c r="W164">
        <v>-1437.6022892236367</v>
      </c>
      <c r="X164">
        <v>-1437.6022892236367</v>
      </c>
      <c r="Y164">
        <v>-1437.6022892236367</v>
      </c>
      <c r="Z164">
        <v>-1437.6022892236367</v>
      </c>
      <c r="AA164">
        <v>-1437.6022892236367</v>
      </c>
    </row>
    <row r="165" spans="1:27" x14ac:dyDescent="0.2">
      <c r="A165" t="s">
        <v>96</v>
      </c>
      <c r="B165" t="s">
        <v>97</v>
      </c>
      <c r="C165">
        <v>-33.690685460720388</v>
      </c>
      <c r="D165">
        <v>-61.512173197909014</v>
      </c>
      <c r="E165">
        <v>-61.512173197908986</v>
      </c>
      <c r="F165">
        <v>-72.640769418559643</v>
      </c>
      <c r="G165">
        <v>-166.97063689306086</v>
      </c>
      <c r="H165">
        <v>-166.97063689306094</v>
      </c>
      <c r="I165">
        <v>-166.97063689306094</v>
      </c>
      <c r="J165">
        <v>-219.59268931689977</v>
      </c>
      <c r="K165">
        <v>-219.59268931689977</v>
      </c>
      <c r="L165">
        <v>-286.20592854421363</v>
      </c>
      <c r="M165">
        <v>-329.92954749516781</v>
      </c>
      <c r="N165">
        <v>-368.15298857188577</v>
      </c>
      <c r="O165">
        <v>-368.15298857188577</v>
      </c>
      <c r="P165">
        <v>-368.15298857188577</v>
      </c>
      <c r="Q165">
        <v>-401.70961043819199</v>
      </c>
      <c r="R165">
        <v>-401.70961043819199</v>
      </c>
      <c r="S165">
        <v>-438.74782911602699</v>
      </c>
      <c r="T165">
        <v>-438.74782911602699</v>
      </c>
      <c r="U165">
        <v>-473.97117900297786</v>
      </c>
      <c r="V165">
        <v>-473.97117900297786</v>
      </c>
      <c r="W165">
        <v>-503.96287353787056</v>
      </c>
      <c r="X165">
        <v>-503.96287353787056</v>
      </c>
      <c r="Y165">
        <v>-503.96287353787056</v>
      </c>
      <c r="Z165">
        <v>-503.96287353787056</v>
      </c>
      <c r="AA165">
        <v>-503.96287353787056</v>
      </c>
    </row>
    <row r="166" spans="1:27" x14ac:dyDescent="0.2">
      <c r="A166" t="s">
        <v>332</v>
      </c>
      <c r="B166" t="s">
        <v>333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68FC-83DF-7948-8959-474FB7564604}">
  <dimension ref="A1:AA382"/>
  <sheetViews>
    <sheetView workbookViewId="0">
      <selection activeCell="F10" sqref="F10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27" width="12.83203125" bestFit="1" customWidth="1"/>
  </cols>
  <sheetData>
    <row r="1" spans="1:27" x14ac:dyDescent="0.2">
      <c r="A1" t="s">
        <v>0</v>
      </c>
      <c r="B1" t="s">
        <v>1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567</v>
      </c>
      <c r="B2" t="s">
        <v>568</v>
      </c>
      <c r="C2">
        <v>9008.6702592586007</v>
      </c>
      <c r="D2">
        <v>9831.4656442859068</v>
      </c>
      <c r="E2">
        <v>10224.724270057342</v>
      </c>
      <c r="F2">
        <v>10833.786992199226</v>
      </c>
      <c r="G2">
        <v>13264.609711941055</v>
      </c>
      <c r="H2">
        <v>13795.194100418699</v>
      </c>
      <c r="I2">
        <v>14536.202416137248</v>
      </c>
      <c r="J2">
        <v>17238.671814200879</v>
      </c>
      <c r="K2">
        <v>17928.218686768916</v>
      </c>
      <c r="L2">
        <v>21598.907955967643</v>
      </c>
      <c r="M2">
        <v>23497.571186700457</v>
      </c>
      <c r="N2">
        <v>25185.254959234237</v>
      </c>
      <c r="O2">
        <v>25185.254959234237</v>
      </c>
      <c r="P2">
        <v>25185.254959234237</v>
      </c>
      <c r="Q2">
        <v>26662.111166627448</v>
      </c>
      <c r="R2">
        <v>26662.111166627448</v>
      </c>
      <c r="S2">
        <v>28307.264882792824</v>
      </c>
      <c r="T2">
        <v>28307.264882792824</v>
      </c>
      <c r="U2">
        <v>29826.195467379071</v>
      </c>
      <c r="V2">
        <v>29826.195467379071</v>
      </c>
      <c r="W2">
        <v>31133.994700707834</v>
      </c>
      <c r="X2">
        <v>31133.994700707834</v>
      </c>
      <c r="Y2">
        <v>31133.994700707834</v>
      </c>
      <c r="Z2">
        <v>31133.994700707834</v>
      </c>
      <c r="AA2">
        <v>31133.994700707834</v>
      </c>
    </row>
    <row r="3" spans="1:27" x14ac:dyDescent="0.2">
      <c r="A3" t="s">
        <v>839</v>
      </c>
      <c r="B3" t="s">
        <v>840</v>
      </c>
      <c r="C3">
        <v>916.45461894848131</v>
      </c>
      <c r="D3">
        <v>1000.1578303389522</v>
      </c>
      <c r="E3">
        <v>1040.1641435525103</v>
      </c>
      <c r="F3">
        <v>1102.124269616909</v>
      </c>
      <c r="G3">
        <v>1349.4125646971697</v>
      </c>
      <c r="H3">
        <v>1403.3890672850566</v>
      </c>
      <c r="I3">
        <v>1478.7720565693585</v>
      </c>
      <c r="J3">
        <v>1753.6950464386941</v>
      </c>
      <c r="K3">
        <v>1823.8428482962418</v>
      </c>
      <c r="L3">
        <v>2197.263124393533</v>
      </c>
      <c r="M3">
        <v>2390.4146814554001</v>
      </c>
      <c r="N3">
        <v>2562.1032374965521</v>
      </c>
      <c r="O3">
        <v>2562.1032374965521</v>
      </c>
      <c r="P3">
        <v>2562.1032374965521</v>
      </c>
      <c r="Q3">
        <v>2712.3442446415547</v>
      </c>
      <c r="R3">
        <v>2712.3442446415547</v>
      </c>
      <c r="S3">
        <v>2879.7062058045221</v>
      </c>
      <c r="T3">
        <v>2879.7062058045221</v>
      </c>
      <c r="U3">
        <v>3034.2274514540154</v>
      </c>
      <c r="V3">
        <v>3034.2274514540154</v>
      </c>
      <c r="W3">
        <v>3167.2702439582295</v>
      </c>
      <c r="X3">
        <v>3167.2702439582295</v>
      </c>
      <c r="Y3">
        <v>3167.2702439582295</v>
      </c>
      <c r="Z3">
        <v>3167.2702439582295</v>
      </c>
      <c r="AA3">
        <v>3167.2702439582295</v>
      </c>
    </row>
    <row r="4" spans="1:27" x14ac:dyDescent="0.2">
      <c r="A4" t="s">
        <v>477</v>
      </c>
      <c r="B4" t="s">
        <v>478</v>
      </c>
      <c r="C4">
        <v>22569.595356718473</v>
      </c>
      <c r="D4">
        <v>24630.960504627659</v>
      </c>
      <c r="E4">
        <v>25616.198924812765</v>
      </c>
      <c r="F4">
        <v>27142.095509991479</v>
      </c>
      <c r="G4">
        <v>33232.082554650617</v>
      </c>
      <c r="H4">
        <v>34561.365856836645</v>
      </c>
      <c r="I4">
        <v>36417.828282525159</v>
      </c>
      <c r="J4">
        <v>43188.376989813551</v>
      </c>
      <c r="K4">
        <v>44915.912069406091</v>
      </c>
      <c r="L4">
        <v>54112.160694548023</v>
      </c>
      <c r="M4">
        <v>58868.918307279884</v>
      </c>
      <c r="N4">
        <v>63097.105014084962</v>
      </c>
      <c r="O4">
        <v>63097.105014084962</v>
      </c>
      <c r="P4">
        <v>63097.105014084962</v>
      </c>
      <c r="Q4">
        <v>66797.101355572304</v>
      </c>
      <c r="R4">
        <v>66797.101355572304</v>
      </c>
      <c r="S4">
        <v>70918.736691852231</v>
      </c>
      <c r="T4">
        <v>70918.736691852231</v>
      </c>
      <c r="U4">
        <v>74724.142782037699</v>
      </c>
      <c r="V4">
        <v>74724.142782037699</v>
      </c>
      <c r="W4">
        <v>78000.597425687403</v>
      </c>
      <c r="X4">
        <v>78000.597425687403</v>
      </c>
      <c r="Y4">
        <v>78000.597425687403</v>
      </c>
      <c r="Z4">
        <v>78000.597425687403</v>
      </c>
      <c r="AA4">
        <v>78000.597425687403</v>
      </c>
    </row>
    <row r="5" spans="1:27" x14ac:dyDescent="0.2">
      <c r="A5" t="s">
        <v>832</v>
      </c>
      <c r="B5" t="s">
        <v>833</v>
      </c>
      <c r="C5">
        <v>1003.970458880892</v>
      </c>
      <c r="D5">
        <v>1095.6668176661374</v>
      </c>
      <c r="E5">
        <v>1139.4934903727828</v>
      </c>
      <c r="F5">
        <v>1207.3704314793335</v>
      </c>
      <c r="G5">
        <v>1478.2732541116884</v>
      </c>
      <c r="H5">
        <v>1537.404184276156</v>
      </c>
      <c r="I5">
        <v>1619.9857903685668</v>
      </c>
      <c r="J5">
        <v>1921.1622529987801</v>
      </c>
      <c r="K5">
        <v>1998.0087431187312</v>
      </c>
      <c r="L5">
        <v>2407.0883835039599</v>
      </c>
      <c r="M5">
        <v>2618.6847390326811</v>
      </c>
      <c r="N5">
        <v>2806.7685075350505</v>
      </c>
      <c r="O5">
        <v>2806.7685075350505</v>
      </c>
      <c r="P5">
        <v>2806.7685075350505</v>
      </c>
      <c r="Q5">
        <v>2971.3566167195108</v>
      </c>
      <c r="R5">
        <v>2971.3566167195108</v>
      </c>
      <c r="S5">
        <v>3154.700626858038</v>
      </c>
      <c r="T5">
        <v>3154.700626858038</v>
      </c>
      <c r="U5">
        <v>3323.9777112810148</v>
      </c>
      <c r="V5">
        <v>3323.9777112810148</v>
      </c>
      <c r="W5">
        <v>3469.7252809691977</v>
      </c>
      <c r="X5">
        <v>3469.7252809691977</v>
      </c>
      <c r="Y5">
        <v>3469.7252809691977</v>
      </c>
      <c r="Z5">
        <v>3469.7252809691977</v>
      </c>
      <c r="AA5">
        <v>3469.7252809691977</v>
      </c>
    </row>
    <row r="6" spans="1:27" x14ac:dyDescent="0.2">
      <c r="A6" t="s">
        <v>586</v>
      </c>
      <c r="B6" t="s">
        <v>587</v>
      </c>
      <c r="C6">
        <v>8012.5406315997552</v>
      </c>
      <c r="D6">
        <v>8744.3557901408822</v>
      </c>
      <c r="E6">
        <v>9094.1300217465177</v>
      </c>
      <c r="F6">
        <v>9635.8459096533988</v>
      </c>
      <c r="G6">
        <v>11797.881509760951</v>
      </c>
      <c r="H6">
        <v>12269.79677015139</v>
      </c>
      <c r="I6">
        <v>12928.868427474634</v>
      </c>
      <c r="J6">
        <v>15332.513497665253</v>
      </c>
      <c r="K6">
        <v>15945.814037571863</v>
      </c>
      <c r="L6">
        <v>19210.618505823379</v>
      </c>
      <c r="M6">
        <v>20899.337911035924</v>
      </c>
      <c r="N6">
        <v>22400.406815941249</v>
      </c>
      <c r="O6">
        <v>22400.406815941249</v>
      </c>
      <c r="P6">
        <v>22400.406815941249</v>
      </c>
      <c r="Q6">
        <v>23713.960318091777</v>
      </c>
      <c r="R6">
        <v>23713.960318091777</v>
      </c>
      <c r="S6">
        <v>25177.201908320349</v>
      </c>
      <c r="T6">
        <v>25177.201908320349</v>
      </c>
      <c r="U6">
        <v>26528.177432490382</v>
      </c>
      <c r="V6">
        <v>26528.177432490382</v>
      </c>
      <c r="W6">
        <v>27691.367358800784</v>
      </c>
      <c r="X6">
        <v>27691.367358800784</v>
      </c>
      <c r="Y6">
        <v>27691.367358800784</v>
      </c>
      <c r="Z6">
        <v>27691.367358800784</v>
      </c>
      <c r="AA6">
        <v>27691.367358800784</v>
      </c>
    </row>
    <row r="7" spans="1:27" x14ac:dyDescent="0.2">
      <c r="A7" t="s">
        <v>714</v>
      </c>
      <c r="B7" t="s">
        <v>715</v>
      </c>
      <c r="C7">
        <v>3158.1169119455694</v>
      </c>
      <c r="D7">
        <v>3446.5594840171725</v>
      </c>
      <c r="E7">
        <v>3584.4218633778592</v>
      </c>
      <c r="F7">
        <v>3797.9374242626664</v>
      </c>
      <c r="G7">
        <v>4650.0967463633278</v>
      </c>
      <c r="H7">
        <v>4836.100616217861</v>
      </c>
      <c r="I7">
        <v>5095.8715731310576</v>
      </c>
      <c r="J7">
        <v>6043.2604845265678</v>
      </c>
      <c r="K7">
        <v>6284.9909039076301</v>
      </c>
      <c r="L7">
        <v>7571.8030000257613</v>
      </c>
      <c r="M7">
        <v>8237.4062784789785</v>
      </c>
      <c r="N7">
        <v>8829.0477206304713</v>
      </c>
      <c r="O7">
        <v>8829.0477206304713</v>
      </c>
      <c r="P7">
        <v>8829.0477206304713</v>
      </c>
      <c r="Q7">
        <v>9346.7805747425209</v>
      </c>
      <c r="R7">
        <v>9346.7805747425209</v>
      </c>
      <c r="S7">
        <v>9923.5125034566663</v>
      </c>
      <c r="T7">
        <v>9923.5125034566663</v>
      </c>
      <c r="U7">
        <v>10455.995126219239</v>
      </c>
      <c r="V7">
        <v>10455.995126219239</v>
      </c>
      <c r="W7">
        <v>10914.462664417813</v>
      </c>
      <c r="X7">
        <v>10914.462664417813</v>
      </c>
      <c r="Y7">
        <v>10914.462664417813</v>
      </c>
      <c r="Z7">
        <v>10914.462664417813</v>
      </c>
      <c r="AA7">
        <v>10914.462664417813</v>
      </c>
    </row>
    <row r="8" spans="1:27" x14ac:dyDescent="0.2">
      <c r="A8" t="s">
        <v>857</v>
      </c>
      <c r="B8" t="s">
        <v>858</v>
      </c>
      <c r="C8">
        <v>760.89336946293406</v>
      </c>
      <c r="D8">
        <v>830.38859293929022</v>
      </c>
      <c r="E8">
        <v>863.60413665686178</v>
      </c>
      <c r="F8">
        <v>915.04699931336927</v>
      </c>
      <c r="G8">
        <v>1120.3599740990214</v>
      </c>
      <c r="H8">
        <v>1165.1743730629823</v>
      </c>
      <c r="I8">
        <v>1227.7616692921533</v>
      </c>
      <c r="J8">
        <v>1456.0185581542764</v>
      </c>
      <c r="K8">
        <v>1514.2593004804473</v>
      </c>
      <c r="L8">
        <v>1824.2943051939972</v>
      </c>
      <c r="M8">
        <v>1984.6598443392345</v>
      </c>
      <c r="N8">
        <v>2127.2055647746529</v>
      </c>
      <c r="O8">
        <v>2127.2055647746529</v>
      </c>
      <c r="P8">
        <v>2127.2055647746529</v>
      </c>
      <c r="Q8">
        <v>2251.9442957433844</v>
      </c>
      <c r="R8">
        <v>2251.9442957433844</v>
      </c>
      <c r="S8">
        <v>2390.8978281019504</v>
      </c>
      <c r="T8">
        <v>2390.8978281019504</v>
      </c>
      <c r="U8">
        <v>2519.1902594181397</v>
      </c>
      <c r="V8">
        <v>2519.1902594181397</v>
      </c>
      <c r="W8">
        <v>2629.6500427813794</v>
      </c>
      <c r="X8">
        <v>2629.6500427813794</v>
      </c>
      <c r="Y8">
        <v>2629.6500427813794</v>
      </c>
      <c r="Z8">
        <v>2629.6500427813794</v>
      </c>
      <c r="AA8">
        <v>2629.6500427813794</v>
      </c>
    </row>
    <row r="9" spans="1:27" x14ac:dyDescent="0.2">
      <c r="A9" t="s">
        <v>879</v>
      </c>
      <c r="B9" t="s">
        <v>880</v>
      </c>
      <c r="C9">
        <v>453.23694912301738</v>
      </c>
      <c r="D9">
        <v>494.63276663326621</v>
      </c>
      <c r="E9">
        <v>514.41807729859681</v>
      </c>
      <c r="F9">
        <v>545.0607495314315</v>
      </c>
      <c r="G9">
        <v>667.35834081271946</v>
      </c>
      <c r="H9">
        <v>694.05267444522826</v>
      </c>
      <c r="I9">
        <v>731.3336869171734</v>
      </c>
      <c r="J9">
        <v>867.29814669056088</v>
      </c>
      <c r="K9">
        <v>901.99007255818321</v>
      </c>
      <c r="L9">
        <v>1086.6668292460399</v>
      </c>
      <c r="M9">
        <v>1182.1908417078096</v>
      </c>
      <c r="N9">
        <v>1267.1002259048271</v>
      </c>
      <c r="O9">
        <v>1267.1002259048271</v>
      </c>
      <c r="P9">
        <v>1267.1002259048271</v>
      </c>
      <c r="Q9">
        <v>1341.4026237580899</v>
      </c>
      <c r="R9">
        <v>1341.4026237580899</v>
      </c>
      <c r="S9">
        <v>1424.1722700759644</v>
      </c>
      <c r="T9">
        <v>1424.1722700759644</v>
      </c>
      <c r="U9">
        <v>1500.59148004538</v>
      </c>
      <c r="V9">
        <v>1500.59148004538</v>
      </c>
      <c r="W9">
        <v>1566.3884198290468</v>
      </c>
      <c r="X9">
        <v>1566.3884198290468</v>
      </c>
      <c r="Y9">
        <v>1566.3884198290468</v>
      </c>
      <c r="Z9">
        <v>1566.3884198290468</v>
      </c>
      <c r="AA9">
        <v>1566.3884198290468</v>
      </c>
    </row>
    <row r="10" spans="1:27" x14ac:dyDescent="0.2">
      <c r="A10" t="s">
        <v>996</v>
      </c>
      <c r="B10" t="s">
        <v>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998</v>
      </c>
      <c r="B11" t="s">
        <v>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896</v>
      </c>
      <c r="B12" t="s">
        <v>897</v>
      </c>
      <c r="C12">
        <v>282.78249656805508</v>
      </c>
      <c r="D12">
        <v>308.61007449539335</v>
      </c>
      <c r="E12">
        <v>320.95447747520905</v>
      </c>
      <c r="F12">
        <v>340.07297911609288</v>
      </c>
      <c r="G12">
        <v>416.3765952570522</v>
      </c>
      <c r="H12">
        <v>433.03165906733426</v>
      </c>
      <c r="I12">
        <v>456.29193782836717</v>
      </c>
      <c r="J12">
        <v>541.12255336763496</v>
      </c>
      <c r="K12">
        <v>562.76745550234034</v>
      </c>
      <c r="L12">
        <v>677.99052903006566</v>
      </c>
      <c r="M12">
        <v>737.58963889611834</v>
      </c>
      <c r="N12">
        <v>790.5660956738551</v>
      </c>
      <c r="O12">
        <v>790.5660956738551</v>
      </c>
      <c r="P12">
        <v>790.5660956738551</v>
      </c>
      <c r="Q12">
        <v>836.92466729206546</v>
      </c>
      <c r="R12">
        <v>836.92466729206546</v>
      </c>
      <c r="S12">
        <v>888.56610400880299</v>
      </c>
      <c r="T12">
        <v>888.56610400880299</v>
      </c>
      <c r="U12">
        <v>936.24539190164501</v>
      </c>
      <c r="V12">
        <v>936.24539190164501</v>
      </c>
      <c r="W12">
        <v>977.29725877738201</v>
      </c>
      <c r="X12">
        <v>977.29725877738201</v>
      </c>
      <c r="Y12">
        <v>977.29725877738201</v>
      </c>
      <c r="Z12">
        <v>977.29725877738201</v>
      </c>
      <c r="AA12">
        <v>977.29725877738201</v>
      </c>
    </row>
    <row r="13" spans="1:27" x14ac:dyDescent="0.2">
      <c r="A13" t="s">
        <v>562</v>
      </c>
      <c r="B13" t="s">
        <v>563</v>
      </c>
      <c r="C13">
        <v>9261.882486993858</v>
      </c>
      <c r="D13">
        <v>10107.804687235533</v>
      </c>
      <c r="E13">
        <v>10512.116874724956</v>
      </c>
      <c r="F13">
        <v>11138.298896859591</v>
      </c>
      <c r="G13">
        <v>13637.446243697492</v>
      </c>
      <c r="H13">
        <v>14182.944093445392</v>
      </c>
      <c r="I13">
        <v>14944.780384990965</v>
      </c>
      <c r="J13">
        <v>17723.20975017258</v>
      </c>
      <c r="K13">
        <v>18432.138140179482</v>
      </c>
      <c r="L13">
        <v>22206.001727055394</v>
      </c>
      <c r="M13">
        <v>24158.031851296022</v>
      </c>
      <c r="N13">
        <v>25893.152388131028</v>
      </c>
      <c r="O13">
        <v>25893.152388131028</v>
      </c>
      <c r="P13">
        <v>25893.152388131028</v>
      </c>
      <c r="Q13">
        <v>27411.51949997036</v>
      </c>
      <c r="R13">
        <v>27411.51949997036</v>
      </c>
      <c r="S13">
        <v>29102.914562022386</v>
      </c>
      <c r="T13">
        <v>29102.914562022386</v>
      </c>
      <c r="U13">
        <v>30664.538661414885</v>
      </c>
      <c r="V13">
        <v>30664.538661414885</v>
      </c>
      <c r="W13">
        <v>32009.097010991831</v>
      </c>
      <c r="X13">
        <v>32009.097010991831</v>
      </c>
      <c r="Y13">
        <v>32009.097010991831</v>
      </c>
      <c r="Z13">
        <v>32009.097010991831</v>
      </c>
      <c r="AA13">
        <v>32009.097010991831</v>
      </c>
    </row>
    <row r="14" spans="1:27" x14ac:dyDescent="0.2">
      <c r="A14" t="s">
        <v>930</v>
      </c>
      <c r="B14" t="s">
        <v>931</v>
      </c>
      <c r="C14">
        <v>31.039613847316332</v>
      </c>
      <c r="D14">
        <v>33.874577309360447</v>
      </c>
      <c r="E14">
        <v>35.229560401734858</v>
      </c>
      <c r="F14">
        <v>37.3281022686269</v>
      </c>
      <c r="G14">
        <v>45.703566835611646</v>
      </c>
      <c r="H14">
        <v>47.531709509036112</v>
      </c>
      <c r="I14">
        <v>50.08487344062916</v>
      </c>
      <c r="J14">
        <v>59.396303888854717</v>
      </c>
      <c r="K14">
        <v>61.772156044408902</v>
      </c>
      <c r="L14">
        <v>74.419613903388537</v>
      </c>
      <c r="M14">
        <v>80.961508746023711</v>
      </c>
      <c r="N14">
        <v>86.776468233745234</v>
      </c>
      <c r="O14">
        <v>86.776468233745234</v>
      </c>
      <c r="P14">
        <v>86.776468233745234</v>
      </c>
      <c r="Q14">
        <v>91.865015718140569</v>
      </c>
      <c r="R14">
        <v>91.865015718140569</v>
      </c>
      <c r="S14">
        <v>97.533436761387108</v>
      </c>
      <c r="T14">
        <v>97.533436761387108</v>
      </c>
      <c r="U14">
        <v>102.76695263549523</v>
      </c>
      <c r="V14">
        <v>102.76695263549523</v>
      </c>
      <c r="W14">
        <v>107.27300980310233</v>
      </c>
      <c r="X14">
        <v>107.27300980310233</v>
      </c>
      <c r="Y14">
        <v>107.27300980310233</v>
      </c>
      <c r="Z14">
        <v>107.27300980310233</v>
      </c>
      <c r="AA14">
        <v>107.27300980310233</v>
      </c>
    </row>
    <row r="15" spans="1:27" x14ac:dyDescent="0.2">
      <c r="A15" t="s">
        <v>783</v>
      </c>
      <c r="B15" t="s">
        <v>784</v>
      </c>
      <c r="C15">
        <v>1704.6290647598289</v>
      </c>
      <c r="D15">
        <v>1860.3191818696578</v>
      </c>
      <c r="E15">
        <v>1934.7319491444439</v>
      </c>
      <c r="F15">
        <v>2049.9793706335104</v>
      </c>
      <c r="G15">
        <v>2509.9419333759806</v>
      </c>
      <c r="H15">
        <v>2610.3396107110198</v>
      </c>
      <c r="I15">
        <v>2750.5539015942254</v>
      </c>
      <c r="J15">
        <v>3261.9177044627736</v>
      </c>
      <c r="K15">
        <v>3392.3944126412844</v>
      </c>
      <c r="L15">
        <v>4086.9656907438889</v>
      </c>
      <c r="M15">
        <v>4446.2325341464039</v>
      </c>
      <c r="N15">
        <v>4765.5776459100307</v>
      </c>
      <c r="O15">
        <v>4765.5776459100307</v>
      </c>
      <c r="P15">
        <v>4765.5776459100307</v>
      </c>
      <c r="Q15">
        <v>5045.0297673822424</v>
      </c>
      <c r="R15">
        <v>5045.0297673822424</v>
      </c>
      <c r="S15">
        <v>5356.3273018536547</v>
      </c>
      <c r="T15">
        <v>5356.3273018536547</v>
      </c>
      <c r="U15">
        <v>5643.7407765756661</v>
      </c>
      <c r="V15">
        <v>5643.7407765756661</v>
      </c>
      <c r="W15">
        <v>5891.2037783113183</v>
      </c>
      <c r="X15">
        <v>5891.2037783113183</v>
      </c>
      <c r="Y15">
        <v>5891.2037783113183</v>
      </c>
      <c r="Z15">
        <v>5891.2037783113183</v>
      </c>
      <c r="AA15">
        <v>5891.2037783113183</v>
      </c>
    </row>
    <row r="16" spans="1:27" x14ac:dyDescent="0.2">
      <c r="A16" t="s">
        <v>465</v>
      </c>
      <c r="B16" t="s">
        <v>466</v>
      </c>
      <c r="C16">
        <v>24877.752990863177</v>
      </c>
      <c r="D16">
        <v>27149.930766456007</v>
      </c>
      <c r="E16">
        <v>28235.927997114246</v>
      </c>
      <c r="F16">
        <v>29917.875667672619</v>
      </c>
      <c r="G16">
        <v>36630.676274861493</v>
      </c>
      <c r="H16">
        <v>38095.90332585595</v>
      </c>
      <c r="I16">
        <v>40142.223294518983</v>
      </c>
      <c r="J16">
        <v>47605.185553715579</v>
      </c>
      <c r="K16">
        <v>49509.392975864197</v>
      </c>
      <c r="L16">
        <v>59646.127734413727</v>
      </c>
      <c r="M16">
        <v>64889.35159627728</v>
      </c>
      <c r="N16">
        <v>69549.948422610541</v>
      </c>
      <c r="O16">
        <v>69549.948422610541</v>
      </c>
      <c r="P16">
        <v>69549.948422610541</v>
      </c>
      <c r="Q16">
        <v>73628.337671322486</v>
      </c>
      <c r="R16">
        <v>73628.337671322486</v>
      </c>
      <c r="S16">
        <v>78171.486283150036</v>
      </c>
      <c r="T16">
        <v>78171.486283150036</v>
      </c>
      <c r="U16">
        <v>82366.065372640864</v>
      </c>
      <c r="V16">
        <v>82366.065372640864</v>
      </c>
      <c r="W16">
        <v>85977.597968692484</v>
      </c>
      <c r="X16">
        <v>85977.597968692484</v>
      </c>
      <c r="Y16">
        <v>85977.597968692484</v>
      </c>
      <c r="Z16">
        <v>85977.597968692484</v>
      </c>
      <c r="AA16">
        <v>85977.597968692484</v>
      </c>
    </row>
    <row r="17" spans="1:27" x14ac:dyDescent="0.2">
      <c r="A17" t="s">
        <v>451</v>
      </c>
      <c r="B17" t="s">
        <v>452</v>
      </c>
      <c r="C17">
        <v>27447.434949299612</v>
      </c>
      <c r="D17">
        <v>29954.311342506564</v>
      </c>
      <c r="E17">
        <v>31152.483796206823</v>
      </c>
      <c r="F17">
        <v>33008.163820553556</v>
      </c>
      <c r="G17">
        <v>40414.34548258326</v>
      </c>
      <c r="H17">
        <v>42030.919301886592</v>
      </c>
      <c r="I17">
        <v>44288.608500985865</v>
      </c>
      <c r="J17">
        <v>52522.437786677685</v>
      </c>
      <c r="K17">
        <v>54623.33529814479</v>
      </c>
      <c r="L17">
        <v>65807.117369852669</v>
      </c>
      <c r="M17">
        <v>71591.92622803089</v>
      </c>
      <c r="N17">
        <v>76733.927125888353</v>
      </c>
      <c r="O17">
        <v>76733.927125888353</v>
      </c>
      <c r="P17">
        <v>76733.927125888353</v>
      </c>
      <c r="Q17">
        <v>81233.582848133708</v>
      </c>
      <c r="R17">
        <v>81233.582848133708</v>
      </c>
      <c r="S17">
        <v>86246.004027568008</v>
      </c>
      <c r="T17">
        <v>86246.004027568008</v>
      </c>
      <c r="U17">
        <v>90873.85111411057</v>
      </c>
      <c r="V17">
        <v>90873.85111411057</v>
      </c>
      <c r="W17">
        <v>94858.427455623736</v>
      </c>
      <c r="X17">
        <v>94858.427455623736</v>
      </c>
      <c r="Y17">
        <v>94858.427455623736</v>
      </c>
      <c r="Z17">
        <v>94858.427455623736</v>
      </c>
      <c r="AA17">
        <v>94858.427455623736</v>
      </c>
    </row>
    <row r="18" spans="1:27" x14ac:dyDescent="0.2">
      <c r="A18" t="s">
        <v>687</v>
      </c>
      <c r="B18" t="s">
        <v>688</v>
      </c>
      <c r="C18">
        <v>3524.4725543114805</v>
      </c>
      <c r="D18">
        <v>3846.3757507751893</v>
      </c>
      <c r="E18">
        <v>4000.2307808061969</v>
      </c>
      <c r="F18">
        <v>4238.5150987206107</v>
      </c>
      <c r="G18">
        <v>5189.5287015685799</v>
      </c>
      <c r="H18">
        <v>5397.1098496313234</v>
      </c>
      <c r="I18">
        <v>5687.015395744801</v>
      </c>
      <c r="J18">
        <v>6744.3056448304433</v>
      </c>
      <c r="K18">
        <v>7014.0778706236597</v>
      </c>
      <c r="L18">
        <v>8450.1659071904796</v>
      </c>
      <c r="M18">
        <v>9192.9821335609286</v>
      </c>
      <c r="N18">
        <v>9853.2566208570915</v>
      </c>
      <c r="O18">
        <v>9853.2566208570915</v>
      </c>
      <c r="P18">
        <v>9853.2566208570915</v>
      </c>
      <c r="Q18">
        <v>10431.048794377082</v>
      </c>
      <c r="R18">
        <v>10431.048794377082</v>
      </c>
      <c r="S18">
        <v>11074.684198202551</v>
      </c>
      <c r="T18">
        <v>11074.684198202551</v>
      </c>
      <c r="U18">
        <v>11668.93717929891</v>
      </c>
      <c r="V18">
        <v>11668.93717929891</v>
      </c>
      <c r="W18">
        <v>12180.588996022874</v>
      </c>
      <c r="X18">
        <v>12180.588996022874</v>
      </c>
      <c r="Y18">
        <v>12180.588996022874</v>
      </c>
      <c r="Z18">
        <v>12180.588996022874</v>
      </c>
      <c r="AA18">
        <v>12180.588996022874</v>
      </c>
    </row>
    <row r="19" spans="1:27" x14ac:dyDescent="0.2">
      <c r="A19" t="s">
        <v>924</v>
      </c>
      <c r="B19" t="s">
        <v>925</v>
      </c>
      <c r="C19">
        <v>68.368503752111636</v>
      </c>
      <c r="D19">
        <v>74.6128536671999</v>
      </c>
      <c r="E19">
        <v>77.597367813887885</v>
      </c>
      <c r="F19">
        <v>82.219660095174646</v>
      </c>
      <c r="G19">
        <v>100.66763381966358</v>
      </c>
      <c r="H19">
        <v>104.69433917245013</v>
      </c>
      <c r="I19">
        <v>110.31799153795684</v>
      </c>
      <c r="J19">
        <v>130.82754332131694</v>
      </c>
      <c r="K19">
        <v>136.06064505416961</v>
      </c>
      <c r="L19">
        <v>163.91820070353165</v>
      </c>
      <c r="M19">
        <v>178.32751533916755</v>
      </c>
      <c r="N19">
        <v>191.13566693249155</v>
      </c>
      <c r="O19">
        <v>191.13566693249155</v>
      </c>
      <c r="P19">
        <v>191.13566693249155</v>
      </c>
      <c r="Q19">
        <v>202.34380822867459</v>
      </c>
      <c r="R19">
        <v>202.34380822867459</v>
      </c>
      <c r="S19">
        <v>214.82919117416043</v>
      </c>
      <c r="T19">
        <v>214.82919117416043</v>
      </c>
      <c r="U19">
        <v>226.35664288266912</v>
      </c>
      <c r="V19">
        <v>226.35664288266912</v>
      </c>
      <c r="W19">
        <v>236.28177880369512</v>
      </c>
      <c r="X19">
        <v>236.28177880369512</v>
      </c>
      <c r="Y19">
        <v>236.28177880369512</v>
      </c>
      <c r="Z19">
        <v>236.28177880369512</v>
      </c>
      <c r="AA19">
        <v>236.28177880369512</v>
      </c>
    </row>
    <row r="20" spans="1:27" x14ac:dyDescent="0.2">
      <c r="A20" t="s">
        <v>894</v>
      </c>
      <c r="B20" t="s">
        <v>895</v>
      </c>
      <c r="C20">
        <v>311.16391084194055</v>
      </c>
      <c r="D20">
        <v>339.58366897046903</v>
      </c>
      <c r="E20">
        <v>353.16701572928775</v>
      </c>
      <c r="F20">
        <v>374.20434233971957</v>
      </c>
      <c r="G20">
        <v>458.16615715483516</v>
      </c>
      <c r="H20">
        <v>476.49280344102863</v>
      </c>
      <c r="I20">
        <v>502.08759588538652</v>
      </c>
      <c r="J20">
        <v>595.43222085574814</v>
      </c>
      <c r="K20">
        <v>619.24950968997803</v>
      </c>
      <c r="L20">
        <v>746.03692621413677</v>
      </c>
      <c r="M20">
        <v>811.61768999438834</v>
      </c>
      <c r="N20">
        <v>869.91111930337831</v>
      </c>
      <c r="O20">
        <v>869.91111930337831</v>
      </c>
      <c r="P20">
        <v>869.91111930337831</v>
      </c>
      <c r="Q20">
        <v>920.92246060220918</v>
      </c>
      <c r="R20">
        <v>920.92246060220918</v>
      </c>
      <c r="S20">
        <v>977.74688080252179</v>
      </c>
      <c r="T20">
        <v>977.74688080252179</v>
      </c>
      <c r="U20">
        <v>1030.211491826723</v>
      </c>
      <c r="V20">
        <v>1030.211491826723</v>
      </c>
      <c r="W20">
        <v>1075.3835219185603</v>
      </c>
      <c r="X20">
        <v>1075.3835219185603</v>
      </c>
      <c r="Y20">
        <v>1075.3835219185603</v>
      </c>
      <c r="Z20">
        <v>1075.3835219185603</v>
      </c>
      <c r="AA20">
        <v>1075.3835219185603</v>
      </c>
    </row>
    <row r="21" spans="1:27" x14ac:dyDescent="0.2">
      <c r="A21" t="s">
        <v>855</v>
      </c>
      <c r="B21" t="s">
        <v>856</v>
      </c>
      <c r="C21">
        <v>774.06627467802639</v>
      </c>
      <c r="D21">
        <v>844.7646286171987</v>
      </c>
      <c r="E21">
        <v>878.55521376188665</v>
      </c>
      <c r="F21">
        <v>930.88867683753756</v>
      </c>
      <c r="G21">
        <v>1139.7561159736795</v>
      </c>
      <c r="H21">
        <v>1185.3463606126265</v>
      </c>
      <c r="I21">
        <v>1249.0171943701607</v>
      </c>
      <c r="J21">
        <v>1481.2257622484842</v>
      </c>
      <c r="K21">
        <v>1540.4747927384235</v>
      </c>
      <c r="L21">
        <v>1855.8772535165924</v>
      </c>
      <c r="M21">
        <v>2019.01910815058</v>
      </c>
      <c r="N21">
        <v>2164.032639897639</v>
      </c>
      <c r="O21">
        <v>2164.032639897639</v>
      </c>
      <c r="P21">
        <v>2164.032639897639</v>
      </c>
      <c r="Q21">
        <v>2290.9309001061397</v>
      </c>
      <c r="R21">
        <v>2290.9309001061397</v>
      </c>
      <c r="S21">
        <v>2432.2900543093979</v>
      </c>
      <c r="T21">
        <v>2432.2900543093979</v>
      </c>
      <c r="U21">
        <v>2562.8035380165879</v>
      </c>
      <c r="V21">
        <v>2562.8035380165879</v>
      </c>
      <c r="W21">
        <v>2675.1756474884787</v>
      </c>
      <c r="X21">
        <v>2675.1756474884787</v>
      </c>
      <c r="Y21">
        <v>2675.1756474884787</v>
      </c>
      <c r="Z21">
        <v>2675.1756474884787</v>
      </c>
      <c r="AA21">
        <v>2675.1756474884787</v>
      </c>
    </row>
    <row r="22" spans="1:27" x14ac:dyDescent="0.2">
      <c r="A22" t="s">
        <v>870</v>
      </c>
      <c r="B22" t="s">
        <v>871</v>
      </c>
      <c r="C22">
        <v>580.52541094675655</v>
      </c>
      <c r="D22">
        <v>633.54695744271885</v>
      </c>
      <c r="E22">
        <v>658.88883574042757</v>
      </c>
      <c r="F22">
        <v>698.13729049437757</v>
      </c>
      <c r="G22">
        <v>854.78131427430606</v>
      </c>
      <c r="H22">
        <v>888.97256684527838</v>
      </c>
      <c r="I22">
        <v>936.72369377273651</v>
      </c>
      <c r="J22">
        <v>1110.8728315180711</v>
      </c>
      <c r="K22">
        <v>1155.3077447787937</v>
      </c>
      <c r="L22">
        <v>1391.8496910520957</v>
      </c>
      <c r="M22">
        <v>1514.2009616114617</v>
      </c>
      <c r="N22">
        <v>1622.9565589862709</v>
      </c>
      <c r="O22">
        <v>1622.9565589862709</v>
      </c>
      <c r="P22">
        <v>1622.9565589862709</v>
      </c>
      <c r="Q22">
        <v>1718.1262712781681</v>
      </c>
      <c r="R22">
        <v>1718.1262712781681</v>
      </c>
      <c r="S22">
        <v>1824.141200192448</v>
      </c>
      <c r="T22">
        <v>1824.141200192448</v>
      </c>
      <c r="U22">
        <v>1922.0222166399406</v>
      </c>
      <c r="V22">
        <v>1922.0222166399406</v>
      </c>
      <c r="W22">
        <v>2006.2977718012319</v>
      </c>
      <c r="X22">
        <v>2006.2977718012319</v>
      </c>
      <c r="Y22">
        <v>2006.2977718012319</v>
      </c>
      <c r="Z22">
        <v>2006.2977718012319</v>
      </c>
      <c r="AA22">
        <v>2006.2977718012319</v>
      </c>
    </row>
    <row r="23" spans="1:27" x14ac:dyDescent="0.2">
      <c r="A23" t="s">
        <v>912</v>
      </c>
      <c r="B23" t="s">
        <v>913</v>
      </c>
      <c r="C23">
        <v>137.12945460977545</v>
      </c>
      <c r="D23">
        <v>149.65399809478924</v>
      </c>
      <c r="E23">
        <v>155.64015801858082</v>
      </c>
      <c r="F23">
        <v>164.91127534298548</v>
      </c>
      <c r="G23">
        <v>201.91311737052146</v>
      </c>
      <c r="H23">
        <v>209.98964206534231</v>
      </c>
      <c r="I23">
        <v>221.26922753927616</v>
      </c>
      <c r="J23">
        <v>262.40605950126348</v>
      </c>
      <c r="K23">
        <v>272.90230188131403</v>
      </c>
      <c r="L23">
        <v>328.77732039582258</v>
      </c>
      <c r="M23">
        <v>357.67866163988009</v>
      </c>
      <c r="N23">
        <v>383.36848584489792</v>
      </c>
      <c r="O23">
        <v>383.36848584489792</v>
      </c>
      <c r="P23">
        <v>383.36848584489792</v>
      </c>
      <c r="Q23">
        <v>405.8491051181756</v>
      </c>
      <c r="R23">
        <v>405.8491051181756</v>
      </c>
      <c r="S23">
        <v>430.89153927932671</v>
      </c>
      <c r="T23">
        <v>430.89153927932671</v>
      </c>
      <c r="U23">
        <v>454.01261227457263</v>
      </c>
      <c r="V23">
        <v>454.01261227457263</v>
      </c>
      <c r="W23">
        <v>473.91985612347946</v>
      </c>
      <c r="X23">
        <v>473.91985612347946</v>
      </c>
      <c r="Y23">
        <v>473.91985612347946</v>
      </c>
      <c r="Z23">
        <v>473.91985612347946</v>
      </c>
      <c r="AA23">
        <v>473.91985612347946</v>
      </c>
    </row>
    <row r="24" spans="1:27" x14ac:dyDescent="0.2">
      <c r="A24" t="s">
        <v>663</v>
      </c>
      <c r="B24" t="s">
        <v>664</v>
      </c>
      <c r="C24">
        <v>4023.5811499493607</v>
      </c>
      <c r="D24">
        <v>4391.0697921336796</v>
      </c>
      <c r="E24">
        <v>4566.7125838190268</v>
      </c>
      <c r="F24">
        <v>4838.7408873778477</v>
      </c>
      <c r="G24">
        <v>5924.4296952204822</v>
      </c>
      <c r="H24">
        <v>6161.4068830293018</v>
      </c>
      <c r="I24">
        <v>6492.3666146297182</v>
      </c>
      <c r="J24">
        <v>7699.3821469374479</v>
      </c>
      <c r="K24">
        <v>8007.3574328149443</v>
      </c>
      <c r="L24">
        <v>9646.8131711011065</v>
      </c>
      <c r="M24">
        <v>10494.821297209079</v>
      </c>
      <c r="N24">
        <v>11248.598760343932</v>
      </c>
      <c r="O24">
        <v>11248.598760343932</v>
      </c>
      <c r="P24">
        <v>11248.598760343932</v>
      </c>
      <c r="Q24">
        <v>11908.213401155755</v>
      </c>
      <c r="R24">
        <v>11908.213401155755</v>
      </c>
      <c r="S24">
        <v>12642.995482265795</v>
      </c>
      <c r="T24">
        <v>12642.995482265795</v>
      </c>
      <c r="U24">
        <v>13321.401983152171</v>
      </c>
      <c r="V24">
        <v>13321.401983152171</v>
      </c>
      <c r="W24">
        <v>13905.509980415341</v>
      </c>
      <c r="X24">
        <v>13905.509980415341</v>
      </c>
      <c r="Y24">
        <v>13905.509980415341</v>
      </c>
      <c r="Z24">
        <v>13905.509980415341</v>
      </c>
      <c r="AA24">
        <v>13905.509980415341</v>
      </c>
    </row>
    <row r="25" spans="1:27" x14ac:dyDescent="0.2">
      <c r="A25" t="s">
        <v>722</v>
      </c>
      <c r="B25" t="s">
        <v>723</v>
      </c>
      <c r="C25">
        <v>2942.1223091719544</v>
      </c>
      <c r="D25">
        <v>3210.8372902408464</v>
      </c>
      <c r="E25">
        <v>3339.2707818504805</v>
      </c>
      <c r="F25">
        <v>3538.1832707005392</v>
      </c>
      <c r="G25">
        <v>4332.0604520796987</v>
      </c>
      <c r="H25">
        <v>4505.3428701628873</v>
      </c>
      <c r="I25">
        <v>4747.3471875833029</v>
      </c>
      <c r="J25">
        <v>5629.9408753393773</v>
      </c>
      <c r="K25">
        <v>5855.1385103529519</v>
      </c>
      <c r="L25">
        <v>7053.9410503669396</v>
      </c>
      <c r="M25">
        <v>7674.021404956723</v>
      </c>
      <c r="N25">
        <v>8225.1984305444876</v>
      </c>
      <c r="O25">
        <v>8225.1984305444876</v>
      </c>
      <c r="P25">
        <v>8225.1984305444876</v>
      </c>
      <c r="Q25">
        <v>8707.5217335586058</v>
      </c>
      <c r="R25">
        <v>8707.5217335586058</v>
      </c>
      <c r="S25">
        <v>9244.8089592035631</v>
      </c>
      <c r="T25">
        <v>9244.8089592035631</v>
      </c>
      <c r="U25">
        <v>9740.8732428753883</v>
      </c>
      <c r="V25">
        <v>9740.8732428753883</v>
      </c>
      <c r="W25">
        <v>10167.98459111683</v>
      </c>
      <c r="X25">
        <v>10167.98459111683</v>
      </c>
      <c r="Y25">
        <v>10167.98459111683</v>
      </c>
      <c r="Z25">
        <v>10167.98459111683</v>
      </c>
      <c r="AA25">
        <v>10167.98459111683</v>
      </c>
    </row>
    <row r="26" spans="1:27" x14ac:dyDescent="0.2">
      <c r="A26" t="s">
        <v>758</v>
      </c>
      <c r="B26" t="s">
        <v>263</v>
      </c>
      <c r="C26">
        <v>2158.1455385161503</v>
      </c>
      <c r="D26">
        <v>2355.2570031613777</v>
      </c>
      <c r="E26">
        <v>2449.4672832878327</v>
      </c>
      <c r="F26">
        <v>2595.376275252112</v>
      </c>
      <c r="G26">
        <v>3177.7118538179848</v>
      </c>
      <c r="H26">
        <v>3304.8203279707041</v>
      </c>
      <c r="I26">
        <v>3482.3386236290212</v>
      </c>
      <c r="J26">
        <v>4129.7507395751372</v>
      </c>
      <c r="K26">
        <v>4294.9407691581418</v>
      </c>
      <c r="L26">
        <v>5174.3026995672044</v>
      </c>
      <c r="M26">
        <v>5629.15246791558</v>
      </c>
      <c r="N26">
        <v>6033.4593300050847</v>
      </c>
      <c r="O26">
        <v>6033.4593300050847</v>
      </c>
      <c r="P26">
        <v>6033.4593300050847</v>
      </c>
      <c r="Q26">
        <v>6387.2596738171851</v>
      </c>
      <c r="R26">
        <v>6387.2596738171851</v>
      </c>
      <c r="S26">
        <v>6781.3779010956887</v>
      </c>
      <c r="T26">
        <v>6781.3779010956887</v>
      </c>
      <c r="U26">
        <v>7145.2577157743881</v>
      </c>
      <c r="V26">
        <v>7145.2577157743881</v>
      </c>
      <c r="W26">
        <v>7458.5582362127498</v>
      </c>
      <c r="X26">
        <v>7458.5582362127498</v>
      </c>
      <c r="Y26">
        <v>7458.5582362127498</v>
      </c>
      <c r="Z26">
        <v>7458.5582362127498</v>
      </c>
      <c r="AA26">
        <v>7458.5582362127498</v>
      </c>
    </row>
    <row r="27" spans="1:27" x14ac:dyDescent="0.2">
      <c r="A27" t="s">
        <v>868</v>
      </c>
      <c r="B27" t="s">
        <v>869</v>
      </c>
      <c r="C27">
        <v>580.6686152829293</v>
      </c>
      <c r="D27">
        <v>633.70324116392044</v>
      </c>
      <c r="E27">
        <v>659.05137081047724</v>
      </c>
      <c r="F27">
        <v>698.3095073954081</v>
      </c>
      <c r="G27">
        <v>854.99217221157346</v>
      </c>
      <c r="H27">
        <v>889.19185910003637</v>
      </c>
      <c r="I27">
        <v>936.95476530244832</v>
      </c>
      <c r="J27">
        <v>1111.1468622554171</v>
      </c>
      <c r="K27">
        <v>1155.5927367456336</v>
      </c>
      <c r="L27">
        <v>1392.1930333198086</v>
      </c>
      <c r="M27">
        <v>1514.5744855596834</v>
      </c>
      <c r="N27">
        <v>1623.3569108266629</v>
      </c>
      <c r="O27">
        <v>1623.3569108266629</v>
      </c>
      <c r="P27">
        <v>1623.3569108266629</v>
      </c>
      <c r="Q27">
        <v>1718.5500996369269</v>
      </c>
      <c r="R27">
        <v>1718.5500996369269</v>
      </c>
      <c r="S27">
        <v>1824.591180373734</v>
      </c>
      <c r="T27">
        <v>1824.591180373734</v>
      </c>
      <c r="U27">
        <v>1922.4963421656335</v>
      </c>
      <c r="V27">
        <v>1922.4963421656335</v>
      </c>
      <c r="W27">
        <v>2006.7926864684591</v>
      </c>
      <c r="X27">
        <v>2006.7926864684591</v>
      </c>
      <c r="Y27">
        <v>2006.7926864684591</v>
      </c>
      <c r="Z27">
        <v>2006.7926864684591</v>
      </c>
      <c r="AA27">
        <v>2006.7926864684591</v>
      </c>
    </row>
    <row r="28" spans="1:27" x14ac:dyDescent="0.2">
      <c r="A28" t="s">
        <v>1000</v>
      </c>
      <c r="B28" t="s">
        <v>1001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900</v>
      </c>
      <c r="B29" t="s">
        <v>901</v>
      </c>
      <c r="C29">
        <v>220.86271684083971</v>
      </c>
      <c r="D29">
        <v>241.03493082041894</v>
      </c>
      <c r="E29">
        <v>250.67632805323566</v>
      </c>
      <c r="F29">
        <v>265.60852599892945</v>
      </c>
      <c r="G29">
        <v>325.20423708501858</v>
      </c>
      <c r="H29">
        <v>338.21240656841934</v>
      </c>
      <c r="I29">
        <v>356.37947286136665</v>
      </c>
      <c r="J29">
        <v>422.63505956375803</v>
      </c>
      <c r="K29">
        <v>439.54046194630831</v>
      </c>
      <c r="L29">
        <v>529.5335887166591</v>
      </c>
      <c r="M29">
        <v>576.08251407825469</v>
      </c>
      <c r="N29">
        <v>617.45892285366983</v>
      </c>
      <c r="O29">
        <v>617.45892285366983</v>
      </c>
      <c r="P29">
        <v>617.45892285366983</v>
      </c>
      <c r="Q29">
        <v>653.66653895693332</v>
      </c>
      <c r="R29">
        <v>653.66653895693332</v>
      </c>
      <c r="S29">
        <v>694.00025180424893</v>
      </c>
      <c r="T29">
        <v>694.00025180424893</v>
      </c>
      <c r="U29">
        <v>731.23939209352545</v>
      </c>
      <c r="V29">
        <v>731.23939209352545</v>
      </c>
      <c r="W29">
        <v>763.3022918825925</v>
      </c>
      <c r="X29">
        <v>763.3022918825925</v>
      </c>
      <c r="Y29">
        <v>763.3022918825925</v>
      </c>
      <c r="Z29">
        <v>763.3022918825925</v>
      </c>
      <c r="AA29">
        <v>763.3022918825925</v>
      </c>
    </row>
    <row r="30" spans="1:27" x14ac:dyDescent="0.2">
      <c r="A30" t="s">
        <v>902</v>
      </c>
      <c r="B30" t="s">
        <v>903</v>
      </c>
      <c r="C30">
        <v>213.82661114709143</v>
      </c>
      <c r="D30">
        <v>233.35619140529198</v>
      </c>
      <c r="E30">
        <v>242.69043906150367</v>
      </c>
      <c r="F30">
        <v>257.14693642500458</v>
      </c>
      <c r="G30">
        <v>314.84408478356028</v>
      </c>
      <c r="H30">
        <v>327.43784817490268</v>
      </c>
      <c r="I30">
        <v>345.02615948189811</v>
      </c>
      <c r="J30">
        <v>409.17101732290689</v>
      </c>
      <c r="K30">
        <v>425.53785801582313</v>
      </c>
      <c r="L30">
        <v>512.66404028452052</v>
      </c>
      <c r="M30">
        <v>557.73003922259215</v>
      </c>
      <c r="N30">
        <v>597.78830435866519</v>
      </c>
      <c r="O30">
        <v>597.78830435866519</v>
      </c>
      <c r="P30">
        <v>597.78830435866519</v>
      </c>
      <c r="Q30">
        <v>632.8424409726548</v>
      </c>
      <c r="R30">
        <v>632.8424409726548</v>
      </c>
      <c r="S30">
        <v>671.89122773251529</v>
      </c>
      <c r="T30">
        <v>671.89122773251529</v>
      </c>
      <c r="U30">
        <v>707.94402688297248</v>
      </c>
      <c r="V30">
        <v>707.94402688297248</v>
      </c>
      <c r="W30">
        <v>738.98548695151624</v>
      </c>
      <c r="X30">
        <v>738.98548695151624</v>
      </c>
      <c r="Y30">
        <v>738.98548695151624</v>
      </c>
      <c r="Z30">
        <v>738.98548695151624</v>
      </c>
      <c r="AA30">
        <v>738.98548695151624</v>
      </c>
    </row>
    <row r="31" spans="1:27" x14ac:dyDescent="0.2">
      <c r="A31" t="s">
        <v>906</v>
      </c>
      <c r="B31" t="s">
        <v>907</v>
      </c>
      <c r="C31">
        <v>199.97924701286013</v>
      </c>
      <c r="D31">
        <v>218.24409596482508</v>
      </c>
      <c r="E31">
        <v>226.97385980341807</v>
      </c>
      <c r="F31">
        <v>240.49415758902717</v>
      </c>
      <c r="G31">
        <v>294.45485135691411</v>
      </c>
      <c r="H31">
        <v>306.23304541119069</v>
      </c>
      <c r="I31">
        <v>322.68234156068246</v>
      </c>
      <c r="J31">
        <v>382.67319256831382</v>
      </c>
      <c r="K31">
        <v>397.9801202710463</v>
      </c>
      <c r="L31">
        <v>479.46403020971024</v>
      </c>
      <c r="M31">
        <v>521.61156500517302</v>
      </c>
      <c r="N31">
        <v>559.07566573416386</v>
      </c>
      <c r="O31">
        <v>559.07566573416386</v>
      </c>
      <c r="P31">
        <v>559.07566573416386</v>
      </c>
      <c r="Q31">
        <v>591.85970419946659</v>
      </c>
      <c r="R31">
        <v>591.85970419946659</v>
      </c>
      <c r="S31">
        <v>628.37970014903931</v>
      </c>
      <c r="T31">
        <v>628.37970014903931</v>
      </c>
      <c r="U31">
        <v>662.09772798540939</v>
      </c>
      <c r="V31">
        <v>662.09772798540939</v>
      </c>
      <c r="W31">
        <v>691.12894995252418</v>
      </c>
      <c r="X31">
        <v>691.12894995252418</v>
      </c>
      <c r="Y31">
        <v>691.12894995252418</v>
      </c>
      <c r="Z31">
        <v>691.12894995252418</v>
      </c>
      <c r="AA31">
        <v>691.12894995252418</v>
      </c>
    </row>
    <row r="32" spans="1:27" x14ac:dyDescent="0.2">
      <c r="A32" t="s">
        <v>940</v>
      </c>
      <c r="B32" t="s">
        <v>941</v>
      </c>
      <c r="C32">
        <v>9.132572942333093</v>
      </c>
      <c r="D32">
        <v>9.9666848205710838</v>
      </c>
      <c r="E32">
        <v>10.365352213393928</v>
      </c>
      <c r="F32">
        <v>10.98279181061973</v>
      </c>
      <c r="G32">
        <v>13.44704737321036</v>
      </c>
      <c r="H32">
        <v>13.984929268138774</v>
      </c>
      <c r="I32">
        <v>14.73612920102787</v>
      </c>
      <c r="J32">
        <v>17.475767592928594</v>
      </c>
      <c r="K32">
        <v>18.174798296645736</v>
      </c>
      <c r="L32">
        <v>21.89597317982496</v>
      </c>
      <c r="M32">
        <v>23.820750083472031</v>
      </c>
      <c r="N32">
        <v>25.531645777585837</v>
      </c>
      <c r="O32">
        <v>25.531645777585837</v>
      </c>
      <c r="P32">
        <v>25.531645777585837</v>
      </c>
      <c r="Q32">
        <v>27.028814244318674</v>
      </c>
      <c r="R32">
        <v>27.028814244318674</v>
      </c>
      <c r="S32">
        <v>28.696594935790795</v>
      </c>
      <c r="T32">
        <v>28.696594935790795</v>
      </c>
      <c r="U32">
        <v>30.236416458708447</v>
      </c>
      <c r="V32">
        <v>30.236416458708447</v>
      </c>
      <c r="W32">
        <v>31.56220278994055</v>
      </c>
      <c r="X32">
        <v>31.56220278994055</v>
      </c>
      <c r="Y32">
        <v>31.56220278994055</v>
      </c>
      <c r="Z32">
        <v>31.56220278994055</v>
      </c>
      <c r="AA32">
        <v>31.56220278994055</v>
      </c>
    </row>
    <row r="33" spans="1:27" x14ac:dyDescent="0.2">
      <c r="A33" t="s">
        <v>835</v>
      </c>
      <c r="B33" t="s">
        <v>836</v>
      </c>
      <c r="C33">
        <v>927.88507706754194</v>
      </c>
      <c r="D33">
        <v>1012.6322747421643</v>
      </c>
      <c r="E33">
        <v>1053.1375657318508</v>
      </c>
      <c r="F33">
        <v>1115.8704879733737</v>
      </c>
      <c r="G33">
        <v>1366.2430803464911</v>
      </c>
      <c r="H33">
        <v>1420.8928035603508</v>
      </c>
      <c r="I33">
        <v>1497.2160053593677</v>
      </c>
      <c r="J33">
        <v>1775.5679655854397</v>
      </c>
      <c r="K33">
        <v>1846.5906842088571</v>
      </c>
      <c r="L33">
        <v>2224.6684356884375</v>
      </c>
      <c r="M33">
        <v>2420.2290708846485</v>
      </c>
      <c r="N33">
        <v>2594.0590082978561</v>
      </c>
      <c r="O33">
        <v>2594.0590082978561</v>
      </c>
      <c r="P33">
        <v>2594.0590082978561</v>
      </c>
      <c r="Q33">
        <v>2746.1738927788765</v>
      </c>
      <c r="R33">
        <v>2746.1738927788765</v>
      </c>
      <c r="S33">
        <v>2915.6232719636901</v>
      </c>
      <c r="T33">
        <v>2915.6232719636901</v>
      </c>
      <c r="U33">
        <v>3072.0717801206583</v>
      </c>
      <c r="V33">
        <v>3072.0717801206583</v>
      </c>
      <c r="W33">
        <v>3206.773945643808</v>
      </c>
      <c r="X33">
        <v>3206.773945643808</v>
      </c>
      <c r="Y33">
        <v>3206.773945643808</v>
      </c>
      <c r="Z33">
        <v>3206.773945643808</v>
      </c>
      <c r="AA33">
        <v>3206.773945643808</v>
      </c>
    </row>
    <row r="34" spans="1:27" x14ac:dyDescent="0.2">
      <c r="A34" t="s">
        <v>803</v>
      </c>
      <c r="B34" t="s">
        <v>804</v>
      </c>
      <c r="C34">
        <v>1374.3970442229024</v>
      </c>
      <c r="D34">
        <v>1499.9258417743008</v>
      </c>
      <c r="E34">
        <v>1559.9228754452729</v>
      </c>
      <c r="F34">
        <v>1652.8438039472169</v>
      </c>
      <c r="G34">
        <v>2023.6993758457936</v>
      </c>
      <c r="H34">
        <v>2104.6473508796257</v>
      </c>
      <c r="I34">
        <v>2217.6984016516831</v>
      </c>
      <c r="J34">
        <v>2629.9974253598925</v>
      </c>
      <c r="K34">
        <v>2735.1973223742875</v>
      </c>
      <c r="L34">
        <v>3295.2116570828439</v>
      </c>
      <c r="M34">
        <v>3584.8789506117605</v>
      </c>
      <c r="N34">
        <v>3842.3584144837441</v>
      </c>
      <c r="O34">
        <v>3842.3584144837441</v>
      </c>
      <c r="P34">
        <v>3842.3584144837441</v>
      </c>
      <c r="Q34">
        <v>4067.6732220822769</v>
      </c>
      <c r="R34">
        <v>4067.6732220822769</v>
      </c>
      <c r="S34">
        <v>4318.6641385792136</v>
      </c>
      <c r="T34">
        <v>4318.6641385792136</v>
      </c>
      <c r="U34">
        <v>4550.3979734023469</v>
      </c>
      <c r="V34">
        <v>4550.3979734023469</v>
      </c>
      <c r="W34">
        <v>4749.9208051850646</v>
      </c>
      <c r="X34">
        <v>4749.9208051850646</v>
      </c>
      <c r="Y34">
        <v>4749.9208051850646</v>
      </c>
      <c r="Z34">
        <v>4749.9208051850646</v>
      </c>
      <c r="AA34">
        <v>4749.9208051850646</v>
      </c>
    </row>
    <row r="35" spans="1:27" x14ac:dyDescent="0.2">
      <c r="A35" t="s">
        <v>859</v>
      </c>
      <c r="B35" t="s">
        <v>860</v>
      </c>
      <c r="C35">
        <v>752.48334030863907</v>
      </c>
      <c r="D35">
        <v>821.21044452022511</v>
      </c>
      <c r="E35">
        <v>854.05886230103408</v>
      </c>
      <c r="F35">
        <v>904.93313546513082</v>
      </c>
      <c r="G35">
        <v>1107.9768197391293</v>
      </c>
      <c r="H35">
        <v>1152.2958925286946</v>
      </c>
      <c r="I35">
        <v>1214.1914216757746</v>
      </c>
      <c r="J35">
        <v>1439.9254247209874</v>
      </c>
      <c r="K35">
        <v>1497.5224417098266</v>
      </c>
      <c r="L35">
        <v>1804.1306805542858</v>
      </c>
      <c r="M35">
        <v>1962.7237257947497</v>
      </c>
      <c r="N35">
        <v>2103.6939118480927</v>
      </c>
      <c r="O35">
        <v>2103.6939118480927</v>
      </c>
      <c r="P35">
        <v>2103.6939118480927</v>
      </c>
      <c r="Q35">
        <v>2227.0539261579352</v>
      </c>
      <c r="R35">
        <v>2227.0539261579352</v>
      </c>
      <c r="S35">
        <v>2364.4716279978929</v>
      </c>
      <c r="T35">
        <v>2364.4716279978929</v>
      </c>
      <c r="U35">
        <v>2491.3460641902634</v>
      </c>
      <c r="V35">
        <v>2491.3460641902634</v>
      </c>
      <c r="W35">
        <v>2600.5849537518952</v>
      </c>
      <c r="X35">
        <v>2600.5849537518952</v>
      </c>
      <c r="Y35">
        <v>2600.5849537518952</v>
      </c>
      <c r="Z35">
        <v>2600.5849537518952</v>
      </c>
      <c r="AA35">
        <v>2600.5849537518952</v>
      </c>
    </row>
    <row r="36" spans="1:27" x14ac:dyDescent="0.2">
      <c r="A36" t="s">
        <v>405</v>
      </c>
      <c r="B36" t="s">
        <v>406</v>
      </c>
      <c r="C36">
        <v>62072.748267022827</v>
      </c>
      <c r="D36">
        <v>67742.083400871023</v>
      </c>
      <c r="E36">
        <v>70451.766736905862</v>
      </c>
      <c r="F36">
        <v>74648.412406280404</v>
      </c>
      <c r="G36">
        <v>91397.593186786864</v>
      </c>
      <c r="H36">
        <v>95053.496914258343</v>
      </c>
      <c r="I36">
        <v>100159.29181202316</v>
      </c>
      <c r="J36">
        <v>118780.20897490109</v>
      </c>
      <c r="K36">
        <v>123531.41733389713</v>
      </c>
      <c r="L36">
        <v>148823.69293242553</v>
      </c>
      <c r="M36">
        <v>161906.11701649113</v>
      </c>
      <c r="N36">
        <v>173534.82213633534</v>
      </c>
      <c r="O36">
        <v>173534.82213633534</v>
      </c>
      <c r="P36">
        <v>173534.82213633534</v>
      </c>
      <c r="Q36">
        <v>183710.85488588491</v>
      </c>
      <c r="R36">
        <v>183710.85488588491</v>
      </c>
      <c r="S36">
        <v>195046.51370624613</v>
      </c>
      <c r="T36">
        <v>195046.51370624613</v>
      </c>
      <c r="U36">
        <v>205512.45297349858</v>
      </c>
      <c r="V36">
        <v>205512.45297349858</v>
      </c>
      <c r="W36">
        <v>214523.62668260295</v>
      </c>
      <c r="X36">
        <v>214523.62668260295</v>
      </c>
      <c r="Y36">
        <v>214523.62668260295</v>
      </c>
      <c r="Z36">
        <v>214523.62668260295</v>
      </c>
      <c r="AA36">
        <v>214523.62668260295</v>
      </c>
    </row>
    <row r="37" spans="1:27" x14ac:dyDescent="0.2">
      <c r="A37" t="s">
        <v>683</v>
      </c>
      <c r="B37" t="s">
        <v>684</v>
      </c>
      <c r="C37">
        <v>3584.2665847311123</v>
      </c>
      <c r="D37">
        <v>3911.6309925462847</v>
      </c>
      <c r="E37">
        <v>4068.0962322481359</v>
      </c>
      <c r="F37">
        <v>4310.4231351264953</v>
      </c>
      <c r="G37">
        <v>5277.5710489733146</v>
      </c>
      <c r="H37">
        <v>5488.6738909322476</v>
      </c>
      <c r="I37">
        <v>5783.4977959706439</v>
      </c>
      <c r="J37">
        <v>6858.7253801729603</v>
      </c>
      <c r="K37">
        <v>7133.0743953798783</v>
      </c>
      <c r="L37">
        <v>8593.5262170012029</v>
      </c>
      <c r="M37">
        <v>9348.9446059225993</v>
      </c>
      <c r="N37">
        <v>10020.420903467051</v>
      </c>
      <c r="O37">
        <v>10020.420903467051</v>
      </c>
      <c r="P37">
        <v>10020.420903467051</v>
      </c>
      <c r="Q37">
        <v>10608.01554310567</v>
      </c>
      <c r="R37">
        <v>10608.01554310567</v>
      </c>
      <c r="S37">
        <v>11262.570468738286</v>
      </c>
      <c r="T37">
        <v>11262.570468738286</v>
      </c>
      <c r="U37">
        <v>11866.905179875403</v>
      </c>
      <c r="V37">
        <v>11866.905179875403</v>
      </c>
      <c r="W37">
        <v>12387.237366164461</v>
      </c>
      <c r="X37">
        <v>12387.237366164461</v>
      </c>
      <c r="Y37">
        <v>12387.237366164461</v>
      </c>
      <c r="Z37">
        <v>12387.237366164461</v>
      </c>
      <c r="AA37">
        <v>12387.237366164461</v>
      </c>
    </row>
    <row r="38" spans="1:27" x14ac:dyDescent="0.2">
      <c r="A38" t="s">
        <v>671</v>
      </c>
      <c r="B38" t="s">
        <v>672</v>
      </c>
      <c r="C38">
        <v>3862.7514398164408</v>
      </c>
      <c r="D38">
        <v>4215.5509059665228</v>
      </c>
      <c r="E38">
        <v>4384.172942205184</v>
      </c>
      <c r="F38">
        <v>4645.3277896116751</v>
      </c>
      <c r="G38">
        <v>5687.6196806897287</v>
      </c>
      <c r="H38">
        <v>5915.1244679173187</v>
      </c>
      <c r="I38">
        <v>6232.8551491481076</v>
      </c>
      <c r="J38">
        <v>7391.6241192634907</v>
      </c>
      <c r="K38">
        <v>7687.2890840340297</v>
      </c>
      <c r="L38">
        <v>9261.2128543200852</v>
      </c>
      <c r="M38">
        <v>10075.32458415082</v>
      </c>
      <c r="N38">
        <v>10798.972218562762</v>
      </c>
      <c r="O38">
        <v>10798.972218562762</v>
      </c>
      <c r="P38">
        <v>10798.972218562762</v>
      </c>
      <c r="Q38">
        <v>11432.2208864943</v>
      </c>
      <c r="R38">
        <v>11432.2208864943</v>
      </c>
      <c r="S38">
        <v>12137.632418158037</v>
      </c>
      <c r="T38">
        <v>12137.632418158037</v>
      </c>
      <c r="U38">
        <v>12788.921802022624</v>
      </c>
      <c r="V38">
        <v>12788.921802022624</v>
      </c>
      <c r="W38">
        <v>13349.681961530034</v>
      </c>
      <c r="X38">
        <v>13349.681961530034</v>
      </c>
      <c r="Y38">
        <v>13349.681961530034</v>
      </c>
      <c r="Z38">
        <v>13349.681961530034</v>
      </c>
      <c r="AA38">
        <v>13349.681961530034</v>
      </c>
    </row>
    <row r="39" spans="1:27" x14ac:dyDescent="0.2">
      <c r="A39" t="s">
        <v>677</v>
      </c>
      <c r="B39" t="s">
        <v>678</v>
      </c>
      <c r="C39">
        <v>3710.7589490056821</v>
      </c>
      <c r="D39">
        <v>4049.6763752543293</v>
      </c>
      <c r="E39">
        <v>4211.6634302645025</v>
      </c>
      <c r="F39">
        <v>4462.5422926993842</v>
      </c>
      <c r="G39">
        <v>5463.8218268745732</v>
      </c>
      <c r="H39">
        <v>5682.3746999495561</v>
      </c>
      <c r="I39">
        <v>5987.6032364268731</v>
      </c>
      <c r="J39">
        <v>7100.7766809729419</v>
      </c>
      <c r="K39">
        <v>7384.8077482118588</v>
      </c>
      <c r="L39">
        <v>8896.8003800544302</v>
      </c>
      <c r="M39">
        <v>9678.8782419174386</v>
      </c>
      <c r="N39">
        <v>10374.051611770226</v>
      </c>
      <c r="O39">
        <v>10374.051611770226</v>
      </c>
      <c r="P39">
        <v>10374.051611770226</v>
      </c>
      <c r="Q39">
        <v>10982.383055841749</v>
      </c>
      <c r="R39">
        <v>10982.383055841749</v>
      </c>
      <c r="S39">
        <v>11660.037881588809</v>
      </c>
      <c r="T39">
        <v>11660.037881588809</v>
      </c>
      <c r="U39">
        <v>12285.700171079214</v>
      </c>
      <c r="V39">
        <v>12285.700171079214</v>
      </c>
      <c r="W39">
        <v>12824.395402330452</v>
      </c>
      <c r="X39">
        <v>12824.395402330452</v>
      </c>
      <c r="Y39">
        <v>12824.395402330452</v>
      </c>
      <c r="Z39">
        <v>12824.395402330452</v>
      </c>
      <c r="AA39">
        <v>12824.395402330452</v>
      </c>
    </row>
    <row r="40" spans="1:27" x14ac:dyDescent="0.2">
      <c r="A40" t="s">
        <v>720</v>
      </c>
      <c r="B40" t="s">
        <v>721</v>
      </c>
      <c r="C40">
        <v>2962.1016378516274</v>
      </c>
      <c r="D40">
        <v>3232.6414053718481</v>
      </c>
      <c r="E40">
        <v>3361.9470615867217</v>
      </c>
      <c r="F40">
        <v>3562.2103229661338</v>
      </c>
      <c r="G40">
        <v>4361.4785559302736</v>
      </c>
      <c r="H40">
        <v>4535.937698167485</v>
      </c>
      <c r="I40">
        <v>4779.5854155867964</v>
      </c>
      <c r="J40">
        <v>5668.1726099089674</v>
      </c>
      <c r="K40">
        <v>5894.8995143053253</v>
      </c>
      <c r="L40">
        <v>7101.8428681441837</v>
      </c>
      <c r="M40">
        <v>7726.1340569244885</v>
      </c>
      <c r="N40">
        <v>8281.054008807525</v>
      </c>
      <c r="O40">
        <v>8281.054008807525</v>
      </c>
      <c r="P40">
        <v>8281.054008807525</v>
      </c>
      <c r="Q40">
        <v>8766.6526670883977</v>
      </c>
      <c r="R40">
        <v>8766.6526670883977</v>
      </c>
      <c r="S40">
        <v>9307.5884963427579</v>
      </c>
      <c r="T40">
        <v>9307.5884963427579</v>
      </c>
      <c r="U40">
        <v>9807.0214473670003</v>
      </c>
      <c r="V40">
        <v>9807.0214473670003</v>
      </c>
      <c r="W40">
        <v>10237.033218198874</v>
      </c>
      <c r="X40">
        <v>10237.033218198874</v>
      </c>
      <c r="Y40">
        <v>10237.033218198874</v>
      </c>
      <c r="Z40">
        <v>10237.033218198874</v>
      </c>
      <c r="AA40">
        <v>10237.033218198874</v>
      </c>
    </row>
    <row r="41" spans="1:27" x14ac:dyDescent="0.2">
      <c r="A41" t="s">
        <v>681</v>
      </c>
      <c r="B41" t="s">
        <v>682</v>
      </c>
      <c r="C41">
        <v>3598.1910018328063</v>
      </c>
      <c r="D41">
        <v>3926.8271784885237</v>
      </c>
      <c r="E41">
        <v>4083.9002656280645</v>
      </c>
      <c r="F41">
        <v>4327.1685775201986</v>
      </c>
      <c r="G41">
        <v>5298.0737372730027</v>
      </c>
      <c r="H41">
        <v>5509.9966867639232</v>
      </c>
      <c r="I41">
        <v>5805.965944952889</v>
      </c>
      <c r="J41">
        <v>6885.3706507525385</v>
      </c>
      <c r="K41">
        <v>7160.7854767826393</v>
      </c>
      <c r="L41">
        <v>8626.9109668771234</v>
      </c>
      <c r="M41">
        <v>9385.2640595893718</v>
      </c>
      <c r="N41">
        <v>10059.348956639433</v>
      </c>
      <c r="O41">
        <v>10059.348956639433</v>
      </c>
      <c r="P41">
        <v>10059.348956639433</v>
      </c>
      <c r="Q41">
        <v>10649.226326274729</v>
      </c>
      <c r="R41">
        <v>10649.226326274729</v>
      </c>
      <c r="S41">
        <v>11306.32411404804</v>
      </c>
      <c r="T41">
        <v>11306.32411404804</v>
      </c>
      <c r="U41">
        <v>11913.006588217839</v>
      </c>
      <c r="V41">
        <v>11913.006588217839</v>
      </c>
      <c r="W41">
        <v>12435.360198478036</v>
      </c>
      <c r="X41">
        <v>12435.360198478036</v>
      </c>
      <c r="Y41">
        <v>12435.360198478036</v>
      </c>
      <c r="Z41">
        <v>12435.360198478036</v>
      </c>
      <c r="AA41">
        <v>12435.360198478036</v>
      </c>
    </row>
    <row r="42" spans="1:27" x14ac:dyDescent="0.2">
      <c r="A42" t="s">
        <v>571</v>
      </c>
      <c r="B42" t="s">
        <v>572</v>
      </c>
      <c r="C42">
        <v>8704.8233995133287</v>
      </c>
      <c r="D42">
        <v>9499.8673199228142</v>
      </c>
      <c r="E42">
        <v>9879.8620127197264</v>
      </c>
      <c r="F42">
        <v>10468.382103131857</v>
      </c>
      <c r="G42">
        <v>12817.21737869657</v>
      </c>
      <c r="H42">
        <v>13329.906073844433</v>
      </c>
      <c r="I42">
        <v>14045.921461273172</v>
      </c>
      <c r="J42">
        <v>16657.241242742122</v>
      </c>
      <c r="K42">
        <v>17323.530892451807</v>
      </c>
      <c r="L42">
        <v>20870.41416415602</v>
      </c>
      <c r="M42">
        <v>22705.038769456954</v>
      </c>
      <c r="N42">
        <v>24335.799888616843</v>
      </c>
      <c r="O42">
        <v>24335.799888616843</v>
      </c>
      <c r="P42">
        <v>24335.799888616843</v>
      </c>
      <c r="Q42">
        <v>25762.844291604124</v>
      </c>
      <c r="R42">
        <v>25762.844291604124</v>
      </c>
      <c r="S42">
        <v>27352.509819605282</v>
      </c>
      <c r="T42">
        <v>27352.509819605282</v>
      </c>
      <c r="U42">
        <v>28820.209503846025</v>
      </c>
      <c r="V42">
        <v>28820.209503846025</v>
      </c>
      <c r="W42">
        <v>30083.89893197731</v>
      </c>
      <c r="X42">
        <v>30083.89893197731</v>
      </c>
      <c r="Y42">
        <v>30083.89893197731</v>
      </c>
      <c r="Z42">
        <v>30083.89893197731</v>
      </c>
      <c r="AA42">
        <v>30083.89893197731</v>
      </c>
    </row>
    <row r="43" spans="1:27" x14ac:dyDescent="0.2">
      <c r="A43" t="s">
        <v>761</v>
      </c>
      <c r="B43" t="s">
        <v>762</v>
      </c>
      <c r="C43">
        <v>2069.3589595397916</v>
      </c>
      <c r="D43">
        <v>2258.361215463673</v>
      </c>
      <c r="E43">
        <v>2348.69566408222</v>
      </c>
      <c r="F43">
        <v>2488.6019282382049</v>
      </c>
      <c r="G43">
        <v>3046.9800938704566</v>
      </c>
      <c r="H43">
        <v>3168.8592976252748</v>
      </c>
      <c r="I43">
        <v>3339.0744518151755</v>
      </c>
      <c r="J43">
        <v>3959.8518918616192</v>
      </c>
      <c r="K43">
        <v>4118.2459675360833</v>
      </c>
      <c r="L43">
        <v>4961.4307560009793</v>
      </c>
      <c r="M43">
        <v>5397.5679055017836</v>
      </c>
      <c r="N43">
        <v>5785.2414949500571</v>
      </c>
      <c r="O43">
        <v>5785.2414949500571</v>
      </c>
      <c r="P43">
        <v>5785.2414949500571</v>
      </c>
      <c r="Q43">
        <v>6124.4864153177623</v>
      </c>
      <c r="R43">
        <v>6124.4864153177623</v>
      </c>
      <c r="S43">
        <v>6502.3905326172207</v>
      </c>
      <c r="T43">
        <v>6502.3905326172207</v>
      </c>
      <c r="U43">
        <v>6851.3002522178631</v>
      </c>
      <c r="V43">
        <v>6851.3002522178631</v>
      </c>
      <c r="W43">
        <v>7151.7115207940169</v>
      </c>
      <c r="X43">
        <v>7151.7115207940169</v>
      </c>
      <c r="Y43">
        <v>7151.7115207940169</v>
      </c>
      <c r="Z43">
        <v>7151.7115207940169</v>
      </c>
      <c r="AA43">
        <v>7151.7115207940169</v>
      </c>
    </row>
    <row r="44" spans="1:27" x14ac:dyDescent="0.2">
      <c r="A44" t="s">
        <v>1002</v>
      </c>
      <c r="B44" t="s">
        <v>1003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843</v>
      </c>
      <c r="B45" t="s">
        <v>844</v>
      </c>
      <c r="C45">
        <v>894.77232647567348</v>
      </c>
      <c r="D45">
        <v>976.49521339316186</v>
      </c>
      <c r="E45">
        <v>1015.5550219288883</v>
      </c>
      <c r="F45">
        <v>1076.0492406289686</v>
      </c>
      <c r="G45">
        <v>1317.4869709041939</v>
      </c>
      <c r="H45">
        <v>1370.1864497403617</v>
      </c>
      <c r="I45">
        <v>1443.7859617118293</v>
      </c>
      <c r="J45">
        <v>1712.2045807693455</v>
      </c>
      <c r="K45">
        <v>1780.692764000119</v>
      </c>
      <c r="L45">
        <v>2145.278333529061</v>
      </c>
      <c r="M45">
        <v>2333.8601405288914</v>
      </c>
      <c r="N45">
        <v>2501.4867371349001</v>
      </c>
      <c r="O45">
        <v>2501.4867371349001</v>
      </c>
      <c r="P45">
        <v>2501.4867371349001</v>
      </c>
      <c r="Q45">
        <v>2648.1732098916486</v>
      </c>
      <c r="R45">
        <v>2648.1732098916486</v>
      </c>
      <c r="S45">
        <v>2811.5755740208624</v>
      </c>
      <c r="T45">
        <v>2811.5755740208624</v>
      </c>
      <c r="U45">
        <v>2962.4410196207264</v>
      </c>
      <c r="V45">
        <v>2962.4410196207264</v>
      </c>
      <c r="W45">
        <v>3092.3361682822092</v>
      </c>
      <c r="X45">
        <v>3092.3361682822092</v>
      </c>
      <c r="Y45">
        <v>3092.3361682822092</v>
      </c>
      <c r="Z45">
        <v>3092.3361682822092</v>
      </c>
      <c r="AA45">
        <v>3092.3361682822092</v>
      </c>
    </row>
    <row r="46" spans="1:27" x14ac:dyDescent="0.2">
      <c r="A46" t="s">
        <v>797</v>
      </c>
      <c r="B46" t="s">
        <v>798</v>
      </c>
      <c r="C46">
        <v>1446.6718383055711</v>
      </c>
      <c r="D46">
        <v>1578.8017618071508</v>
      </c>
      <c r="E46">
        <v>1641.9538322794367</v>
      </c>
      <c r="F46">
        <v>1739.7611515093568</v>
      </c>
      <c r="G46">
        <v>2130.1187371862993</v>
      </c>
      <c r="H46">
        <v>2215.3234866737512</v>
      </c>
      <c r="I46">
        <v>2334.3195017846979</v>
      </c>
      <c r="J46">
        <v>2768.2999072771968</v>
      </c>
      <c r="K46">
        <v>2879.0319035682846</v>
      </c>
      <c r="L46">
        <v>3468.4954581325833</v>
      </c>
      <c r="M46">
        <v>3773.3953542637009</v>
      </c>
      <c r="N46">
        <v>4044.4147739367281</v>
      </c>
      <c r="O46">
        <v>4044.4147739367281</v>
      </c>
      <c r="P46">
        <v>4044.4147739367281</v>
      </c>
      <c r="Q46">
        <v>4281.5781091433564</v>
      </c>
      <c r="R46">
        <v>4281.5781091433564</v>
      </c>
      <c r="S46">
        <v>4545.7677711430479</v>
      </c>
      <c r="T46">
        <v>4545.7677711430479</v>
      </c>
      <c r="U46">
        <v>4789.6876880479413</v>
      </c>
      <c r="V46">
        <v>4789.6876880479413</v>
      </c>
      <c r="W46">
        <v>4999.7027365030553</v>
      </c>
      <c r="X46">
        <v>4999.7027365030553</v>
      </c>
      <c r="Y46">
        <v>4999.7027365030553</v>
      </c>
      <c r="Z46">
        <v>4999.7027365030553</v>
      </c>
      <c r="AA46">
        <v>4999.7027365030553</v>
      </c>
    </row>
    <row r="47" spans="1:27" x14ac:dyDescent="0.2">
      <c r="A47" t="s">
        <v>634</v>
      </c>
      <c r="B47" t="s">
        <v>635</v>
      </c>
      <c r="C47">
        <v>5722.6114512209442</v>
      </c>
      <c r="D47">
        <v>6245.278854607126</v>
      </c>
      <c r="E47">
        <v>6495.0900087914106</v>
      </c>
      <c r="F47">
        <v>6881.9872098138158</v>
      </c>
      <c r="G47">
        <v>8426.1278578285492</v>
      </c>
      <c r="H47">
        <v>8763.1729721416923</v>
      </c>
      <c r="I47">
        <v>9233.8864682453786</v>
      </c>
      <c r="J47">
        <v>10950.586256212297</v>
      </c>
      <c r="K47">
        <v>11388.609706460787</v>
      </c>
      <c r="L47">
        <v>13720.35544043321</v>
      </c>
      <c r="M47">
        <v>14926.450417107155</v>
      </c>
      <c r="N47">
        <v>15998.524119973086</v>
      </c>
      <c r="O47">
        <v>15998.524119973086</v>
      </c>
      <c r="P47">
        <v>15998.524119973086</v>
      </c>
      <c r="Q47">
        <v>16936.673036629149</v>
      </c>
      <c r="R47">
        <v>16936.673036629149</v>
      </c>
      <c r="S47">
        <v>17981.730212017592</v>
      </c>
      <c r="T47">
        <v>17981.730212017592</v>
      </c>
      <c r="U47">
        <v>18946.606193356743</v>
      </c>
      <c r="V47">
        <v>18946.606193356743</v>
      </c>
      <c r="W47">
        <v>19777.364413289757</v>
      </c>
      <c r="X47">
        <v>19777.364413289757</v>
      </c>
      <c r="Y47">
        <v>19777.364413289757</v>
      </c>
      <c r="Z47">
        <v>19777.364413289757</v>
      </c>
      <c r="AA47">
        <v>19777.364413289757</v>
      </c>
    </row>
    <row r="48" spans="1:27" x14ac:dyDescent="0.2">
      <c r="A48" t="s">
        <v>811</v>
      </c>
      <c r="B48" t="s">
        <v>812</v>
      </c>
      <c r="C48">
        <v>1302.8126449764572</v>
      </c>
      <c r="D48">
        <v>1421.8033729077147</v>
      </c>
      <c r="E48">
        <v>1478.675507824023</v>
      </c>
      <c r="F48">
        <v>1566.7567221602587</v>
      </c>
      <c r="G48">
        <v>1918.2965705325478</v>
      </c>
      <c r="H48">
        <v>1995.0284333538498</v>
      </c>
      <c r="I48">
        <v>2102.1913082252722</v>
      </c>
      <c r="J48">
        <v>2493.0160585085591</v>
      </c>
      <c r="K48">
        <v>2592.7367008489014</v>
      </c>
      <c r="L48">
        <v>3123.5831252450657</v>
      </c>
      <c r="M48">
        <v>3398.1633234722494</v>
      </c>
      <c r="N48">
        <v>3642.2321700724283</v>
      </c>
      <c r="O48">
        <v>3642.2321700724283</v>
      </c>
      <c r="P48">
        <v>3642.2321700724283</v>
      </c>
      <c r="Q48">
        <v>3855.8116314614608</v>
      </c>
      <c r="R48">
        <v>3855.8116314614608</v>
      </c>
      <c r="S48">
        <v>4093.7298816213524</v>
      </c>
      <c r="T48">
        <v>4093.7298816213524</v>
      </c>
      <c r="U48">
        <v>4313.3940402030985</v>
      </c>
      <c r="V48">
        <v>4313.3940402030985</v>
      </c>
      <c r="W48">
        <v>4502.524880741983</v>
      </c>
      <c r="X48">
        <v>4502.524880741983</v>
      </c>
      <c r="Y48">
        <v>4502.524880741983</v>
      </c>
      <c r="Z48">
        <v>4502.524880741983</v>
      </c>
      <c r="AA48">
        <v>4502.524880741983</v>
      </c>
    </row>
    <row r="49" spans="1:27" x14ac:dyDescent="0.2">
      <c r="A49" t="s">
        <v>559</v>
      </c>
      <c r="B49" t="s">
        <v>560</v>
      </c>
      <c r="C49">
        <v>9859.5352182310235</v>
      </c>
      <c r="D49">
        <v>10760.043266878631</v>
      </c>
      <c r="E49">
        <v>11190.444997553775</v>
      </c>
      <c r="F49">
        <v>11857.033426950209</v>
      </c>
      <c r="G49">
        <v>14517.446287542924</v>
      </c>
      <c r="H49">
        <v>15098.144139044642</v>
      </c>
      <c r="I49">
        <v>15909.140365521065</v>
      </c>
      <c r="J49">
        <v>18866.856814185136</v>
      </c>
      <c r="K49">
        <v>19621.531086752537</v>
      </c>
      <c r="L49">
        <v>23638.915349169318</v>
      </c>
      <c r="M49">
        <v>25716.90649017386</v>
      </c>
      <c r="N49">
        <v>27563.991255589972</v>
      </c>
      <c r="O49">
        <v>27563.991255589972</v>
      </c>
      <c r="P49">
        <v>27563.991255589972</v>
      </c>
      <c r="Q49">
        <v>29180.335884708948</v>
      </c>
      <c r="R49">
        <v>29180.335884708948</v>
      </c>
      <c r="S49">
        <v>30980.873648566572</v>
      </c>
      <c r="T49">
        <v>30980.873648566572</v>
      </c>
      <c r="U49">
        <v>32643.266561370201</v>
      </c>
      <c r="V49">
        <v>32643.266561370201</v>
      </c>
      <c r="W49">
        <v>34074.586859294133</v>
      </c>
      <c r="X49">
        <v>34074.586859294133</v>
      </c>
      <c r="Y49">
        <v>34074.586859294133</v>
      </c>
      <c r="Z49">
        <v>34074.586859294133</v>
      </c>
      <c r="AA49">
        <v>34074.586859294133</v>
      </c>
    </row>
    <row r="50" spans="1:27" x14ac:dyDescent="0.2">
      <c r="A50" t="s">
        <v>336</v>
      </c>
      <c r="B50" t="s">
        <v>337</v>
      </c>
      <c r="C50">
        <v>1036697.0252463705</v>
      </c>
      <c r="D50">
        <v>1131382.4231459771</v>
      </c>
      <c r="E50">
        <v>1176637.7200718161</v>
      </c>
      <c r="F50">
        <v>1246727.2553818708</v>
      </c>
      <c r="G50">
        <v>1526460.7354554373</v>
      </c>
      <c r="H50">
        <v>1587519.164873655</v>
      </c>
      <c r="I50">
        <v>1672792.6952039199</v>
      </c>
      <c r="J50">
        <v>1983786.6493796261</v>
      </c>
      <c r="K50">
        <v>2063138.1153548111</v>
      </c>
      <c r="L50">
        <v>2485552.5823590984</v>
      </c>
      <c r="M50">
        <v>2704046.3740729671</v>
      </c>
      <c r="N50">
        <v>2898261.1356515898</v>
      </c>
      <c r="O50">
        <v>2898261.1356515898</v>
      </c>
      <c r="P50">
        <v>2898261.1356515898</v>
      </c>
      <c r="Q50">
        <v>3068214.3465983057</v>
      </c>
      <c r="R50">
        <v>3068214.3465983057</v>
      </c>
      <c r="S50">
        <v>3257534.8472425393</v>
      </c>
      <c r="T50">
        <v>3257534.8472425393</v>
      </c>
      <c r="U50">
        <v>3432329.8806136334</v>
      </c>
      <c r="V50">
        <v>3432329.8806136334</v>
      </c>
      <c r="W50">
        <v>3582828.4043461462</v>
      </c>
      <c r="X50">
        <v>3582828.4043461462</v>
      </c>
      <c r="Y50">
        <v>3582828.4043461462</v>
      </c>
      <c r="Z50">
        <v>3582828.4043461462</v>
      </c>
      <c r="AA50">
        <v>3582828.4043461462</v>
      </c>
    </row>
    <row r="51" spans="1:27" x14ac:dyDescent="0.2">
      <c r="A51" t="s">
        <v>575</v>
      </c>
      <c r="B51" t="s">
        <v>576</v>
      </c>
      <c r="C51">
        <v>8677.0141092821432</v>
      </c>
      <c r="D51">
        <v>9469.5181037087004</v>
      </c>
      <c r="E51">
        <v>9848.2988278570483</v>
      </c>
      <c r="F51">
        <v>10434.938773750444</v>
      </c>
      <c r="G51">
        <v>12776.270227711253</v>
      </c>
      <c r="H51">
        <v>13287.321036819705</v>
      </c>
      <c r="I51">
        <v>14001.048970637366</v>
      </c>
      <c r="J51">
        <v>16604.026371525299</v>
      </c>
      <c r="K51">
        <v>17268.187426386306</v>
      </c>
      <c r="L51">
        <v>20803.739473803478</v>
      </c>
      <c r="M51">
        <v>22632.503005792238</v>
      </c>
      <c r="N51">
        <v>24258.0543341064</v>
      </c>
      <c r="O51">
        <v>24258.0543341064</v>
      </c>
      <c r="P51">
        <v>24258.0543341064</v>
      </c>
      <c r="Q51">
        <v>25680.539759828538</v>
      </c>
      <c r="R51">
        <v>25680.539759828538</v>
      </c>
      <c r="S51">
        <v>27265.126785026165</v>
      </c>
      <c r="T51">
        <v>27265.126785026165</v>
      </c>
      <c r="U51">
        <v>28728.137610617167</v>
      </c>
      <c r="V51">
        <v>28728.137610617167</v>
      </c>
      <c r="W51">
        <v>29987.789931451021</v>
      </c>
      <c r="X51">
        <v>29987.789931451021</v>
      </c>
      <c r="Y51">
        <v>29987.789931451021</v>
      </c>
      <c r="Z51">
        <v>29987.789931451021</v>
      </c>
      <c r="AA51">
        <v>29987.789931451021</v>
      </c>
    </row>
    <row r="52" spans="1:27" x14ac:dyDescent="0.2">
      <c r="A52" t="s">
        <v>706</v>
      </c>
      <c r="B52" t="s">
        <v>707</v>
      </c>
      <c r="C52">
        <v>3288.0269114703028</v>
      </c>
      <c r="D52">
        <v>3588.3346473232082</v>
      </c>
      <c r="E52">
        <v>3731.8680332161366</v>
      </c>
      <c r="F52">
        <v>3954.1666148650424</v>
      </c>
      <c r="G52">
        <v>4841.3797428303178</v>
      </c>
      <c r="H52">
        <v>5035.0349325435309</v>
      </c>
      <c r="I52">
        <v>5305.4916385376064</v>
      </c>
      <c r="J52">
        <v>6291.8516508963521</v>
      </c>
      <c r="K52">
        <v>6543.5257169322049</v>
      </c>
      <c r="L52">
        <v>7883.2711791846959</v>
      </c>
      <c r="M52">
        <v>8576.2542298244498</v>
      </c>
      <c r="N52">
        <v>9192.2330038771124</v>
      </c>
      <c r="O52">
        <v>9192.2330038771124</v>
      </c>
      <c r="P52">
        <v>9192.2330038771124</v>
      </c>
      <c r="Q52">
        <v>9731.2629399867365</v>
      </c>
      <c r="R52">
        <v>9731.2629399867365</v>
      </c>
      <c r="S52">
        <v>10331.718893705072</v>
      </c>
      <c r="T52">
        <v>10331.718893705072</v>
      </c>
      <c r="U52">
        <v>10886.105334216874</v>
      </c>
      <c r="V52">
        <v>10886.105334216874</v>
      </c>
      <c r="W52">
        <v>11363.432059497536</v>
      </c>
      <c r="X52">
        <v>11363.432059497536</v>
      </c>
      <c r="Y52">
        <v>11363.432059497536</v>
      </c>
      <c r="Z52">
        <v>11363.432059497536</v>
      </c>
      <c r="AA52">
        <v>11363.432059497536</v>
      </c>
    </row>
    <row r="53" spans="1:27" x14ac:dyDescent="0.2">
      <c r="A53" t="s">
        <v>809</v>
      </c>
      <c r="B53" t="s">
        <v>810</v>
      </c>
      <c r="C53">
        <v>1310.4377957539707</v>
      </c>
      <c r="D53">
        <v>1430.1249570865311</v>
      </c>
      <c r="E53">
        <v>1487.3299553699924</v>
      </c>
      <c r="F53">
        <v>1575.9266947455112</v>
      </c>
      <c r="G53">
        <v>1929.5240487449362</v>
      </c>
      <c r="H53">
        <v>2006.7050106947338</v>
      </c>
      <c r="I53">
        <v>2114.4950924648588</v>
      </c>
      <c r="J53">
        <v>2507.6072765245872</v>
      </c>
      <c r="K53">
        <v>2607.9115675855705</v>
      </c>
      <c r="L53">
        <v>3141.8649498711384</v>
      </c>
      <c r="M53">
        <v>3418.0522213947593</v>
      </c>
      <c r="N53">
        <v>3663.5495633066744</v>
      </c>
      <c r="O53">
        <v>3663.5495633066744</v>
      </c>
      <c r="P53">
        <v>3663.5495633066744</v>
      </c>
      <c r="Q53">
        <v>3878.3790705886076</v>
      </c>
      <c r="R53">
        <v>3878.3790705886076</v>
      </c>
      <c r="S53">
        <v>4117.6898176183959</v>
      </c>
      <c r="T53">
        <v>4117.6898176183959</v>
      </c>
      <c r="U53">
        <v>4338.6396348372909</v>
      </c>
      <c r="V53">
        <v>4338.6396348372909</v>
      </c>
      <c r="W53">
        <v>4528.8774274627613</v>
      </c>
      <c r="X53">
        <v>4528.8774274627613</v>
      </c>
      <c r="Y53">
        <v>4528.8774274627613</v>
      </c>
      <c r="Z53">
        <v>4528.8774274627613</v>
      </c>
      <c r="AA53">
        <v>4528.8774274627613</v>
      </c>
    </row>
    <row r="54" spans="1:27" x14ac:dyDescent="0.2">
      <c r="A54" t="s">
        <v>636</v>
      </c>
      <c r="B54" t="s">
        <v>145</v>
      </c>
      <c r="C54">
        <v>5717.9721854488153</v>
      </c>
      <c r="D54">
        <v>6240.215867424693</v>
      </c>
      <c r="E54">
        <v>6489.8245021216808</v>
      </c>
      <c r="F54">
        <v>6876.4080493240881</v>
      </c>
      <c r="G54">
        <v>8419.296877445624</v>
      </c>
      <c r="H54">
        <v>8756.0687525434478</v>
      </c>
      <c r="I54">
        <v>9226.4006457671276</v>
      </c>
      <c r="J54">
        <v>10941.708721814544</v>
      </c>
      <c r="K54">
        <v>11379.377070687124</v>
      </c>
      <c r="L54">
        <v>13709.232480938441</v>
      </c>
      <c r="M54">
        <v>14914.349688076411</v>
      </c>
      <c r="N54">
        <v>15985.554271157207</v>
      </c>
      <c r="O54">
        <v>15985.554271157207</v>
      </c>
      <c r="P54">
        <v>15985.554271157207</v>
      </c>
      <c r="Q54">
        <v>16922.942639557405</v>
      </c>
      <c r="R54">
        <v>16922.942639557405</v>
      </c>
      <c r="S54">
        <v>17967.152597198317</v>
      </c>
      <c r="T54">
        <v>17967.152597198317</v>
      </c>
      <c r="U54">
        <v>18931.246362908692</v>
      </c>
      <c r="V54">
        <v>18931.246362908692</v>
      </c>
      <c r="W54">
        <v>19761.331095185324</v>
      </c>
      <c r="X54">
        <v>19761.331095185324</v>
      </c>
      <c r="Y54">
        <v>19761.331095185324</v>
      </c>
      <c r="Z54">
        <v>19761.331095185324</v>
      </c>
      <c r="AA54">
        <v>19761.331095185324</v>
      </c>
    </row>
    <row r="55" spans="1:27" x14ac:dyDescent="0.2">
      <c r="A55" t="s">
        <v>453</v>
      </c>
      <c r="B55" t="s">
        <v>269</v>
      </c>
      <c r="C55">
        <v>27338.739034011716</v>
      </c>
      <c r="D55">
        <v>29835.68782470949</v>
      </c>
      <c r="E55">
        <v>31029.115337697865</v>
      </c>
      <c r="F55">
        <v>32877.44659378627</v>
      </c>
      <c r="G55">
        <v>40254.298677440813</v>
      </c>
      <c r="H55">
        <v>41864.470624538451</v>
      </c>
      <c r="I55">
        <v>44113.219039393764</v>
      </c>
      <c r="J55">
        <v>52314.441139307179</v>
      </c>
      <c r="K55">
        <v>54407.018784879467</v>
      </c>
      <c r="L55">
        <v>65546.51142003671</v>
      </c>
      <c r="M55">
        <v>71308.411576736398</v>
      </c>
      <c r="N55">
        <v>76430.049388023603</v>
      </c>
      <c r="O55">
        <v>76430.049388023603</v>
      </c>
      <c r="P55">
        <v>76430.049388023603</v>
      </c>
      <c r="Q55">
        <v>80911.88580591089</v>
      </c>
      <c r="R55">
        <v>80911.88580591089</v>
      </c>
      <c r="S55">
        <v>85904.457053688064</v>
      </c>
      <c r="T55">
        <v>85904.457053688064</v>
      </c>
      <c r="U55">
        <v>90513.977179047797</v>
      </c>
      <c r="V55">
        <v>90513.977179047797</v>
      </c>
      <c r="W55">
        <v>94482.774006982538</v>
      </c>
      <c r="X55">
        <v>94482.774006982538</v>
      </c>
      <c r="Y55">
        <v>94482.774006982538</v>
      </c>
      <c r="Z55">
        <v>94482.774006982538</v>
      </c>
      <c r="AA55">
        <v>94482.774006982538</v>
      </c>
    </row>
    <row r="56" spans="1:27" x14ac:dyDescent="0.2">
      <c r="A56" t="s">
        <v>864</v>
      </c>
      <c r="B56" t="s">
        <v>865</v>
      </c>
      <c r="C56">
        <v>614.8029083356023</v>
      </c>
      <c r="D56">
        <v>670.95514624885129</v>
      </c>
      <c r="E56">
        <v>697.79335209880537</v>
      </c>
      <c r="F56">
        <v>739.35925718305305</v>
      </c>
      <c r="G56">
        <v>905.25242839881571</v>
      </c>
      <c r="H56">
        <v>941.46252553476836</v>
      </c>
      <c r="I56">
        <v>992.0331485561203</v>
      </c>
      <c r="J56">
        <v>1176.4650344840022</v>
      </c>
      <c r="K56">
        <v>1223.5236358633622</v>
      </c>
      <c r="L56">
        <v>1474.0323539486208</v>
      </c>
      <c r="M56">
        <v>1603.607934207507</v>
      </c>
      <c r="N56">
        <v>1718.7850759880255</v>
      </c>
      <c r="O56">
        <v>1718.7850759880255</v>
      </c>
      <c r="P56">
        <v>1718.7850759880255</v>
      </c>
      <c r="Q56">
        <v>1819.5741453365977</v>
      </c>
      <c r="R56">
        <v>1819.5741453365977</v>
      </c>
      <c r="S56">
        <v>1931.848794119318</v>
      </c>
      <c r="T56">
        <v>1931.848794119318</v>
      </c>
      <c r="U56">
        <v>2035.5092583264266</v>
      </c>
      <c r="V56">
        <v>2035.5092583264266</v>
      </c>
      <c r="W56">
        <v>2124.7609180087475</v>
      </c>
      <c r="X56">
        <v>2124.7609180087475</v>
      </c>
      <c r="Y56">
        <v>2124.7609180087475</v>
      </c>
      <c r="Z56">
        <v>2124.7609180087475</v>
      </c>
      <c r="AA56">
        <v>2124.7609180087475</v>
      </c>
    </row>
    <row r="57" spans="1:27" x14ac:dyDescent="0.2">
      <c r="A57" t="s">
        <v>653</v>
      </c>
      <c r="B57" t="s">
        <v>654</v>
      </c>
      <c r="C57">
        <v>4350.8963340556675</v>
      </c>
      <c r="D57">
        <v>4748.27989027075</v>
      </c>
      <c r="E57">
        <v>4938.2110858815795</v>
      </c>
      <c r="F57">
        <v>5232.3686794791029</v>
      </c>
      <c r="G57">
        <v>6406.3774239099776</v>
      </c>
      <c r="H57">
        <v>6662.6325208663766</v>
      </c>
      <c r="I57">
        <v>7020.515568150865</v>
      </c>
      <c r="J57">
        <v>8325.7208713251384</v>
      </c>
      <c r="K57">
        <v>8658.7497061781432</v>
      </c>
      <c r="L57">
        <v>10431.573888348687</v>
      </c>
      <c r="M57">
        <v>11348.566813215884</v>
      </c>
      <c r="N57">
        <v>12163.663484271839</v>
      </c>
      <c r="O57">
        <v>12163.663484271839</v>
      </c>
      <c r="P57">
        <v>12163.663484271839</v>
      </c>
      <c r="Q57">
        <v>12876.937260950541</v>
      </c>
      <c r="R57">
        <v>12876.937260950541</v>
      </c>
      <c r="S57">
        <v>13671.493290489474</v>
      </c>
      <c r="T57">
        <v>13671.493290489474</v>
      </c>
      <c r="U57">
        <v>14405.087630383232</v>
      </c>
      <c r="V57">
        <v>14405.087630383232</v>
      </c>
      <c r="W57">
        <v>15036.712357031758</v>
      </c>
      <c r="X57">
        <v>15036.712357031758</v>
      </c>
      <c r="Y57">
        <v>15036.712357031758</v>
      </c>
      <c r="Z57">
        <v>15036.712357031758</v>
      </c>
      <c r="AA57">
        <v>15036.712357031758</v>
      </c>
    </row>
    <row r="58" spans="1:27" x14ac:dyDescent="0.2">
      <c r="A58" t="s">
        <v>667</v>
      </c>
      <c r="B58" t="s">
        <v>668</v>
      </c>
      <c r="C58">
        <v>3898.6864668019953</v>
      </c>
      <c r="D58">
        <v>4254.7680127167523</v>
      </c>
      <c r="E58">
        <v>4424.9587332254223</v>
      </c>
      <c r="F58">
        <v>4688.5430940591114</v>
      </c>
      <c r="G58">
        <v>5740.5313862171415</v>
      </c>
      <c r="H58">
        <v>5970.1526416658271</v>
      </c>
      <c r="I58">
        <v>6290.8391591138989</v>
      </c>
      <c r="J58">
        <v>7460.3881120627348</v>
      </c>
      <c r="K58">
        <v>7758.8036365452435</v>
      </c>
      <c r="L58">
        <v>9347.3695586859158</v>
      </c>
      <c r="M58">
        <v>10169.054938397192</v>
      </c>
      <c r="N58">
        <v>10899.434638714947</v>
      </c>
      <c r="O58">
        <v>10899.434638714947</v>
      </c>
      <c r="P58">
        <v>10899.434638714947</v>
      </c>
      <c r="Q58">
        <v>11538.574394469566</v>
      </c>
      <c r="R58">
        <v>11538.574394469566</v>
      </c>
      <c r="S58">
        <v>12250.548342281794</v>
      </c>
      <c r="T58">
        <v>12250.548342281794</v>
      </c>
      <c r="U58">
        <v>12907.896646050813</v>
      </c>
      <c r="V58">
        <v>12907.896646050813</v>
      </c>
      <c r="W58">
        <v>13473.87353559594</v>
      </c>
      <c r="X58">
        <v>13473.87353559594</v>
      </c>
      <c r="Y58">
        <v>13473.87353559594</v>
      </c>
      <c r="Z58">
        <v>13473.87353559594</v>
      </c>
      <c r="AA58">
        <v>13473.87353559594</v>
      </c>
    </row>
    <row r="59" spans="1:27" x14ac:dyDescent="0.2">
      <c r="A59" t="s">
        <v>799</v>
      </c>
      <c r="B59" t="s">
        <v>800</v>
      </c>
      <c r="C59">
        <v>1388.7460691037252</v>
      </c>
      <c r="D59">
        <v>1515.5854165045255</v>
      </c>
      <c r="E59">
        <v>1576.2088331647064</v>
      </c>
      <c r="F59">
        <v>1670.0998777772957</v>
      </c>
      <c r="G59">
        <v>2044.8272681221738</v>
      </c>
      <c r="H59">
        <v>2126.6203588470607</v>
      </c>
      <c r="I59">
        <v>2240.8516888893259</v>
      </c>
      <c r="J59">
        <v>2657.4552103221163</v>
      </c>
      <c r="K59">
        <v>2763.7534187350007</v>
      </c>
      <c r="L59">
        <v>3329.6144333794073</v>
      </c>
      <c r="M59">
        <v>3622.3059208408404</v>
      </c>
      <c r="N59">
        <v>3882.4735302155586</v>
      </c>
      <c r="O59">
        <v>3882.4735302155586</v>
      </c>
      <c r="P59">
        <v>3882.4735302155586</v>
      </c>
      <c r="Q59">
        <v>4110.1406768225597</v>
      </c>
      <c r="R59">
        <v>4110.1406768225597</v>
      </c>
      <c r="S59">
        <v>4363.7519968781435</v>
      </c>
      <c r="T59">
        <v>4363.7519968781435</v>
      </c>
      <c r="U59">
        <v>4597.9051868472898</v>
      </c>
      <c r="V59">
        <v>4597.9051868472898</v>
      </c>
      <c r="W59">
        <v>4799.5110834107245</v>
      </c>
      <c r="X59">
        <v>4799.5110834107245</v>
      </c>
      <c r="Y59">
        <v>4799.5110834107245</v>
      </c>
      <c r="Z59">
        <v>4799.5110834107245</v>
      </c>
      <c r="AA59">
        <v>4799.5110834107245</v>
      </c>
    </row>
    <row r="60" spans="1:27" x14ac:dyDescent="0.2">
      <c r="A60" t="s">
        <v>583</v>
      </c>
      <c r="B60" t="s">
        <v>243</v>
      </c>
      <c r="C60">
        <v>8396.1358051054649</v>
      </c>
      <c r="D60">
        <v>9162.98613858319</v>
      </c>
      <c r="E60">
        <v>9529.5055841265166</v>
      </c>
      <c r="F60">
        <v>10097.155767978547</v>
      </c>
      <c r="G60">
        <v>12362.697416826497</v>
      </c>
      <c r="H60">
        <v>12857.205313499559</v>
      </c>
      <c r="I60">
        <v>13547.829597931681</v>
      </c>
      <c r="J60">
        <v>16066.547613164181</v>
      </c>
      <c r="K60">
        <v>16709.209517690746</v>
      </c>
      <c r="L60">
        <v>20130.314377296549</v>
      </c>
      <c r="M60">
        <v>21899.880126138261</v>
      </c>
      <c r="N60">
        <v>23472.811728968678</v>
      </c>
      <c r="O60">
        <v>23472.811728968678</v>
      </c>
      <c r="P60">
        <v>23472.811728968678</v>
      </c>
      <c r="Q60">
        <v>24849.250751047715</v>
      </c>
      <c r="R60">
        <v>24849.250751047715</v>
      </c>
      <c r="S60">
        <v>26382.544081104086</v>
      </c>
      <c r="T60">
        <v>26382.544081104086</v>
      </c>
      <c r="U60">
        <v>27798.196680177451</v>
      </c>
      <c r="V60">
        <v>27798.196680177451</v>
      </c>
      <c r="W60">
        <v>29017.07356797962</v>
      </c>
      <c r="X60">
        <v>29017.07356797962</v>
      </c>
      <c r="Y60">
        <v>29017.07356797962</v>
      </c>
      <c r="Z60">
        <v>29017.07356797962</v>
      </c>
      <c r="AA60">
        <v>29017.07356797962</v>
      </c>
    </row>
    <row r="61" spans="1:27" x14ac:dyDescent="0.2">
      <c r="A61" t="s">
        <v>1004</v>
      </c>
      <c r="B61" t="s">
        <v>313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837</v>
      </c>
      <c r="B62" t="s">
        <v>838</v>
      </c>
      <c r="C62">
        <v>917.7536502492577</v>
      </c>
      <c r="D62">
        <v>1001.5755070034198</v>
      </c>
      <c r="E62">
        <v>1041.6385272835566</v>
      </c>
      <c r="F62">
        <v>1103.686478911266</v>
      </c>
      <c r="G62">
        <v>1351.325293514243</v>
      </c>
      <c r="H62">
        <v>1405.3783052548129</v>
      </c>
      <c r="I62">
        <v>1480.8681463794587</v>
      </c>
      <c r="J62">
        <v>1756.1808266510895</v>
      </c>
      <c r="K62">
        <v>1826.4280597171328</v>
      </c>
      <c r="L62">
        <v>2200.3776414853928</v>
      </c>
      <c r="M62">
        <v>2393.8029817911097</v>
      </c>
      <c r="N62">
        <v>2565.7348982820554</v>
      </c>
      <c r="O62">
        <v>2565.7348982820554</v>
      </c>
      <c r="P62">
        <v>2565.7348982820554</v>
      </c>
      <c r="Q62">
        <v>2716.1888649854545</v>
      </c>
      <c r="R62">
        <v>2716.1888649854545</v>
      </c>
      <c r="S62">
        <v>2883.7880538535528</v>
      </c>
      <c r="T62">
        <v>2883.7880538535528</v>
      </c>
      <c r="U62">
        <v>3038.5283260981264</v>
      </c>
      <c r="V62">
        <v>3038.5283260981264</v>
      </c>
      <c r="W62">
        <v>3171.7597005007042</v>
      </c>
      <c r="X62">
        <v>3171.7597005007042</v>
      </c>
      <c r="Y62">
        <v>3171.7597005007042</v>
      </c>
      <c r="Z62">
        <v>3171.7597005007042</v>
      </c>
      <c r="AA62">
        <v>3171.7597005007042</v>
      </c>
    </row>
    <row r="63" spans="1:27" x14ac:dyDescent="0.2">
      <c r="A63" t="s">
        <v>841</v>
      </c>
      <c r="B63" t="s">
        <v>842</v>
      </c>
      <c r="C63">
        <v>900.01071989794468</v>
      </c>
      <c r="D63">
        <v>982.21204878397691</v>
      </c>
      <c r="E63">
        <v>1021.5005307353359</v>
      </c>
      <c r="F63">
        <v>1082.3489093797366</v>
      </c>
      <c r="G63">
        <v>1325.2001230414489</v>
      </c>
      <c r="H63">
        <v>1378.2081279631068</v>
      </c>
      <c r="I63">
        <v>1452.2385240689914</v>
      </c>
      <c r="J63">
        <v>1722.2285845836034</v>
      </c>
      <c r="K63">
        <v>1791.1177279669473</v>
      </c>
      <c r="L63">
        <v>2157.8377428656941</v>
      </c>
      <c r="M63">
        <v>2347.5235912714975</v>
      </c>
      <c r="N63">
        <v>2516.1315482024474</v>
      </c>
      <c r="O63">
        <v>2516.1315482024474</v>
      </c>
      <c r="P63">
        <v>2516.1315482024474</v>
      </c>
      <c r="Q63">
        <v>2663.676788526418</v>
      </c>
      <c r="R63">
        <v>2663.676788526418</v>
      </c>
      <c r="S63">
        <v>2828.0357824530793</v>
      </c>
      <c r="T63">
        <v>2828.0357824530793</v>
      </c>
      <c r="U63">
        <v>2979.7844611777214</v>
      </c>
      <c r="V63">
        <v>2979.7844611777214</v>
      </c>
      <c r="W63">
        <v>3110.4400735596387</v>
      </c>
      <c r="X63">
        <v>3110.4400735596387</v>
      </c>
      <c r="Y63">
        <v>3110.4400735596387</v>
      </c>
      <c r="Z63">
        <v>3110.4400735596387</v>
      </c>
      <c r="AA63">
        <v>3110.4400735596387</v>
      </c>
    </row>
    <row r="64" spans="1:27" x14ac:dyDescent="0.2">
      <c r="A64" t="s">
        <v>710</v>
      </c>
      <c r="B64" t="s">
        <v>711</v>
      </c>
      <c r="C64">
        <v>3229.2252581037901</v>
      </c>
      <c r="D64">
        <v>3524.1624200951183</v>
      </c>
      <c r="E64">
        <v>3665.1289168989229</v>
      </c>
      <c r="F64">
        <v>3883.4520067121671</v>
      </c>
      <c r="G64">
        <v>4754.7985982355294</v>
      </c>
      <c r="H64">
        <v>4944.990542164951</v>
      </c>
      <c r="I64">
        <v>5210.6105172244243</v>
      </c>
      <c r="J64">
        <v>6179.330893076858</v>
      </c>
      <c r="K64">
        <v>6426.5041287999311</v>
      </c>
      <c r="L64">
        <v>7742.2901617679763</v>
      </c>
      <c r="M64">
        <v>8422.8802027914044</v>
      </c>
      <c r="N64">
        <v>9027.8430784563079</v>
      </c>
      <c r="O64">
        <v>9027.8430784563079</v>
      </c>
      <c r="P64">
        <v>9027.8430784563079</v>
      </c>
      <c r="Q64">
        <v>9557.2332359659704</v>
      </c>
      <c r="R64">
        <v>9557.2332359659704</v>
      </c>
      <c r="S64">
        <v>10146.950894711954</v>
      </c>
      <c r="T64">
        <v>10146.950894711954</v>
      </c>
      <c r="U64">
        <v>10691.422927530693</v>
      </c>
      <c r="V64">
        <v>10691.422927530693</v>
      </c>
      <c r="W64">
        <v>11160.21334778763</v>
      </c>
      <c r="X64">
        <v>11160.21334778763</v>
      </c>
      <c r="Y64">
        <v>11160.21334778763</v>
      </c>
      <c r="Z64">
        <v>11160.21334778763</v>
      </c>
      <c r="AA64">
        <v>11160.21334778763</v>
      </c>
    </row>
    <row r="65" spans="1:27" x14ac:dyDescent="0.2">
      <c r="A65" t="s">
        <v>724</v>
      </c>
      <c r="B65" t="s">
        <v>725</v>
      </c>
      <c r="C65">
        <v>2921.6225060170482</v>
      </c>
      <c r="D65">
        <v>3188.4651637635843</v>
      </c>
      <c r="E65">
        <v>3316.0037703141275</v>
      </c>
      <c r="F65">
        <v>3513.5302981340255</v>
      </c>
      <c r="G65">
        <v>4301.8759875365567</v>
      </c>
      <c r="H65">
        <v>4473.9510270380197</v>
      </c>
      <c r="I65">
        <v>4714.2691328232868</v>
      </c>
      <c r="J65">
        <v>5590.7131792784685</v>
      </c>
      <c r="K65">
        <v>5814.3417064496061</v>
      </c>
      <c r="L65">
        <v>7004.7913591566057</v>
      </c>
      <c r="M65">
        <v>7620.5511845931023</v>
      </c>
      <c r="N65">
        <v>8167.8877782270929</v>
      </c>
      <c r="O65">
        <v>8167.8877782270929</v>
      </c>
      <c r="P65">
        <v>8167.8877782270929</v>
      </c>
      <c r="Q65">
        <v>8646.850400844618</v>
      </c>
      <c r="R65">
        <v>8646.850400844618</v>
      </c>
      <c r="S65">
        <v>9180.393974388835</v>
      </c>
      <c r="T65">
        <v>9180.393974388835</v>
      </c>
      <c r="U65">
        <v>9673.0018347380301</v>
      </c>
      <c r="V65">
        <v>9673.0018347380301</v>
      </c>
      <c r="W65">
        <v>10097.137202498689</v>
      </c>
      <c r="X65">
        <v>10097.137202498689</v>
      </c>
      <c r="Y65">
        <v>10097.137202498689</v>
      </c>
      <c r="Z65">
        <v>10097.137202498689</v>
      </c>
      <c r="AA65">
        <v>10097.137202498689</v>
      </c>
    </row>
    <row r="66" spans="1:27" x14ac:dyDescent="0.2">
      <c r="A66" t="s">
        <v>866</v>
      </c>
      <c r="B66" t="s">
        <v>867</v>
      </c>
      <c r="C66">
        <v>588.14756867777623</v>
      </c>
      <c r="D66">
        <v>641.8652752089655</v>
      </c>
      <c r="E66">
        <v>667.53988621732412</v>
      </c>
      <c r="F66">
        <v>707.30366365516056</v>
      </c>
      <c r="G66">
        <v>866.0043854440961</v>
      </c>
      <c r="H66">
        <v>900.64456086185999</v>
      </c>
      <c r="I66">
        <v>949.02264849493395</v>
      </c>
      <c r="J66">
        <v>1125.4583221465111</v>
      </c>
      <c r="K66">
        <v>1170.4766550323714</v>
      </c>
      <c r="L66">
        <v>1410.1243396428758</v>
      </c>
      <c r="M66">
        <v>1534.0820526855662</v>
      </c>
      <c r="N66">
        <v>1644.2655846549524</v>
      </c>
      <c r="O66">
        <v>1644.2655846549524</v>
      </c>
      <c r="P66">
        <v>1644.2655846549524</v>
      </c>
      <c r="Q66">
        <v>1740.6848521680786</v>
      </c>
      <c r="R66">
        <v>1740.6848521680786</v>
      </c>
      <c r="S66">
        <v>1848.0917313653094</v>
      </c>
      <c r="T66">
        <v>1848.0917313653094</v>
      </c>
      <c r="U66">
        <v>1947.2579017994615</v>
      </c>
      <c r="V66">
        <v>1947.2579017994615</v>
      </c>
      <c r="W66">
        <v>2032.6399745432666</v>
      </c>
      <c r="X66">
        <v>2032.6399745432666</v>
      </c>
      <c r="Y66">
        <v>2032.6399745432666</v>
      </c>
      <c r="Z66">
        <v>2032.6399745432666</v>
      </c>
      <c r="AA66">
        <v>2032.6399745432666</v>
      </c>
    </row>
    <row r="67" spans="1:27" x14ac:dyDescent="0.2">
      <c r="A67" t="s">
        <v>736</v>
      </c>
      <c r="B67" t="s">
        <v>233</v>
      </c>
      <c r="C67">
        <v>2565.9315259486661</v>
      </c>
      <c r="D67">
        <v>2800.2876026045778</v>
      </c>
      <c r="E67">
        <v>2912.299106708761</v>
      </c>
      <c r="F67">
        <v>3085.7778993660677</v>
      </c>
      <c r="G67">
        <v>3778.1469695035248</v>
      </c>
      <c r="H67">
        <v>3929.2728482836656</v>
      </c>
      <c r="I67">
        <v>4140.3335868358645</v>
      </c>
      <c r="J67">
        <v>4910.075538404828</v>
      </c>
      <c r="K67">
        <v>5106.4785599410206</v>
      </c>
      <c r="L67">
        <v>6151.997715014817</v>
      </c>
      <c r="M67">
        <v>6692.7922718907184</v>
      </c>
      <c r="N67">
        <v>7173.49373760657</v>
      </c>
      <c r="O67">
        <v>7173.49373760657</v>
      </c>
      <c r="P67">
        <v>7173.49373760657</v>
      </c>
      <c r="Q67">
        <v>7594.145375726921</v>
      </c>
      <c r="R67">
        <v>7594.145375726921</v>
      </c>
      <c r="S67">
        <v>8062.7330433687548</v>
      </c>
      <c r="T67">
        <v>8062.7330433687548</v>
      </c>
      <c r="U67">
        <v>8495.3686888694756</v>
      </c>
      <c r="V67">
        <v>8495.3686888694756</v>
      </c>
      <c r="W67">
        <v>8867.8679796455963</v>
      </c>
      <c r="X67">
        <v>8867.8679796455963</v>
      </c>
      <c r="Y67">
        <v>8867.8679796455963</v>
      </c>
      <c r="Z67">
        <v>8867.8679796455963</v>
      </c>
      <c r="AA67">
        <v>8867.8679796455963</v>
      </c>
    </row>
    <row r="68" spans="1:27" x14ac:dyDescent="0.2">
      <c r="A68" t="s">
        <v>537</v>
      </c>
      <c r="B68" t="s">
        <v>137</v>
      </c>
      <c r="C68">
        <v>12605.519540128224</v>
      </c>
      <c r="D68">
        <v>13756.828557441799</v>
      </c>
      <c r="E68">
        <v>14307.101699739469</v>
      </c>
      <c r="F68">
        <v>15159.34202202595</v>
      </c>
      <c r="G68">
        <v>18560.707862983596</v>
      </c>
      <c r="H68">
        <v>19303.136177502944</v>
      </c>
      <c r="I68">
        <v>20340.003388131252</v>
      </c>
      <c r="J68">
        <v>24121.474995317512</v>
      </c>
      <c r="K68">
        <v>25086.333995130211</v>
      </c>
      <c r="L68">
        <v>30222.60205434449</v>
      </c>
      <c r="M68">
        <v>32879.335597291945</v>
      </c>
      <c r="N68">
        <v>35240.852908947076</v>
      </c>
      <c r="O68">
        <v>35240.852908947076</v>
      </c>
      <c r="P68">
        <v>35240.852908947076</v>
      </c>
      <c r="Q68">
        <v>37307.366527993319</v>
      </c>
      <c r="R68">
        <v>37307.366527993319</v>
      </c>
      <c r="S68">
        <v>39609.373008286442</v>
      </c>
      <c r="T68">
        <v>39609.373008286442</v>
      </c>
      <c r="U68">
        <v>41734.759842644395</v>
      </c>
      <c r="V68">
        <v>41734.759842644395</v>
      </c>
      <c r="W68">
        <v>43564.717907026607</v>
      </c>
      <c r="X68">
        <v>43564.717907026607</v>
      </c>
      <c r="Y68">
        <v>43564.717907026607</v>
      </c>
      <c r="Z68">
        <v>43564.717907026607</v>
      </c>
      <c r="AA68">
        <v>43564.717907026607</v>
      </c>
    </row>
    <row r="69" spans="1:27" x14ac:dyDescent="0.2">
      <c r="A69" t="s">
        <v>595</v>
      </c>
      <c r="B69" t="s">
        <v>596</v>
      </c>
      <c r="C69">
        <v>7609.1090920599554</v>
      </c>
      <c r="D69">
        <v>8304.0773465236834</v>
      </c>
      <c r="E69">
        <v>8636.2404403846303</v>
      </c>
      <c r="F69">
        <v>9150.6809253076517</v>
      </c>
      <c r="G69">
        <v>11203.858000910337</v>
      </c>
      <c r="H69">
        <v>11652.012320946751</v>
      </c>
      <c r="I69">
        <v>12277.899710556912</v>
      </c>
      <c r="J69">
        <v>14560.521215843544</v>
      </c>
      <c r="K69">
        <v>15142.942064477285</v>
      </c>
      <c r="L69">
        <v>18243.363579370827</v>
      </c>
      <c r="M69">
        <v>19847.055937505596</v>
      </c>
      <c r="N69">
        <v>21272.546000804428</v>
      </c>
      <c r="O69">
        <v>21272.546000804428</v>
      </c>
      <c r="P69">
        <v>21272.546000804428</v>
      </c>
      <c r="Q69">
        <v>22519.962064655974</v>
      </c>
      <c r="R69">
        <v>22519.962064655974</v>
      </c>
      <c r="S69">
        <v>23909.529419132596</v>
      </c>
      <c r="T69">
        <v>23909.529419132596</v>
      </c>
      <c r="U69">
        <v>25192.483305640406</v>
      </c>
      <c r="V69">
        <v>25192.483305640406</v>
      </c>
      <c r="W69">
        <v>26297.106601923635</v>
      </c>
      <c r="X69">
        <v>26297.106601923635</v>
      </c>
      <c r="Y69">
        <v>26297.106601923635</v>
      </c>
      <c r="Z69">
        <v>26297.106601923635</v>
      </c>
      <c r="AA69">
        <v>26297.106601923635</v>
      </c>
    </row>
    <row r="70" spans="1:27" x14ac:dyDescent="0.2">
      <c r="A70" t="s">
        <v>731</v>
      </c>
      <c r="B70" t="s">
        <v>732</v>
      </c>
      <c r="C70">
        <v>2603.5613580616618</v>
      </c>
      <c r="D70">
        <v>2841.3543073425985</v>
      </c>
      <c r="E70">
        <v>2955.0084796363021</v>
      </c>
      <c r="F70">
        <v>3131.0313689605869</v>
      </c>
      <c r="G70">
        <v>3833.5541519333351</v>
      </c>
      <c r="H70">
        <v>3986.8963180106689</v>
      </c>
      <c r="I70">
        <v>4201.0522990029122</v>
      </c>
      <c r="J70">
        <v>4982.0826501705978</v>
      </c>
      <c r="K70">
        <v>5181.3659561774211</v>
      </c>
      <c r="L70">
        <v>6242.2178315044612</v>
      </c>
      <c r="M70">
        <v>6790.9432346157619</v>
      </c>
      <c r="N70">
        <v>7278.6942709333343</v>
      </c>
      <c r="O70">
        <v>7278.6942709333343</v>
      </c>
      <c r="P70">
        <v>7278.6942709333343</v>
      </c>
      <c r="Q70">
        <v>7705.5148384894292</v>
      </c>
      <c r="R70">
        <v>7705.5148384894292</v>
      </c>
      <c r="S70">
        <v>8180.9744257773109</v>
      </c>
      <c r="T70">
        <v>8180.9744257773109</v>
      </c>
      <c r="U70">
        <v>8619.9547482663511</v>
      </c>
      <c r="V70">
        <v>8619.9547482663511</v>
      </c>
      <c r="W70">
        <v>8997.9168059294152</v>
      </c>
      <c r="X70">
        <v>8997.9168059294152</v>
      </c>
      <c r="Y70">
        <v>8997.9168059294152</v>
      </c>
      <c r="Z70">
        <v>8997.9168059294152</v>
      </c>
      <c r="AA70">
        <v>8997.9168059294152</v>
      </c>
    </row>
    <row r="71" spans="1:27" x14ac:dyDescent="0.2">
      <c r="A71" t="s">
        <v>548</v>
      </c>
      <c r="B71" t="s">
        <v>549</v>
      </c>
      <c r="C71">
        <v>10697.884671194279</v>
      </c>
      <c r="D71">
        <v>11674.962295715684</v>
      </c>
      <c r="E71">
        <v>12141.960787544311</v>
      </c>
      <c r="F71">
        <v>12865.228769553205</v>
      </c>
      <c r="G71">
        <v>15751.854693639038</v>
      </c>
      <c r="H71">
        <v>16381.9288813846</v>
      </c>
      <c r="I71">
        <v>17261.88355547269</v>
      </c>
      <c r="J71">
        <v>20471.092585873572</v>
      </c>
      <c r="K71">
        <v>21289.936289308513</v>
      </c>
      <c r="L71">
        <v>25648.915953962169</v>
      </c>
      <c r="M71">
        <v>27903.59724290618</v>
      </c>
      <c r="N71">
        <v>29907.738347022732</v>
      </c>
      <c r="O71">
        <v>29907.738347022732</v>
      </c>
      <c r="P71">
        <v>29907.738347022732</v>
      </c>
      <c r="Q71">
        <v>31661.519640814942</v>
      </c>
      <c r="R71">
        <v>31661.519640814942</v>
      </c>
      <c r="S71">
        <v>33615.155884059161</v>
      </c>
      <c r="T71">
        <v>33615.155884059161</v>
      </c>
      <c r="U71">
        <v>35418.900915214363</v>
      </c>
      <c r="V71">
        <v>35418.900915214363</v>
      </c>
      <c r="W71">
        <v>36971.925387039002</v>
      </c>
      <c r="X71">
        <v>36971.925387039002</v>
      </c>
      <c r="Y71">
        <v>36971.925387039002</v>
      </c>
      <c r="Z71">
        <v>36971.925387039002</v>
      </c>
      <c r="AA71">
        <v>36971.925387039002</v>
      </c>
    </row>
    <row r="72" spans="1:27" x14ac:dyDescent="0.2">
      <c r="A72" t="s">
        <v>769</v>
      </c>
      <c r="B72" t="s">
        <v>770</v>
      </c>
      <c r="C72">
        <v>1996.156581257934</v>
      </c>
      <c r="D72">
        <v>2178.4729915142557</v>
      </c>
      <c r="E72">
        <v>2265.6119111748262</v>
      </c>
      <c r="F72">
        <v>2400.569072022497</v>
      </c>
      <c r="G72">
        <v>2939.1949324703296</v>
      </c>
      <c r="H72">
        <v>3056.7627297691429</v>
      </c>
      <c r="I72">
        <v>3220.9566211670699</v>
      </c>
      <c r="J72">
        <v>3819.7744177279633</v>
      </c>
      <c r="K72">
        <v>3972.5653944370815</v>
      </c>
      <c r="L72">
        <v>4785.9230078910059</v>
      </c>
      <c r="M72">
        <v>5206.6320575672971</v>
      </c>
      <c r="N72">
        <v>5580.5919176435591</v>
      </c>
      <c r="O72">
        <v>5580.5919176435591</v>
      </c>
      <c r="P72">
        <v>5580.5919176435591</v>
      </c>
      <c r="Q72">
        <v>5907.8362448437656</v>
      </c>
      <c r="R72">
        <v>5907.8362448437656</v>
      </c>
      <c r="S72">
        <v>6272.3722222072802</v>
      </c>
      <c r="T72">
        <v>6272.3722222072802</v>
      </c>
      <c r="U72">
        <v>6608.9394619483128</v>
      </c>
      <c r="V72">
        <v>6608.9394619483128</v>
      </c>
      <c r="W72">
        <v>6898.7238553653424</v>
      </c>
      <c r="X72">
        <v>6898.7238553653424</v>
      </c>
      <c r="Y72">
        <v>6898.7238553653424</v>
      </c>
      <c r="Z72">
        <v>6898.7238553653424</v>
      </c>
      <c r="AA72">
        <v>6898.7238553653424</v>
      </c>
    </row>
    <row r="73" spans="1:27" x14ac:dyDescent="0.2">
      <c r="A73" t="s">
        <v>922</v>
      </c>
      <c r="B73" t="s">
        <v>923</v>
      </c>
      <c r="C73">
        <v>88.513088958644445</v>
      </c>
      <c r="D73">
        <v>96.597318818743446</v>
      </c>
      <c r="E73">
        <v>100.46121157149318</v>
      </c>
      <c r="F73">
        <v>106.44544912874342</v>
      </c>
      <c r="G73">
        <v>130.32906584943242</v>
      </c>
      <c r="H73">
        <v>135.54222848340973</v>
      </c>
      <c r="I73">
        <v>142.82287402606158</v>
      </c>
      <c r="J73">
        <v>169.37550691802255</v>
      </c>
      <c r="K73">
        <v>176.15052719474346</v>
      </c>
      <c r="L73">
        <v>212.21623239582024</v>
      </c>
      <c r="M73">
        <v>230.8712106121271</v>
      </c>
      <c r="N73">
        <v>247.45324764903793</v>
      </c>
      <c r="O73">
        <v>247.45324764903793</v>
      </c>
      <c r="P73">
        <v>247.45324764903793</v>
      </c>
      <c r="Q73">
        <v>261.96383590481008</v>
      </c>
      <c r="R73">
        <v>261.96383590481008</v>
      </c>
      <c r="S73">
        <v>278.12800142967575</v>
      </c>
      <c r="T73">
        <v>278.12800142967575</v>
      </c>
      <c r="U73">
        <v>293.05198400272116</v>
      </c>
      <c r="V73">
        <v>293.05198400272116</v>
      </c>
      <c r="W73">
        <v>305.90153299811334</v>
      </c>
      <c r="X73">
        <v>305.90153299811334</v>
      </c>
      <c r="Y73">
        <v>305.90153299811334</v>
      </c>
      <c r="Z73">
        <v>305.90153299811334</v>
      </c>
      <c r="AA73">
        <v>305.90153299811334</v>
      </c>
    </row>
    <row r="74" spans="1:27" x14ac:dyDescent="0.2">
      <c r="A74" t="s">
        <v>944</v>
      </c>
      <c r="B74" t="s">
        <v>945</v>
      </c>
      <c r="C74">
        <v>3.8582340177929244</v>
      </c>
      <c r="D74">
        <v>4.2106208909757648</v>
      </c>
      <c r="E74">
        <v>4.3790457266147946</v>
      </c>
      <c r="F74">
        <v>4.6398951578748937</v>
      </c>
      <c r="G74">
        <v>5.6809681063372892</v>
      </c>
      <c r="H74">
        <v>5.9082068305907809</v>
      </c>
      <c r="I74">
        <v>6.2255659312010456</v>
      </c>
      <c r="J74">
        <v>7.3829797407405211</v>
      </c>
      <c r="K74">
        <v>7.6782989303701417</v>
      </c>
      <c r="L74">
        <v>9.2503820236118663</v>
      </c>
      <c r="M74">
        <v>10.063541663639453</v>
      </c>
      <c r="N74">
        <v>10.786343004467174</v>
      </c>
      <c r="O74">
        <v>10.786343004467174</v>
      </c>
      <c r="P74">
        <v>10.786343004467174</v>
      </c>
      <c r="Q74">
        <v>11.418851098866233</v>
      </c>
      <c r="R74">
        <v>11.418851098866233</v>
      </c>
      <c r="S74">
        <v>12.12343766375734</v>
      </c>
      <c r="T74">
        <v>12.12343766375734</v>
      </c>
      <c r="U74">
        <v>12.773965375779408</v>
      </c>
      <c r="V74">
        <v>12.773965375779408</v>
      </c>
      <c r="W74">
        <v>13.334069735830409</v>
      </c>
      <c r="X74">
        <v>13.334069735830409</v>
      </c>
      <c r="Y74">
        <v>13.334069735830409</v>
      </c>
      <c r="Z74">
        <v>13.334069735830409</v>
      </c>
      <c r="AA74">
        <v>13.334069735830409</v>
      </c>
    </row>
    <row r="75" spans="1:27" x14ac:dyDescent="0.2">
      <c r="A75" t="s">
        <v>746</v>
      </c>
      <c r="B75" t="s">
        <v>747</v>
      </c>
      <c r="C75">
        <v>2339.4894123591412</v>
      </c>
      <c r="D75">
        <v>2553.1636879639145</v>
      </c>
      <c r="E75">
        <v>2655.290235482471</v>
      </c>
      <c r="F75">
        <v>2813.4596155248964</v>
      </c>
      <c r="G75">
        <v>3444.7274777616576</v>
      </c>
      <c r="H75">
        <v>3582.516576872124</v>
      </c>
      <c r="I75">
        <v>3774.9513157629112</v>
      </c>
      <c r="J75">
        <v>4476.7639431589068</v>
      </c>
      <c r="K75">
        <v>4655.834500885263</v>
      </c>
      <c r="L75">
        <v>5609.0871379795062</v>
      </c>
      <c r="M75">
        <v>6102.1568583824574</v>
      </c>
      <c r="N75">
        <v>6540.4366714542311</v>
      </c>
      <c r="O75">
        <v>6540.4366714542311</v>
      </c>
      <c r="P75">
        <v>6540.4366714542311</v>
      </c>
      <c r="Q75">
        <v>6923.9660227724626</v>
      </c>
      <c r="R75">
        <v>6923.9660227724626</v>
      </c>
      <c r="S75">
        <v>7351.2010741072136</v>
      </c>
      <c r="T75">
        <v>7351.2010741072136</v>
      </c>
      <c r="U75">
        <v>7745.6568504295738</v>
      </c>
      <c r="V75">
        <v>7745.6568504295738</v>
      </c>
      <c r="W75">
        <v>8085.2832738431262</v>
      </c>
      <c r="X75">
        <v>8085.2832738431262</v>
      </c>
      <c r="Y75">
        <v>8085.2832738431262</v>
      </c>
      <c r="Z75">
        <v>8085.2832738431262</v>
      </c>
      <c r="AA75">
        <v>8085.2832738431262</v>
      </c>
    </row>
    <row r="76" spans="1:27" x14ac:dyDescent="0.2">
      <c r="A76" t="s">
        <v>820</v>
      </c>
      <c r="B76" t="s">
        <v>821</v>
      </c>
      <c r="C76">
        <v>1243.7453164556416</v>
      </c>
      <c r="D76">
        <v>1357.3412054246371</v>
      </c>
      <c r="E76">
        <v>1411.6348536416224</v>
      </c>
      <c r="F76">
        <v>1495.7226142423788</v>
      </c>
      <c r="G76">
        <v>1831.3242386558891</v>
      </c>
      <c r="H76">
        <v>1904.5772082021247</v>
      </c>
      <c r="I76">
        <v>2006.8814990248948</v>
      </c>
      <c r="J76">
        <v>2379.9869141389518</v>
      </c>
      <c r="K76">
        <v>2475.1863907045094</v>
      </c>
      <c r="L76">
        <v>2981.9651333316847</v>
      </c>
      <c r="M76">
        <v>3244.0963283683227</v>
      </c>
      <c r="N76">
        <v>3477.0995050124889</v>
      </c>
      <c r="O76">
        <v>3477.0995050124889</v>
      </c>
      <c r="P76">
        <v>3477.0995050124889</v>
      </c>
      <c r="Q76">
        <v>3680.9956337597869</v>
      </c>
      <c r="R76">
        <v>3680.9956337597869</v>
      </c>
      <c r="S76">
        <v>3908.1270716351337</v>
      </c>
      <c r="T76">
        <v>3908.1270716351337</v>
      </c>
      <c r="U76">
        <v>4117.8320276644436</v>
      </c>
      <c r="V76">
        <v>4117.8320276644436</v>
      </c>
      <c r="W76">
        <v>4298.3879948056792</v>
      </c>
      <c r="X76">
        <v>4298.3879948056792</v>
      </c>
      <c r="Y76">
        <v>4298.3879948056792</v>
      </c>
      <c r="Z76">
        <v>4298.3879948056792</v>
      </c>
      <c r="AA76">
        <v>4298.3879948056792</v>
      </c>
    </row>
    <row r="77" spans="1:27" x14ac:dyDescent="0.2">
      <c r="A77" t="s">
        <v>928</v>
      </c>
      <c r="B77" t="s">
        <v>929</v>
      </c>
      <c r="C77">
        <v>48.350022919416553</v>
      </c>
      <c r="D77">
        <v>52.766010471316854</v>
      </c>
      <c r="E77">
        <v>54.876650890169529</v>
      </c>
      <c r="F77">
        <v>58.145523623596205</v>
      </c>
      <c r="G77">
        <v>71.191881280184305</v>
      </c>
      <c r="H77">
        <v>74.039556531391682</v>
      </c>
      <c r="I77">
        <v>78.016588437032624</v>
      </c>
      <c r="J77">
        <v>92.520888580675802</v>
      </c>
      <c r="K77">
        <v>96.221724123902817</v>
      </c>
      <c r="L77">
        <v>115.92251294047797</v>
      </c>
      <c r="M77">
        <v>126.11274169569717</v>
      </c>
      <c r="N77">
        <v>135.1706322316364</v>
      </c>
      <c r="O77">
        <v>135.1706322316364</v>
      </c>
      <c r="P77">
        <v>135.1706322316364</v>
      </c>
      <c r="Q77">
        <v>143.0969997665961</v>
      </c>
      <c r="R77">
        <v>143.0969997665961</v>
      </c>
      <c r="S77">
        <v>151.92662917841847</v>
      </c>
      <c r="T77">
        <v>151.92662917841847</v>
      </c>
      <c r="U77">
        <v>160.07881218259382</v>
      </c>
      <c r="V77">
        <v>160.07881218259382</v>
      </c>
      <c r="W77">
        <v>167.0978417491888</v>
      </c>
      <c r="X77">
        <v>167.0978417491888</v>
      </c>
      <c r="Y77">
        <v>167.0978417491888</v>
      </c>
      <c r="Z77">
        <v>167.0978417491888</v>
      </c>
      <c r="AA77">
        <v>167.0978417491888</v>
      </c>
    </row>
    <row r="78" spans="1:27" x14ac:dyDescent="0.2">
      <c r="A78" t="s">
        <v>659</v>
      </c>
      <c r="B78" t="s">
        <v>660</v>
      </c>
      <c r="C78">
        <v>4237.0559688614649</v>
      </c>
      <c r="D78">
        <v>4624.0420608097929</v>
      </c>
      <c r="E78">
        <v>4809.003743242185</v>
      </c>
      <c r="F78">
        <v>5095.4647600176677</v>
      </c>
      <c r="G78">
        <v>6238.7557916037013</v>
      </c>
      <c r="H78">
        <v>6488.306023267849</v>
      </c>
      <c r="I78">
        <v>6836.825129499367</v>
      </c>
      <c r="J78">
        <v>8107.8799871197552</v>
      </c>
      <c r="K78">
        <v>8432.1951866045438</v>
      </c>
      <c r="L78">
        <v>10158.633765251576</v>
      </c>
      <c r="M78">
        <v>11051.633746726793</v>
      </c>
      <c r="N78">
        <v>11845.403570260482</v>
      </c>
      <c r="O78">
        <v>11845.403570260482</v>
      </c>
      <c r="P78">
        <v>11845.403570260482</v>
      </c>
      <c r="Q78">
        <v>12540.014675851164</v>
      </c>
      <c r="R78">
        <v>12540.014675851164</v>
      </c>
      <c r="S78">
        <v>13313.781299799812</v>
      </c>
      <c r="T78">
        <v>13313.781299799812</v>
      </c>
      <c r="U78">
        <v>14028.181284979983</v>
      </c>
      <c r="V78">
        <v>14028.181284979983</v>
      </c>
      <c r="W78">
        <v>14643.279672220111</v>
      </c>
      <c r="X78">
        <v>14643.279672220111</v>
      </c>
      <c r="Y78">
        <v>14643.279672220111</v>
      </c>
      <c r="Z78">
        <v>14643.279672220111</v>
      </c>
      <c r="AA78">
        <v>14643.279672220111</v>
      </c>
    </row>
    <row r="79" spans="1:27" x14ac:dyDescent="0.2">
      <c r="A79" t="s">
        <v>475</v>
      </c>
      <c r="B79" t="s">
        <v>476</v>
      </c>
      <c r="C79">
        <v>22602.276377728798</v>
      </c>
      <c r="D79">
        <v>24666.626404925541</v>
      </c>
      <c r="E79">
        <v>25653.291461122561</v>
      </c>
      <c r="F79">
        <v>27181.397561251437</v>
      </c>
      <c r="G79">
        <v>33280.20297378175</v>
      </c>
      <c r="H79">
        <v>34611.411092733026</v>
      </c>
      <c r="I79">
        <v>36470.56169632548</v>
      </c>
      <c r="J79">
        <v>43250.914232218551</v>
      </c>
      <c r="K79">
        <v>44980.950801507293</v>
      </c>
      <c r="L79">
        <v>54190.515695274531</v>
      </c>
      <c r="M79">
        <v>58954.161145073274</v>
      </c>
      <c r="N79">
        <v>63188.470312490375</v>
      </c>
      <c r="O79">
        <v>63188.470312490375</v>
      </c>
      <c r="P79">
        <v>63188.470312490375</v>
      </c>
      <c r="Q79">
        <v>66893.824289161828</v>
      </c>
      <c r="R79">
        <v>66893.824289161828</v>
      </c>
      <c r="S79">
        <v>71021.427798503471</v>
      </c>
      <c r="T79">
        <v>71021.427798503471</v>
      </c>
      <c r="U79">
        <v>74832.344158342457</v>
      </c>
      <c r="V79">
        <v>74832.344158342457</v>
      </c>
      <c r="W79">
        <v>78113.543144163821</v>
      </c>
      <c r="X79">
        <v>78113.543144163821</v>
      </c>
      <c r="Y79">
        <v>78113.543144163821</v>
      </c>
      <c r="Z79">
        <v>78113.543144163821</v>
      </c>
      <c r="AA79">
        <v>78113.543144163821</v>
      </c>
    </row>
    <row r="80" spans="1:27" x14ac:dyDescent="0.2">
      <c r="A80" t="s">
        <v>892</v>
      </c>
      <c r="B80" t="s">
        <v>893</v>
      </c>
      <c r="C80">
        <v>338.24466624560591</v>
      </c>
      <c r="D80">
        <v>369.13781055965819</v>
      </c>
      <c r="E80">
        <v>383.90332298204447</v>
      </c>
      <c r="F80">
        <v>406.7715389611779</v>
      </c>
      <c r="G80">
        <v>498.04059375828155</v>
      </c>
      <c r="H80">
        <v>517.96221750861287</v>
      </c>
      <c r="I80">
        <v>545.78453792020127</v>
      </c>
      <c r="J80">
        <v>647.25299367231855</v>
      </c>
      <c r="K80">
        <v>673.14311341921132</v>
      </c>
      <c r="L80">
        <v>810.96490409641081</v>
      </c>
      <c r="M80">
        <v>882.25319552121834</v>
      </c>
      <c r="N80">
        <v>945.61993200290124</v>
      </c>
      <c r="O80">
        <v>945.61993200290124</v>
      </c>
      <c r="P80">
        <v>945.61993200290124</v>
      </c>
      <c r="Q80">
        <v>1001.0708166047737</v>
      </c>
      <c r="R80">
        <v>1001.0708166047737</v>
      </c>
      <c r="S80">
        <v>1062.8406953585413</v>
      </c>
      <c r="T80">
        <v>1062.8406953585413</v>
      </c>
      <c r="U80">
        <v>1119.8713284983871</v>
      </c>
      <c r="V80">
        <v>1119.8713284983871</v>
      </c>
      <c r="W80">
        <v>1168.9747036317947</v>
      </c>
      <c r="X80">
        <v>1168.9747036317947</v>
      </c>
      <c r="Y80">
        <v>1168.9747036317947</v>
      </c>
      <c r="Z80">
        <v>1168.9747036317947</v>
      </c>
      <c r="AA80">
        <v>1168.9747036317947</v>
      </c>
    </row>
    <row r="81" spans="1:27" x14ac:dyDescent="0.2">
      <c r="A81" t="s">
        <v>625</v>
      </c>
      <c r="B81" t="s">
        <v>626</v>
      </c>
      <c r="C81">
        <v>6150.9277650662525</v>
      </c>
      <c r="D81">
        <v>6712.7148915882244</v>
      </c>
      <c r="E81">
        <v>6981.2234872517538</v>
      </c>
      <c r="F81">
        <v>7397.0785136291597</v>
      </c>
      <c r="G81">
        <v>9056.7923813275866</v>
      </c>
      <c r="H81">
        <v>9419.0640765806911</v>
      </c>
      <c r="I81">
        <v>9925.0087379044708</v>
      </c>
      <c r="J81">
        <v>11770.197159326337</v>
      </c>
      <c r="K81">
        <v>12241.005045699389</v>
      </c>
      <c r="L81">
        <v>14747.273328706049</v>
      </c>
      <c r="M81">
        <v>16043.640056128701</v>
      </c>
      <c r="N81">
        <v>17195.954512800148</v>
      </c>
      <c r="O81">
        <v>17195.954512800148</v>
      </c>
      <c r="P81">
        <v>17195.954512800148</v>
      </c>
      <c r="Q81">
        <v>18204.320408058582</v>
      </c>
      <c r="R81">
        <v>18204.320408058582</v>
      </c>
      <c r="S81">
        <v>19327.596250035767</v>
      </c>
      <c r="T81">
        <v>19327.596250035767</v>
      </c>
      <c r="U81">
        <v>20364.689631973888</v>
      </c>
      <c r="V81">
        <v>20364.689631973888</v>
      </c>
      <c r="W81">
        <v>21257.627033822613</v>
      </c>
      <c r="X81">
        <v>21257.627033822613</v>
      </c>
      <c r="Y81">
        <v>21257.627033822613</v>
      </c>
      <c r="Z81">
        <v>21257.627033822613</v>
      </c>
      <c r="AA81">
        <v>21257.627033822613</v>
      </c>
    </row>
    <row r="82" spans="1:27" x14ac:dyDescent="0.2">
      <c r="A82" t="s">
        <v>645</v>
      </c>
      <c r="B82" t="s">
        <v>646</v>
      </c>
      <c r="C82">
        <v>5219.241790429136</v>
      </c>
      <c r="D82">
        <v>5695.9345691545259</v>
      </c>
      <c r="E82">
        <v>5923.7719519207067</v>
      </c>
      <c r="F82">
        <v>6276.6370830568367</v>
      </c>
      <c r="G82">
        <v>7684.9527566116703</v>
      </c>
      <c r="H82">
        <v>7992.3508668761369</v>
      </c>
      <c r="I82">
        <v>8421.6596835107521</v>
      </c>
      <c r="J82">
        <v>9987.3559309933844</v>
      </c>
      <c r="K82">
        <v>10386.850168233119</v>
      </c>
      <c r="L82">
        <v>12513.491979081071</v>
      </c>
      <c r="M82">
        <v>13613.496995871134</v>
      </c>
      <c r="N82">
        <v>14591.269455195483</v>
      </c>
      <c r="O82">
        <v>14591.269455195483</v>
      </c>
      <c r="P82">
        <v>14591.269455195483</v>
      </c>
      <c r="Q82">
        <v>15446.897357455466</v>
      </c>
      <c r="R82">
        <v>15446.897357455466</v>
      </c>
      <c r="S82">
        <v>16400.029704403725</v>
      </c>
      <c r="T82">
        <v>16400.029704403725</v>
      </c>
      <c r="U82">
        <v>17280.033717835773</v>
      </c>
      <c r="V82">
        <v>17280.033717835773</v>
      </c>
      <c r="W82">
        <v>18037.717173400768</v>
      </c>
      <c r="X82">
        <v>18037.717173400768</v>
      </c>
      <c r="Y82">
        <v>18037.717173400768</v>
      </c>
      <c r="Z82">
        <v>18037.717173400768</v>
      </c>
      <c r="AA82">
        <v>18037.717173400768</v>
      </c>
    </row>
    <row r="83" spans="1:27" x14ac:dyDescent="0.2">
      <c r="A83" t="s">
        <v>848</v>
      </c>
      <c r="B83" t="s">
        <v>849</v>
      </c>
      <c r="C83">
        <v>826.37319641470333</v>
      </c>
      <c r="D83">
        <v>901.84893620232435</v>
      </c>
      <c r="E83">
        <v>937.92289365041734</v>
      </c>
      <c r="F83">
        <v>993.79274947027602</v>
      </c>
      <c r="G83">
        <v>1216.7742420791371</v>
      </c>
      <c r="H83">
        <v>1265.4452117623027</v>
      </c>
      <c r="I83">
        <v>1333.4185522007406</v>
      </c>
      <c r="J83">
        <v>1581.3184320299038</v>
      </c>
      <c r="K83">
        <v>1644.5711693110995</v>
      </c>
      <c r="L83">
        <v>1981.2867041388274</v>
      </c>
      <c r="M83">
        <v>2155.4527417161503</v>
      </c>
      <c r="N83">
        <v>2310.2654491978806</v>
      </c>
      <c r="O83">
        <v>2310.2654491978806</v>
      </c>
      <c r="P83">
        <v>2310.2654491978806</v>
      </c>
      <c r="Q83">
        <v>2445.7387598670252</v>
      </c>
      <c r="R83">
        <v>2445.7387598670252</v>
      </c>
      <c r="S83">
        <v>2596.6501481070241</v>
      </c>
      <c r="T83">
        <v>2596.6501481070241</v>
      </c>
      <c r="U83">
        <v>2735.9829781688823</v>
      </c>
      <c r="V83">
        <v>2735.9829781688823</v>
      </c>
      <c r="W83">
        <v>2855.9485448521418</v>
      </c>
      <c r="X83">
        <v>2855.9485448521418</v>
      </c>
      <c r="Y83">
        <v>2855.9485448521418</v>
      </c>
      <c r="Z83">
        <v>2855.9485448521418</v>
      </c>
      <c r="AA83">
        <v>2855.9485448521418</v>
      </c>
    </row>
    <row r="84" spans="1:27" x14ac:dyDescent="0.2">
      <c r="A84" t="s">
        <v>824</v>
      </c>
      <c r="B84" t="s">
        <v>825</v>
      </c>
      <c r="C84">
        <v>1169.9999917183793</v>
      </c>
      <c r="D84">
        <v>1276.8604456991975</v>
      </c>
      <c r="E84">
        <v>1327.9348635271654</v>
      </c>
      <c r="F84">
        <v>1407.0368130218317</v>
      </c>
      <c r="G84">
        <v>1722.7396282118787</v>
      </c>
      <c r="H84">
        <v>1791.6492133403538</v>
      </c>
      <c r="I84">
        <v>1887.8875813018096</v>
      </c>
      <c r="J84">
        <v>2238.8704769299425</v>
      </c>
      <c r="K84">
        <v>2328.4252960071399</v>
      </c>
      <c r="L84">
        <v>2805.1556336670624</v>
      </c>
      <c r="M84">
        <v>3051.7442977321411</v>
      </c>
      <c r="N84">
        <v>3270.9320294463078</v>
      </c>
      <c r="O84">
        <v>3270.9320294463078</v>
      </c>
      <c r="P84">
        <v>3270.9320294463078</v>
      </c>
      <c r="Q84">
        <v>3462.7385559026884</v>
      </c>
      <c r="R84">
        <v>3462.7385559026884</v>
      </c>
      <c r="S84">
        <v>3676.4027015417987</v>
      </c>
      <c r="T84">
        <v>3676.4027015417987</v>
      </c>
      <c r="U84">
        <v>3873.6736327938611</v>
      </c>
      <c r="V84">
        <v>3873.6736327938611</v>
      </c>
      <c r="W84">
        <v>4043.5239046018869</v>
      </c>
      <c r="X84">
        <v>4043.5239046018869</v>
      </c>
      <c r="Y84">
        <v>4043.5239046018869</v>
      </c>
      <c r="Z84">
        <v>4043.5239046018869</v>
      </c>
      <c r="AA84">
        <v>4043.5239046018869</v>
      </c>
    </row>
    <row r="85" spans="1:27" x14ac:dyDescent="0.2">
      <c r="A85" t="s">
        <v>621</v>
      </c>
      <c r="B85" t="s">
        <v>622</v>
      </c>
      <c r="C85">
        <v>6241.712495784047</v>
      </c>
      <c r="D85">
        <v>6811.7913296630268</v>
      </c>
      <c r="E85">
        <v>7084.2629828495483</v>
      </c>
      <c r="F85">
        <v>7506.2558290858915</v>
      </c>
      <c r="G85">
        <v>9190.4662739353862</v>
      </c>
      <c r="H85">
        <v>9558.0849248928025</v>
      </c>
      <c r="I85">
        <v>10071.49708568833</v>
      </c>
      <c r="J85">
        <v>11943.919599325318</v>
      </c>
      <c r="K85">
        <v>12421.676383298331</v>
      </c>
      <c r="L85">
        <v>14964.935978814226</v>
      </c>
      <c r="M85">
        <v>16280.436454633178</v>
      </c>
      <c r="N85">
        <v>17449.758517579125</v>
      </c>
      <c r="O85">
        <v>17449.758517579125</v>
      </c>
      <c r="P85">
        <v>17449.758517579125</v>
      </c>
      <c r="Q85">
        <v>18473.007407690136</v>
      </c>
      <c r="R85">
        <v>18473.007407690136</v>
      </c>
      <c r="S85">
        <v>19612.862259977745</v>
      </c>
      <c r="T85">
        <v>19612.862259977745</v>
      </c>
      <c r="U85">
        <v>20665.2626406329</v>
      </c>
      <c r="V85">
        <v>20665.2626406329</v>
      </c>
      <c r="W85">
        <v>21571.379368376995</v>
      </c>
      <c r="X85">
        <v>21571.379368376995</v>
      </c>
      <c r="Y85">
        <v>21571.379368376995</v>
      </c>
      <c r="Z85">
        <v>21571.379368376995</v>
      </c>
      <c r="AA85">
        <v>21571.379368376995</v>
      </c>
    </row>
    <row r="86" spans="1:27" x14ac:dyDescent="0.2">
      <c r="A86" t="s">
        <v>340</v>
      </c>
      <c r="B86" t="s">
        <v>341</v>
      </c>
      <c r="C86">
        <v>274668.6847247929</v>
      </c>
      <c r="D86">
        <v>299755.19801689766</v>
      </c>
      <c r="E86">
        <v>311745.40593757358</v>
      </c>
      <c r="F86">
        <v>330315.34489539935</v>
      </c>
      <c r="G86">
        <v>404429.59927655378</v>
      </c>
      <c r="H86">
        <v>420606.78324761597</v>
      </c>
      <c r="I86">
        <v>443199.66028619662</v>
      </c>
      <c r="J86">
        <v>525596.25087205623</v>
      </c>
      <c r="K86">
        <v>546620.10090693843</v>
      </c>
      <c r="L86">
        <v>658537.10581318766</v>
      </c>
      <c r="M86">
        <v>716426.15239969536</v>
      </c>
      <c r="N86">
        <v>767882.56812951027</v>
      </c>
      <c r="O86">
        <v>767882.56812951027</v>
      </c>
      <c r="P86">
        <v>767882.56812951027</v>
      </c>
      <c r="Q86">
        <v>812910.98412635946</v>
      </c>
      <c r="R86">
        <v>812910.98412635946</v>
      </c>
      <c r="S86">
        <v>863070.68521263695</v>
      </c>
      <c r="T86">
        <v>863070.68521263695</v>
      </c>
      <c r="U86">
        <v>909381.92248184304</v>
      </c>
      <c r="V86">
        <v>909381.92248184304</v>
      </c>
      <c r="W86">
        <v>949255.8977706295</v>
      </c>
      <c r="X86">
        <v>949255.8977706295</v>
      </c>
      <c r="Y86">
        <v>949255.8977706295</v>
      </c>
      <c r="Z86">
        <v>949255.8977706295</v>
      </c>
      <c r="AA86">
        <v>949255.8977706295</v>
      </c>
    </row>
    <row r="87" spans="1:27" x14ac:dyDescent="0.2">
      <c r="A87" t="s">
        <v>689</v>
      </c>
      <c r="B87" t="s">
        <v>305</v>
      </c>
      <c r="C87">
        <v>-3496.3571610381678</v>
      </c>
      <c r="D87">
        <v>-3815.6924739887982</v>
      </c>
      <c r="E87">
        <v>-3968.3201729483499</v>
      </c>
      <c r="F87">
        <v>-4204.7036511751821</v>
      </c>
      <c r="G87">
        <v>-5148.1308361860674</v>
      </c>
      <c r="H87">
        <v>-5354.0560696335106</v>
      </c>
      <c r="I87">
        <v>-5641.648983625304</v>
      </c>
      <c r="J87">
        <v>-6690.5050256915956</v>
      </c>
      <c r="K87">
        <v>-6958.1252267192585</v>
      </c>
      <c r="L87">
        <v>-8382.7573136933424</v>
      </c>
      <c r="M87">
        <v>-9119.6479526142139</v>
      </c>
      <c r="N87">
        <v>-9774.6553037381982</v>
      </c>
      <c r="O87">
        <v>-9774.6553037381982</v>
      </c>
      <c r="P87">
        <v>-9774.6553037381982</v>
      </c>
      <c r="Q87">
        <v>-10347.83831831641</v>
      </c>
      <c r="R87">
        <v>-10347.83831831641</v>
      </c>
      <c r="S87">
        <v>-10986.33931912857</v>
      </c>
      <c r="T87">
        <v>-10986.33931912857</v>
      </c>
      <c r="U87">
        <v>-11575.851830265268</v>
      </c>
      <c r="V87">
        <v>-11575.851830265268</v>
      </c>
      <c r="W87">
        <v>-12083.422102353965</v>
      </c>
      <c r="X87">
        <v>-12083.422102353965</v>
      </c>
      <c r="Y87">
        <v>-12083.422102353965</v>
      </c>
      <c r="Z87">
        <v>-12083.422102353965</v>
      </c>
      <c r="AA87">
        <v>-12083.422102353965</v>
      </c>
    </row>
    <row r="88" spans="1:27" x14ac:dyDescent="0.2">
      <c r="A88" t="s">
        <v>632</v>
      </c>
      <c r="B88" t="s">
        <v>633</v>
      </c>
      <c r="C88">
        <v>5754.487210009398</v>
      </c>
      <c r="D88">
        <v>6280.0659450872281</v>
      </c>
      <c r="E88">
        <v>6531.268582890717</v>
      </c>
      <c r="F88">
        <v>6920.3208562888794</v>
      </c>
      <c r="G88">
        <v>8473.0625870874301</v>
      </c>
      <c r="H88">
        <v>8811.9850905709263</v>
      </c>
      <c r="I88">
        <v>9285.3205277216621</v>
      </c>
      <c r="J88">
        <v>11011.582577397219</v>
      </c>
      <c r="K88">
        <v>11452.045880493106</v>
      </c>
      <c r="L88">
        <v>13796.779769472323</v>
      </c>
      <c r="M88">
        <v>15009.592866514937</v>
      </c>
      <c r="N88">
        <v>16087.63817221417</v>
      </c>
      <c r="O88">
        <v>16087.63817221417</v>
      </c>
      <c r="P88">
        <v>16087.63817221417</v>
      </c>
      <c r="Q88">
        <v>17031.012711617797</v>
      </c>
      <c r="R88">
        <v>17031.012711617797</v>
      </c>
      <c r="S88">
        <v>18081.891003943285</v>
      </c>
      <c r="T88">
        <v>18081.891003943285</v>
      </c>
      <c r="U88">
        <v>19052.141481577371</v>
      </c>
      <c r="V88">
        <v>19052.141481577371</v>
      </c>
      <c r="W88">
        <v>19887.527142820323</v>
      </c>
      <c r="X88">
        <v>19887.527142820323</v>
      </c>
      <c r="Y88">
        <v>19887.527142820323</v>
      </c>
      <c r="Z88">
        <v>19887.527142820323</v>
      </c>
      <c r="AA88">
        <v>19887.527142820323</v>
      </c>
    </row>
    <row r="89" spans="1:27" x14ac:dyDescent="0.2">
      <c r="A89" t="s">
        <v>501</v>
      </c>
      <c r="B89" t="s">
        <v>502</v>
      </c>
      <c r="C89">
        <v>18034.396923424112</v>
      </c>
      <c r="D89">
        <v>19681.545518422776</v>
      </c>
      <c r="E89">
        <v>20468.807339159684</v>
      </c>
      <c r="F89">
        <v>21688.085941468285</v>
      </c>
      <c r="G89">
        <v>26554.333735724806</v>
      </c>
      <c r="H89">
        <v>27616.5070851538</v>
      </c>
      <c r="I89">
        <v>29099.926691448294</v>
      </c>
      <c r="J89">
        <v>34509.982159734202</v>
      </c>
      <c r="K89">
        <v>35890.38144612356</v>
      </c>
      <c r="L89">
        <v>43238.709818476658</v>
      </c>
      <c r="M89">
        <v>47039.631080052983</v>
      </c>
      <c r="N89">
        <v>50418.193971042943</v>
      </c>
      <c r="O89">
        <v>50418.193971042943</v>
      </c>
      <c r="P89">
        <v>50418.193971042943</v>
      </c>
      <c r="Q89">
        <v>53374.702565147476</v>
      </c>
      <c r="R89">
        <v>53374.702565147476</v>
      </c>
      <c r="S89">
        <v>56668.124819878147</v>
      </c>
      <c r="T89">
        <v>56668.124819878147</v>
      </c>
      <c r="U89">
        <v>59708.861829139198</v>
      </c>
      <c r="V89">
        <v>59708.861829139198</v>
      </c>
      <c r="W89">
        <v>62326.93639411297</v>
      </c>
      <c r="X89">
        <v>62326.93639411297</v>
      </c>
      <c r="Y89">
        <v>62326.93639411297</v>
      </c>
      <c r="Z89">
        <v>62326.93639411297</v>
      </c>
      <c r="AA89">
        <v>62326.93639411297</v>
      </c>
    </row>
    <row r="90" spans="1:27" x14ac:dyDescent="0.2">
      <c r="A90" t="s">
        <v>432</v>
      </c>
      <c r="B90" t="s">
        <v>433</v>
      </c>
      <c r="C90">
        <v>33551.025847725825</v>
      </c>
      <c r="D90">
        <v>36615.365915236805</v>
      </c>
      <c r="E90">
        <v>38079.980551846282</v>
      </c>
      <c r="F90">
        <v>40348.315227817679</v>
      </c>
      <c r="G90">
        <v>49401.437781335284</v>
      </c>
      <c r="H90">
        <v>51377.495292588697</v>
      </c>
      <c r="I90">
        <v>54137.235458292016</v>
      </c>
      <c r="J90">
        <v>64202.052797336568</v>
      </c>
      <c r="K90">
        <v>66770.134909230022</v>
      </c>
      <c r="L90">
        <v>80440.897297639603</v>
      </c>
      <c r="M90">
        <v>87512.096186840121</v>
      </c>
      <c r="N90">
        <v>93797.543455472682</v>
      </c>
      <c r="O90">
        <v>93797.543455472682</v>
      </c>
      <c r="P90">
        <v>93797.543455472682</v>
      </c>
      <c r="Q90">
        <v>99297.804799448422</v>
      </c>
      <c r="R90">
        <v>99297.804799448422</v>
      </c>
      <c r="S90">
        <v>105424.85721296292</v>
      </c>
      <c r="T90">
        <v>105424.85721296292</v>
      </c>
      <c r="U90">
        <v>111081.81632432333</v>
      </c>
      <c r="V90">
        <v>111081.81632432333</v>
      </c>
      <c r="W90">
        <v>115952.45811920465</v>
      </c>
      <c r="X90">
        <v>115952.45811920465</v>
      </c>
      <c r="Y90">
        <v>115952.45811920465</v>
      </c>
      <c r="Z90">
        <v>115952.45811920465</v>
      </c>
      <c r="AA90">
        <v>115952.45811920465</v>
      </c>
    </row>
    <row r="91" spans="1:27" x14ac:dyDescent="0.2">
      <c r="A91" t="s">
        <v>555</v>
      </c>
      <c r="B91" t="s">
        <v>556</v>
      </c>
      <c r="C91">
        <v>9949.7199493026765</v>
      </c>
      <c r="D91">
        <v>10858.464905106412</v>
      </c>
      <c r="E91">
        <v>11292.803501310667</v>
      </c>
      <c r="F91">
        <v>11965.489185487369</v>
      </c>
      <c r="G91">
        <v>14650.236724445906</v>
      </c>
      <c r="H91">
        <v>15236.246193423742</v>
      </c>
      <c r="I91">
        <v>16054.660566391458</v>
      </c>
      <c r="J91">
        <v>19039.431116147003</v>
      </c>
      <c r="K91">
        <v>19801.008360792879</v>
      </c>
      <c r="L91">
        <v>23855.139458765112</v>
      </c>
      <c r="M91">
        <v>25952.137892514475</v>
      </c>
      <c r="N91">
        <v>27816.117860305603</v>
      </c>
      <c r="O91">
        <v>27816.117860305603</v>
      </c>
      <c r="P91">
        <v>27816.117860305603</v>
      </c>
      <c r="Q91">
        <v>29447.247122013207</v>
      </c>
      <c r="R91">
        <v>29447.247122013207</v>
      </c>
      <c r="S91">
        <v>31264.254324888363</v>
      </c>
      <c r="T91">
        <v>31264.254324888363</v>
      </c>
      <c r="U91">
        <v>32941.853071887846</v>
      </c>
      <c r="V91">
        <v>32941.853071887846</v>
      </c>
      <c r="W91">
        <v>34386.265593054406</v>
      </c>
      <c r="X91">
        <v>34386.265593054406</v>
      </c>
      <c r="Y91">
        <v>34386.265593054406</v>
      </c>
      <c r="Z91">
        <v>34386.265593054406</v>
      </c>
      <c r="AA91">
        <v>34386.265593054406</v>
      </c>
    </row>
    <row r="92" spans="1:27" x14ac:dyDescent="0.2">
      <c r="A92" t="s">
        <v>756</v>
      </c>
      <c r="B92" t="s">
        <v>757</v>
      </c>
      <c r="C92">
        <v>2166.4799525837097</v>
      </c>
      <c r="D92">
        <v>2364.3526302863961</v>
      </c>
      <c r="E92">
        <v>2458.926735497852</v>
      </c>
      <c r="F92">
        <v>2605.3992047316237</v>
      </c>
      <c r="G92">
        <v>3189.9836704793015</v>
      </c>
      <c r="H92">
        <v>3317.5830172984738</v>
      </c>
      <c r="I92">
        <v>3495.7868603187176</v>
      </c>
      <c r="J92">
        <v>4145.6991786609888</v>
      </c>
      <c r="K92">
        <v>4311.5271458074276</v>
      </c>
      <c r="L92">
        <v>5194.285031823968</v>
      </c>
      <c r="M92">
        <v>5650.8913574759608</v>
      </c>
      <c r="N92">
        <v>6056.7595882215037</v>
      </c>
      <c r="O92">
        <v>6056.7595882215037</v>
      </c>
      <c r="P92">
        <v>6056.7595882215037</v>
      </c>
      <c r="Q92">
        <v>6411.92625256665</v>
      </c>
      <c r="R92">
        <v>6411.92625256665</v>
      </c>
      <c r="S92">
        <v>6807.5665016175908</v>
      </c>
      <c r="T92">
        <v>6807.5665016175908</v>
      </c>
      <c r="U92">
        <v>7172.8515621391844</v>
      </c>
      <c r="V92">
        <v>7172.8515621391844</v>
      </c>
      <c r="W92">
        <v>7487.3619992482772</v>
      </c>
      <c r="X92">
        <v>7487.3619992482772</v>
      </c>
      <c r="Y92">
        <v>7487.3619992482772</v>
      </c>
      <c r="Z92">
        <v>7487.3619992482772</v>
      </c>
      <c r="AA92">
        <v>7487.3619992482772</v>
      </c>
    </row>
    <row r="93" spans="1:27" x14ac:dyDescent="0.2">
      <c r="A93" t="s">
        <v>651</v>
      </c>
      <c r="B93" t="s">
        <v>652</v>
      </c>
      <c r="C93">
        <v>4646.4101193784227</v>
      </c>
      <c r="D93">
        <v>5070.7840495086366</v>
      </c>
      <c r="E93">
        <v>5273.6154114889814</v>
      </c>
      <c r="F93">
        <v>5587.752250118162</v>
      </c>
      <c r="G93">
        <v>6841.4999130227361</v>
      </c>
      <c r="H93">
        <v>7115.1599095436459</v>
      </c>
      <c r="I93">
        <v>7497.3504479485437</v>
      </c>
      <c r="J93">
        <v>8891.2055671952749</v>
      </c>
      <c r="K93">
        <v>9246.8537898830855</v>
      </c>
      <c r="L93">
        <v>11140.088559794889</v>
      </c>
      <c r="M93">
        <v>12119.363835133327</v>
      </c>
      <c r="N93">
        <v>12989.822041876158</v>
      </c>
      <c r="O93">
        <v>12989.822041876158</v>
      </c>
      <c r="P93">
        <v>12989.822041876158</v>
      </c>
      <c r="Q93">
        <v>13751.541522045409</v>
      </c>
      <c r="R93">
        <v>13751.541522045409</v>
      </c>
      <c r="S93">
        <v>14600.063962620663</v>
      </c>
      <c r="T93">
        <v>14600.063962620663</v>
      </c>
      <c r="U93">
        <v>15383.484182891412</v>
      </c>
      <c r="V93">
        <v>15383.484182891412</v>
      </c>
      <c r="W93">
        <v>16058.00899254453</v>
      </c>
      <c r="X93">
        <v>16058.00899254453</v>
      </c>
      <c r="Y93">
        <v>16058.00899254453</v>
      </c>
      <c r="Z93">
        <v>16058.00899254453</v>
      </c>
      <c r="AA93">
        <v>16058.00899254453</v>
      </c>
    </row>
    <row r="94" spans="1:27" x14ac:dyDescent="0.2">
      <c r="A94" t="s">
        <v>619</v>
      </c>
      <c r="B94" t="s">
        <v>620</v>
      </c>
      <c r="C94">
        <v>6255.9026925129465</v>
      </c>
      <c r="D94">
        <v>6827.2775698750556</v>
      </c>
      <c r="E94">
        <v>7100.368672670058</v>
      </c>
      <c r="F94">
        <v>7523.3208968832505</v>
      </c>
      <c r="G94">
        <v>9211.3603033456729</v>
      </c>
      <c r="H94">
        <v>9579.8147154795006</v>
      </c>
      <c r="I94">
        <v>10094.394091133068</v>
      </c>
      <c r="J94">
        <v>11971.073456370652</v>
      </c>
      <c r="K94">
        <v>12449.916394625476</v>
      </c>
      <c r="L94">
        <v>14998.957953667796</v>
      </c>
      <c r="M94">
        <v>16317.449148870477</v>
      </c>
      <c r="N94">
        <v>17489.429602462238</v>
      </c>
      <c r="O94">
        <v>17489.429602462238</v>
      </c>
      <c r="P94">
        <v>17489.429602462238</v>
      </c>
      <c r="Q94">
        <v>18515.004793738692</v>
      </c>
      <c r="R94">
        <v>18515.004793738692</v>
      </c>
      <c r="S94">
        <v>19657.451044557918</v>
      </c>
      <c r="T94">
        <v>19657.451044557918</v>
      </c>
      <c r="U94">
        <v>20712.24400072006</v>
      </c>
      <c r="V94">
        <v>20712.24400072006</v>
      </c>
      <c r="W94">
        <v>21620.420735975669</v>
      </c>
      <c r="X94">
        <v>21620.420735975669</v>
      </c>
      <c r="Y94">
        <v>21620.420735975669</v>
      </c>
      <c r="Z94">
        <v>21620.420735975669</v>
      </c>
      <c r="AA94">
        <v>21620.420735975669</v>
      </c>
    </row>
    <row r="95" spans="1:27" x14ac:dyDescent="0.2">
      <c r="A95" t="s">
        <v>481</v>
      </c>
      <c r="B95" t="s">
        <v>85</v>
      </c>
      <c r="C95">
        <v>21427.906817303618</v>
      </c>
      <c r="D95">
        <v>23384.997301546027</v>
      </c>
      <c r="E95">
        <v>24320.397193607867</v>
      </c>
      <c r="F95">
        <v>25769.105924237287</v>
      </c>
      <c r="G95">
        <v>31551.02947443938</v>
      </c>
      <c r="H95">
        <v>32813.070653416959</v>
      </c>
      <c r="I95">
        <v>34575.62347010435</v>
      </c>
      <c r="J95">
        <v>41003.682303627233</v>
      </c>
      <c r="K95">
        <v>42643.829595772317</v>
      </c>
      <c r="L95">
        <v>51374.883719418292</v>
      </c>
      <c r="M95">
        <v>55891.019576846338</v>
      </c>
      <c r="N95">
        <v>59905.322417796975</v>
      </c>
      <c r="O95">
        <v>59905.322417796975</v>
      </c>
      <c r="P95">
        <v>59905.322417796975</v>
      </c>
      <c r="Q95">
        <v>63418.1535331388</v>
      </c>
      <c r="R95">
        <v>63418.1535331388</v>
      </c>
      <c r="S95">
        <v>67331.294930883072</v>
      </c>
      <c r="T95">
        <v>67331.294930883072</v>
      </c>
      <c r="U95">
        <v>70944.2036168255</v>
      </c>
      <c r="V95">
        <v>70944.2036168255</v>
      </c>
      <c r="W95">
        <v>74054.917995421929</v>
      </c>
      <c r="X95">
        <v>74054.917995421929</v>
      </c>
      <c r="Y95">
        <v>74054.917995421929</v>
      </c>
      <c r="Z95">
        <v>74054.917995421929</v>
      </c>
      <c r="AA95">
        <v>74054.917995421929</v>
      </c>
    </row>
    <row r="96" spans="1:27" x14ac:dyDescent="0.2">
      <c r="A96" t="s">
        <v>877</v>
      </c>
      <c r="B96" t="s">
        <v>303</v>
      </c>
      <c r="C96">
        <v>511.22173786225488</v>
      </c>
      <c r="D96">
        <v>557.91352194730371</v>
      </c>
      <c r="E96">
        <v>580.23006282519589</v>
      </c>
      <c r="F96">
        <v>614.79299989801018</v>
      </c>
      <c r="G96">
        <v>752.73671183977046</v>
      </c>
      <c r="H96">
        <v>782.84618031336129</v>
      </c>
      <c r="I96">
        <v>824.89673250697615</v>
      </c>
      <c r="J96">
        <v>978.25578133860165</v>
      </c>
      <c r="K96">
        <v>1017.3860125921457</v>
      </c>
      <c r="L96">
        <v>1225.6893574086025</v>
      </c>
      <c r="M96">
        <v>1333.4342174708106</v>
      </c>
      <c r="N96">
        <v>1429.2064686829058</v>
      </c>
      <c r="O96">
        <v>1429.2064686829058</v>
      </c>
      <c r="P96">
        <v>1429.2064686829058</v>
      </c>
      <c r="Q96">
        <v>1513.0147306336935</v>
      </c>
      <c r="R96">
        <v>1513.0147306336935</v>
      </c>
      <c r="S96">
        <v>1606.3734969803959</v>
      </c>
      <c r="T96">
        <v>1606.3734969803959</v>
      </c>
      <c r="U96">
        <v>1692.569385030162</v>
      </c>
      <c r="V96">
        <v>1692.569385030162</v>
      </c>
      <c r="W96">
        <v>1766.7840446410107</v>
      </c>
      <c r="X96">
        <v>1766.7840446410107</v>
      </c>
      <c r="Y96">
        <v>1766.7840446410107</v>
      </c>
      <c r="Z96">
        <v>1766.7840446410107</v>
      </c>
      <c r="AA96">
        <v>1766.7840446410107</v>
      </c>
    </row>
    <row r="97" spans="1:27" x14ac:dyDescent="0.2">
      <c r="A97" t="s">
        <v>527</v>
      </c>
      <c r="B97" t="s">
        <v>528</v>
      </c>
      <c r="C97">
        <v>13846.899189299369</v>
      </c>
      <c r="D97">
        <v>15111.588030383838</v>
      </c>
      <c r="E97">
        <v>15716.05155159919</v>
      </c>
      <c r="F97">
        <v>16652.219695259606</v>
      </c>
      <c r="G97">
        <v>20388.548829154861</v>
      </c>
      <c r="H97">
        <v>21204.090782321055</v>
      </c>
      <c r="I97">
        <v>22343.067695771955</v>
      </c>
      <c r="J97">
        <v>26496.935052465877</v>
      </c>
      <c r="K97">
        <v>27556.812454564511</v>
      </c>
      <c r="L97">
        <v>33198.895337285183</v>
      </c>
      <c r="M97">
        <v>36117.261488312492</v>
      </c>
      <c r="N97">
        <v>38711.338792637645</v>
      </c>
      <c r="O97">
        <v>38711.338792637645</v>
      </c>
      <c r="P97">
        <v>38711.338792637645</v>
      </c>
      <c r="Q97">
        <v>40981.360719552729</v>
      </c>
      <c r="R97">
        <v>40981.360719552729</v>
      </c>
      <c r="S97">
        <v>43510.066622094884</v>
      </c>
      <c r="T97">
        <v>43510.066622094884</v>
      </c>
      <c r="U97">
        <v>45844.75954291672</v>
      </c>
      <c r="V97">
        <v>45844.75954291672</v>
      </c>
      <c r="W97">
        <v>47854.93014774433</v>
      </c>
      <c r="X97">
        <v>47854.93014774433</v>
      </c>
      <c r="Y97">
        <v>47854.93014774433</v>
      </c>
      <c r="Z97">
        <v>47854.93014774433</v>
      </c>
      <c r="AA97">
        <v>47854.93014774433</v>
      </c>
    </row>
    <row r="98" spans="1:27" x14ac:dyDescent="0.2">
      <c r="A98" t="s">
        <v>505</v>
      </c>
      <c r="B98" t="s">
        <v>506</v>
      </c>
      <c r="C98">
        <v>15611.231592440861</v>
      </c>
      <c r="D98">
        <v>17037.06347874524</v>
      </c>
      <c r="E98">
        <v>17718.546017895049</v>
      </c>
      <c r="F98">
        <v>18773.998036455432</v>
      </c>
      <c r="G98">
        <v>22986.399572526279</v>
      </c>
      <c r="H98">
        <v>23905.85555542733</v>
      </c>
      <c r="I98">
        <v>25189.957658811327</v>
      </c>
      <c r="J98">
        <v>29873.098947204726</v>
      </c>
      <c r="K98">
        <v>31068.022905092912</v>
      </c>
      <c r="L98">
        <v>37429.003897426948</v>
      </c>
      <c r="M98">
        <v>40719.219940195202</v>
      </c>
      <c r="N98">
        <v>43643.827176291044</v>
      </c>
      <c r="O98">
        <v>43643.827176291044</v>
      </c>
      <c r="P98">
        <v>43643.827176291044</v>
      </c>
      <c r="Q98">
        <v>46203.08882299791</v>
      </c>
      <c r="R98">
        <v>46203.08882299791</v>
      </c>
      <c r="S98">
        <v>49053.995219735763</v>
      </c>
      <c r="T98">
        <v>49053.995219735763</v>
      </c>
      <c r="U98">
        <v>51686.168053950358</v>
      </c>
      <c r="V98">
        <v>51686.168053950358</v>
      </c>
      <c r="W98">
        <v>53952.468864209135</v>
      </c>
      <c r="X98">
        <v>53952.468864209135</v>
      </c>
      <c r="Y98">
        <v>53952.468864209135</v>
      </c>
      <c r="Z98">
        <v>53952.468864209135</v>
      </c>
      <c r="AA98">
        <v>53952.468864209135</v>
      </c>
    </row>
    <row r="99" spans="1:27" x14ac:dyDescent="0.2">
      <c r="A99" t="s">
        <v>801</v>
      </c>
      <c r="B99" t="s">
        <v>802</v>
      </c>
      <c r="C99">
        <v>1376.5804846437447</v>
      </c>
      <c r="D99">
        <v>1502.3087039355387</v>
      </c>
      <c r="E99">
        <v>1562.4010520929601</v>
      </c>
      <c r="F99">
        <v>1655.4695997360295</v>
      </c>
      <c r="G99">
        <v>2026.9143325684001</v>
      </c>
      <c r="H99">
        <v>2107.990905871136</v>
      </c>
      <c r="I99">
        <v>2221.2215555698008</v>
      </c>
      <c r="J99">
        <v>2634.1755794889186</v>
      </c>
      <c r="K99">
        <v>2739.5426026684754</v>
      </c>
      <c r="L99">
        <v>3300.446606006481</v>
      </c>
      <c r="M99">
        <v>3590.5740804415964</v>
      </c>
      <c r="N99">
        <v>3848.4625899174812</v>
      </c>
      <c r="O99">
        <v>3848.4625899174812</v>
      </c>
      <c r="P99">
        <v>3848.4625899174812</v>
      </c>
      <c r="Q99">
        <v>4074.1353446320918</v>
      </c>
      <c r="R99">
        <v>4074.1353446320918</v>
      </c>
      <c r="S99">
        <v>4325.5249986806311</v>
      </c>
      <c r="T99">
        <v>4325.5249986806311</v>
      </c>
      <c r="U99">
        <v>4557.6269782287236</v>
      </c>
      <c r="V99">
        <v>4557.6269782287236</v>
      </c>
      <c r="W99">
        <v>4757.466782619631</v>
      </c>
      <c r="X99">
        <v>4757.466782619631</v>
      </c>
      <c r="Y99">
        <v>4757.466782619631</v>
      </c>
      <c r="Z99">
        <v>4757.466782619631</v>
      </c>
      <c r="AA99">
        <v>4757.466782619631</v>
      </c>
    </row>
    <row r="100" spans="1:27" x14ac:dyDescent="0.2">
      <c r="A100" t="s">
        <v>726</v>
      </c>
      <c r="B100" t="s">
        <v>727</v>
      </c>
      <c r="C100">
        <v>2801.7552676866817</v>
      </c>
      <c r="D100">
        <v>3057.6500044109307</v>
      </c>
      <c r="E100">
        <v>3179.9560045873677</v>
      </c>
      <c r="F100">
        <v>3369.3784877067628</v>
      </c>
      <c r="G100">
        <v>4125.3802242393685</v>
      </c>
      <c r="H100">
        <v>4290.3954332089434</v>
      </c>
      <c r="I100">
        <v>4520.8538573953947</v>
      </c>
      <c r="J100">
        <v>5361.339484450632</v>
      </c>
      <c r="K100">
        <v>5575.7930638286571</v>
      </c>
      <c r="L100">
        <v>6717.401392255244</v>
      </c>
      <c r="M100">
        <v>7307.8980532692822</v>
      </c>
      <c r="N100">
        <v>7832.7787253114393</v>
      </c>
      <c r="O100">
        <v>7832.7787253114393</v>
      </c>
      <c r="P100">
        <v>7832.7787253114393</v>
      </c>
      <c r="Q100">
        <v>8292.0906481145994</v>
      </c>
      <c r="R100">
        <v>8292.0906481145994</v>
      </c>
      <c r="S100">
        <v>8803.7441949500444</v>
      </c>
      <c r="T100">
        <v>8803.7441949500444</v>
      </c>
      <c r="U100">
        <v>9276.1415237612746</v>
      </c>
      <c r="V100">
        <v>9276.1415237612746</v>
      </c>
      <c r="W100">
        <v>9682.8756238677433</v>
      </c>
      <c r="X100">
        <v>9682.8756238677433</v>
      </c>
      <c r="Y100">
        <v>9682.8756238677433</v>
      </c>
      <c r="Z100">
        <v>9682.8756238677433</v>
      </c>
      <c r="AA100">
        <v>9682.8756238677433</v>
      </c>
    </row>
    <row r="101" spans="1:27" x14ac:dyDescent="0.2">
      <c r="A101" t="s">
        <v>413</v>
      </c>
      <c r="B101" t="s">
        <v>414</v>
      </c>
      <c r="C101">
        <v>45955.129651720847</v>
      </c>
      <c r="D101">
        <v>50152.38268769547</v>
      </c>
      <c r="E101">
        <v>52158.477995203291</v>
      </c>
      <c r="F101">
        <v>55265.435576794662</v>
      </c>
      <c r="G101">
        <v>67665.575667534082</v>
      </c>
      <c r="H101">
        <v>70372.198694235456</v>
      </c>
      <c r="I101">
        <v>74152.238615982104</v>
      </c>
      <c r="J101">
        <v>87938.105785466352</v>
      </c>
      <c r="K101">
        <v>91455.630016884999</v>
      </c>
      <c r="L101">
        <v>110180.59124008451</v>
      </c>
      <c r="M101">
        <v>119866.0733836459</v>
      </c>
      <c r="N101">
        <v>128475.3047514147</v>
      </c>
      <c r="O101">
        <v>128475.3047514147</v>
      </c>
      <c r="P101">
        <v>128475.3047514147</v>
      </c>
      <c r="Q101">
        <v>136009.0601819625</v>
      </c>
      <c r="R101">
        <v>136009.0601819625</v>
      </c>
      <c r="S101">
        <v>144401.33674971559</v>
      </c>
      <c r="T101">
        <v>144401.33674971559</v>
      </c>
      <c r="U101">
        <v>152149.72246456466</v>
      </c>
      <c r="V101">
        <v>152149.72246456466</v>
      </c>
      <c r="W101">
        <v>158821.08256504976</v>
      </c>
      <c r="X101">
        <v>158821.08256504976</v>
      </c>
      <c r="Y101">
        <v>158821.08256504976</v>
      </c>
      <c r="Z101">
        <v>158821.08256504976</v>
      </c>
      <c r="AA101">
        <v>158821.08256504976</v>
      </c>
    </row>
    <row r="102" spans="1:27" x14ac:dyDescent="0.2">
      <c r="A102" t="s">
        <v>456</v>
      </c>
      <c r="B102" t="s">
        <v>457</v>
      </c>
      <c r="C102">
        <v>26500.049934738025</v>
      </c>
      <c r="D102">
        <v>28920.398128400306</v>
      </c>
      <c r="E102">
        <v>30077.214053536318</v>
      </c>
      <c r="F102">
        <v>31868.842794033215</v>
      </c>
      <c r="G102">
        <v>39019.390166932135</v>
      </c>
      <c r="H102">
        <v>40580.16577360942</v>
      </c>
      <c r="I102">
        <v>42759.927803240389</v>
      </c>
      <c r="J102">
        <v>50709.55543248848</v>
      </c>
      <c r="K102">
        <v>52737.937649788008</v>
      </c>
      <c r="L102">
        <v>63535.696489801187</v>
      </c>
      <c r="M102">
        <v>69120.834914860097</v>
      </c>
      <c r="N102">
        <v>74085.35275812645</v>
      </c>
      <c r="O102">
        <v>74085.35275812645</v>
      </c>
      <c r="P102">
        <v>74085.35275812645</v>
      </c>
      <c r="Q102">
        <v>78429.696830674264</v>
      </c>
      <c r="R102">
        <v>78429.696830674264</v>
      </c>
      <c r="S102">
        <v>83269.107573219328</v>
      </c>
      <c r="T102">
        <v>83269.107573219328</v>
      </c>
      <c r="U102">
        <v>87737.218313266436</v>
      </c>
      <c r="V102">
        <v>87737.218313266436</v>
      </c>
      <c r="W102">
        <v>91584.261660447009</v>
      </c>
      <c r="X102">
        <v>91584.261660447009</v>
      </c>
      <c r="Y102">
        <v>91584.261660447009</v>
      </c>
      <c r="Z102">
        <v>91584.261660447009</v>
      </c>
      <c r="AA102">
        <v>91584.261660447009</v>
      </c>
    </row>
    <row r="103" spans="1:27" x14ac:dyDescent="0.2">
      <c r="A103" t="s">
        <v>533</v>
      </c>
      <c r="B103" t="s">
        <v>534</v>
      </c>
      <c r="C103">
        <v>12980.364431724767</v>
      </c>
      <c r="D103">
        <v>14165.909428159648</v>
      </c>
      <c r="E103">
        <v>14732.545805286032</v>
      </c>
      <c r="F103">
        <v>15610.128830045405</v>
      </c>
      <c r="G103">
        <v>19112.639618331497</v>
      </c>
      <c r="H103">
        <v>19877.145203064756</v>
      </c>
      <c r="I103">
        <v>20944.845286224081</v>
      </c>
      <c r="J103">
        <v>24838.764881782325</v>
      </c>
      <c r="K103">
        <v>25832.315477053617</v>
      </c>
      <c r="L103">
        <v>31121.318521742949</v>
      </c>
      <c r="M103">
        <v>33857.054202899526</v>
      </c>
      <c r="N103">
        <v>36288.794935165984</v>
      </c>
      <c r="O103">
        <v>36288.794935165984</v>
      </c>
      <c r="P103">
        <v>36288.794935165984</v>
      </c>
      <c r="Q103">
        <v>38416.759577396821</v>
      </c>
      <c r="R103">
        <v>38416.759577396821</v>
      </c>
      <c r="S103">
        <v>40787.219830405382</v>
      </c>
      <c r="T103">
        <v>40787.219830405382</v>
      </c>
      <c r="U103">
        <v>42975.808375330642</v>
      </c>
      <c r="V103">
        <v>42975.808375330642</v>
      </c>
      <c r="W103">
        <v>44860.183112511288</v>
      </c>
      <c r="X103">
        <v>44860.183112511288</v>
      </c>
      <c r="Y103">
        <v>44860.183112511288</v>
      </c>
      <c r="Z103">
        <v>44860.183112511288</v>
      </c>
      <c r="AA103">
        <v>44860.183112511288</v>
      </c>
    </row>
    <row r="104" spans="1:27" x14ac:dyDescent="0.2">
      <c r="A104" t="s">
        <v>716</v>
      </c>
      <c r="B104" t="s">
        <v>717</v>
      </c>
      <c r="C104">
        <v>3147.6765347667288</v>
      </c>
      <c r="D104">
        <v>3435.1655483315294</v>
      </c>
      <c r="E104">
        <v>3572.5721702647902</v>
      </c>
      <c r="F104">
        <v>3785.3818728639981</v>
      </c>
      <c r="G104">
        <v>4634.7240526652267</v>
      </c>
      <c r="H104">
        <v>4820.1130147718359</v>
      </c>
      <c r="I104">
        <v>5079.0251982938307</v>
      </c>
      <c r="J104">
        <v>6023.2821491426603</v>
      </c>
      <c r="K104">
        <v>6264.213435108366</v>
      </c>
      <c r="L104">
        <v>7546.7714760359022</v>
      </c>
      <c r="M104">
        <v>8210.1743453616928</v>
      </c>
      <c r="N104">
        <v>8799.8598878479988</v>
      </c>
      <c r="O104">
        <v>8799.8598878479988</v>
      </c>
      <c r="P104">
        <v>8799.8598878479988</v>
      </c>
      <c r="Q104">
        <v>9315.881175724373</v>
      </c>
      <c r="R104">
        <v>9315.881175724373</v>
      </c>
      <c r="S104">
        <v>9890.7064939377851</v>
      </c>
      <c r="T104">
        <v>9890.7064939377851</v>
      </c>
      <c r="U104">
        <v>10421.428789398416</v>
      </c>
      <c r="V104">
        <v>10421.428789398416</v>
      </c>
      <c r="W104">
        <v>10878.38068579002</v>
      </c>
      <c r="X104">
        <v>10878.38068579002</v>
      </c>
      <c r="Y104">
        <v>10878.38068579002</v>
      </c>
      <c r="Z104">
        <v>10878.38068579002</v>
      </c>
      <c r="AA104">
        <v>10878.38068579002</v>
      </c>
    </row>
    <row r="105" spans="1:27" x14ac:dyDescent="0.2">
      <c r="A105" t="s">
        <v>637</v>
      </c>
      <c r="B105" t="s">
        <v>638</v>
      </c>
      <c r="C105">
        <v>5639.5509114929346</v>
      </c>
      <c r="D105">
        <v>6154.6320866346268</v>
      </c>
      <c r="E105">
        <v>6400.8173701000114</v>
      </c>
      <c r="F105">
        <v>6782.0989722633822</v>
      </c>
      <c r="G105">
        <v>8303.8272729200417</v>
      </c>
      <c r="H105">
        <v>8635.980363836843</v>
      </c>
      <c r="I105">
        <v>9099.861713921724</v>
      </c>
      <c r="J105">
        <v>10791.64455406597</v>
      </c>
      <c r="K105">
        <v>11223.310336228607</v>
      </c>
      <c r="L105">
        <v>13521.212070687328</v>
      </c>
      <c r="M105">
        <v>14709.801245931332</v>
      </c>
      <c r="N105">
        <v>15766.314392022219</v>
      </c>
      <c r="O105">
        <v>15766.314392022219</v>
      </c>
      <c r="P105">
        <v>15766.314392022219</v>
      </c>
      <c r="Q105">
        <v>16690.846596094016</v>
      </c>
      <c r="R105">
        <v>16690.846596094016</v>
      </c>
      <c r="S105">
        <v>17720.735344659442</v>
      </c>
      <c r="T105">
        <v>17720.735344659442</v>
      </c>
      <c r="U105">
        <v>18671.606684854643</v>
      </c>
      <c r="V105">
        <v>18671.606684854643</v>
      </c>
      <c r="W105">
        <v>19490.306908762712</v>
      </c>
      <c r="X105">
        <v>19490.306908762712</v>
      </c>
      <c r="Y105">
        <v>19490.306908762712</v>
      </c>
      <c r="Z105">
        <v>19490.306908762712</v>
      </c>
      <c r="AA105">
        <v>19490.306908762712</v>
      </c>
    </row>
    <row r="106" spans="1:27" x14ac:dyDescent="0.2">
      <c r="A106" t="s">
        <v>569</v>
      </c>
      <c r="B106" t="s">
        <v>570</v>
      </c>
      <c r="C106">
        <v>8761.3710613245785</v>
      </c>
      <c r="D106">
        <v>9561.5796901575468</v>
      </c>
      <c r="E106">
        <v>9944.0428777638481</v>
      </c>
      <c r="F106">
        <v>10536.386071013838</v>
      </c>
      <c r="G106">
        <v>12900.479685170509</v>
      </c>
      <c r="H106">
        <v>13416.498872577331</v>
      </c>
      <c r="I106">
        <v>14137.165588829377</v>
      </c>
      <c r="J106">
        <v>16765.448842284652</v>
      </c>
      <c r="K106">
        <v>17436.066795976036</v>
      </c>
      <c r="L106">
        <v>21005.991081440909</v>
      </c>
      <c r="M106">
        <v>22852.533646127089</v>
      </c>
      <c r="N106">
        <v>24493.888401025339</v>
      </c>
      <c r="O106">
        <v>24493.888401025339</v>
      </c>
      <c r="P106">
        <v>24493.888401025339</v>
      </c>
      <c r="Q106">
        <v>25930.203069540839</v>
      </c>
      <c r="R106">
        <v>25930.203069540839</v>
      </c>
      <c r="S106">
        <v>27530.195270990127</v>
      </c>
      <c r="T106">
        <v>27530.195270990127</v>
      </c>
      <c r="U106">
        <v>29007.42932273907</v>
      </c>
      <c r="V106">
        <v>29007.42932273907</v>
      </c>
      <c r="W106">
        <v>30279.327841294911</v>
      </c>
      <c r="X106">
        <v>30279.327841294911</v>
      </c>
      <c r="Y106">
        <v>30279.327841294911</v>
      </c>
      <c r="Z106">
        <v>30279.327841294911</v>
      </c>
      <c r="AA106">
        <v>30279.327841294911</v>
      </c>
    </row>
    <row r="107" spans="1:27" x14ac:dyDescent="0.2">
      <c r="A107" t="s">
        <v>551</v>
      </c>
      <c r="B107" t="s">
        <v>552</v>
      </c>
      <c r="C107">
        <v>10546.988378923123</v>
      </c>
      <c r="D107">
        <v>11510.284083435763</v>
      </c>
      <c r="E107">
        <v>11970.695446773194</v>
      </c>
      <c r="F107">
        <v>12683.761556154179</v>
      </c>
      <c r="G107">
        <v>15529.670912198178</v>
      </c>
      <c r="H107">
        <v>16150.857748686107</v>
      </c>
      <c r="I107">
        <v>17018.400445849067</v>
      </c>
      <c r="J107">
        <v>20182.342794219385</v>
      </c>
      <c r="K107">
        <v>20989.636505988157</v>
      </c>
      <c r="L107">
        <v>25287.131691261256</v>
      </c>
      <c r="M107">
        <v>27510.010146541255</v>
      </c>
      <c r="N107">
        <v>29485.882347870534</v>
      </c>
      <c r="O107">
        <v>29485.882347870534</v>
      </c>
      <c r="P107">
        <v>29485.882347870534</v>
      </c>
      <c r="Q107">
        <v>31214.92612552553</v>
      </c>
      <c r="R107">
        <v>31214.92612552553</v>
      </c>
      <c r="S107">
        <v>33141.005849456553</v>
      </c>
      <c r="T107">
        <v>33141.005849456553</v>
      </c>
      <c r="U107">
        <v>34919.308613680543</v>
      </c>
      <c r="V107">
        <v>34919.308613680543</v>
      </c>
      <c r="W107">
        <v>36450.427293677407</v>
      </c>
      <c r="X107">
        <v>36450.427293677407</v>
      </c>
      <c r="Y107">
        <v>36450.427293677407</v>
      </c>
      <c r="Z107">
        <v>36450.427293677407</v>
      </c>
      <c r="AA107">
        <v>36450.427293677407</v>
      </c>
    </row>
    <row r="108" spans="1:27" x14ac:dyDescent="0.2">
      <c r="A108" t="s">
        <v>482</v>
      </c>
      <c r="B108" t="s">
        <v>483</v>
      </c>
      <c r="C108">
        <v>21165.616878776298</v>
      </c>
      <c r="D108">
        <v>23098.751446690479</v>
      </c>
      <c r="E108">
        <v>24022.701504558096</v>
      </c>
      <c r="F108">
        <v>25453.677204745461</v>
      </c>
      <c r="G108">
        <v>31164.826675823431</v>
      </c>
      <c r="H108">
        <v>32411.419742856368</v>
      </c>
      <c r="I108">
        <v>34152.397896470895</v>
      </c>
      <c r="J108">
        <v>40501.773582327056</v>
      </c>
      <c r="K108">
        <v>42121.84452562013</v>
      </c>
      <c r="L108">
        <v>50746.025510937892</v>
      </c>
      <c r="M108">
        <v>55206.881260676215</v>
      </c>
      <c r="N108">
        <v>59172.046719503611</v>
      </c>
      <c r="O108">
        <v>59172.046719503611</v>
      </c>
      <c r="P108">
        <v>59172.046719503611</v>
      </c>
      <c r="Q108">
        <v>62641.878755880069</v>
      </c>
      <c r="R108">
        <v>62641.878755880069</v>
      </c>
      <c r="S108">
        <v>66507.121045913344</v>
      </c>
      <c r="T108">
        <v>66507.121045913344</v>
      </c>
      <c r="U108">
        <v>70075.805645704007</v>
      </c>
      <c r="V108">
        <v>70075.805645704007</v>
      </c>
      <c r="W108">
        <v>73148.443086123763</v>
      </c>
      <c r="X108">
        <v>73148.443086123763</v>
      </c>
      <c r="Y108">
        <v>73148.443086123763</v>
      </c>
      <c r="Z108">
        <v>73148.443086123763</v>
      </c>
      <c r="AA108">
        <v>73148.443086123763</v>
      </c>
    </row>
    <row r="109" spans="1:27" x14ac:dyDescent="0.2">
      <c r="A109" t="s">
        <v>573</v>
      </c>
      <c r="B109" t="s">
        <v>574</v>
      </c>
      <c r="C109">
        <v>8691.6788813012136</v>
      </c>
      <c r="D109">
        <v>9485.5222639385192</v>
      </c>
      <c r="E109">
        <v>9864.9431544960607</v>
      </c>
      <c r="F109">
        <v>10452.57456369186</v>
      </c>
      <c r="G109">
        <v>12797.863034612767</v>
      </c>
      <c r="H109">
        <v>13309.777555997278</v>
      </c>
      <c r="I109">
        <v>14024.711740871035</v>
      </c>
      <c r="J109">
        <v>16632.088359009747</v>
      </c>
      <c r="K109">
        <v>17297.371893370135</v>
      </c>
      <c r="L109">
        <v>20838.899275629909</v>
      </c>
      <c r="M109">
        <v>22670.753548273879</v>
      </c>
      <c r="N109">
        <v>24299.052174141645</v>
      </c>
      <c r="O109">
        <v>24299.052174141645</v>
      </c>
      <c r="P109">
        <v>24299.052174141645</v>
      </c>
      <c r="Q109">
        <v>25723.941701575033</v>
      </c>
      <c r="R109">
        <v>25723.941701575033</v>
      </c>
      <c r="S109">
        <v>27311.206791735585</v>
      </c>
      <c r="T109">
        <v>27311.206791735585</v>
      </c>
      <c r="U109">
        <v>28776.690209850756</v>
      </c>
      <c r="V109">
        <v>28776.690209850756</v>
      </c>
      <c r="W109">
        <v>30038.471432847924</v>
      </c>
      <c r="X109">
        <v>30038.471432847924</v>
      </c>
      <c r="Y109">
        <v>30038.471432847924</v>
      </c>
      <c r="Z109">
        <v>30038.471432847924</v>
      </c>
      <c r="AA109">
        <v>30038.471432847924</v>
      </c>
    </row>
    <row r="110" spans="1:27" x14ac:dyDescent="0.2">
      <c r="A110" t="s">
        <v>376</v>
      </c>
      <c r="B110" t="s">
        <v>377</v>
      </c>
      <c r="C110">
        <v>94584.119641383179</v>
      </c>
      <c r="D110">
        <v>103222.83933009843</v>
      </c>
      <c r="E110">
        <v>107351.75290330236</v>
      </c>
      <c r="F110">
        <v>113746.44376469431</v>
      </c>
      <c r="G110">
        <v>139268.21560607766</v>
      </c>
      <c r="H110">
        <v>144838.94423032078</v>
      </c>
      <c r="I110">
        <v>152618.96249851646</v>
      </c>
      <c r="J110">
        <v>180992.81585505654</v>
      </c>
      <c r="K110">
        <v>188232.52848925878</v>
      </c>
      <c r="L110">
        <v>226771.94696196989</v>
      </c>
      <c r="M110">
        <v>246706.45283310686</v>
      </c>
      <c r="N110">
        <v>264425.83641184302</v>
      </c>
      <c r="O110">
        <v>264425.83641184302</v>
      </c>
      <c r="P110">
        <v>264425.83641184302</v>
      </c>
      <c r="Q110">
        <v>279931.69245864823</v>
      </c>
      <c r="R110">
        <v>279931.69245864823</v>
      </c>
      <c r="S110">
        <v>297204.54310587107</v>
      </c>
      <c r="T110">
        <v>297204.54310587107</v>
      </c>
      <c r="U110">
        <v>313152.14780278062</v>
      </c>
      <c r="V110">
        <v>313152.14780278062</v>
      </c>
      <c r="W110">
        <v>326883.03544681973</v>
      </c>
      <c r="X110">
        <v>326883.03544681973</v>
      </c>
      <c r="Y110">
        <v>326883.03544681973</v>
      </c>
      <c r="Z110">
        <v>326883.03544681973</v>
      </c>
      <c r="AA110">
        <v>326883.03544681973</v>
      </c>
    </row>
    <row r="111" spans="1:27" x14ac:dyDescent="0.2">
      <c r="A111" t="s">
        <v>360</v>
      </c>
      <c r="B111" t="s">
        <v>361</v>
      </c>
      <c r="C111">
        <v>137528.02571688651</v>
      </c>
      <c r="D111">
        <v>150088.97218459347</v>
      </c>
      <c r="E111">
        <v>156092.53107197722</v>
      </c>
      <c r="F111">
        <v>165390.59519279888</v>
      </c>
      <c r="G111">
        <v>202499.98424722292</v>
      </c>
      <c r="H111">
        <v>210599.98361711184</v>
      </c>
      <c r="I111">
        <v>221912.35356381189</v>
      </c>
      <c r="J111">
        <v>263168.75103201956</v>
      </c>
      <c r="K111">
        <v>273695.50107330031</v>
      </c>
      <c r="L111">
        <v>329732.92210047512</v>
      </c>
      <c r="M111">
        <v>358718.26600909088</v>
      </c>
      <c r="N111">
        <v>384482.75850258121</v>
      </c>
      <c r="O111">
        <v>384482.75850258121</v>
      </c>
      <c r="P111">
        <v>384482.75850258121</v>
      </c>
      <c r="Q111">
        <v>407028.71840845887</v>
      </c>
      <c r="R111">
        <v>407028.71840845887</v>
      </c>
      <c r="S111">
        <v>432143.93919839634</v>
      </c>
      <c r="T111">
        <v>432143.93919839634</v>
      </c>
      <c r="U111">
        <v>455332.21432528889</v>
      </c>
      <c r="V111">
        <v>455332.21432528889</v>
      </c>
      <c r="W111">
        <v>475297.31920954346</v>
      </c>
      <c r="X111">
        <v>475297.31920954346</v>
      </c>
      <c r="Y111">
        <v>475297.31920954346</v>
      </c>
      <c r="Z111">
        <v>475297.31920954346</v>
      </c>
      <c r="AA111">
        <v>475297.31920954346</v>
      </c>
    </row>
    <row r="112" spans="1:27" x14ac:dyDescent="0.2">
      <c r="A112" t="s">
        <v>378</v>
      </c>
      <c r="B112" t="s">
        <v>379</v>
      </c>
      <c r="C112">
        <v>91638.852141564363</v>
      </c>
      <c r="D112">
        <v>100008.56958724256</v>
      </c>
      <c r="E112">
        <v>104008.91237073224</v>
      </c>
      <c r="F112">
        <v>110204.4781016387</v>
      </c>
      <c r="G112">
        <v>134931.52409023387</v>
      </c>
      <c r="H112">
        <v>140328.78505384322</v>
      </c>
      <c r="I112">
        <v>147866.54029691173</v>
      </c>
      <c r="J112">
        <v>175356.85645447491</v>
      </c>
      <c r="K112">
        <v>182371.13071265389</v>
      </c>
      <c r="L112">
        <v>219710.46510021453</v>
      </c>
      <c r="M112">
        <v>239024.22773781698</v>
      </c>
      <c r="N112">
        <v>256191.84507112901</v>
      </c>
      <c r="O112">
        <v>256191.84507112901</v>
      </c>
      <c r="P112">
        <v>256191.84507112901</v>
      </c>
      <c r="Q112">
        <v>271214.86220116168</v>
      </c>
      <c r="R112">
        <v>271214.86220116168</v>
      </c>
      <c r="S112">
        <v>287949.85125139158</v>
      </c>
      <c r="T112">
        <v>287949.85125139158</v>
      </c>
      <c r="U112">
        <v>303400.86136147351</v>
      </c>
      <c r="V112">
        <v>303400.86136147351</v>
      </c>
      <c r="W112">
        <v>316704.18106625404</v>
      </c>
      <c r="X112">
        <v>316704.18106625404</v>
      </c>
      <c r="Y112">
        <v>316704.18106625404</v>
      </c>
      <c r="Z112">
        <v>316704.18106625404</v>
      </c>
      <c r="AA112">
        <v>316704.18106625404</v>
      </c>
    </row>
    <row r="113" spans="1:27" x14ac:dyDescent="0.2">
      <c r="A113" t="s">
        <v>789</v>
      </c>
      <c r="B113" t="s">
        <v>790</v>
      </c>
      <c r="C113">
        <v>1494.4118631383972</v>
      </c>
      <c r="D113">
        <v>1630.9020607962173</v>
      </c>
      <c r="E113">
        <v>1696.1381432280659</v>
      </c>
      <c r="F113">
        <v>1797.1730941331402</v>
      </c>
      <c r="G113">
        <v>2200.4124407875593</v>
      </c>
      <c r="H113">
        <v>2288.4289384190615</v>
      </c>
      <c r="I113">
        <v>2411.3518100333167</v>
      </c>
      <c r="J113">
        <v>2859.6535251598229</v>
      </c>
      <c r="K113">
        <v>2974.0396661662153</v>
      </c>
      <c r="L113">
        <v>3582.955458610465</v>
      </c>
      <c r="M113">
        <v>3897.9170205785799</v>
      </c>
      <c r="N113">
        <v>4177.8800537807974</v>
      </c>
      <c r="O113">
        <v>4177.8800537807974</v>
      </c>
      <c r="P113">
        <v>4177.8800537807974</v>
      </c>
      <c r="Q113">
        <v>4422.8697551420764</v>
      </c>
      <c r="R113">
        <v>4422.8697551420764</v>
      </c>
      <c r="S113">
        <v>4695.7776493562096</v>
      </c>
      <c r="T113">
        <v>4695.7776493562096</v>
      </c>
      <c r="U113">
        <v>4947.7468989307008</v>
      </c>
      <c r="V113">
        <v>4947.7468989307008</v>
      </c>
      <c r="W113">
        <v>5164.6924228143389</v>
      </c>
      <c r="X113">
        <v>5164.6924228143389</v>
      </c>
      <c r="Y113">
        <v>5164.6924228143389</v>
      </c>
      <c r="Z113">
        <v>5164.6924228143389</v>
      </c>
      <c r="AA113">
        <v>5164.6924228143389</v>
      </c>
    </row>
    <row r="114" spans="1:27" x14ac:dyDescent="0.2">
      <c r="A114" t="s">
        <v>415</v>
      </c>
      <c r="B114" t="s">
        <v>416</v>
      </c>
      <c r="C114">
        <v>44062.849128067428</v>
      </c>
      <c r="D114">
        <v>48087.27314075319</v>
      </c>
      <c r="E114">
        <v>50010.764066383315</v>
      </c>
      <c r="F114">
        <v>52989.787392016333</v>
      </c>
      <c r="G114">
        <v>64879.330651409393</v>
      </c>
      <c r="H114">
        <v>67474.503877465773</v>
      </c>
      <c r="I114">
        <v>71098.894234587904</v>
      </c>
      <c r="J114">
        <v>84317.104906436492</v>
      </c>
      <c r="K114">
        <v>87689.789102693947</v>
      </c>
      <c r="L114">
        <v>105643.71824095843</v>
      </c>
      <c r="M114">
        <v>114930.38420531733</v>
      </c>
      <c r="N114">
        <v>123185.11584771665</v>
      </c>
      <c r="O114">
        <v>123185.11584771665</v>
      </c>
      <c r="P114">
        <v>123185.11584771665</v>
      </c>
      <c r="Q114">
        <v>130408.65610143356</v>
      </c>
      <c r="R114">
        <v>130408.65610143356</v>
      </c>
      <c r="S114">
        <v>138455.36642623128</v>
      </c>
      <c r="T114">
        <v>138455.36642623128</v>
      </c>
      <c r="U114">
        <v>145884.69919771838</v>
      </c>
      <c r="V114">
        <v>145884.69919771838</v>
      </c>
      <c r="W114">
        <v>152281.35471396879</v>
      </c>
      <c r="X114">
        <v>152281.35471396879</v>
      </c>
      <c r="Y114">
        <v>152281.35471396879</v>
      </c>
      <c r="Z114">
        <v>152281.35471396879</v>
      </c>
      <c r="AA114">
        <v>152281.35471396879</v>
      </c>
    </row>
    <row r="115" spans="1:27" x14ac:dyDescent="0.2">
      <c r="A115" t="s">
        <v>759</v>
      </c>
      <c r="B115" t="s">
        <v>760</v>
      </c>
      <c r="C115">
        <v>2155.3859128123595</v>
      </c>
      <c r="D115">
        <v>2352.2453305707395</v>
      </c>
      <c r="E115">
        <v>2446.3351437935689</v>
      </c>
      <c r="F115">
        <v>2592.0575615915313</v>
      </c>
      <c r="G115">
        <v>3173.6485063029386</v>
      </c>
      <c r="H115">
        <v>3300.5944465550565</v>
      </c>
      <c r="I115">
        <v>3477.8857491571366</v>
      </c>
      <c r="J115">
        <v>4124.4700177295581</v>
      </c>
      <c r="K115">
        <v>4289.4488184387401</v>
      </c>
      <c r="L115">
        <v>5167.6863067085751</v>
      </c>
      <c r="M115">
        <v>5621.9544576035887</v>
      </c>
      <c r="N115">
        <v>6025.744331571148</v>
      </c>
      <c r="O115">
        <v>6025.744331571148</v>
      </c>
      <c r="P115">
        <v>6025.744331571148</v>
      </c>
      <c r="Q115">
        <v>6379.0922700633255</v>
      </c>
      <c r="R115">
        <v>6379.0922700633255</v>
      </c>
      <c r="S115">
        <v>6772.7065374508393</v>
      </c>
      <c r="T115">
        <v>6772.7065374508393</v>
      </c>
      <c r="U115">
        <v>7136.1210581668493</v>
      </c>
      <c r="V115">
        <v>7136.1210581668493</v>
      </c>
      <c r="W115">
        <v>7449.0209605033342</v>
      </c>
      <c r="X115">
        <v>7449.0209605033342</v>
      </c>
      <c r="Y115">
        <v>7449.0209605033342</v>
      </c>
      <c r="Z115">
        <v>7449.0209605033342</v>
      </c>
      <c r="AA115">
        <v>7449.0209605033342</v>
      </c>
    </row>
    <row r="116" spans="1:27" x14ac:dyDescent="0.2">
      <c r="A116" t="s">
        <v>735</v>
      </c>
      <c r="B116" t="s">
        <v>275</v>
      </c>
      <c r="C116">
        <v>2575.0559678741233</v>
      </c>
      <c r="D116">
        <v>2810.245413772238</v>
      </c>
      <c r="E116">
        <v>2922.6552303231274</v>
      </c>
      <c r="F116">
        <v>3096.7509128517704</v>
      </c>
      <c r="G116">
        <v>3791.5820445475988</v>
      </c>
      <c r="H116">
        <v>3943.2453263295029</v>
      </c>
      <c r="I116">
        <v>4155.0565959976684</v>
      </c>
      <c r="J116">
        <v>4927.5357467723206</v>
      </c>
      <c r="K116">
        <v>5124.637176643213</v>
      </c>
      <c r="L116">
        <v>6173.8741935211729</v>
      </c>
      <c r="M116">
        <v>6716.5918136113169</v>
      </c>
      <c r="N116">
        <v>7199.0026517570441</v>
      </c>
      <c r="O116">
        <v>7199.0026517570441</v>
      </c>
      <c r="P116">
        <v>7199.0026517570441</v>
      </c>
      <c r="Q116">
        <v>7621.1501253679626</v>
      </c>
      <c r="R116">
        <v>7621.1501253679626</v>
      </c>
      <c r="S116">
        <v>8091.4040888236732</v>
      </c>
      <c r="T116">
        <v>8091.4040888236732</v>
      </c>
      <c r="U116">
        <v>8525.5781848957886</v>
      </c>
      <c r="V116">
        <v>8525.5781848957886</v>
      </c>
      <c r="W116">
        <v>8899.40208161388</v>
      </c>
      <c r="X116">
        <v>8899.40208161388</v>
      </c>
      <c r="Y116">
        <v>8899.40208161388</v>
      </c>
      <c r="Z116">
        <v>8899.40208161388</v>
      </c>
      <c r="AA116">
        <v>8899.40208161388</v>
      </c>
    </row>
    <row r="117" spans="1:27" x14ac:dyDescent="0.2">
      <c r="A117" t="s">
        <v>612</v>
      </c>
      <c r="B117" t="s">
        <v>225</v>
      </c>
      <c r="C117">
        <v>6948.2032110008577</v>
      </c>
      <c r="D117">
        <v>7582.8084714573461</v>
      </c>
      <c r="E117">
        <v>7886.1208103156396</v>
      </c>
      <c r="F117">
        <v>8355.8784371238635</v>
      </c>
      <c r="G117">
        <v>10230.722308706974</v>
      </c>
      <c r="H117">
        <v>10639.951201055253</v>
      </c>
      <c r="I117">
        <v>11211.475766888092</v>
      </c>
      <c r="J117">
        <v>13295.835168316848</v>
      </c>
      <c r="K117">
        <v>13827.66857504952</v>
      </c>
      <c r="L117">
        <v>16658.796170226036</v>
      </c>
      <c r="M117">
        <v>18123.196306620051</v>
      </c>
      <c r="N117">
        <v>19424.872299857958</v>
      </c>
      <c r="O117">
        <v>19424.872299857958</v>
      </c>
      <c r="P117">
        <v>19424.872299857958</v>
      </c>
      <c r="Q117">
        <v>20563.941301950679</v>
      </c>
      <c r="R117">
        <v>20563.941301950679</v>
      </c>
      <c r="S117">
        <v>21832.814732133371</v>
      </c>
      <c r="T117">
        <v>21832.814732133371</v>
      </c>
      <c r="U117">
        <v>23004.334841248579</v>
      </c>
      <c r="V117">
        <v>23004.334841248579</v>
      </c>
      <c r="W117">
        <v>24013.013655196777</v>
      </c>
      <c r="X117">
        <v>24013.013655196777</v>
      </c>
      <c r="Y117">
        <v>24013.013655196777</v>
      </c>
      <c r="Z117">
        <v>24013.013655196777</v>
      </c>
      <c r="AA117">
        <v>24013.013655196777</v>
      </c>
    </row>
    <row r="118" spans="1:27" x14ac:dyDescent="0.2">
      <c r="A118" t="s">
        <v>647</v>
      </c>
      <c r="B118" t="s">
        <v>648</v>
      </c>
      <c r="C118">
        <v>4790.5814495870436</v>
      </c>
      <c r="D118">
        <v>5228.1230839105583</v>
      </c>
      <c r="E118">
        <v>5437.2480072669805</v>
      </c>
      <c r="F118">
        <v>5761.1320538974114</v>
      </c>
      <c r="G118">
        <v>7053.7816784590177</v>
      </c>
      <c r="H118">
        <v>7335.9329455973784</v>
      </c>
      <c r="I118">
        <v>7729.9822990657976</v>
      </c>
      <c r="J118">
        <v>9167.0867100230898</v>
      </c>
      <c r="K118">
        <v>9533.7701784240126</v>
      </c>
      <c r="L118">
        <v>11485.749262368066</v>
      </c>
      <c r="M118">
        <v>12495.410021436652</v>
      </c>
      <c r="N118">
        <v>13392.877276957533</v>
      </c>
      <c r="O118">
        <v>13392.877276957533</v>
      </c>
      <c r="P118">
        <v>13392.877276957533</v>
      </c>
      <c r="Q118">
        <v>14178.23180179144</v>
      </c>
      <c r="R118">
        <v>14178.23180179144</v>
      </c>
      <c r="S118">
        <v>15053.082656309192</v>
      </c>
      <c r="T118">
        <v>15053.082656309192</v>
      </c>
      <c r="U118">
        <v>15860.811263564057</v>
      </c>
      <c r="V118">
        <v>15860.811263564057</v>
      </c>
      <c r="W118">
        <v>16556.265594410499</v>
      </c>
      <c r="X118">
        <v>16556.265594410499</v>
      </c>
      <c r="Y118">
        <v>16556.265594410499</v>
      </c>
      <c r="Z118">
        <v>16556.265594410499</v>
      </c>
      <c r="AA118">
        <v>16556.265594410499</v>
      </c>
    </row>
    <row r="119" spans="1:27" x14ac:dyDescent="0.2">
      <c r="A119" t="s">
        <v>750</v>
      </c>
      <c r="B119" t="s">
        <v>751</v>
      </c>
      <c r="C119">
        <v>2279.9297032947893</v>
      </c>
      <c r="D119">
        <v>2488.1641689896205</v>
      </c>
      <c r="E119">
        <v>2587.690735749205</v>
      </c>
      <c r="F119">
        <v>2741.8333729440469</v>
      </c>
      <c r="G119">
        <v>3357.0301514572088</v>
      </c>
      <c r="H119">
        <v>3491.3113575154971</v>
      </c>
      <c r="I119">
        <v>3678.8470115881778</v>
      </c>
      <c r="J119">
        <v>4362.792596849009</v>
      </c>
      <c r="K119">
        <v>4537.3043007229689</v>
      </c>
      <c r="L119">
        <v>5466.2886297709247</v>
      </c>
      <c r="M119">
        <v>5946.8055730847809</v>
      </c>
      <c r="N119">
        <v>6373.9274736576008</v>
      </c>
      <c r="O119">
        <v>6373.9274736576008</v>
      </c>
      <c r="P119">
        <v>6373.9274736576008</v>
      </c>
      <c r="Q119">
        <v>6747.6927728448509</v>
      </c>
      <c r="R119">
        <v>6747.6927728448509</v>
      </c>
      <c r="S119">
        <v>7164.0510938874431</v>
      </c>
      <c r="T119">
        <v>7164.0510938874431</v>
      </c>
      <c r="U119">
        <v>7548.4646485385274</v>
      </c>
      <c r="V119">
        <v>7548.4646485385274</v>
      </c>
      <c r="W119">
        <v>7879.4447190931114</v>
      </c>
      <c r="X119">
        <v>7879.4447190931114</v>
      </c>
      <c r="Y119">
        <v>7879.4447190931114</v>
      </c>
      <c r="Z119">
        <v>7879.4447190931114</v>
      </c>
      <c r="AA119">
        <v>7879.4447190931114</v>
      </c>
    </row>
    <row r="120" spans="1:27" x14ac:dyDescent="0.2">
      <c r="A120" t="s">
        <v>608</v>
      </c>
      <c r="B120" t="s">
        <v>609</v>
      </c>
      <c r="C120">
        <v>7078.9236802521118</v>
      </c>
      <c r="D120">
        <v>7725.468127706592</v>
      </c>
      <c r="E120">
        <v>8034.4868528148545</v>
      </c>
      <c r="F120">
        <v>8513.082295033184</v>
      </c>
      <c r="G120">
        <v>10423.198662716892</v>
      </c>
      <c r="H120">
        <v>10840.126609225568</v>
      </c>
      <c r="I120">
        <v>11422.403589339554</v>
      </c>
      <c r="J120">
        <v>13545.977220802866</v>
      </c>
      <c r="K120">
        <v>14087.81630963498</v>
      </c>
      <c r="L120">
        <v>16972.207506423736</v>
      </c>
      <c r="M120">
        <v>18464.15822923381</v>
      </c>
      <c r="N120">
        <v>19790.323387725228</v>
      </c>
      <c r="O120">
        <v>19790.323387725228</v>
      </c>
      <c r="P120">
        <v>19790.323387725228</v>
      </c>
      <c r="Q120">
        <v>20950.822337955819</v>
      </c>
      <c r="R120">
        <v>20950.822337955819</v>
      </c>
      <c r="S120">
        <v>22243.567800256296</v>
      </c>
      <c r="T120">
        <v>22243.567800256296</v>
      </c>
      <c r="U120">
        <v>23437.128378504352</v>
      </c>
      <c r="V120">
        <v>23437.128378504352</v>
      </c>
      <c r="W120">
        <v>24464.784036375931</v>
      </c>
      <c r="X120">
        <v>24464.784036375931</v>
      </c>
      <c r="Y120">
        <v>24464.784036375931</v>
      </c>
      <c r="Z120">
        <v>24464.784036375931</v>
      </c>
      <c r="AA120">
        <v>24464.784036375931</v>
      </c>
    </row>
    <row r="121" spans="1:27" x14ac:dyDescent="0.2">
      <c r="A121" t="s">
        <v>787</v>
      </c>
      <c r="B121" t="s">
        <v>788</v>
      </c>
      <c r="C121">
        <v>1529.5912960468399</v>
      </c>
      <c r="D121">
        <v>1669.2945622499537</v>
      </c>
      <c r="E121">
        <v>1736.0663447399518</v>
      </c>
      <c r="F121">
        <v>1839.4797244867968</v>
      </c>
      <c r="G121">
        <v>2252.2115891622402</v>
      </c>
      <c r="H121">
        <v>2342.3000527287295</v>
      </c>
      <c r="I121">
        <v>2468.1166091574146</v>
      </c>
      <c r="J121">
        <v>2926.9716399387576</v>
      </c>
      <c r="K121">
        <v>3044.0505055363074</v>
      </c>
      <c r="L121">
        <v>3667.3005740898202</v>
      </c>
      <c r="M121">
        <v>3989.6765372757668</v>
      </c>
      <c r="N121">
        <v>4276.2300834324906</v>
      </c>
      <c r="O121">
        <v>4276.2300834324906</v>
      </c>
      <c r="P121">
        <v>4276.2300834324906</v>
      </c>
      <c r="Q121">
        <v>4526.9870026370472</v>
      </c>
      <c r="R121">
        <v>4526.9870026370472</v>
      </c>
      <c r="S121">
        <v>4806.319327218408</v>
      </c>
      <c r="T121">
        <v>4806.319327218408</v>
      </c>
      <c r="U121">
        <v>5064.2200977671646</v>
      </c>
      <c r="V121">
        <v>5064.2200977671646</v>
      </c>
      <c r="W121">
        <v>5286.2726612096449</v>
      </c>
      <c r="X121">
        <v>5286.2726612096449</v>
      </c>
      <c r="Y121">
        <v>5286.2726612096449</v>
      </c>
      <c r="Z121">
        <v>5286.2726612096449</v>
      </c>
      <c r="AA121">
        <v>5286.2726612096449</v>
      </c>
    </row>
    <row r="122" spans="1:27" x14ac:dyDescent="0.2">
      <c r="A122" t="s">
        <v>639</v>
      </c>
      <c r="B122" t="s">
        <v>640</v>
      </c>
      <c r="C122">
        <v>5614.7994879053213</v>
      </c>
      <c r="D122">
        <v>6127.620023406017</v>
      </c>
      <c r="E122">
        <v>6372.7248243422573</v>
      </c>
      <c r="F122">
        <v>6752.3330197770738</v>
      </c>
      <c r="G122">
        <v>8267.3826074748595</v>
      </c>
      <c r="H122">
        <v>8598.0779117738548</v>
      </c>
      <c r="I122">
        <v>9059.923333117149</v>
      </c>
      <c r="J122">
        <v>10744.281107976618</v>
      </c>
      <c r="K122">
        <v>11174.052352295681</v>
      </c>
      <c r="L122">
        <v>13461.868826405676</v>
      </c>
      <c r="M122">
        <v>14645.241402915166</v>
      </c>
      <c r="N122">
        <v>15697.117618722919</v>
      </c>
      <c r="O122">
        <v>15697.117618722919</v>
      </c>
      <c r="P122">
        <v>15697.117618722919</v>
      </c>
      <c r="Q122">
        <v>16617.592143635062</v>
      </c>
      <c r="R122">
        <v>16617.592143635062</v>
      </c>
      <c r="S122">
        <v>17642.960813729009</v>
      </c>
      <c r="T122">
        <v>17642.960813729009</v>
      </c>
      <c r="U122">
        <v>18589.658874936598</v>
      </c>
      <c r="V122">
        <v>18589.658874936598</v>
      </c>
      <c r="W122">
        <v>19404.765905636334</v>
      </c>
      <c r="X122">
        <v>19404.765905636334</v>
      </c>
      <c r="Y122">
        <v>19404.765905636334</v>
      </c>
      <c r="Z122">
        <v>19404.765905636334</v>
      </c>
      <c r="AA122">
        <v>19404.765905636334</v>
      </c>
    </row>
    <row r="123" spans="1:27" x14ac:dyDescent="0.2">
      <c r="A123" t="s">
        <v>564</v>
      </c>
      <c r="B123" t="s">
        <v>565</v>
      </c>
      <c r="C123">
        <v>9069.0071113669856</v>
      </c>
      <c r="D123">
        <v>9897.3132856709708</v>
      </c>
      <c r="E123">
        <v>10293.205817097811</v>
      </c>
      <c r="F123">
        <v>10906.347823566126</v>
      </c>
      <c r="G123">
        <v>13353.451324679883</v>
      </c>
      <c r="H123">
        <v>13887.58937766708</v>
      </c>
      <c r="I123">
        <v>14633.560702117205</v>
      </c>
      <c r="J123">
        <v>17354.130273869716</v>
      </c>
      <c r="K123">
        <v>18048.295484824503</v>
      </c>
      <c r="L123">
        <v>21743.56971819637</v>
      </c>
      <c r="M123">
        <v>23654.949516331417</v>
      </c>
      <c r="N123">
        <v>25353.936791297692</v>
      </c>
      <c r="O123">
        <v>25353.936791297692</v>
      </c>
      <c r="P123">
        <v>25353.936791297692</v>
      </c>
      <c r="Q123">
        <v>26840.684453479058</v>
      </c>
      <c r="R123">
        <v>26840.684453479058</v>
      </c>
      <c r="S123">
        <v>28496.856820967121</v>
      </c>
      <c r="T123">
        <v>28496.856820967121</v>
      </c>
      <c r="U123">
        <v>30025.960659475153</v>
      </c>
      <c r="V123">
        <v>30025.960659475153</v>
      </c>
      <c r="W123">
        <v>31342.519064430573</v>
      </c>
      <c r="X123">
        <v>31342.519064430573</v>
      </c>
      <c r="Y123">
        <v>31342.519064430573</v>
      </c>
      <c r="Z123">
        <v>31342.519064430573</v>
      </c>
      <c r="AA123">
        <v>31342.519064430573</v>
      </c>
    </row>
    <row r="124" spans="1:27" x14ac:dyDescent="0.2">
      <c r="A124" t="s">
        <v>544</v>
      </c>
      <c r="B124" t="s">
        <v>545</v>
      </c>
      <c r="C124">
        <v>11795.72221416677</v>
      </c>
      <c r="D124">
        <v>12873.06942763657</v>
      </c>
      <c r="E124">
        <v>13387.992204742031</v>
      </c>
      <c r="F124">
        <v>14185.483341017803</v>
      </c>
      <c r="G124">
        <v>17368.34038082245</v>
      </c>
      <c r="H124">
        <v>18063.073996055347</v>
      </c>
      <c r="I124">
        <v>19033.331314733474</v>
      </c>
      <c r="J124">
        <v>22571.875560937082</v>
      </c>
      <c r="K124">
        <v>23474.75058337456</v>
      </c>
      <c r="L124">
        <v>28281.057142268906</v>
      </c>
      <c r="M124">
        <v>30767.118170527683</v>
      </c>
      <c r="N124">
        <v>32976.928097326338</v>
      </c>
      <c r="O124">
        <v>32976.928097326338</v>
      </c>
      <c r="P124">
        <v>32976.928097326338</v>
      </c>
      <c r="Q124">
        <v>34910.685807547146</v>
      </c>
      <c r="R124">
        <v>34910.685807547146</v>
      </c>
      <c r="S124">
        <v>37064.807967312823</v>
      </c>
      <c r="T124">
        <v>37064.807967312823</v>
      </c>
      <c r="U124">
        <v>39053.656789919842</v>
      </c>
      <c r="V124">
        <v>39053.656789919842</v>
      </c>
      <c r="W124">
        <v>40766.055626184483</v>
      </c>
      <c r="X124">
        <v>40766.055626184483</v>
      </c>
      <c r="Y124">
        <v>40766.055626184483</v>
      </c>
      <c r="Z124">
        <v>40766.055626184483</v>
      </c>
      <c r="AA124">
        <v>40766.055626184483</v>
      </c>
    </row>
    <row r="125" spans="1:27" x14ac:dyDescent="0.2">
      <c r="A125" t="s">
        <v>807</v>
      </c>
      <c r="B125" t="s">
        <v>808</v>
      </c>
      <c r="C125">
        <v>1358.9953308984773</v>
      </c>
      <c r="D125">
        <v>1483.1174326468156</v>
      </c>
      <c r="E125">
        <v>1542.4421299526882</v>
      </c>
      <c r="F125">
        <v>1634.3217716528002</v>
      </c>
      <c r="G125">
        <v>2001.0214766371132</v>
      </c>
      <c r="H125">
        <v>2081.0623357025979</v>
      </c>
      <c r="I125">
        <v>2192.8465182997452</v>
      </c>
      <c r="J125">
        <v>2600.5252531374381</v>
      </c>
      <c r="K125">
        <v>2704.5462632629351</v>
      </c>
      <c r="L125">
        <v>3258.2849876760497</v>
      </c>
      <c r="M125">
        <v>3544.7062231367049</v>
      </c>
      <c r="N125">
        <v>3799.3003309129717</v>
      </c>
      <c r="O125">
        <v>3799.3003309129717</v>
      </c>
      <c r="P125">
        <v>3799.3003309129717</v>
      </c>
      <c r="Q125">
        <v>4022.0902247036884</v>
      </c>
      <c r="R125">
        <v>4022.0902247036884</v>
      </c>
      <c r="S125">
        <v>4270.2684968056383</v>
      </c>
      <c r="T125">
        <v>4270.2684968056383</v>
      </c>
      <c r="U125">
        <v>4499.4054851741621</v>
      </c>
      <c r="V125">
        <v>4499.4054851741621</v>
      </c>
      <c r="W125">
        <v>4696.6924321594615</v>
      </c>
      <c r="X125">
        <v>4696.6924321594615</v>
      </c>
      <c r="Y125">
        <v>4696.6924321594615</v>
      </c>
      <c r="Z125">
        <v>4696.6924321594615</v>
      </c>
      <c r="AA125">
        <v>4696.6924321594615</v>
      </c>
    </row>
    <row r="126" spans="1:27" x14ac:dyDescent="0.2">
      <c r="A126" t="s">
        <v>364</v>
      </c>
      <c r="B126" t="s">
        <v>125</v>
      </c>
      <c r="C126">
        <v>116267.89444184574</v>
      </c>
      <c r="D126">
        <v>126887.07399004532</v>
      </c>
      <c r="E126">
        <v>131962.55694964711</v>
      </c>
      <c r="F126">
        <v>139823.25539331327</v>
      </c>
      <c r="G126">
        <v>171195.9920183791</v>
      </c>
      <c r="H126">
        <v>178043.83169911426</v>
      </c>
      <c r="I126">
        <v>187607.44920902906</v>
      </c>
      <c r="J126">
        <v>222486.11805401795</v>
      </c>
      <c r="K126">
        <v>231385.56277617865</v>
      </c>
      <c r="L126">
        <v>278760.29180917772</v>
      </c>
      <c r="M126">
        <v>303264.86015705107</v>
      </c>
      <c r="N126">
        <v>325046.48087010876</v>
      </c>
      <c r="O126">
        <v>325046.48087010876</v>
      </c>
      <c r="P126">
        <v>325046.48087010876</v>
      </c>
      <c r="Q126">
        <v>344107.11431381857</v>
      </c>
      <c r="R126">
        <v>344107.11431381857</v>
      </c>
      <c r="S126">
        <v>365339.83269588399</v>
      </c>
      <c r="T126">
        <v>365339.83269588399</v>
      </c>
      <c r="U126">
        <v>384943.48737418262</v>
      </c>
      <c r="V126">
        <v>384943.48737418262</v>
      </c>
      <c r="W126">
        <v>401822.23405219783</v>
      </c>
      <c r="X126">
        <v>401822.23405219783</v>
      </c>
      <c r="Y126">
        <v>401822.23405219783</v>
      </c>
      <c r="Z126">
        <v>401822.23405219783</v>
      </c>
      <c r="AA126">
        <v>401822.23405219783</v>
      </c>
    </row>
    <row r="127" spans="1:27" x14ac:dyDescent="0.2">
      <c r="A127" t="s">
        <v>422</v>
      </c>
      <c r="B127" t="s">
        <v>167</v>
      </c>
      <c r="C127">
        <v>40299.599293754109</v>
      </c>
      <c r="D127">
        <v>43980.311692265132</v>
      </c>
      <c r="E127">
        <v>45739.524159955734</v>
      </c>
      <c r="F127">
        <v>48464.119792907783</v>
      </c>
      <c r="G127">
        <v>59338.219825492539</v>
      </c>
      <c r="H127">
        <v>61711.748618512247</v>
      </c>
      <c r="I127">
        <v>65026.592800549697</v>
      </c>
      <c r="J127">
        <v>77115.883529519095</v>
      </c>
      <c r="K127">
        <v>80200.518870699845</v>
      </c>
      <c r="L127">
        <v>96621.067344938943</v>
      </c>
      <c r="M127">
        <v>105114.59249241327</v>
      </c>
      <c r="N127">
        <v>112664.31712550022</v>
      </c>
      <c r="O127">
        <v>112664.31712550022</v>
      </c>
      <c r="P127">
        <v>112664.31712550022</v>
      </c>
      <c r="Q127">
        <v>119270.92072621167</v>
      </c>
      <c r="R127">
        <v>119270.92072621167</v>
      </c>
      <c r="S127">
        <v>126630.39039599524</v>
      </c>
      <c r="T127">
        <v>126630.39039599524</v>
      </c>
      <c r="U127">
        <v>133425.21051397469</v>
      </c>
      <c r="V127">
        <v>133425.21051397469</v>
      </c>
      <c r="W127">
        <v>139275.550635555</v>
      </c>
      <c r="X127">
        <v>139275.550635555</v>
      </c>
      <c r="Y127">
        <v>139275.550635555</v>
      </c>
      <c r="Z127">
        <v>139275.550635555</v>
      </c>
      <c r="AA127">
        <v>139275.550635555</v>
      </c>
    </row>
    <row r="128" spans="1:27" x14ac:dyDescent="0.2">
      <c r="A128" t="s">
        <v>610</v>
      </c>
      <c r="B128" t="s">
        <v>611</v>
      </c>
      <c r="C128">
        <v>7040.6970323797332</v>
      </c>
      <c r="D128">
        <v>7683.7500978045364</v>
      </c>
      <c r="E128">
        <v>7991.1001017167182</v>
      </c>
      <c r="F128">
        <v>8467.1110974472231</v>
      </c>
      <c r="G128">
        <v>10366.912712623229</v>
      </c>
      <c r="H128">
        <v>10781.589221128159</v>
      </c>
      <c r="I128">
        <v>11360.721867712302</v>
      </c>
      <c r="J128">
        <v>13472.828063572731</v>
      </c>
      <c r="K128">
        <v>14011.741186115638</v>
      </c>
      <c r="L128">
        <v>16880.556483009696</v>
      </c>
      <c r="M128">
        <v>18364.450574967414</v>
      </c>
      <c r="N128">
        <v>19683.454355426788</v>
      </c>
      <c r="O128">
        <v>19683.454355426788</v>
      </c>
      <c r="P128">
        <v>19683.454355426788</v>
      </c>
      <c r="Q128">
        <v>20837.686535915178</v>
      </c>
      <c r="R128">
        <v>20837.686535915178</v>
      </c>
      <c r="S128">
        <v>22123.451088714708</v>
      </c>
      <c r="T128">
        <v>22123.451088714708</v>
      </c>
      <c r="U128">
        <v>23310.566362280879</v>
      </c>
      <c r="V128">
        <v>23310.566362280879</v>
      </c>
      <c r="W128">
        <v>24332.672612821352</v>
      </c>
      <c r="X128">
        <v>24332.672612821352</v>
      </c>
      <c r="Y128">
        <v>24332.672612821352</v>
      </c>
      <c r="Z128">
        <v>24332.672612821352</v>
      </c>
      <c r="AA128">
        <v>24332.672612821352</v>
      </c>
    </row>
    <row r="129" spans="1:27" x14ac:dyDescent="0.2">
      <c r="A129" t="s">
        <v>460</v>
      </c>
      <c r="B129" t="s">
        <v>461</v>
      </c>
      <c r="C129">
        <v>26227.288165111084</v>
      </c>
      <c r="D129">
        <v>28622.724011134676</v>
      </c>
      <c r="E129">
        <v>29767.63297158006</v>
      </c>
      <c r="F129">
        <v>31540.820696796767</v>
      </c>
      <c r="G129">
        <v>38617.76836101451</v>
      </c>
      <c r="H129">
        <v>40162.479095455092</v>
      </c>
      <c r="I129">
        <v>42319.805101379243</v>
      </c>
      <c r="J129">
        <v>50187.608186697449</v>
      </c>
      <c r="K129">
        <v>52195.112514165347</v>
      </c>
      <c r="L129">
        <v>62881.73134438759</v>
      </c>
      <c r="M129">
        <v>68409.382623415368</v>
      </c>
      <c r="N129">
        <v>73322.80129231757</v>
      </c>
      <c r="O129">
        <v>73322.80129231757</v>
      </c>
      <c r="P129">
        <v>73322.80129231757</v>
      </c>
      <c r="Q129">
        <v>77622.429563196536</v>
      </c>
      <c r="R129">
        <v>77622.429563196536</v>
      </c>
      <c r="S129">
        <v>82412.028843448541</v>
      </c>
      <c r="T129">
        <v>82412.028843448541</v>
      </c>
      <c r="U129">
        <v>86834.149866670748</v>
      </c>
      <c r="V129">
        <v>86834.149866670748</v>
      </c>
      <c r="W129">
        <v>90641.596067665087</v>
      </c>
      <c r="X129">
        <v>90641.596067665087</v>
      </c>
      <c r="Y129">
        <v>90641.596067665087</v>
      </c>
      <c r="Z129">
        <v>90641.596067665087</v>
      </c>
      <c r="AA129">
        <v>90641.596067665087</v>
      </c>
    </row>
    <row r="130" spans="1:27" x14ac:dyDescent="0.2">
      <c r="A130" t="s">
        <v>439</v>
      </c>
      <c r="B130" t="s">
        <v>440</v>
      </c>
      <c r="C130">
        <v>31521.991422970736</v>
      </c>
      <c r="D130">
        <v>34401.012224407546</v>
      </c>
      <c r="E130">
        <v>35777.052713383848</v>
      </c>
      <c r="F130">
        <v>37908.207406683461</v>
      </c>
      <c r="G130">
        <v>46413.832622981528</v>
      </c>
      <c r="H130">
        <v>48270.385927900788</v>
      </c>
      <c r="I130">
        <v>50863.227834665449</v>
      </c>
      <c r="J130">
        <v>60319.36450467533</v>
      </c>
      <c r="K130">
        <v>62732.139084862341</v>
      </c>
      <c r="L130">
        <v>75576.147393542022</v>
      </c>
      <c r="M130">
        <v>82219.707913781909</v>
      </c>
      <c r="N130">
        <v>88125.035989012729</v>
      </c>
      <c r="O130">
        <v>88125.035989012729</v>
      </c>
      <c r="P130">
        <v>88125.035989012729</v>
      </c>
      <c r="Q130">
        <v>93292.663104076128</v>
      </c>
      <c r="R130">
        <v>93292.663104076128</v>
      </c>
      <c r="S130">
        <v>99049.175423653607</v>
      </c>
      <c r="T130">
        <v>99049.175423653607</v>
      </c>
      <c r="U130">
        <v>104364.0238398455</v>
      </c>
      <c r="V130">
        <v>104364.0238398455</v>
      </c>
      <c r="W130">
        <v>108940.10832618673</v>
      </c>
      <c r="X130">
        <v>108940.10832618673</v>
      </c>
      <c r="Y130">
        <v>108940.10832618673</v>
      </c>
      <c r="Z130">
        <v>108940.10832618673</v>
      </c>
      <c r="AA130">
        <v>108940.10832618673</v>
      </c>
    </row>
    <row r="131" spans="1:27" x14ac:dyDescent="0.2">
      <c r="A131" t="s">
        <v>441</v>
      </c>
      <c r="B131" t="s">
        <v>45</v>
      </c>
      <c r="C131">
        <v>31468.61294314402</v>
      </c>
      <c r="D131">
        <v>34342.758489343687</v>
      </c>
      <c r="E131">
        <v>35716.46882891743</v>
      </c>
      <c r="F131">
        <v>37844.014683033078</v>
      </c>
      <c r="G131">
        <v>46335.236705766067</v>
      </c>
      <c r="H131">
        <v>48188.646173996705</v>
      </c>
      <c r="I131">
        <v>50777.097433052695</v>
      </c>
      <c r="J131">
        <v>60217.221339347685</v>
      </c>
      <c r="K131">
        <v>62625.91019292159</v>
      </c>
      <c r="L131">
        <v>75448.168808531467</v>
      </c>
      <c r="M131">
        <v>82080.479304734195</v>
      </c>
      <c r="N131">
        <v>87975.80745859888</v>
      </c>
      <c r="O131">
        <v>87975.80745859888</v>
      </c>
      <c r="P131">
        <v>87975.80745859888</v>
      </c>
      <c r="Q131">
        <v>93134.683854965217</v>
      </c>
      <c r="R131">
        <v>93134.683854965217</v>
      </c>
      <c r="S131">
        <v>98881.448253714989</v>
      </c>
      <c r="T131">
        <v>98881.448253714989</v>
      </c>
      <c r="U131">
        <v>104187.29665067716</v>
      </c>
      <c r="V131">
        <v>104187.29665067716</v>
      </c>
      <c r="W131">
        <v>108755.63212046161</v>
      </c>
      <c r="X131">
        <v>108755.63212046161</v>
      </c>
      <c r="Y131">
        <v>108755.63212046161</v>
      </c>
      <c r="Z131">
        <v>108755.63212046161</v>
      </c>
      <c r="AA131">
        <v>108755.63212046161</v>
      </c>
    </row>
    <row r="132" spans="1:27" x14ac:dyDescent="0.2">
      <c r="A132" t="s">
        <v>631</v>
      </c>
      <c r="B132" t="s">
        <v>241</v>
      </c>
      <c r="C132">
        <v>5843.4879981267013</v>
      </c>
      <c r="D132">
        <v>6377.1955064440053</v>
      </c>
      <c r="E132">
        <v>6632.283326701765</v>
      </c>
      <c r="F132">
        <v>7027.3528102678529</v>
      </c>
      <c r="G132">
        <v>8604.1097543669584</v>
      </c>
      <c r="H132">
        <v>8948.2741445416377</v>
      </c>
      <c r="I132">
        <v>9428.9303429370921</v>
      </c>
      <c r="J132">
        <v>11181.891328123509</v>
      </c>
      <c r="K132">
        <v>11629.166981248447</v>
      </c>
      <c r="L132">
        <v>14010.165294220391</v>
      </c>
      <c r="M132">
        <v>15241.73615673132</v>
      </c>
      <c r="N132">
        <v>16336.454865000031</v>
      </c>
      <c r="O132">
        <v>16336.454865000031</v>
      </c>
      <c r="P132">
        <v>16336.454865000031</v>
      </c>
      <c r="Q132">
        <v>17294.419944695532</v>
      </c>
      <c r="R132">
        <v>17294.419944695532</v>
      </c>
      <c r="S132">
        <v>18361.551465644006</v>
      </c>
      <c r="T132">
        <v>18361.551465644006</v>
      </c>
      <c r="U132">
        <v>19346.808155652747</v>
      </c>
      <c r="V132">
        <v>19346.808155652747</v>
      </c>
      <c r="W132">
        <v>20195.114165750274</v>
      </c>
      <c r="X132">
        <v>20195.114165750274</v>
      </c>
      <c r="Y132">
        <v>20195.114165750274</v>
      </c>
      <c r="Z132">
        <v>20195.114165750274</v>
      </c>
      <c r="AA132">
        <v>20195.114165750274</v>
      </c>
    </row>
    <row r="133" spans="1:27" x14ac:dyDescent="0.2">
      <c r="A133" t="s">
        <v>490</v>
      </c>
      <c r="B133" t="s">
        <v>491</v>
      </c>
      <c r="C133">
        <v>20910.915593333757</v>
      </c>
      <c r="D133">
        <v>22820.787344850898</v>
      </c>
      <c r="E133">
        <v>23733.618838644932</v>
      </c>
      <c r="F133">
        <v>25147.374565875107</v>
      </c>
      <c r="G133">
        <v>30789.797615230083</v>
      </c>
      <c r="H133">
        <v>32021.389519839289</v>
      </c>
      <c r="I133">
        <v>33741.41721516136</v>
      </c>
      <c r="J133">
        <v>40014.386238352898</v>
      </c>
      <c r="K133">
        <v>41614.961687887007</v>
      </c>
      <c r="L133">
        <v>50135.361621349293</v>
      </c>
      <c r="M133">
        <v>54542.536644457279</v>
      </c>
      <c r="N133">
        <v>58459.986378997492</v>
      </c>
      <c r="O133">
        <v>58459.986378997492</v>
      </c>
      <c r="P133">
        <v>58459.986378997492</v>
      </c>
      <c r="Q133">
        <v>61888.063398971812</v>
      </c>
      <c r="R133">
        <v>61888.063398971812</v>
      </c>
      <c r="S133">
        <v>65706.792412994429</v>
      </c>
      <c r="T133">
        <v>65706.792412994429</v>
      </c>
      <c r="U133">
        <v>69232.532431480809</v>
      </c>
      <c r="V133">
        <v>69232.532431480809</v>
      </c>
      <c r="W133">
        <v>72268.194587397593</v>
      </c>
      <c r="X133">
        <v>72268.194587397593</v>
      </c>
      <c r="Y133">
        <v>72268.194587397593</v>
      </c>
      <c r="Z133">
        <v>72268.194587397593</v>
      </c>
      <c r="AA133">
        <v>72268.194587397593</v>
      </c>
    </row>
    <row r="134" spans="1:27" x14ac:dyDescent="0.2">
      <c r="A134" t="s">
        <v>815</v>
      </c>
      <c r="B134" t="s">
        <v>107</v>
      </c>
      <c r="C134">
        <v>1283.8981140314756</v>
      </c>
      <c r="D134">
        <v>1401.1613074516886</v>
      </c>
      <c r="E134">
        <v>1457.207759749756</v>
      </c>
      <c r="F134">
        <v>1544.0101909388841</v>
      </c>
      <c r="G134">
        <v>1890.446303661945</v>
      </c>
      <c r="H134">
        <v>1966.0641558084228</v>
      </c>
      <c r="I134">
        <v>2071.6712156355834</v>
      </c>
      <c r="J134">
        <v>2456.8218831090344</v>
      </c>
      <c r="K134">
        <v>2555.0947584333953</v>
      </c>
      <c r="L134">
        <v>3078.2342334381869</v>
      </c>
      <c r="M134">
        <v>3348.828013759256</v>
      </c>
      <c r="N134">
        <v>3589.3534132110472</v>
      </c>
      <c r="O134">
        <v>3589.3534132110472</v>
      </c>
      <c r="P134">
        <v>3589.3534132110472</v>
      </c>
      <c r="Q134">
        <v>3799.8320792959871</v>
      </c>
      <c r="R134">
        <v>3799.8320792959871</v>
      </c>
      <c r="S134">
        <v>4034.2961780685878</v>
      </c>
      <c r="T134">
        <v>4034.2961780685878</v>
      </c>
      <c r="U134">
        <v>4250.7712023254426</v>
      </c>
      <c r="V134">
        <v>4250.7712023254426</v>
      </c>
      <c r="W134">
        <v>4437.1561982105941</v>
      </c>
      <c r="X134">
        <v>4437.1561982105941</v>
      </c>
      <c r="Y134">
        <v>4437.1561982105941</v>
      </c>
      <c r="Z134">
        <v>4437.1561982105941</v>
      </c>
      <c r="AA134">
        <v>4437.1561982105941</v>
      </c>
    </row>
    <row r="135" spans="1:27" x14ac:dyDescent="0.2">
      <c r="A135" t="s">
        <v>542</v>
      </c>
      <c r="B135" t="s">
        <v>543</v>
      </c>
      <c r="C135">
        <v>11871.47090299081</v>
      </c>
      <c r="D135">
        <v>12955.736526147348</v>
      </c>
      <c r="E135">
        <v>13473.96598719324</v>
      </c>
      <c r="F135">
        <v>14276.578379024617</v>
      </c>
      <c r="G135">
        <v>17479.87479872497</v>
      </c>
      <c r="H135">
        <v>18179.06979067397</v>
      </c>
      <c r="I135">
        <v>19155.557818958285</v>
      </c>
      <c r="J135">
        <v>22716.825564590683</v>
      </c>
      <c r="K135">
        <v>23625.498587174308</v>
      </c>
      <c r="L135">
        <v>28462.669845432749</v>
      </c>
      <c r="M135">
        <v>30964.695632763334</v>
      </c>
      <c r="N135">
        <v>33188.696314605739</v>
      </c>
      <c r="O135">
        <v>33188.696314605739</v>
      </c>
      <c r="P135">
        <v>33188.696314605739</v>
      </c>
      <c r="Q135">
        <v>35134.872053022962</v>
      </c>
      <c r="R135">
        <v>35134.872053022962</v>
      </c>
      <c r="S135">
        <v>37302.827357229173</v>
      </c>
      <c r="T135">
        <v>37302.827357229173</v>
      </c>
      <c r="U135">
        <v>39304.447987093634</v>
      </c>
      <c r="V135">
        <v>39304.447987093634</v>
      </c>
      <c r="W135">
        <v>41027.843349406947</v>
      </c>
      <c r="X135">
        <v>41027.843349406947</v>
      </c>
      <c r="Y135">
        <v>41027.843349406947</v>
      </c>
      <c r="Z135">
        <v>41027.843349406947</v>
      </c>
      <c r="AA135">
        <v>41027.843349406947</v>
      </c>
    </row>
    <row r="136" spans="1:27" x14ac:dyDescent="0.2">
      <c r="A136" t="s">
        <v>816</v>
      </c>
      <c r="B136" t="s">
        <v>817</v>
      </c>
      <c r="C136">
        <v>1248.309676796539</v>
      </c>
      <c r="D136">
        <v>1362.3224457840067</v>
      </c>
      <c r="E136">
        <v>1416.8153436153668</v>
      </c>
      <c r="F136">
        <v>1501.2116937919495</v>
      </c>
      <c r="G136">
        <v>1838.0449262561972</v>
      </c>
      <c r="H136">
        <v>1911.5667233064453</v>
      </c>
      <c r="I136">
        <v>2014.2464556617838</v>
      </c>
      <c r="J136">
        <v>2388.7211121608648</v>
      </c>
      <c r="K136">
        <v>2484.2699566472988</v>
      </c>
      <c r="L136">
        <v>2992.9085018914993</v>
      </c>
      <c r="M136">
        <v>3256.0016794296248</v>
      </c>
      <c r="N136">
        <v>3489.859943079713</v>
      </c>
      <c r="O136">
        <v>3489.859943079713</v>
      </c>
      <c r="P136">
        <v>3489.859943079713</v>
      </c>
      <c r="Q136">
        <v>3694.5043402959682</v>
      </c>
      <c r="R136">
        <v>3694.5043402959682</v>
      </c>
      <c r="S136">
        <v>3922.4693167692039</v>
      </c>
      <c r="T136">
        <v>3922.4693167692039</v>
      </c>
      <c r="U136">
        <v>4132.9438587997038</v>
      </c>
      <c r="V136">
        <v>4132.9438587997038</v>
      </c>
      <c r="W136">
        <v>4314.1624394879636</v>
      </c>
      <c r="X136">
        <v>4314.1624394879636</v>
      </c>
      <c r="Y136">
        <v>4314.1624394879636</v>
      </c>
      <c r="Z136">
        <v>4314.1624394879636</v>
      </c>
      <c r="AA136">
        <v>4314.1624394879636</v>
      </c>
    </row>
    <row r="137" spans="1:27" x14ac:dyDescent="0.2">
      <c r="A137" t="s">
        <v>657</v>
      </c>
      <c r="B137" t="s">
        <v>658</v>
      </c>
      <c r="C137">
        <v>4289.1480944067971</v>
      </c>
      <c r="D137">
        <v>4680.8919540679481</v>
      </c>
      <c r="E137">
        <v>4868.1276322306658</v>
      </c>
      <c r="F137">
        <v>5158.1105197011257</v>
      </c>
      <c r="G137">
        <v>6315.4576459882719</v>
      </c>
      <c r="H137">
        <v>6568.0759518278028</v>
      </c>
      <c r="I137">
        <v>6920.8798966760833</v>
      </c>
      <c r="J137">
        <v>8207.5616305295825</v>
      </c>
      <c r="K137">
        <v>8535.864095750765</v>
      </c>
      <c r="L137">
        <v>10283.528227198165</v>
      </c>
      <c r="M137">
        <v>11187.507121269498</v>
      </c>
      <c r="N137">
        <v>11991.035880631624</v>
      </c>
      <c r="O137">
        <v>11991.035880631624</v>
      </c>
      <c r="P137">
        <v>11991.035880631624</v>
      </c>
      <c r="Q137">
        <v>12694.18682359607</v>
      </c>
      <c r="R137">
        <v>12694.18682359607</v>
      </c>
      <c r="S137">
        <v>13477.466455731001</v>
      </c>
      <c r="T137">
        <v>13477.466455731001</v>
      </c>
      <c r="U137">
        <v>14200.649570988066</v>
      </c>
      <c r="V137">
        <v>14200.649570988066</v>
      </c>
      <c r="W137">
        <v>14823.3102332244</v>
      </c>
      <c r="X137">
        <v>14823.3102332244</v>
      </c>
      <c r="Y137">
        <v>14823.3102332244</v>
      </c>
      <c r="Z137">
        <v>14823.3102332244</v>
      </c>
      <c r="AA137">
        <v>14823.3102332244</v>
      </c>
    </row>
    <row r="138" spans="1:27" x14ac:dyDescent="0.2">
      <c r="A138" t="s">
        <v>822</v>
      </c>
      <c r="B138" t="s">
        <v>823</v>
      </c>
      <c r="C138">
        <v>1211.1998521844989</v>
      </c>
      <c r="D138">
        <v>1321.8232427674704</v>
      </c>
      <c r="E138">
        <v>1374.696172478169</v>
      </c>
      <c r="F138">
        <v>1456.5835829171485</v>
      </c>
      <c r="G138">
        <v>1783.4034169333988</v>
      </c>
      <c r="H138">
        <v>1854.7395536107349</v>
      </c>
      <c r="I138">
        <v>1954.366816751306</v>
      </c>
      <c r="J138">
        <v>2317.7090683010019</v>
      </c>
      <c r="K138">
        <v>2410.4174310330418</v>
      </c>
      <c r="L138">
        <v>2903.9351392319231</v>
      </c>
      <c r="M138">
        <v>3159.2070670781295</v>
      </c>
      <c r="N138">
        <v>3386.1131783020651</v>
      </c>
      <c r="O138">
        <v>3386.1131783020651</v>
      </c>
      <c r="P138">
        <v>3386.1131783020651</v>
      </c>
      <c r="Q138">
        <v>3584.6738946579585</v>
      </c>
      <c r="R138">
        <v>3584.6738946579585</v>
      </c>
      <c r="S138">
        <v>3805.86191469814</v>
      </c>
      <c r="T138">
        <v>3805.86191469814</v>
      </c>
      <c r="U138">
        <v>4010.0794569751047</v>
      </c>
      <c r="V138">
        <v>4010.0794569751047</v>
      </c>
      <c r="W138">
        <v>4185.9107608755721</v>
      </c>
      <c r="X138">
        <v>4185.9107608755721</v>
      </c>
      <c r="Y138">
        <v>4185.9107608755721</v>
      </c>
      <c r="Z138">
        <v>4185.9107608755721</v>
      </c>
      <c r="AA138">
        <v>4185.9107608755721</v>
      </c>
    </row>
    <row r="139" spans="1:27" x14ac:dyDescent="0.2">
      <c r="A139" t="s">
        <v>872</v>
      </c>
      <c r="B139" t="s">
        <v>873</v>
      </c>
      <c r="C139">
        <v>578.923074960186</v>
      </c>
      <c r="D139">
        <v>631.79827414660417</v>
      </c>
      <c r="E139">
        <v>657.07020511246822</v>
      </c>
      <c r="F139">
        <v>696.21032832694789</v>
      </c>
      <c r="G139">
        <v>852.42199143557616</v>
      </c>
      <c r="H139">
        <v>886.51887109299923</v>
      </c>
      <c r="I139">
        <v>934.13819784835061</v>
      </c>
      <c r="J139">
        <v>1107.8066582190556</v>
      </c>
      <c r="K139">
        <v>1152.1189245478176</v>
      </c>
      <c r="L139">
        <v>1388.0079800678468</v>
      </c>
      <c r="M139">
        <v>1510.0215430262654</v>
      </c>
      <c r="N139">
        <v>1618.4769588687441</v>
      </c>
      <c r="O139">
        <v>1618.4769588687441</v>
      </c>
      <c r="P139">
        <v>1618.4769588687441</v>
      </c>
      <c r="Q139">
        <v>1713.3839886803205</v>
      </c>
      <c r="R139">
        <v>1713.3839886803205</v>
      </c>
      <c r="S139">
        <v>1819.1063007125313</v>
      </c>
      <c r="T139">
        <v>1819.1063007125313</v>
      </c>
      <c r="U139">
        <v>1916.7171510792659</v>
      </c>
      <c r="V139">
        <v>1916.7171510792659</v>
      </c>
      <c r="W139">
        <v>2000.7600932450246</v>
      </c>
      <c r="X139">
        <v>2000.7600932450246</v>
      </c>
      <c r="Y139">
        <v>2000.7600932450246</v>
      </c>
      <c r="Z139">
        <v>2000.7600932450246</v>
      </c>
      <c r="AA139">
        <v>2000.7600932450246</v>
      </c>
    </row>
    <row r="140" spans="1:27" x14ac:dyDescent="0.2">
      <c r="A140" t="s">
        <v>765</v>
      </c>
      <c r="B140" t="s">
        <v>766</v>
      </c>
      <c r="C140">
        <v>2064.6262794668087</v>
      </c>
      <c r="D140">
        <v>2253.1962821046004</v>
      </c>
      <c r="E140">
        <v>2343.3241333887845</v>
      </c>
      <c r="F140">
        <v>2482.9104281236091</v>
      </c>
      <c r="G140">
        <v>3040.0115677447411</v>
      </c>
      <c r="H140">
        <v>3161.6120304545311</v>
      </c>
      <c r="I140">
        <v>3331.437897969618</v>
      </c>
      <c r="J140">
        <v>3950.7956031717413</v>
      </c>
      <c r="K140">
        <v>4108.8274272986109</v>
      </c>
      <c r="L140">
        <v>4950.0838292804301</v>
      </c>
      <c r="M140">
        <v>5385.2235212898622</v>
      </c>
      <c r="N140">
        <v>5772.0104907232053</v>
      </c>
      <c r="O140">
        <v>5772.0104907232053</v>
      </c>
      <c r="P140">
        <v>5772.0104907232053</v>
      </c>
      <c r="Q140">
        <v>6110.4795487558222</v>
      </c>
      <c r="R140">
        <v>6110.4795487558222</v>
      </c>
      <c r="S140">
        <v>6487.5193890881574</v>
      </c>
      <c r="T140">
        <v>6487.5193890881574</v>
      </c>
      <c r="U140">
        <v>6835.6311426957018</v>
      </c>
      <c r="V140">
        <v>6835.6311426957018</v>
      </c>
      <c r="W140">
        <v>7135.3553625517989</v>
      </c>
      <c r="X140">
        <v>7135.3553625517989</v>
      </c>
      <c r="Y140">
        <v>7135.3553625517989</v>
      </c>
      <c r="Z140">
        <v>7135.3553625517989</v>
      </c>
      <c r="AA140">
        <v>7135.3553625517989</v>
      </c>
    </row>
    <row r="141" spans="1:27" x14ac:dyDescent="0.2">
      <c r="A141" t="s">
        <v>700</v>
      </c>
      <c r="B141" t="s">
        <v>701</v>
      </c>
      <c r="C141">
        <v>3329.8391189704048</v>
      </c>
      <c r="D141">
        <v>3633.9657193592311</v>
      </c>
      <c r="E141">
        <v>3779.3243481336003</v>
      </c>
      <c r="F141">
        <v>4004.449790593912</v>
      </c>
      <c r="G141">
        <v>4902.9451678844243</v>
      </c>
      <c r="H141">
        <v>5099.0629745998021</v>
      </c>
      <c r="I141">
        <v>5372.9589443880295</v>
      </c>
      <c r="J141">
        <v>6371.8620078278582</v>
      </c>
      <c r="K141">
        <v>6626.7364881409712</v>
      </c>
      <c r="L141">
        <v>7983.5188289754487</v>
      </c>
      <c r="M141">
        <v>8685.3142013776305</v>
      </c>
      <c r="N141">
        <v>9309.1260719984821</v>
      </c>
      <c r="O141">
        <v>9309.1260719984821</v>
      </c>
      <c r="P141">
        <v>9309.1260719984821</v>
      </c>
      <c r="Q141">
        <v>9855.0105844677946</v>
      </c>
      <c r="R141">
        <v>9855.0105844677946</v>
      </c>
      <c r="S141">
        <v>10463.10223874684</v>
      </c>
      <c r="T141">
        <v>10463.10223874684</v>
      </c>
      <c r="U141">
        <v>11024.538536668584</v>
      </c>
      <c r="V141">
        <v>11024.538536668584</v>
      </c>
      <c r="W141">
        <v>11507.935189179208</v>
      </c>
      <c r="X141">
        <v>11507.935189179208</v>
      </c>
      <c r="Y141">
        <v>11507.935189179208</v>
      </c>
      <c r="Z141">
        <v>11507.935189179208</v>
      </c>
      <c r="AA141">
        <v>11507.935189179208</v>
      </c>
    </row>
    <row r="142" spans="1:27" x14ac:dyDescent="0.2">
      <c r="A142" t="s">
        <v>862</v>
      </c>
      <c r="B142" t="s">
        <v>863</v>
      </c>
      <c r="C142">
        <v>654.4791914810055</v>
      </c>
      <c r="D142">
        <v>714.2552120089556</v>
      </c>
      <c r="E142">
        <v>742.82542048931373</v>
      </c>
      <c r="F142">
        <v>787.07377973400492</v>
      </c>
      <c r="G142">
        <v>963.67286067108671</v>
      </c>
      <c r="H142">
        <v>1002.2197750979303</v>
      </c>
      <c r="I142">
        <v>1056.0539714216052</v>
      </c>
      <c r="J142">
        <v>1252.3881623449622</v>
      </c>
      <c r="K142">
        <v>1302.4836888387606</v>
      </c>
      <c r="L142">
        <v>1569.1589778598175</v>
      </c>
      <c r="M142">
        <v>1707.0967134393404</v>
      </c>
      <c r="N142">
        <v>1829.7068078412667</v>
      </c>
      <c r="O142">
        <v>1829.7068078412667</v>
      </c>
      <c r="P142">
        <v>1829.7068078412667</v>
      </c>
      <c r="Q142">
        <v>1937.0002960844429</v>
      </c>
      <c r="R142">
        <v>1937.0002960844429</v>
      </c>
      <c r="S142">
        <v>2056.5205852093882</v>
      </c>
      <c r="T142">
        <v>2056.5205852093882</v>
      </c>
      <c r="U142">
        <v>2166.8707736730066</v>
      </c>
      <c r="V142">
        <v>2166.8707736730066</v>
      </c>
      <c r="W142">
        <v>2261.8822859401821</v>
      </c>
      <c r="X142">
        <v>2261.8822859401821</v>
      </c>
      <c r="Y142">
        <v>2261.8822859401821</v>
      </c>
      <c r="Z142">
        <v>2261.8822859401821</v>
      </c>
      <c r="AA142">
        <v>2261.8822859401821</v>
      </c>
    </row>
    <row r="143" spans="1:27" x14ac:dyDescent="0.2">
      <c r="A143" t="s">
        <v>834</v>
      </c>
      <c r="B143" t="s">
        <v>287</v>
      </c>
      <c r="C143">
        <v>931.08019242537625</v>
      </c>
      <c r="D143">
        <v>1016.1192118778415</v>
      </c>
      <c r="E143">
        <v>1056.7639803529551</v>
      </c>
      <c r="F143">
        <v>1119.7129195649513</v>
      </c>
      <c r="G143">
        <v>1370.947654605133</v>
      </c>
      <c r="H143">
        <v>1425.7855607893384</v>
      </c>
      <c r="I143">
        <v>1502.3715768530246</v>
      </c>
      <c r="J143">
        <v>1781.6820249834525</v>
      </c>
      <c r="K143">
        <v>1852.9493059827903</v>
      </c>
      <c r="L143">
        <v>2232.328945012956</v>
      </c>
      <c r="M143">
        <v>2428.5629812631832</v>
      </c>
      <c r="N143">
        <v>2602.9914914052847</v>
      </c>
      <c r="O143">
        <v>2602.9914914052847</v>
      </c>
      <c r="P143">
        <v>2602.9914914052847</v>
      </c>
      <c r="Q143">
        <v>2755.6301741621614</v>
      </c>
      <c r="R143">
        <v>2755.6301741621614</v>
      </c>
      <c r="S143">
        <v>2925.6630418922587</v>
      </c>
      <c r="T143">
        <v>2925.6630418922587</v>
      </c>
      <c r="U143">
        <v>3082.6502708924399</v>
      </c>
      <c r="V143">
        <v>3082.6502708924399</v>
      </c>
      <c r="W143">
        <v>3217.8162750615961</v>
      </c>
      <c r="X143">
        <v>3217.8162750615961</v>
      </c>
      <c r="Y143">
        <v>3217.8162750615961</v>
      </c>
      <c r="Z143">
        <v>3217.8162750615961</v>
      </c>
      <c r="AA143">
        <v>3217.8162750615961</v>
      </c>
    </row>
    <row r="144" spans="1:27" x14ac:dyDescent="0.2">
      <c r="A144" t="s">
        <v>742</v>
      </c>
      <c r="B144" t="s">
        <v>743</v>
      </c>
      <c r="C144">
        <v>2462.2778731999456</v>
      </c>
      <c r="D144">
        <v>2687.1668759516679</v>
      </c>
      <c r="E144">
        <v>2794.6535509897344</v>
      </c>
      <c r="F144">
        <v>2961.1244752173802</v>
      </c>
      <c r="G144">
        <v>3625.5245280820754</v>
      </c>
      <c r="H144">
        <v>3770.5455092053585</v>
      </c>
      <c r="I144">
        <v>3973.0802148991047</v>
      </c>
      <c r="J144">
        <v>4711.727585748672</v>
      </c>
      <c r="K144">
        <v>4900.1966891786187</v>
      </c>
      <c r="L144">
        <v>5903.4809372230511</v>
      </c>
      <c r="M144">
        <v>6422.4294975710109</v>
      </c>
      <c r="N144">
        <v>6883.7124938931038</v>
      </c>
      <c r="O144">
        <v>6883.7124938931038</v>
      </c>
      <c r="P144">
        <v>6883.7124938931038</v>
      </c>
      <c r="Q144">
        <v>7287.3714420741608</v>
      </c>
      <c r="R144">
        <v>7287.3714420741608</v>
      </c>
      <c r="S144">
        <v>7737.0299906444625</v>
      </c>
      <c r="T144">
        <v>7737.0299906444625</v>
      </c>
      <c r="U144">
        <v>8152.1888389228297</v>
      </c>
      <c r="V144">
        <v>8152.1888389228297</v>
      </c>
      <c r="W144">
        <v>8509.6406072905029</v>
      </c>
      <c r="X144">
        <v>8509.6406072905029</v>
      </c>
      <c r="Y144">
        <v>8509.6406072905029</v>
      </c>
      <c r="Z144">
        <v>8509.6406072905029</v>
      </c>
      <c r="AA144">
        <v>8509.6406072905029</v>
      </c>
    </row>
    <row r="145" spans="1:27" x14ac:dyDescent="0.2">
      <c r="A145" t="s">
        <v>845</v>
      </c>
      <c r="B145" t="s">
        <v>221</v>
      </c>
      <c r="C145">
        <v>834.31734129931647</v>
      </c>
      <c r="D145">
        <v>910.51864940733753</v>
      </c>
      <c r="E145">
        <v>946.93939538363099</v>
      </c>
      <c r="F145">
        <v>1003.3463429572411</v>
      </c>
      <c r="G145">
        <v>1228.4714158414033</v>
      </c>
      <c r="H145">
        <v>1277.6102724750594</v>
      </c>
      <c r="I145">
        <v>1346.2370586775623</v>
      </c>
      <c r="J145">
        <v>1596.5200658525605</v>
      </c>
      <c r="K145">
        <v>1660.3808684866628</v>
      </c>
      <c r="L145">
        <v>2000.3333391264146</v>
      </c>
      <c r="M145">
        <v>2176.1736810525426</v>
      </c>
      <c r="N145">
        <v>2332.4746441838388</v>
      </c>
      <c r="O145">
        <v>2332.4746441838388</v>
      </c>
      <c r="P145">
        <v>2332.4746441838388</v>
      </c>
      <c r="Q145">
        <v>2469.2502957476581</v>
      </c>
      <c r="R145">
        <v>2469.2502957476581</v>
      </c>
      <c r="S145">
        <v>2621.6124352198103</v>
      </c>
      <c r="T145">
        <v>2621.6124352198103</v>
      </c>
      <c r="U145">
        <v>2762.284708760712</v>
      </c>
      <c r="V145">
        <v>2762.284708760712</v>
      </c>
      <c r="W145">
        <v>2883.4035362794289</v>
      </c>
      <c r="X145">
        <v>2883.4035362794289</v>
      </c>
      <c r="Y145">
        <v>2883.4035362794289</v>
      </c>
      <c r="Z145">
        <v>2883.4035362794289</v>
      </c>
      <c r="AA145">
        <v>2883.4035362794289</v>
      </c>
    </row>
    <row r="146" spans="1:27" x14ac:dyDescent="0.2">
      <c r="A146" t="s">
        <v>781</v>
      </c>
      <c r="B146" t="s">
        <v>782</v>
      </c>
      <c r="C146">
        <v>1733.6980536713895</v>
      </c>
      <c r="D146">
        <v>1892.0431497332186</v>
      </c>
      <c r="E146">
        <v>1967.724875722547</v>
      </c>
      <c r="F146">
        <v>2084.937608074023</v>
      </c>
      <c r="G146">
        <v>2552.7438987644136</v>
      </c>
      <c r="H146">
        <v>2654.8536547149902</v>
      </c>
      <c r="I146">
        <v>2797.4590157442985</v>
      </c>
      <c r="J146">
        <v>3317.543090384966</v>
      </c>
      <c r="K146">
        <v>3450.2448140003644</v>
      </c>
      <c r="L146">
        <v>4156.6605955194927</v>
      </c>
      <c r="M146">
        <v>4522.0540057529151</v>
      </c>
      <c r="N146">
        <v>4846.844900241199</v>
      </c>
      <c r="O146">
        <v>4846.844900241199</v>
      </c>
      <c r="P146">
        <v>4846.844900241199</v>
      </c>
      <c r="Q146">
        <v>5131.0625104571645</v>
      </c>
      <c r="R146">
        <v>5131.0625104571645</v>
      </c>
      <c r="S146">
        <v>5447.6685925562224</v>
      </c>
      <c r="T146">
        <v>5447.6685925562224</v>
      </c>
      <c r="U146">
        <v>5739.9833207429592</v>
      </c>
      <c r="V146">
        <v>5739.9833207429592</v>
      </c>
      <c r="W146">
        <v>5991.6663017117407</v>
      </c>
      <c r="X146">
        <v>5991.6663017117407</v>
      </c>
      <c r="Y146">
        <v>5991.6663017117407</v>
      </c>
      <c r="Z146">
        <v>5991.6663017117407</v>
      </c>
      <c r="AA146">
        <v>5991.6663017117407</v>
      </c>
    </row>
    <row r="147" spans="1:27" x14ac:dyDescent="0.2">
      <c r="A147" t="s">
        <v>728</v>
      </c>
      <c r="B147" t="s">
        <v>729</v>
      </c>
      <c r="C147">
        <v>2746.0199922871216</v>
      </c>
      <c r="D147">
        <v>2996.8242188625663</v>
      </c>
      <c r="E147">
        <v>3116.6971876170692</v>
      </c>
      <c r="F147">
        <v>3302.3514921288283</v>
      </c>
      <c r="G147">
        <v>4043.3140974874318</v>
      </c>
      <c r="H147">
        <v>4205.0466613869294</v>
      </c>
      <c r="I147">
        <v>4430.9205796073093</v>
      </c>
      <c r="J147">
        <v>5254.6864387250807</v>
      </c>
      <c r="K147">
        <v>5464.8738962740836</v>
      </c>
      <c r="L147">
        <v>6583.772227393938</v>
      </c>
      <c r="M147">
        <v>7162.5221472119429</v>
      </c>
      <c r="N147">
        <v>7676.9613759397707</v>
      </c>
      <c r="O147">
        <v>7676.9613759397707</v>
      </c>
      <c r="P147">
        <v>7676.9613759397707</v>
      </c>
      <c r="Q147">
        <v>8127.1362135710078</v>
      </c>
      <c r="R147">
        <v>8127.1362135710078</v>
      </c>
      <c r="S147">
        <v>8628.611444094915</v>
      </c>
      <c r="T147">
        <v>8628.611444094915</v>
      </c>
      <c r="U147">
        <v>9091.6113799493178</v>
      </c>
      <c r="V147">
        <v>9091.6113799493178</v>
      </c>
      <c r="W147">
        <v>9490.2543247199592</v>
      </c>
      <c r="X147">
        <v>9490.2543247199592</v>
      </c>
      <c r="Y147">
        <v>9490.2543247199592</v>
      </c>
      <c r="Z147">
        <v>9490.2543247199592</v>
      </c>
      <c r="AA147">
        <v>9490.2543247199592</v>
      </c>
    </row>
    <row r="148" spans="1:27" x14ac:dyDescent="0.2">
      <c r="A148" t="s">
        <v>752</v>
      </c>
      <c r="B148" t="s">
        <v>753</v>
      </c>
      <c r="C148">
        <v>2201.7305781918622</v>
      </c>
      <c r="D148">
        <v>2402.8228267340855</v>
      </c>
      <c r="E148">
        <v>2498.935739803449</v>
      </c>
      <c r="F148">
        <v>2647.7914511109375</v>
      </c>
      <c r="G148">
        <v>3241.887644910305</v>
      </c>
      <c r="H148">
        <v>3371.5631507067174</v>
      </c>
      <c r="I148">
        <v>3552.6665344980397</v>
      </c>
      <c r="J148">
        <v>4213.1535252644371</v>
      </c>
      <c r="K148">
        <v>4381.6796662750139</v>
      </c>
      <c r="L148">
        <v>5278.8008367085185</v>
      </c>
      <c r="M148">
        <v>5742.8365681192299</v>
      </c>
      <c r="N148">
        <v>6155.3086490555825</v>
      </c>
      <c r="O148">
        <v>6155.3086490555825</v>
      </c>
      <c r="P148">
        <v>6155.3086490555825</v>
      </c>
      <c r="Q148">
        <v>6516.2542023760898</v>
      </c>
      <c r="R148">
        <v>6516.2542023760898</v>
      </c>
      <c r="S148">
        <v>6918.3318829288446</v>
      </c>
      <c r="T148">
        <v>6918.3318829288446</v>
      </c>
      <c r="U148">
        <v>7289.5604680574124</v>
      </c>
      <c r="V148">
        <v>7289.5604680574124</v>
      </c>
      <c r="W148">
        <v>7609.1882798531105</v>
      </c>
      <c r="X148">
        <v>7609.1882798531105</v>
      </c>
      <c r="Y148">
        <v>7609.1882798531105</v>
      </c>
      <c r="Z148">
        <v>7609.1882798531105</v>
      </c>
      <c r="AA148">
        <v>7609.1882798531105</v>
      </c>
    </row>
    <row r="149" spans="1:27" x14ac:dyDescent="0.2">
      <c r="A149" t="s">
        <v>828</v>
      </c>
      <c r="B149" t="s">
        <v>829</v>
      </c>
      <c r="C149">
        <v>1128.4856389405763</v>
      </c>
      <c r="D149">
        <v>1231.5544325658757</v>
      </c>
      <c r="E149">
        <v>1280.8166098685108</v>
      </c>
      <c r="F149">
        <v>1357.1118360640507</v>
      </c>
      <c r="G149">
        <v>1661.6127725057943</v>
      </c>
      <c r="H149">
        <v>1728.0772834060263</v>
      </c>
      <c r="I149">
        <v>1820.9008876182584</v>
      </c>
      <c r="J149">
        <v>2159.430084228256</v>
      </c>
      <c r="K149">
        <v>2245.8072875973862</v>
      </c>
      <c r="L149">
        <v>2705.6221111055283</v>
      </c>
      <c r="M149">
        <v>2943.4612291334574</v>
      </c>
      <c r="N149">
        <v>3154.8716643661223</v>
      </c>
      <c r="O149">
        <v>3154.8716643661223</v>
      </c>
      <c r="P149">
        <v>3154.8716643661223</v>
      </c>
      <c r="Q149">
        <v>3339.8724439329662</v>
      </c>
      <c r="R149">
        <v>3339.8724439329662</v>
      </c>
      <c r="S149">
        <v>3545.9552829218069</v>
      </c>
      <c r="T149">
        <v>3545.9552829218069</v>
      </c>
      <c r="U149">
        <v>3736.2265773441495</v>
      </c>
      <c r="V149">
        <v>3736.2265773441495</v>
      </c>
      <c r="W149">
        <v>3900.0501618417866</v>
      </c>
      <c r="X149">
        <v>3900.0501618417866</v>
      </c>
      <c r="Y149">
        <v>3900.0501618417866</v>
      </c>
      <c r="Z149">
        <v>3900.0501618417866</v>
      </c>
      <c r="AA149">
        <v>3900.0501618417866</v>
      </c>
    </row>
    <row r="150" spans="1:27" x14ac:dyDescent="0.2">
      <c r="A150" t="s">
        <v>737</v>
      </c>
      <c r="B150" t="s">
        <v>155</v>
      </c>
      <c r="C150">
        <v>2555.273969206643</v>
      </c>
      <c r="D150">
        <v>2788.6566515379045</v>
      </c>
      <c r="E150">
        <v>2900.2029175994207</v>
      </c>
      <c r="F150">
        <v>3072.9611687856923</v>
      </c>
      <c r="G150">
        <v>3762.4544947433883</v>
      </c>
      <c r="H150">
        <v>3912.9526745331236</v>
      </c>
      <c r="I150">
        <v>4123.1367755856909</v>
      </c>
      <c r="J150">
        <v>4889.6816159135315</v>
      </c>
      <c r="K150">
        <v>5085.268880550072</v>
      </c>
      <c r="L150">
        <v>6126.445488051033</v>
      </c>
      <c r="M150">
        <v>6664.9938631339301</v>
      </c>
      <c r="N150">
        <v>7143.6987427776148</v>
      </c>
      <c r="O150">
        <v>7143.6987427776148</v>
      </c>
      <c r="P150">
        <v>7143.6987427776148</v>
      </c>
      <c r="Q150">
        <v>7562.6032108520958</v>
      </c>
      <c r="R150">
        <v>7562.6032108520958</v>
      </c>
      <c r="S150">
        <v>8029.2446068939271</v>
      </c>
      <c r="T150">
        <v>8029.2446068939271</v>
      </c>
      <c r="U150">
        <v>8460.0833069602431</v>
      </c>
      <c r="V150">
        <v>8460.0833069602431</v>
      </c>
      <c r="W150">
        <v>8831.0354277173428</v>
      </c>
      <c r="X150">
        <v>8831.0354277173428</v>
      </c>
      <c r="Y150">
        <v>8831.0354277173428</v>
      </c>
      <c r="Z150">
        <v>8831.0354277173428</v>
      </c>
      <c r="AA150">
        <v>8831.0354277173428</v>
      </c>
    </row>
    <row r="151" spans="1:27" x14ac:dyDescent="0.2">
      <c r="A151" t="s">
        <v>818</v>
      </c>
      <c r="B151" t="s">
        <v>819</v>
      </c>
      <c r="C151">
        <v>-1246.5939388101326</v>
      </c>
      <c r="D151">
        <v>-1360.4500030613292</v>
      </c>
      <c r="E151">
        <v>-1414.8680031837823</v>
      </c>
      <c r="F151">
        <v>-1499.1483548812987</v>
      </c>
      <c r="G151">
        <v>-1835.5186272461697</v>
      </c>
      <c r="H151">
        <v>-1908.9393723360165</v>
      </c>
      <c r="I151">
        <v>-2011.4779766359447</v>
      </c>
      <c r="J151">
        <v>-2385.4379368180421</v>
      </c>
      <c r="K151">
        <v>-2480.8554542907636</v>
      </c>
      <c r="L151">
        <v>-2988.7949017953188</v>
      </c>
      <c r="M151">
        <v>-3251.5264711787872</v>
      </c>
      <c r="N151">
        <v>-3485.0633085723643</v>
      </c>
      <c r="O151">
        <v>-3485.0633085723643</v>
      </c>
      <c r="P151">
        <v>-3485.0633085723643</v>
      </c>
      <c r="Q151">
        <v>-3689.4264325016015</v>
      </c>
      <c r="R151">
        <v>-3689.4264325016015</v>
      </c>
      <c r="S151">
        <v>-3917.0780827409899</v>
      </c>
      <c r="T151">
        <v>-3917.0780827409899</v>
      </c>
      <c r="U151">
        <v>-4127.2633382477643</v>
      </c>
      <c r="V151">
        <v>-4127.2633382477643</v>
      </c>
      <c r="W151">
        <v>-4308.2328432390977</v>
      </c>
      <c r="X151">
        <v>-4308.2328432390977</v>
      </c>
      <c r="Y151">
        <v>-4308.2328432390977</v>
      </c>
      <c r="Z151">
        <v>-4308.2328432390977</v>
      </c>
      <c r="AA151">
        <v>-4308.2328432390977</v>
      </c>
    </row>
    <row r="152" spans="1:27" x14ac:dyDescent="0.2">
      <c r="A152" t="s">
        <v>718</v>
      </c>
      <c r="B152" t="s">
        <v>719</v>
      </c>
      <c r="C152">
        <v>3063.9682603426622</v>
      </c>
      <c r="D152">
        <v>3343.8118856423148</v>
      </c>
      <c r="E152">
        <v>3477.5643610680072</v>
      </c>
      <c r="F152">
        <v>3684.7146724341833</v>
      </c>
      <c r="G152">
        <v>4511.4697256734999</v>
      </c>
      <c r="H152">
        <v>4691.9285147004402</v>
      </c>
      <c r="I152">
        <v>4943.9552727758837</v>
      </c>
      <c r="J152">
        <v>5863.1009648611625</v>
      </c>
      <c r="K152">
        <v>6097.6250034556078</v>
      </c>
      <c r="L152">
        <v>7346.0751177048678</v>
      </c>
      <c r="M152">
        <v>7991.8356693319138</v>
      </c>
      <c r="N152">
        <v>8565.8393084621621</v>
      </c>
      <c r="O152">
        <v>8565.8393084621621</v>
      </c>
      <c r="P152">
        <v>8565.8393084621621</v>
      </c>
      <c r="Q152">
        <v>9068.1376959397421</v>
      </c>
      <c r="R152">
        <v>9068.1376959397421</v>
      </c>
      <c r="S152">
        <v>9627.676298713548</v>
      </c>
      <c r="T152">
        <v>9627.676298713548</v>
      </c>
      <c r="U152">
        <v>10144.284740015184</v>
      </c>
      <c r="V152">
        <v>10144.284740015184</v>
      </c>
      <c r="W152">
        <v>10589.084607975892</v>
      </c>
      <c r="X152">
        <v>10589.084607975892</v>
      </c>
      <c r="Y152">
        <v>10589.084607975892</v>
      </c>
      <c r="Z152">
        <v>10589.084607975892</v>
      </c>
      <c r="AA152">
        <v>10589.084607975892</v>
      </c>
    </row>
    <row r="153" spans="1:27" x14ac:dyDescent="0.2">
      <c r="A153" t="s">
        <v>740</v>
      </c>
      <c r="B153" t="s">
        <v>741</v>
      </c>
      <c r="C153">
        <v>2464.7894744513674</v>
      </c>
      <c r="D153">
        <v>2689.9078710935564</v>
      </c>
      <c r="E153">
        <v>2797.5041859372982</v>
      </c>
      <c r="F153">
        <v>2964.1449157690013</v>
      </c>
      <c r="G153">
        <v>3629.2226776861075</v>
      </c>
      <c r="H153">
        <v>3774.3915847935523</v>
      </c>
      <c r="I153">
        <v>3977.1328822882538</v>
      </c>
      <c r="J153">
        <v>4716.5336968011779</v>
      </c>
      <c r="K153">
        <v>4905.1950446732244</v>
      </c>
      <c r="L153">
        <v>5909.5026743596509</v>
      </c>
      <c r="M153">
        <v>6428.9805786406332</v>
      </c>
      <c r="N153">
        <v>6890.7340981979105</v>
      </c>
      <c r="O153">
        <v>6890.7340981979105</v>
      </c>
      <c r="P153">
        <v>6890.7340981979105</v>
      </c>
      <c r="Q153">
        <v>7294.8047912638303</v>
      </c>
      <c r="R153">
        <v>7294.8047912638303</v>
      </c>
      <c r="S153">
        <v>7744.9220057652165</v>
      </c>
      <c r="T153">
        <v>7744.9220057652165</v>
      </c>
      <c r="U153">
        <v>8160.504329190001</v>
      </c>
      <c r="V153">
        <v>8160.504329190001</v>
      </c>
      <c r="W153">
        <v>8518.3207096587412</v>
      </c>
      <c r="X153">
        <v>8518.3207096587412</v>
      </c>
      <c r="Y153">
        <v>8518.3207096587412</v>
      </c>
      <c r="Z153">
        <v>8518.3207096587412</v>
      </c>
      <c r="AA153">
        <v>8518.3207096587412</v>
      </c>
    </row>
    <row r="154" spans="1:27" x14ac:dyDescent="0.2">
      <c r="A154" t="s">
        <v>420</v>
      </c>
      <c r="B154" t="s">
        <v>421</v>
      </c>
      <c r="C154">
        <v>40635.997216107164</v>
      </c>
      <c r="D154">
        <v>44347.434088938957</v>
      </c>
      <c r="E154">
        <v>46121.33145249651</v>
      </c>
      <c r="F154">
        <v>48868.670445835254</v>
      </c>
      <c r="G154">
        <v>59833.541223601787</v>
      </c>
      <c r="H154">
        <v>62226.882872545859</v>
      </c>
      <c r="I154">
        <v>65569.397471046599</v>
      </c>
      <c r="J154">
        <v>77759.60265959418</v>
      </c>
      <c r="K154">
        <v>80869.986765977941</v>
      </c>
      <c r="L154">
        <v>97427.60455324834</v>
      </c>
      <c r="M154">
        <v>105992.02877324786</v>
      </c>
      <c r="N154">
        <v>113604.774173921</v>
      </c>
      <c r="O154">
        <v>113604.774173921</v>
      </c>
      <c r="P154">
        <v>113604.774173921</v>
      </c>
      <c r="Q154">
        <v>120266.52590920543</v>
      </c>
      <c r="R154">
        <v>120266.52590920543</v>
      </c>
      <c r="S154">
        <v>127687.42820735063</v>
      </c>
      <c r="T154">
        <v>127687.42820735063</v>
      </c>
      <c r="U154">
        <v>134538.96758335023</v>
      </c>
      <c r="V154">
        <v>134538.96758335023</v>
      </c>
      <c r="W154">
        <v>140438.14298608591</v>
      </c>
      <c r="X154">
        <v>140438.14298608591</v>
      </c>
      <c r="Y154">
        <v>140438.14298608591</v>
      </c>
      <c r="Z154">
        <v>140438.14298608591</v>
      </c>
      <c r="AA154">
        <v>140438.14298608591</v>
      </c>
    </row>
    <row r="155" spans="1:27" x14ac:dyDescent="0.2">
      <c r="A155" t="s">
        <v>584</v>
      </c>
      <c r="B155" t="s">
        <v>585</v>
      </c>
      <c r="C155">
        <v>8162.1800402104618</v>
      </c>
      <c r="D155">
        <v>8907.6623228975259</v>
      </c>
      <c r="E155">
        <v>9263.9688158134268</v>
      </c>
      <c r="F155">
        <v>9815.8016003238299</v>
      </c>
      <c r="G155">
        <v>12018.214621710156</v>
      </c>
      <c r="H155">
        <v>12498.943206578562</v>
      </c>
      <c r="I155">
        <v>13170.323455841419</v>
      </c>
      <c r="J155">
        <v>15618.858161336335</v>
      </c>
      <c r="K155">
        <v>16243.612487789787</v>
      </c>
      <c r="L155">
        <v>19569.389303305546</v>
      </c>
      <c r="M155">
        <v>21289.646641955685</v>
      </c>
      <c r="N155">
        <v>22818.748985135022</v>
      </c>
      <c r="O155">
        <v>22818.748985135022</v>
      </c>
      <c r="P155">
        <v>22818.748985135022</v>
      </c>
      <c r="Q155">
        <v>24156.833953430647</v>
      </c>
      <c r="R155">
        <v>24156.833953430647</v>
      </c>
      <c r="S155">
        <v>25647.402532224231</v>
      </c>
      <c r="T155">
        <v>25647.402532224231</v>
      </c>
      <c r="U155">
        <v>27023.608403144339</v>
      </c>
      <c r="V155">
        <v>27023.608403144339</v>
      </c>
      <c r="W155">
        <v>28208.521658006557</v>
      </c>
      <c r="X155">
        <v>28208.521658006557</v>
      </c>
      <c r="Y155">
        <v>28208.521658006557</v>
      </c>
      <c r="Z155">
        <v>28208.521658006557</v>
      </c>
      <c r="AA155">
        <v>28208.521658006557</v>
      </c>
    </row>
    <row r="156" spans="1:27" x14ac:dyDescent="0.2">
      <c r="A156" t="s">
        <v>577</v>
      </c>
      <c r="B156" t="s">
        <v>578</v>
      </c>
      <c r="C156">
        <v>8614.925690629736</v>
      </c>
      <c r="D156">
        <v>9401.7589186878249</v>
      </c>
      <c r="E156">
        <v>9777.829275435337</v>
      </c>
      <c r="F156">
        <v>10360.27151620804</v>
      </c>
      <c r="G156">
        <v>12684.849561025254</v>
      </c>
      <c r="H156">
        <v>13192.243543466266</v>
      </c>
      <c r="I156">
        <v>13900.864393418362</v>
      </c>
      <c r="J156">
        <v>16485.216176256854</v>
      </c>
      <c r="K156">
        <v>17144.624823307127</v>
      </c>
      <c r="L156">
        <v>20654.878210041868</v>
      </c>
      <c r="M156">
        <v>22470.55601526329</v>
      </c>
      <c r="N156">
        <v>24084.475702768508</v>
      </c>
      <c r="O156">
        <v>24084.475702768508</v>
      </c>
      <c r="P156">
        <v>24084.475702768508</v>
      </c>
      <c r="Q156">
        <v>25496.782526781939</v>
      </c>
      <c r="R156">
        <v>25496.782526781939</v>
      </c>
      <c r="S156">
        <v>27070.031031450206</v>
      </c>
      <c r="T156">
        <v>27070.031031450206</v>
      </c>
      <c r="U156">
        <v>28522.573275627339</v>
      </c>
      <c r="V156">
        <v>28522.573275627339</v>
      </c>
      <c r="W156">
        <v>29773.212147863858</v>
      </c>
      <c r="X156">
        <v>29773.212147863858</v>
      </c>
      <c r="Y156">
        <v>29773.212147863858</v>
      </c>
      <c r="Z156">
        <v>29773.212147863858</v>
      </c>
      <c r="AA156">
        <v>29773.212147863858</v>
      </c>
    </row>
    <row r="157" spans="1:27" x14ac:dyDescent="0.2">
      <c r="A157" t="s">
        <v>522</v>
      </c>
      <c r="B157" t="s">
        <v>523</v>
      </c>
      <c r="C157">
        <v>14452.976821059643</v>
      </c>
      <c r="D157">
        <v>15773.02098807228</v>
      </c>
      <c r="E157">
        <v>16403.941827595168</v>
      </c>
      <c r="F157">
        <v>17381.085973440793</v>
      </c>
      <c r="G157">
        <v>21280.953924365793</v>
      </c>
      <c r="H157">
        <v>22132.192081340425</v>
      </c>
      <c r="I157">
        <v>23321.021920048948</v>
      </c>
      <c r="J157">
        <v>27656.703707235501</v>
      </c>
      <c r="K157">
        <v>28762.97185552492</v>
      </c>
      <c r="L157">
        <v>34652.008239170704</v>
      </c>
      <c r="M157">
        <v>37698.111035149603</v>
      </c>
      <c r="N157">
        <v>40405.730888439321</v>
      </c>
      <c r="O157">
        <v>40405.730888439321</v>
      </c>
      <c r="P157">
        <v>40405.730888439321</v>
      </c>
      <c r="Q157">
        <v>42775.111487263544</v>
      </c>
      <c r="R157">
        <v>42775.111487263544</v>
      </c>
      <c r="S157">
        <v>45414.498637923352</v>
      </c>
      <c r="T157">
        <v>45414.498637923352</v>
      </c>
      <c r="U157">
        <v>47851.380874706469</v>
      </c>
      <c r="V157">
        <v>47851.380874706469</v>
      </c>
      <c r="W157">
        <v>49949.536480576731</v>
      </c>
      <c r="X157">
        <v>49949.536480576731</v>
      </c>
      <c r="Y157">
        <v>49949.536480576731</v>
      </c>
      <c r="Z157">
        <v>49949.536480576731</v>
      </c>
      <c r="AA157">
        <v>49949.536480576731</v>
      </c>
    </row>
    <row r="158" spans="1:27" x14ac:dyDescent="0.2">
      <c r="A158" t="s">
        <v>520</v>
      </c>
      <c r="B158" t="s">
        <v>521</v>
      </c>
      <c r="C158">
        <v>14578.221153154962</v>
      </c>
      <c r="D158">
        <v>15909.704351176968</v>
      </c>
      <c r="E158">
        <v>16546.092525224045</v>
      </c>
      <c r="F158">
        <v>17531.704253037209</v>
      </c>
      <c r="G158">
        <v>21465.367065935687</v>
      </c>
      <c r="H158">
        <v>22323.981748573115</v>
      </c>
      <c r="I158">
        <v>23523.113561813767</v>
      </c>
      <c r="J158">
        <v>27896.36681793278</v>
      </c>
      <c r="K158">
        <v>29012.221490650089</v>
      </c>
      <c r="L158">
        <v>34952.290159041535</v>
      </c>
      <c r="M158">
        <v>38024.789393269763</v>
      </c>
      <c r="N158">
        <v>40755.87251259054</v>
      </c>
      <c r="O158">
        <v>40755.87251259054</v>
      </c>
      <c r="P158">
        <v>40755.87251259054</v>
      </c>
      <c r="Q158">
        <v>43145.785316942623</v>
      </c>
      <c r="R158">
        <v>43145.785316942623</v>
      </c>
      <c r="S158">
        <v>45808.044453416704</v>
      </c>
      <c r="T158">
        <v>45808.044453416704</v>
      </c>
      <c r="U158">
        <v>48266.043840799284</v>
      </c>
      <c r="V158">
        <v>48266.043840799284</v>
      </c>
      <c r="W158">
        <v>50382.381313335682</v>
      </c>
      <c r="X158">
        <v>50382.381313335682</v>
      </c>
      <c r="Y158">
        <v>50382.381313335682</v>
      </c>
      <c r="Z158">
        <v>50382.381313335682</v>
      </c>
      <c r="AA158">
        <v>50382.381313335682</v>
      </c>
    </row>
    <row r="159" spans="1:27" x14ac:dyDescent="0.2">
      <c r="A159" t="s">
        <v>661</v>
      </c>
      <c r="B159" t="s">
        <v>662</v>
      </c>
      <c r="C159">
        <v>4094.6228075307095</v>
      </c>
      <c r="D159">
        <v>4468.5999487188137</v>
      </c>
      <c r="E159">
        <v>4647.3439466675654</v>
      </c>
      <c r="F159">
        <v>4924.1752704398859</v>
      </c>
      <c r="G159">
        <v>6029.0333530286334</v>
      </c>
      <c r="H159">
        <v>6270.1946871497785</v>
      </c>
      <c r="I159">
        <v>6606.9979514265196</v>
      </c>
      <c r="J159">
        <v>7835.3249425928962</v>
      </c>
      <c r="K159">
        <v>8148.7379402966117</v>
      </c>
      <c r="L159">
        <v>9817.1404423831191</v>
      </c>
      <c r="M159">
        <v>10680.121275807289</v>
      </c>
      <c r="N159">
        <v>11447.207679021363</v>
      </c>
      <c r="O159">
        <v>11447.207679021363</v>
      </c>
      <c r="P159">
        <v>11447.207679021363</v>
      </c>
      <c r="Q159">
        <v>12118.46869049202</v>
      </c>
      <c r="R159">
        <v>12118.46869049202</v>
      </c>
      <c r="S159">
        <v>12866.224323037397</v>
      </c>
      <c r="T159">
        <v>12866.224323037397</v>
      </c>
      <c r="U159">
        <v>13556.608989776732</v>
      </c>
      <c r="V159">
        <v>13556.608989776732</v>
      </c>
      <c r="W159">
        <v>14151.0301878393</v>
      </c>
      <c r="X159">
        <v>14151.0301878393</v>
      </c>
      <c r="Y159">
        <v>14151.0301878393</v>
      </c>
      <c r="Z159">
        <v>14151.0301878393</v>
      </c>
      <c r="AA159">
        <v>14151.0301878393</v>
      </c>
    </row>
    <row r="160" spans="1:27" x14ac:dyDescent="0.2">
      <c r="A160" t="s">
        <v>525</v>
      </c>
      <c r="B160" t="s">
        <v>526</v>
      </c>
      <c r="C160">
        <v>14012.330848728585</v>
      </c>
      <c r="D160">
        <v>15292.129179004965</v>
      </c>
      <c r="E160">
        <v>15903.814346165163</v>
      </c>
      <c r="F160">
        <v>16851.167076886788</v>
      </c>
      <c r="G160">
        <v>20632.134878280373</v>
      </c>
      <c r="H160">
        <v>21457.420273411586</v>
      </c>
      <c r="I160">
        <v>22610.004770644809</v>
      </c>
      <c r="J160">
        <v>26813.499207053283</v>
      </c>
      <c r="K160">
        <v>27886.039175335412</v>
      </c>
      <c r="L160">
        <v>33595.529144737775</v>
      </c>
      <c r="M160">
        <v>36548.761596774886</v>
      </c>
      <c r="N160">
        <v>39173.830858741625</v>
      </c>
      <c r="O160">
        <v>39173.830858741625</v>
      </c>
      <c r="P160">
        <v>39173.830858741625</v>
      </c>
      <c r="Q160">
        <v>41470.973189234173</v>
      </c>
      <c r="R160">
        <v>41470.973189234173</v>
      </c>
      <c r="S160">
        <v>44029.8900442753</v>
      </c>
      <c r="T160">
        <v>44029.8900442753</v>
      </c>
      <c r="U160">
        <v>46392.476005904988</v>
      </c>
      <c r="V160">
        <v>46392.476005904988</v>
      </c>
      <c r="W160">
        <v>48426.66251886815</v>
      </c>
      <c r="X160">
        <v>48426.66251886815</v>
      </c>
      <c r="Y160">
        <v>48426.66251886815</v>
      </c>
      <c r="Z160">
        <v>48426.66251886815</v>
      </c>
      <c r="AA160">
        <v>48426.66251886815</v>
      </c>
    </row>
    <row r="161" spans="1:27" x14ac:dyDescent="0.2">
      <c r="A161" t="s">
        <v>519</v>
      </c>
      <c r="B161" t="s">
        <v>267</v>
      </c>
      <c r="C161">
        <v>14612.334924311308</v>
      </c>
      <c r="D161">
        <v>15946.933860024397</v>
      </c>
      <c r="E161">
        <v>16584.811214425372</v>
      </c>
      <c r="F161">
        <v>17572.729323283136</v>
      </c>
      <c r="G161">
        <v>21515.597105127799</v>
      </c>
      <c r="H161">
        <v>22376.220989332913</v>
      </c>
      <c r="I161">
        <v>23578.158831363595</v>
      </c>
      <c r="J161">
        <v>27961.645720188593</v>
      </c>
      <c r="K161">
        <v>29080.111548996134</v>
      </c>
      <c r="L161">
        <v>35034.080277009234</v>
      </c>
      <c r="M161">
        <v>38113.769314070967</v>
      </c>
      <c r="N161">
        <v>40851.243305334399</v>
      </c>
      <c r="O161">
        <v>40851.243305334399</v>
      </c>
      <c r="P161">
        <v>40851.243305334399</v>
      </c>
      <c r="Q161">
        <v>43246.748625922504</v>
      </c>
      <c r="R161">
        <v>43246.748625922504</v>
      </c>
      <c r="S161">
        <v>45915.23758275577</v>
      </c>
      <c r="T161">
        <v>45915.23758275577</v>
      </c>
      <c r="U161">
        <v>48378.98881240515</v>
      </c>
      <c r="V161">
        <v>48378.98881240515</v>
      </c>
      <c r="W161">
        <v>50500.278621133279</v>
      </c>
      <c r="X161">
        <v>50500.278621133279</v>
      </c>
      <c r="Y161">
        <v>50500.278621133279</v>
      </c>
      <c r="Z161">
        <v>50500.278621133279</v>
      </c>
      <c r="AA161">
        <v>50500.278621133279</v>
      </c>
    </row>
    <row r="162" spans="1:27" x14ac:dyDescent="0.2">
      <c r="A162" t="s">
        <v>462</v>
      </c>
      <c r="B162" t="s">
        <v>463</v>
      </c>
      <c r="C162">
        <v>25987.621478504865</v>
      </c>
      <c r="D162">
        <v>28361.167674001874</v>
      </c>
      <c r="E162">
        <v>29495.61438096195</v>
      </c>
      <c r="F162">
        <v>31252.598599961842</v>
      </c>
      <c r="G162">
        <v>38264.87665032965</v>
      </c>
      <c r="H162">
        <v>39795.471716342843</v>
      </c>
      <c r="I162">
        <v>41933.083935141374</v>
      </c>
      <c r="J162">
        <v>49728.990517685161</v>
      </c>
      <c r="K162">
        <v>51718.150138392557</v>
      </c>
      <c r="L162">
        <v>62307.113941913645</v>
      </c>
      <c r="M162">
        <v>67784.253179497449</v>
      </c>
      <c r="N162">
        <v>72652.772705000927</v>
      </c>
      <c r="O162">
        <v>72652.772705000927</v>
      </c>
      <c r="P162">
        <v>72652.772705000927</v>
      </c>
      <c r="Q162">
        <v>76913.110689563109</v>
      </c>
      <c r="R162">
        <v>76913.110689563109</v>
      </c>
      <c r="S162">
        <v>81658.942296144742</v>
      </c>
      <c r="T162">
        <v>81658.942296144742</v>
      </c>
      <c r="U162">
        <v>86040.653686211765</v>
      </c>
      <c r="V162">
        <v>86040.653686211765</v>
      </c>
      <c r="W162">
        <v>89813.307193059489</v>
      </c>
      <c r="X162">
        <v>89813.307193059489</v>
      </c>
      <c r="Y162">
        <v>89813.307193059489</v>
      </c>
      <c r="Z162">
        <v>89813.307193059489</v>
      </c>
      <c r="AA162">
        <v>89813.307193059489</v>
      </c>
    </row>
    <row r="163" spans="1:27" x14ac:dyDescent="0.2">
      <c r="A163" t="s">
        <v>450</v>
      </c>
      <c r="B163" t="s">
        <v>185</v>
      </c>
      <c r="C163">
        <v>27674.137709661933</v>
      </c>
      <c r="D163">
        <v>30201.719709759909</v>
      </c>
      <c r="E163">
        <v>31409.788498150305</v>
      </c>
      <c r="F163">
        <v>33280.795557050384</v>
      </c>
      <c r="G163">
        <v>40748.148757682087</v>
      </c>
      <c r="H163">
        <v>42378.07470798937</v>
      </c>
      <c r="I163">
        <v>44654.411346254506</v>
      </c>
      <c r="J163">
        <v>52956.248146341262</v>
      </c>
      <c r="K163">
        <v>55074.49807219491</v>
      </c>
      <c r="L163">
        <v>66350.65286549335</v>
      </c>
      <c r="M163">
        <v>72183.241493939364</v>
      </c>
      <c r="N163">
        <v>77367.712873992437</v>
      </c>
      <c r="O163">
        <v>77367.712873992437</v>
      </c>
      <c r="P163">
        <v>77367.712873992437</v>
      </c>
      <c r="Q163">
        <v>81904.533612742889</v>
      </c>
      <c r="R163">
        <v>81904.533612742889</v>
      </c>
      <c r="S163">
        <v>86958.35500751881</v>
      </c>
      <c r="T163">
        <v>86958.35500751881</v>
      </c>
      <c r="U163">
        <v>91624.425910275604</v>
      </c>
      <c r="V163">
        <v>91624.425910275604</v>
      </c>
      <c r="W163">
        <v>95641.912957549226</v>
      </c>
      <c r="X163">
        <v>95641.912957549226</v>
      </c>
      <c r="Y163">
        <v>95641.912957549226</v>
      </c>
      <c r="Z163">
        <v>95641.912957549226</v>
      </c>
      <c r="AA163">
        <v>95641.912957549226</v>
      </c>
    </row>
    <row r="164" spans="1:27" x14ac:dyDescent="0.2">
      <c r="A164" t="s">
        <v>444</v>
      </c>
      <c r="B164" t="s">
        <v>445</v>
      </c>
      <c r="C164">
        <v>30996.511535421752</v>
      </c>
      <c r="D164">
        <v>33827.53830289383</v>
      </c>
      <c r="E164">
        <v>35180.639835009584</v>
      </c>
      <c r="F164">
        <v>37276.267619061691</v>
      </c>
      <c r="G164">
        <v>45640.101825958707</v>
      </c>
      <c r="H164">
        <v>47465.705898997061</v>
      </c>
      <c r="I164">
        <v>50015.324449238433</v>
      </c>
      <c r="J164">
        <v>59313.824833922015</v>
      </c>
      <c r="K164">
        <v>61686.377827278891</v>
      </c>
      <c r="L164">
        <v>74316.273139379147</v>
      </c>
      <c r="M164">
        <v>80849.083758438734</v>
      </c>
      <c r="N164">
        <v>86655.968461508397</v>
      </c>
      <c r="O164">
        <v>86655.968461508397</v>
      </c>
      <c r="P164">
        <v>86655.968461508397</v>
      </c>
      <c r="Q164">
        <v>91737.449873437698</v>
      </c>
      <c r="R164">
        <v>91737.449873437698</v>
      </c>
      <c r="S164">
        <v>97397.999618640475</v>
      </c>
      <c r="T164">
        <v>97397.999618640475</v>
      </c>
      <c r="U164">
        <v>102624.24811388811</v>
      </c>
      <c r="V164">
        <v>102624.24811388811</v>
      </c>
      <c r="W164">
        <v>107124.04806829635</v>
      </c>
      <c r="X164">
        <v>107124.04806829635</v>
      </c>
      <c r="Y164">
        <v>107124.04806829635</v>
      </c>
      <c r="Z164">
        <v>107124.04806829635</v>
      </c>
      <c r="AA164">
        <v>107124.04806829635</v>
      </c>
    </row>
    <row r="165" spans="1:27" x14ac:dyDescent="0.2">
      <c r="A165" t="s">
        <v>599</v>
      </c>
      <c r="B165" t="s">
        <v>600</v>
      </c>
      <c r="C165">
        <v>7416.4565015975786</v>
      </c>
      <c r="D165">
        <v>8093.829077921896</v>
      </c>
      <c r="E165">
        <v>8417.5822410387718</v>
      </c>
      <c r="F165">
        <v>8918.9977724672281</v>
      </c>
      <c r="G165">
        <v>10920.191116793729</v>
      </c>
      <c r="H165">
        <v>11356.998761465478</v>
      </c>
      <c r="I165">
        <v>11967.03950917745</v>
      </c>
      <c r="J165">
        <v>14191.868053327873</v>
      </c>
      <c r="K165">
        <v>14759.542775460986</v>
      </c>
      <c r="L165">
        <v>17781.465713301295</v>
      </c>
      <c r="M165">
        <v>19344.554699430035</v>
      </c>
      <c r="N165">
        <v>20733.953237420144</v>
      </c>
      <c r="O165">
        <v>20733.953237420144</v>
      </c>
      <c r="P165">
        <v>20733.953237420144</v>
      </c>
      <c r="Q165">
        <v>21949.786374390522</v>
      </c>
      <c r="R165">
        <v>21949.786374390522</v>
      </c>
      <c r="S165">
        <v>23304.171719091355</v>
      </c>
      <c r="T165">
        <v>23304.171719091355</v>
      </c>
      <c r="U165">
        <v>24554.642907994341</v>
      </c>
      <c r="V165">
        <v>24554.642907994341</v>
      </c>
      <c r="W165">
        <v>25631.298601639817</v>
      </c>
      <c r="X165">
        <v>25631.298601639817</v>
      </c>
      <c r="Y165">
        <v>25631.298601639817</v>
      </c>
      <c r="Z165">
        <v>25631.298601639817</v>
      </c>
      <c r="AA165">
        <v>25631.298601639817</v>
      </c>
    </row>
    <row r="166" spans="1:27" x14ac:dyDescent="0.2">
      <c r="A166" t="s">
        <v>679</v>
      </c>
      <c r="B166" t="s">
        <v>680</v>
      </c>
      <c r="C166">
        <v>3707.9945642539687</v>
      </c>
      <c r="D166">
        <v>4046.6595089542084</v>
      </c>
      <c r="E166">
        <v>4208.5258893123764</v>
      </c>
      <c r="F166">
        <v>4459.2178558288297</v>
      </c>
      <c r="G166">
        <v>5459.7514720086665</v>
      </c>
      <c r="H166">
        <v>5678.1415308890137</v>
      </c>
      <c r="I166">
        <v>5983.1426828545309</v>
      </c>
      <c r="J166">
        <v>7095.4868523820924</v>
      </c>
      <c r="K166">
        <v>7379.3063264773755</v>
      </c>
      <c r="L166">
        <v>8890.1725770503454</v>
      </c>
      <c r="M166">
        <v>9671.6678184452212</v>
      </c>
      <c r="N166">
        <v>10366.323308616298</v>
      </c>
      <c r="O166">
        <v>10366.323308616298</v>
      </c>
      <c r="P166">
        <v>10366.323308616298</v>
      </c>
      <c r="Q166">
        <v>10974.20156718289</v>
      </c>
      <c r="R166">
        <v>10974.20156718289</v>
      </c>
      <c r="S166">
        <v>11651.351563946726</v>
      </c>
      <c r="T166">
        <v>11651.351563946726</v>
      </c>
      <c r="U166">
        <v>12276.547757062626</v>
      </c>
      <c r="V166">
        <v>12276.547757062626</v>
      </c>
      <c r="W166">
        <v>12814.841679335417</v>
      </c>
      <c r="X166">
        <v>12814.841679335417</v>
      </c>
      <c r="Y166">
        <v>12814.841679335417</v>
      </c>
      <c r="Z166">
        <v>12814.841679335417</v>
      </c>
      <c r="AA166">
        <v>12814.841679335417</v>
      </c>
    </row>
    <row r="167" spans="1:27" x14ac:dyDescent="0.2">
      <c r="A167" t="s">
        <v>773</v>
      </c>
      <c r="B167" t="s">
        <v>774</v>
      </c>
      <c r="C167">
        <v>1858.6270558823021</v>
      </c>
      <c r="D167">
        <v>2028.3823827015019</v>
      </c>
      <c r="E167">
        <v>2109.5176780095617</v>
      </c>
      <c r="F167">
        <v>2235.1766733467261</v>
      </c>
      <c r="G167">
        <v>2736.6927400850145</v>
      </c>
      <c r="H167">
        <v>2846.1604496884152</v>
      </c>
      <c r="I167">
        <v>2999.0418477851881</v>
      </c>
      <c r="J167">
        <v>3556.6027970021705</v>
      </c>
      <c r="K167">
        <v>3698.8669088822571</v>
      </c>
      <c r="L167">
        <v>4456.1864902553098</v>
      </c>
      <c r="M167">
        <v>4847.9098799555932</v>
      </c>
      <c r="N167">
        <v>5196.1049665923802</v>
      </c>
      <c r="O167">
        <v>5196.1049665923802</v>
      </c>
      <c r="P167">
        <v>5196.1049665923802</v>
      </c>
      <c r="Q167">
        <v>5500.8030880368487</v>
      </c>
      <c r="R167">
        <v>5500.8030880368487</v>
      </c>
      <c r="S167">
        <v>5840.2235707443515</v>
      </c>
      <c r="T167">
        <v>5840.2235707443515</v>
      </c>
      <c r="U167">
        <v>6153.6022825045775</v>
      </c>
      <c r="V167">
        <v>6153.6022825045775</v>
      </c>
      <c r="W167">
        <v>6423.4213533301327</v>
      </c>
      <c r="X167">
        <v>6423.4213533301327</v>
      </c>
      <c r="Y167">
        <v>6423.4213533301327</v>
      </c>
      <c r="Z167">
        <v>6423.4213533301327</v>
      </c>
      <c r="AA167">
        <v>6423.4213533301327</v>
      </c>
    </row>
    <row r="168" spans="1:27" x14ac:dyDescent="0.2">
      <c r="A168" t="s">
        <v>777</v>
      </c>
      <c r="B168" t="s">
        <v>778</v>
      </c>
      <c r="C168">
        <v>1784.203894685241</v>
      </c>
      <c r="D168">
        <v>1947.1618771894848</v>
      </c>
      <c r="E168">
        <v>2025.0483522770642</v>
      </c>
      <c r="F168">
        <v>2145.6757089989178</v>
      </c>
      <c r="G168">
        <v>2627.1100649068094</v>
      </c>
      <c r="H168">
        <v>2732.1944675030818</v>
      </c>
      <c r="I168">
        <v>2878.9541872897394</v>
      </c>
      <c r="J168">
        <v>3414.1892759907919</v>
      </c>
      <c r="K168">
        <v>3550.7568470304236</v>
      </c>
      <c r="L168">
        <v>4277.7518309519119</v>
      </c>
      <c r="M168">
        <v>4653.7898291778502</v>
      </c>
      <c r="N168">
        <v>4988.0424850409208</v>
      </c>
      <c r="O168">
        <v>4988.0424850409208</v>
      </c>
      <c r="P168">
        <v>4988.0424850409208</v>
      </c>
      <c r="Q168">
        <v>5280.5398815809849</v>
      </c>
      <c r="R168">
        <v>5280.5398815809849</v>
      </c>
      <c r="S168">
        <v>5606.369286283797</v>
      </c>
      <c r="T168">
        <v>5606.369286283797</v>
      </c>
      <c r="U168">
        <v>5907.1996848645467</v>
      </c>
      <c r="V168">
        <v>5907.1996848645467</v>
      </c>
      <c r="W168">
        <v>6166.2146580425733</v>
      </c>
      <c r="X168">
        <v>6166.2146580425733</v>
      </c>
      <c r="Y168">
        <v>6166.2146580425733</v>
      </c>
      <c r="Z168">
        <v>6166.2146580425733</v>
      </c>
      <c r="AA168">
        <v>6166.2146580425733</v>
      </c>
    </row>
    <row r="169" spans="1:27" x14ac:dyDescent="0.2">
      <c r="A169" t="s">
        <v>418</v>
      </c>
      <c r="B169" t="s">
        <v>419</v>
      </c>
      <c r="C169">
        <v>41105.571890077939</v>
      </c>
      <c r="D169">
        <v>44859.8967656393</v>
      </c>
      <c r="E169">
        <v>46654.292636264872</v>
      </c>
      <c r="F169">
        <v>49433.378870977394</v>
      </c>
      <c r="G169">
        <v>60524.955672302778</v>
      </c>
      <c r="H169">
        <v>62945.953899194894</v>
      </c>
      <c r="I169">
        <v>66327.093369985247</v>
      </c>
      <c r="J169">
        <v>78658.164096952067</v>
      </c>
      <c r="K169">
        <v>81804.490660830139</v>
      </c>
      <c r="L169">
        <v>98553.442204051986</v>
      </c>
      <c r="M169">
        <v>107216.83376794282</v>
      </c>
      <c r="N169">
        <v>114917.5492612541</v>
      </c>
      <c r="O169">
        <v>114917.5492612541</v>
      </c>
      <c r="P169">
        <v>114917.5492612541</v>
      </c>
      <c r="Q169">
        <v>121656.28175531096</v>
      </c>
      <c r="R169">
        <v>121656.28175531096</v>
      </c>
      <c r="S169">
        <v>129162.93727759113</v>
      </c>
      <c r="T169">
        <v>129162.93727759113</v>
      </c>
      <c r="U169">
        <v>136093.65052870379</v>
      </c>
      <c r="V169">
        <v>136093.65052870379</v>
      </c>
      <c r="W169">
        <v>142060.99463791179</v>
      </c>
      <c r="X169">
        <v>142060.99463791179</v>
      </c>
      <c r="Y169">
        <v>142060.99463791179</v>
      </c>
      <c r="Z169">
        <v>142060.99463791179</v>
      </c>
      <c r="AA169">
        <v>142060.99463791179</v>
      </c>
    </row>
    <row r="170" spans="1:27" x14ac:dyDescent="0.2">
      <c r="A170" t="s">
        <v>509</v>
      </c>
      <c r="B170" t="s">
        <v>510</v>
      </c>
      <c r="C170">
        <v>15151.499306859087</v>
      </c>
      <c r="D170">
        <v>16535.342132398811</v>
      </c>
      <c r="E170">
        <v>17196.755817694764</v>
      </c>
      <c r="F170">
        <v>18221.12602403928</v>
      </c>
      <c r="G170">
        <v>22309.477322657767</v>
      </c>
      <c r="H170">
        <v>23201.856415564078</v>
      </c>
      <c r="I170">
        <v>24448.143232472219</v>
      </c>
      <c r="J170">
        <v>28993.371555096925</v>
      </c>
      <c r="K170">
        <v>30153.106417300798</v>
      </c>
      <c r="L170">
        <v>36326.76405126739</v>
      </c>
      <c r="M170">
        <v>39520.087127427418</v>
      </c>
      <c r="N170">
        <v>42358.568143364537</v>
      </c>
      <c r="O170">
        <v>42358.568143364537</v>
      </c>
      <c r="P170">
        <v>42358.568143364537</v>
      </c>
      <c r="Q170">
        <v>44842.462564924863</v>
      </c>
      <c r="R170">
        <v>44842.462564924863</v>
      </c>
      <c r="S170">
        <v>47609.413143956015</v>
      </c>
      <c r="T170">
        <v>47609.413143956015</v>
      </c>
      <c r="U170">
        <v>50164.071604884033</v>
      </c>
      <c r="V170">
        <v>50164.071604884033</v>
      </c>
      <c r="W170">
        <v>52363.632539743063</v>
      </c>
      <c r="X170">
        <v>52363.632539743063</v>
      </c>
      <c r="Y170">
        <v>52363.632539743063</v>
      </c>
      <c r="Z170">
        <v>52363.632539743063</v>
      </c>
      <c r="AA170">
        <v>52363.632539743063</v>
      </c>
    </row>
    <row r="171" spans="1:27" x14ac:dyDescent="0.2">
      <c r="A171" t="s">
        <v>702</v>
      </c>
      <c r="B171" t="s">
        <v>703</v>
      </c>
      <c r="C171">
        <v>3306.8120570219858</v>
      </c>
      <c r="D171">
        <v>3608.8355101363932</v>
      </c>
      <c r="E171">
        <v>3753.1889305418485</v>
      </c>
      <c r="F171">
        <v>3976.75754778494</v>
      </c>
      <c r="G171">
        <v>4869.0394991488474</v>
      </c>
      <c r="H171">
        <v>5063.8010791148017</v>
      </c>
      <c r="I171">
        <v>5335.8029575555511</v>
      </c>
      <c r="J171">
        <v>6327.7982389973686</v>
      </c>
      <c r="K171">
        <v>6580.9101685572632</v>
      </c>
      <c r="L171">
        <v>7928.309860592005</v>
      </c>
      <c r="M171">
        <v>8625.2520599314557</v>
      </c>
      <c r="N171">
        <v>9244.7500420803044</v>
      </c>
      <c r="O171">
        <v>9244.7500420803044</v>
      </c>
      <c r="P171">
        <v>9244.7500420803044</v>
      </c>
      <c r="Q171">
        <v>9786.8595624145019</v>
      </c>
      <c r="R171">
        <v>9786.8595624145019</v>
      </c>
      <c r="S171">
        <v>10390.746039298152</v>
      </c>
      <c r="T171">
        <v>10390.746039298152</v>
      </c>
      <c r="U171">
        <v>10948.299798769711</v>
      </c>
      <c r="V171">
        <v>10948.299798769711</v>
      </c>
      <c r="W171">
        <v>11428.353585674724</v>
      </c>
      <c r="X171">
        <v>11428.353585674724</v>
      </c>
      <c r="Y171">
        <v>11428.353585674724</v>
      </c>
      <c r="Z171">
        <v>11428.353585674724</v>
      </c>
      <c r="AA171">
        <v>11428.353585674724</v>
      </c>
    </row>
    <row r="172" spans="1:27" x14ac:dyDescent="0.2">
      <c r="A172" t="s">
        <v>498</v>
      </c>
      <c r="B172" t="s">
        <v>201</v>
      </c>
      <c r="C172">
        <v>19750.850112020329</v>
      </c>
      <c r="D172">
        <v>21554.768765368161</v>
      </c>
      <c r="E172">
        <v>22416.959515982886</v>
      </c>
      <c r="F172">
        <v>23752.284951108024</v>
      </c>
      <c r="G172">
        <v>29081.685828798236</v>
      </c>
      <c r="H172">
        <v>30244.95326195017</v>
      </c>
      <c r="I172">
        <v>31869.559752622434</v>
      </c>
      <c r="J172">
        <v>37794.526088094608</v>
      </c>
      <c r="K172">
        <v>39306.307131618392</v>
      </c>
      <c r="L172">
        <v>47354.024661209944</v>
      </c>
      <c r="M172">
        <v>51516.704813129982</v>
      </c>
      <c r="N172">
        <v>55216.82794656865</v>
      </c>
      <c r="O172">
        <v>55216.82794656865</v>
      </c>
      <c r="P172">
        <v>55216.82794656865</v>
      </c>
      <c r="Q172">
        <v>58454.727075938128</v>
      </c>
      <c r="R172">
        <v>58454.727075938128</v>
      </c>
      <c r="S172">
        <v>62061.606173973814</v>
      </c>
      <c r="T172">
        <v>62061.606173973814</v>
      </c>
      <c r="U172">
        <v>65391.750295509832</v>
      </c>
      <c r="V172">
        <v>65391.750295509832</v>
      </c>
      <c r="W172">
        <v>68259.004384152358</v>
      </c>
      <c r="X172">
        <v>68259.004384152358</v>
      </c>
      <c r="Y172">
        <v>68259.004384152358</v>
      </c>
      <c r="Z172">
        <v>68259.004384152358</v>
      </c>
      <c r="AA172">
        <v>68259.004384152358</v>
      </c>
    </row>
    <row r="173" spans="1:27" x14ac:dyDescent="0.2">
      <c r="A173" t="s">
        <v>513</v>
      </c>
      <c r="B173" t="s">
        <v>514</v>
      </c>
      <c r="C173">
        <v>14981.240984168595</v>
      </c>
      <c r="D173">
        <v>16349.533483395926</v>
      </c>
      <c r="E173">
        <v>17003.514822731762</v>
      </c>
      <c r="F173">
        <v>18016.374118531119</v>
      </c>
      <c r="G173">
        <v>22058.784364018506</v>
      </c>
      <c r="H173">
        <v>22941.135738579247</v>
      </c>
      <c r="I173">
        <v>24173.4179544416</v>
      </c>
      <c r="J173">
        <v>28667.571268924698</v>
      </c>
      <c r="K173">
        <v>29814.274119681682</v>
      </c>
      <c r="L173">
        <v>35918.557985921623</v>
      </c>
      <c r="M173">
        <v>39075.997495726624</v>
      </c>
      <c r="N173">
        <v>41882.582327202093</v>
      </c>
      <c r="O173">
        <v>41882.582327202093</v>
      </c>
      <c r="P173">
        <v>41882.582327202093</v>
      </c>
      <c r="Q173">
        <v>44338.565075508814</v>
      </c>
      <c r="R173">
        <v>44338.565075508814</v>
      </c>
      <c r="S173">
        <v>47074.423261964665</v>
      </c>
      <c r="T173">
        <v>47074.423261964665</v>
      </c>
      <c r="U173">
        <v>49600.374869808664</v>
      </c>
      <c r="V173">
        <v>49600.374869808664</v>
      </c>
      <c r="W173">
        <v>51775.219204162342</v>
      </c>
      <c r="X173">
        <v>51775.219204162342</v>
      </c>
      <c r="Y173">
        <v>51775.219204162342</v>
      </c>
      <c r="Z173">
        <v>51775.219204162342</v>
      </c>
      <c r="AA173">
        <v>51775.219204162342</v>
      </c>
    </row>
    <row r="174" spans="1:27" x14ac:dyDescent="0.2">
      <c r="A174" t="s">
        <v>437</v>
      </c>
      <c r="B174" t="s">
        <v>438</v>
      </c>
      <c r="C174">
        <v>32582.702724200688</v>
      </c>
      <c r="D174">
        <v>35558.602236743769</v>
      </c>
      <c r="E174">
        <v>36980.946326213518</v>
      </c>
      <c r="F174">
        <v>39183.814124104763</v>
      </c>
      <c r="G174">
        <v>47975.652627815223</v>
      </c>
      <c r="H174">
        <v>49894.678732927838</v>
      </c>
      <c r="I174">
        <v>52574.769464676428</v>
      </c>
      <c r="J174">
        <v>62349.104020640472</v>
      </c>
      <c r="K174">
        <v>64843.068181466086</v>
      </c>
      <c r="L174">
        <v>78119.275857987115</v>
      </c>
      <c r="M174">
        <v>84986.39140778291</v>
      </c>
      <c r="N174">
        <v>91090.433077685389</v>
      </c>
      <c r="O174">
        <v>91090.433077685389</v>
      </c>
      <c r="P174">
        <v>91090.433077685389</v>
      </c>
      <c r="Q174">
        <v>96431.950236938559</v>
      </c>
      <c r="R174">
        <v>96431.950236938559</v>
      </c>
      <c r="S174">
        <v>102382.16851852565</v>
      </c>
      <c r="T174">
        <v>102382.16851852565</v>
      </c>
      <c r="U174">
        <v>107875.86095836229</v>
      </c>
      <c r="V174">
        <v>107875.86095836229</v>
      </c>
      <c r="W174">
        <v>112605.93014906163</v>
      </c>
      <c r="X174">
        <v>112605.93014906163</v>
      </c>
      <c r="Y174">
        <v>112605.93014906163</v>
      </c>
      <c r="Z174">
        <v>112605.93014906163</v>
      </c>
      <c r="AA174">
        <v>112605.93014906163</v>
      </c>
    </row>
    <row r="175" spans="1:27" x14ac:dyDescent="0.2">
      <c r="A175" t="s">
        <v>694</v>
      </c>
      <c r="B175" t="s">
        <v>695</v>
      </c>
      <c r="C175">
        <v>3410.978717587202</v>
      </c>
      <c r="D175">
        <v>3722.5160995190931</v>
      </c>
      <c r="E175">
        <v>3871.4167434998567</v>
      </c>
      <c r="F175">
        <v>4102.0279128637876</v>
      </c>
      <c r="G175">
        <v>5022.4173071526175</v>
      </c>
      <c r="H175">
        <v>5223.313999438722</v>
      </c>
      <c r="I175">
        <v>5503.8841082040453</v>
      </c>
      <c r="J175">
        <v>6527.1278652115725</v>
      </c>
      <c r="K175">
        <v>6788.2129798200349</v>
      </c>
      <c r="L175">
        <v>8178.0566099878261</v>
      </c>
      <c r="M175">
        <v>8896.9529271483971</v>
      </c>
      <c r="N175">
        <v>9535.9654855460867</v>
      </c>
      <c r="O175">
        <v>9535.9654855460867</v>
      </c>
      <c r="P175">
        <v>9535.9654855460867</v>
      </c>
      <c r="Q175">
        <v>10095.151796886266</v>
      </c>
      <c r="R175">
        <v>10095.151796886266</v>
      </c>
      <c r="S175">
        <v>10718.061077779561</v>
      </c>
      <c r="T175">
        <v>10718.061077779561</v>
      </c>
      <c r="U175">
        <v>11293.178131508017</v>
      </c>
      <c r="V175">
        <v>11293.178131508017</v>
      </c>
      <c r="W175">
        <v>11788.35391476822</v>
      </c>
      <c r="X175">
        <v>11788.35391476822</v>
      </c>
      <c r="Y175">
        <v>11788.35391476822</v>
      </c>
      <c r="Z175">
        <v>11788.35391476822</v>
      </c>
      <c r="AA175">
        <v>11788.35391476822</v>
      </c>
    </row>
    <row r="176" spans="1:27" x14ac:dyDescent="0.2">
      <c r="A176" t="s">
        <v>368</v>
      </c>
      <c r="B176" t="s">
        <v>369</v>
      </c>
      <c r="C176">
        <v>104525.18773557626</v>
      </c>
      <c r="D176">
        <v>114071.8621739659</v>
      </c>
      <c r="E176">
        <v>118634.73666092454</v>
      </c>
      <c r="F176">
        <v>125701.52826750962</v>
      </c>
      <c r="G176">
        <v>153905.71310508734</v>
      </c>
      <c r="H176">
        <v>160061.94162929084</v>
      </c>
      <c r="I176">
        <v>168659.66261197437</v>
      </c>
      <c r="J176">
        <v>200015.69108820125</v>
      </c>
      <c r="K176">
        <v>208016.31873172929</v>
      </c>
      <c r="L176">
        <v>250606.34300169724</v>
      </c>
      <c r="M176">
        <v>272636.0238455509</v>
      </c>
      <c r="N176">
        <v>292217.76655403548</v>
      </c>
      <c r="O176">
        <v>292217.76655403548</v>
      </c>
      <c r="P176">
        <v>292217.76655403548</v>
      </c>
      <c r="Q176">
        <v>309353.33350161853</v>
      </c>
      <c r="R176">
        <v>309353.33350161853</v>
      </c>
      <c r="S176">
        <v>328441.61135920091</v>
      </c>
      <c r="T176">
        <v>328441.61135920091</v>
      </c>
      <c r="U176">
        <v>346065.35603428376</v>
      </c>
      <c r="V176">
        <v>346065.35603428376</v>
      </c>
      <c r="W176">
        <v>361239.40019953018</v>
      </c>
      <c r="X176">
        <v>361239.40019953018</v>
      </c>
      <c r="Y176">
        <v>361239.40019953018</v>
      </c>
      <c r="Z176">
        <v>361239.40019953018</v>
      </c>
      <c r="AA176">
        <v>361239.40019953018</v>
      </c>
    </row>
    <row r="177" spans="1:27" x14ac:dyDescent="0.2">
      <c r="A177" t="s">
        <v>623</v>
      </c>
      <c r="B177" t="s">
        <v>624</v>
      </c>
      <c r="C177">
        <v>6224.5391709264404</v>
      </c>
      <c r="D177">
        <v>6793.0495011271005</v>
      </c>
      <c r="E177">
        <v>7064.7714811721844</v>
      </c>
      <c r="F177">
        <v>7485.6032646007006</v>
      </c>
      <c r="G177">
        <v>9165.1798059954126</v>
      </c>
      <c r="H177">
        <v>9531.7869982352295</v>
      </c>
      <c r="I177">
        <v>10043.786566920957</v>
      </c>
      <c r="J177">
        <v>11911.057334123116</v>
      </c>
      <c r="K177">
        <v>12387.49962748804</v>
      </c>
      <c r="L177">
        <v>14923.761748631236</v>
      </c>
      <c r="M177">
        <v>16235.642782344059</v>
      </c>
      <c r="N177">
        <v>17401.74759559071</v>
      </c>
      <c r="O177">
        <v>17401.74759559071</v>
      </c>
      <c r="P177">
        <v>17401.74759559071</v>
      </c>
      <c r="Q177">
        <v>18422.181138853895</v>
      </c>
      <c r="R177">
        <v>18422.181138853895</v>
      </c>
      <c r="S177">
        <v>19558.899816945384</v>
      </c>
      <c r="T177">
        <v>19558.899816945384</v>
      </c>
      <c r="U177">
        <v>20608.404643915641</v>
      </c>
      <c r="V177">
        <v>20608.404643915641</v>
      </c>
      <c r="W177">
        <v>21512.028299937036</v>
      </c>
      <c r="X177">
        <v>21512.028299937036</v>
      </c>
      <c r="Y177">
        <v>21512.028299937036</v>
      </c>
      <c r="Z177">
        <v>21512.028299937036</v>
      </c>
      <c r="AA177">
        <v>21512.028299937036</v>
      </c>
    </row>
    <row r="178" spans="1:27" x14ac:dyDescent="0.2">
      <c r="A178" t="s">
        <v>352</v>
      </c>
      <c r="B178" t="s">
        <v>353</v>
      </c>
      <c r="C178">
        <v>174289.91249302102</v>
      </c>
      <c r="D178">
        <v>190208.45890764726</v>
      </c>
      <c r="E178">
        <v>197816.79726395314</v>
      </c>
      <c r="F178">
        <v>209600.27756569593</v>
      </c>
      <c r="G178">
        <v>256629.18049112259</v>
      </c>
      <c r="H178">
        <v>266894.34771076753</v>
      </c>
      <c r="I178">
        <v>281230.56723999867</v>
      </c>
      <c r="J178">
        <v>333514.99339262617</v>
      </c>
      <c r="K178">
        <v>346855.59312833118</v>
      </c>
      <c r="L178">
        <v>417872.07981350034</v>
      </c>
      <c r="M178">
        <v>454605.34219459817</v>
      </c>
      <c r="N178">
        <v>487256.80445990828</v>
      </c>
      <c r="O178">
        <v>487256.80445990828</v>
      </c>
      <c r="P178">
        <v>487256.80445990828</v>
      </c>
      <c r="Q178">
        <v>515829.40527042141</v>
      </c>
      <c r="R178">
        <v>515829.40527042141</v>
      </c>
      <c r="S178">
        <v>547658.04245839524</v>
      </c>
      <c r="T178">
        <v>547658.04245839524</v>
      </c>
      <c r="U178">
        <v>577044.65236327343</v>
      </c>
      <c r="V178">
        <v>577044.65236327343</v>
      </c>
      <c r="W178">
        <v>602346.52349137352</v>
      </c>
      <c r="X178">
        <v>602346.52349137352</v>
      </c>
      <c r="Y178">
        <v>602346.52349137352</v>
      </c>
      <c r="Z178">
        <v>602346.52349137352</v>
      </c>
      <c r="AA178">
        <v>602346.52349137352</v>
      </c>
    </row>
    <row r="179" spans="1:27" x14ac:dyDescent="0.2">
      <c r="A179" t="s">
        <v>425</v>
      </c>
      <c r="B179" t="s">
        <v>426</v>
      </c>
      <c r="C179">
        <v>38331.070464109413</v>
      </c>
      <c r="D179">
        <v>41831.989797749375</v>
      </c>
      <c r="E179">
        <v>43505.269389659348</v>
      </c>
      <c r="F179">
        <v>46096.775732728027</v>
      </c>
      <c r="G179">
        <v>56439.704741637092</v>
      </c>
      <c r="H179">
        <v>58697.292931302582</v>
      </c>
      <c r="I179">
        <v>61850.21574309127</v>
      </c>
      <c r="J179">
        <v>73348.976597148954</v>
      </c>
      <c r="K179">
        <v>76282.935661034906</v>
      </c>
      <c r="L179">
        <v>91901.383776049639</v>
      </c>
      <c r="M179">
        <v>99980.022686163618</v>
      </c>
      <c r="N179">
        <v>107160.96324058571</v>
      </c>
      <c r="O179">
        <v>107160.96324058571</v>
      </c>
      <c r="P179">
        <v>107160.96324058571</v>
      </c>
      <c r="Q179">
        <v>113444.85173042877</v>
      </c>
      <c r="R179">
        <v>113444.85173042877</v>
      </c>
      <c r="S179">
        <v>120444.83077326436</v>
      </c>
      <c r="T179">
        <v>120444.83077326436</v>
      </c>
      <c r="U179">
        <v>126907.74190135552</v>
      </c>
      <c r="V179">
        <v>126907.74190135552</v>
      </c>
      <c r="W179">
        <v>132472.30838264202</v>
      </c>
      <c r="X179">
        <v>132472.30838264202</v>
      </c>
      <c r="Y179">
        <v>132472.30838264202</v>
      </c>
      <c r="Z179">
        <v>132472.30838264202</v>
      </c>
      <c r="AA179">
        <v>132472.30838264202</v>
      </c>
    </row>
    <row r="180" spans="1:27" x14ac:dyDescent="0.2">
      <c r="A180" t="s">
        <v>394</v>
      </c>
      <c r="B180" t="s">
        <v>395</v>
      </c>
      <c r="C180">
        <v>69059.269627696631</v>
      </c>
      <c r="D180">
        <v>75366.709761231017</v>
      </c>
      <c r="E180">
        <v>78381.378151680256</v>
      </c>
      <c r="F180">
        <v>83050.372080650719</v>
      </c>
      <c r="G180">
        <v>101684.73617531316</v>
      </c>
      <c r="H180">
        <v>105752.12562232569</v>
      </c>
      <c r="I180">
        <v>111432.59694593525</v>
      </c>
      <c r="J180">
        <v>132149.36839504752</v>
      </c>
      <c r="K180">
        <v>137435.34313084939</v>
      </c>
      <c r="L180">
        <v>165574.3595079401</v>
      </c>
      <c r="M180">
        <v>180129.25964412978</v>
      </c>
      <c r="N180">
        <v>193066.81927718606</v>
      </c>
      <c r="O180">
        <v>193066.81927718606</v>
      </c>
      <c r="P180">
        <v>193066.81927718606</v>
      </c>
      <c r="Q180">
        <v>204388.20279911984</v>
      </c>
      <c r="R180">
        <v>204388.20279911984</v>
      </c>
      <c r="S180">
        <v>216999.73266912551</v>
      </c>
      <c r="T180">
        <v>216999.73266912551</v>
      </c>
      <c r="U180">
        <v>228643.65277807726</v>
      </c>
      <c r="V180">
        <v>228643.65277807726</v>
      </c>
      <c r="W180">
        <v>238669.06799188469</v>
      </c>
      <c r="X180">
        <v>238669.06799188469</v>
      </c>
      <c r="Y180">
        <v>238669.06799188469</v>
      </c>
      <c r="Z180">
        <v>238669.06799188469</v>
      </c>
      <c r="AA180">
        <v>238669.06799188469</v>
      </c>
    </row>
    <row r="181" spans="1:27" x14ac:dyDescent="0.2">
      <c r="A181" t="s">
        <v>712</v>
      </c>
      <c r="B181" t="s">
        <v>713</v>
      </c>
      <c r="C181">
        <v>3226.9816956792165</v>
      </c>
      <c r="D181">
        <v>3521.7139447637746</v>
      </c>
      <c r="E181">
        <v>3662.5825025543254</v>
      </c>
      <c r="F181">
        <v>3880.7539084676951</v>
      </c>
      <c r="G181">
        <v>4751.495116248745</v>
      </c>
      <c r="H181">
        <v>4941.5549208986949</v>
      </c>
      <c r="I181">
        <v>5206.9903516951863</v>
      </c>
      <c r="J181">
        <v>6175.037691614395</v>
      </c>
      <c r="K181">
        <v>6422.03919927897</v>
      </c>
      <c r="L181">
        <v>7736.9110661959039</v>
      </c>
      <c r="M181">
        <v>8417.0282550270767</v>
      </c>
      <c r="N181">
        <v>9021.5708218353284</v>
      </c>
      <c r="O181">
        <v>9021.5708218353284</v>
      </c>
      <c r="P181">
        <v>9021.5708218353284</v>
      </c>
      <c r="Q181">
        <v>9550.5931759957693</v>
      </c>
      <c r="R181">
        <v>9550.5931759957693</v>
      </c>
      <c r="S181">
        <v>10139.901117774207</v>
      </c>
      <c r="T181">
        <v>10139.901117774207</v>
      </c>
      <c r="U181">
        <v>10683.994868839143</v>
      </c>
      <c r="V181">
        <v>10683.994868839143</v>
      </c>
      <c r="W181">
        <v>11152.459588506055</v>
      </c>
      <c r="X181">
        <v>11152.459588506055</v>
      </c>
      <c r="Y181">
        <v>11152.459588506055</v>
      </c>
      <c r="Z181">
        <v>11152.459588506055</v>
      </c>
      <c r="AA181">
        <v>11152.459588506055</v>
      </c>
    </row>
    <row r="182" spans="1:27" x14ac:dyDescent="0.2">
      <c r="A182" t="s">
        <v>601</v>
      </c>
      <c r="B182" t="s">
        <v>602</v>
      </c>
      <c r="C182">
        <v>7401.5812856408411</v>
      </c>
      <c r="D182">
        <v>8077.595253126311</v>
      </c>
      <c r="E182">
        <v>8400.6990632513625</v>
      </c>
      <c r="F182">
        <v>8901.1089035775458</v>
      </c>
      <c r="G182">
        <v>10898.288446547343</v>
      </c>
      <c r="H182">
        <v>11334.219984409237</v>
      </c>
      <c r="I182">
        <v>11943.037170995667</v>
      </c>
      <c r="J182">
        <v>14163.403367790068</v>
      </c>
      <c r="K182">
        <v>14729.939502501669</v>
      </c>
      <c r="L182">
        <v>17745.801357627435</v>
      </c>
      <c r="M182">
        <v>19305.755250032744</v>
      </c>
      <c r="N182">
        <v>20692.367065913968</v>
      </c>
      <c r="O182">
        <v>20692.367065913968</v>
      </c>
      <c r="P182">
        <v>20692.367065913968</v>
      </c>
      <c r="Q182">
        <v>21905.761601582512</v>
      </c>
      <c r="R182">
        <v>21905.761601582512</v>
      </c>
      <c r="S182">
        <v>23257.430450273867</v>
      </c>
      <c r="T182">
        <v>23257.430450273867</v>
      </c>
      <c r="U182">
        <v>24505.393564198108</v>
      </c>
      <c r="V182">
        <v>24505.393564198108</v>
      </c>
      <c r="W182">
        <v>25579.889805286883</v>
      </c>
      <c r="X182">
        <v>25579.889805286883</v>
      </c>
      <c r="Y182">
        <v>25579.889805286883</v>
      </c>
      <c r="Z182">
        <v>25579.889805286883</v>
      </c>
      <c r="AA182">
        <v>25579.889805286883</v>
      </c>
    </row>
    <row r="183" spans="1:27" x14ac:dyDescent="0.2">
      <c r="A183" t="s">
        <v>535</v>
      </c>
      <c r="B183" t="s">
        <v>536</v>
      </c>
      <c r="C183">
        <v>12822.955602376174</v>
      </c>
      <c r="D183">
        <v>13994.123864551359</v>
      </c>
      <c r="E183">
        <v>14553.888819133414</v>
      </c>
      <c r="F183">
        <v>15420.829668373741</v>
      </c>
      <c r="G183">
        <v>18880.866601178746</v>
      </c>
      <c r="H183">
        <v>19636.101265225894</v>
      </c>
      <c r="I183">
        <v>20690.853682619017</v>
      </c>
      <c r="J183">
        <v>24537.552930217204</v>
      </c>
      <c r="K183">
        <v>25519.055047425889</v>
      </c>
      <c r="L183">
        <v>30743.920002459516</v>
      </c>
      <c r="M183">
        <v>33446.480270611079</v>
      </c>
      <c r="N183">
        <v>35848.732041765645</v>
      </c>
      <c r="O183">
        <v>35848.732041765645</v>
      </c>
      <c r="P183">
        <v>35848.732041765645</v>
      </c>
      <c r="Q183">
        <v>37950.891520744655</v>
      </c>
      <c r="R183">
        <v>37950.891520744655</v>
      </c>
      <c r="S183">
        <v>40292.605941892638</v>
      </c>
      <c r="T183">
        <v>40292.605941892638</v>
      </c>
      <c r="U183">
        <v>42454.65415641389</v>
      </c>
      <c r="V183">
        <v>42454.65415641389</v>
      </c>
      <c r="W183">
        <v>44316.177669116689</v>
      </c>
      <c r="X183">
        <v>44316.177669116689</v>
      </c>
      <c r="Y183">
        <v>44316.177669116689</v>
      </c>
      <c r="Z183">
        <v>44316.177669116689</v>
      </c>
      <c r="AA183">
        <v>44316.177669116689</v>
      </c>
    </row>
    <row r="184" spans="1:27" x14ac:dyDescent="0.2">
      <c r="A184" t="s">
        <v>402</v>
      </c>
      <c r="B184" t="s">
        <v>403</v>
      </c>
      <c r="C184">
        <v>63415.69478109818</v>
      </c>
      <c r="D184">
        <v>69207.686218520612</v>
      </c>
      <c r="E184">
        <v>71975.993667261428</v>
      </c>
      <c r="F184">
        <v>76263.433941834563</v>
      </c>
      <c r="G184">
        <v>93374.983951524147</v>
      </c>
      <c r="H184">
        <v>97109.983309585121</v>
      </c>
      <c r="I184">
        <v>102326.24229426357</v>
      </c>
      <c r="J184">
        <v>121350.0237815178</v>
      </c>
      <c r="K184">
        <v>126204.02473277849</v>
      </c>
      <c r="L184">
        <v>152043.49977544881</v>
      </c>
      <c r="M184">
        <v>165408.96265366886</v>
      </c>
      <c r="N184">
        <v>177289.25529686108</v>
      </c>
      <c r="O184">
        <v>177289.25529686108</v>
      </c>
      <c r="P184">
        <v>177289.25529686108</v>
      </c>
      <c r="Q184">
        <v>187685.44694205577</v>
      </c>
      <c r="R184">
        <v>187685.44694205577</v>
      </c>
      <c r="S184">
        <v>199266.35321677595</v>
      </c>
      <c r="T184">
        <v>199266.35321677595</v>
      </c>
      <c r="U184">
        <v>209958.72351935197</v>
      </c>
      <c r="V184">
        <v>209958.72351935197</v>
      </c>
      <c r="W184">
        <v>219164.85434986994</v>
      </c>
      <c r="X184">
        <v>219164.85434986994</v>
      </c>
      <c r="Y184">
        <v>219164.85434986994</v>
      </c>
      <c r="Z184">
        <v>219164.85434986994</v>
      </c>
      <c r="AA184">
        <v>219164.85434986994</v>
      </c>
    </row>
    <row r="185" spans="1:27" x14ac:dyDescent="0.2">
      <c r="A185" t="s">
        <v>613</v>
      </c>
      <c r="B185" t="s">
        <v>614</v>
      </c>
      <c r="C185">
        <v>6817.937147328842</v>
      </c>
      <c r="D185">
        <v>7440.6447233401868</v>
      </c>
      <c r="E185">
        <v>7738.2705122737943</v>
      </c>
      <c r="F185">
        <v>8199.2210453534808</v>
      </c>
      <c r="G185">
        <v>10038.915033760455</v>
      </c>
      <c r="H185">
        <v>10440.471635110875</v>
      </c>
      <c r="I185">
        <v>11001.281163800724</v>
      </c>
      <c r="J185">
        <v>13046.56265022665</v>
      </c>
      <c r="K185">
        <v>13568.425156235713</v>
      </c>
      <c r="L185">
        <v>16346.474302728842</v>
      </c>
      <c r="M185">
        <v>17783.419623019206</v>
      </c>
      <c r="N185">
        <v>19060.691579318904</v>
      </c>
      <c r="O185">
        <v>19060.691579318904</v>
      </c>
      <c r="P185">
        <v>19060.691579318904</v>
      </c>
      <c r="Q185">
        <v>20178.405127253565</v>
      </c>
      <c r="R185">
        <v>20178.405127253565</v>
      </c>
      <c r="S185">
        <v>21423.489508378763</v>
      </c>
      <c r="T185">
        <v>21423.489508378763</v>
      </c>
      <c r="U185">
        <v>22573.045764611055</v>
      </c>
      <c r="V185">
        <v>22573.045764611055</v>
      </c>
      <c r="W185">
        <v>23562.81370122706</v>
      </c>
      <c r="X185">
        <v>23562.81370122706</v>
      </c>
      <c r="Y185">
        <v>23562.81370122706</v>
      </c>
      <c r="Z185">
        <v>23562.81370122706</v>
      </c>
      <c r="AA185">
        <v>23562.81370122706</v>
      </c>
    </row>
    <row r="186" spans="1:27" x14ac:dyDescent="0.2">
      <c r="A186" t="s">
        <v>388</v>
      </c>
      <c r="B186" t="s">
        <v>389</v>
      </c>
      <c r="C186">
        <v>72164.218956108583</v>
      </c>
      <c r="D186">
        <v>78755.24566842083</v>
      </c>
      <c r="E186">
        <v>81905.455495157657</v>
      </c>
      <c r="F186">
        <v>86784.370404211892</v>
      </c>
      <c r="G186">
        <v>106256.54753386627</v>
      </c>
      <c r="H186">
        <v>110506.80943522092</v>
      </c>
      <c r="I186">
        <v>116442.67841531294</v>
      </c>
      <c r="J186">
        <v>138090.8892779111</v>
      </c>
      <c r="K186">
        <v>143614.52484902754</v>
      </c>
      <c r="L186">
        <v>173018.68956135606</v>
      </c>
      <c r="M186">
        <v>188227.98740036826</v>
      </c>
      <c r="N186">
        <v>201747.22806350939</v>
      </c>
      <c r="O186">
        <v>201747.22806350939</v>
      </c>
      <c r="P186">
        <v>201747.22806350939</v>
      </c>
      <c r="Q186">
        <v>213577.62829460663</v>
      </c>
      <c r="R186">
        <v>213577.62829460663</v>
      </c>
      <c r="S186">
        <v>226756.180686154</v>
      </c>
      <c r="T186">
        <v>226756.180686154</v>
      </c>
      <c r="U186">
        <v>238923.61895736371</v>
      </c>
      <c r="V186">
        <v>238923.61895736371</v>
      </c>
      <c r="W186">
        <v>249399.78330887531</v>
      </c>
      <c r="X186">
        <v>249399.78330887531</v>
      </c>
      <c r="Y186">
        <v>249399.78330887531</v>
      </c>
      <c r="Z186">
        <v>249399.78330887531</v>
      </c>
      <c r="AA186">
        <v>249399.78330887531</v>
      </c>
    </row>
    <row r="187" spans="1:27" x14ac:dyDescent="0.2">
      <c r="A187" t="s">
        <v>428</v>
      </c>
      <c r="B187" t="s">
        <v>429</v>
      </c>
      <c r="C187">
        <v>36151.723160285183</v>
      </c>
      <c r="D187">
        <v>39453.59459314141</v>
      </c>
      <c r="E187">
        <v>41031.73837686707</v>
      </c>
      <c r="F187">
        <v>43475.902308330034</v>
      </c>
      <c r="G187">
        <v>53230.774835218421</v>
      </c>
      <c r="H187">
        <v>55360.00582862716</v>
      </c>
      <c r="I187">
        <v>58333.666393214291</v>
      </c>
      <c r="J187">
        <v>69178.654911639591</v>
      </c>
      <c r="K187">
        <v>71945.801108105166</v>
      </c>
      <c r="L187">
        <v>86676.248382620368</v>
      </c>
      <c r="M187">
        <v>94295.56905000977</v>
      </c>
      <c r="N187">
        <v>101068.23080483885</v>
      </c>
      <c r="O187">
        <v>101068.23080483885</v>
      </c>
      <c r="P187">
        <v>101068.23080483885</v>
      </c>
      <c r="Q187">
        <v>106994.84319276104</v>
      </c>
      <c r="R187">
        <v>106994.84319276104</v>
      </c>
      <c r="S187">
        <v>113596.83216464064</v>
      </c>
      <c r="T187">
        <v>113596.83216464064</v>
      </c>
      <c r="U187">
        <v>119692.28869855215</v>
      </c>
      <c r="V187">
        <v>119692.28869855215</v>
      </c>
      <c r="W187">
        <v>124940.47677424997</v>
      </c>
      <c r="X187">
        <v>124940.47677424997</v>
      </c>
      <c r="Y187">
        <v>124940.47677424997</v>
      </c>
      <c r="Z187">
        <v>124940.47677424997</v>
      </c>
      <c r="AA187">
        <v>124940.47677424997</v>
      </c>
    </row>
    <row r="188" spans="1:27" x14ac:dyDescent="0.2">
      <c r="A188" t="s">
        <v>479</v>
      </c>
      <c r="B188" t="s">
        <v>480</v>
      </c>
      <c r="C188">
        <v>22494.171076512914</v>
      </c>
      <c r="D188">
        <v>24548.647444181934</v>
      </c>
      <c r="E188">
        <v>25530.59334194921</v>
      </c>
      <c r="F188">
        <v>27051.390604353805</v>
      </c>
      <c r="G188">
        <v>33121.025804770958</v>
      </c>
      <c r="H188">
        <v>34445.866836961795</v>
      </c>
      <c r="I188">
        <v>36296.125237280197</v>
      </c>
      <c r="J188">
        <v>43044.047762983464</v>
      </c>
      <c r="K188">
        <v>44765.809673502801</v>
      </c>
      <c r="L188">
        <v>53931.325783409979</v>
      </c>
      <c r="M188">
        <v>58672.187009282337</v>
      </c>
      <c r="N188">
        <v>62886.243735735756</v>
      </c>
      <c r="O188">
        <v>62886.243735735756</v>
      </c>
      <c r="P188">
        <v>62886.243735735756</v>
      </c>
      <c r="Q188">
        <v>66573.875231668309</v>
      </c>
      <c r="R188">
        <v>66573.875231668309</v>
      </c>
      <c r="S188">
        <v>70681.736666662211</v>
      </c>
      <c r="T188">
        <v>70681.736666662211</v>
      </c>
      <c r="U188">
        <v>74474.425647360098</v>
      </c>
      <c r="V188">
        <v>74474.425647360098</v>
      </c>
      <c r="W188">
        <v>77739.930859740984</v>
      </c>
      <c r="X188">
        <v>77739.930859740984</v>
      </c>
      <c r="Y188">
        <v>77739.930859740984</v>
      </c>
      <c r="Z188">
        <v>77739.930859740984</v>
      </c>
      <c r="AA188">
        <v>77739.930859740984</v>
      </c>
    </row>
    <row r="189" spans="1:27" x14ac:dyDescent="0.2">
      <c r="A189" t="s">
        <v>484</v>
      </c>
      <c r="B189" t="s">
        <v>485</v>
      </c>
      <c r="C189">
        <v>21010.372543679285</v>
      </c>
      <c r="D189">
        <v>22929.328068650015</v>
      </c>
      <c r="E189">
        <v>23846.501191396012</v>
      </c>
      <c r="F189">
        <v>25266.981054283293</v>
      </c>
      <c r="G189">
        <v>30936.240718541307</v>
      </c>
      <c r="H189">
        <v>32173.690347282958</v>
      </c>
      <c r="I189">
        <v>33901.898875640436</v>
      </c>
      <c r="J189">
        <v>40204.703530173603</v>
      </c>
      <c r="K189">
        <v>41812.891671380545</v>
      </c>
      <c r="L189">
        <v>50373.816515831255</v>
      </c>
      <c r="M189">
        <v>54801.953040384782</v>
      </c>
      <c r="N189">
        <v>58738.035034329914</v>
      </c>
      <c r="O189">
        <v>58738.035034329914</v>
      </c>
      <c r="P189">
        <v>58738.035034329914</v>
      </c>
      <c r="Q189">
        <v>62182.416748588628</v>
      </c>
      <c r="R189">
        <v>62182.416748588628</v>
      </c>
      <c r="S189">
        <v>66019.308484383786</v>
      </c>
      <c r="T189">
        <v>66019.308484383786</v>
      </c>
      <c r="U189">
        <v>69561.817704026602</v>
      </c>
      <c r="V189">
        <v>69561.817704026602</v>
      </c>
      <c r="W189">
        <v>72611.918142139068</v>
      </c>
      <c r="X189">
        <v>72611.918142139068</v>
      </c>
      <c r="Y189">
        <v>72611.918142139068</v>
      </c>
      <c r="Z189">
        <v>72611.918142139068</v>
      </c>
      <c r="AA189">
        <v>72611.918142139068</v>
      </c>
    </row>
    <row r="190" spans="1:27" x14ac:dyDescent="0.2">
      <c r="A190" t="s">
        <v>496</v>
      </c>
      <c r="B190" t="s">
        <v>497</v>
      </c>
      <c r="C190">
        <v>19854.887626477994</v>
      </c>
      <c r="D190">
        <v>21668.308413248618</v>
      </c>
      <c r="E190">
        <v>22535.040749778564</v>
      </c>
      <c r="F190">
        <v>23877.400005649371</v>
      </c>
      <c r="G190">
        <v>29234.873478580736</v>
      </c>
      <c r="H190">
        <v>30404.268417723964</v>
      </c>
      <c r="I190">
        <v>32037.432515805667</v>
      </c>
      <c r="J190">
        <v>37993.608584899019</v>
      </c>
      <c r="K190">
        <v>39513.352928294975</v>
      </c>
      <c r="L190">
        <v>47603.461773910261</v>
      </c>
      <c r="M190">
        <v>51788.068824876755</v>
      </c>
      <c r="N190">
        <v>55507.682340339845</v>
      </c>
      <c r="O190">
        <v>55507.682340339845</v>
      </c>
      <c r="P190">
        <v>55507.682340339845</v>
      </c>
      <c r="Q190">
        <v>58762.637088863616</v>
      </c>
      <c r="R190">
        <v>58762.637088863616</v>
      </c>
      <c r="S190">
        <v>62388.515406385079</v>
      </c>
      <c r="T190">
        <v>62388.515406385079</v>
      </c>
      <c r="U190">
        <v>65736.201047158262</v>
      </c>
      <c r="V190">
        <v>65736.201047158262</v>
      </c>
      <c r="W190">
        <v>68618.558383863987</v>
      </c>
      <c r="X190">
        <v>68618.558383863987</v>
      </c>
      <c r="Y190">
        <v>68618.558383863987</v>
      </c>
      <c r="Z190">
        <v>68618.558383863987</v>
      </c>
      <c r="AA190">
        <v>68618.558383863987</v>
      </c>
    </row>
    <row r="191" spans="1:27" x14ac:dyDescent="0.2">
      <c r="A191" t="s">
        <v>515</v>
      </c>
      <c r="B191" t="s">
        <v>516</v>
      </c>
      <c r="C191">
        <v>14830.214320203477</v>
      </c>
      <c r="D191">
        <v>16184.71299208999</v>
      </c>
      <c r="E191">
        <v>16832.101511773588</v>
      </c>
      <c r="F191">
        <v>17834.750120709799</v>
      </c>
      <c r="G191">
        <v>21836.408619769802</v>
      </c>
      <c r="H191">
        <v>22709.864964560595</v>
      </c>
      <c r="I191">
        <v>23929.724479772056</v>
      </c>
      <c r="J191">
        <v>28378.572002622041</v>
      </c>
      <c r="K191">
        <v>29513.714882726919</v>
      </c>
      <c r="L191">
        <v>35556.461148097311</v>
      </c>
      <c r="M191">
        <v>38682.070347159606</v>
      </c>
      <c r="N191">
        <v>41460.361852022092</v>
      </c>
      <c r="O191">
        <v>41460.361852022092</v>
      </c>
      <c r="P191">
        <v>41460.361852022092</v>
      </c>
      <c r="Q191">
        <v>43891.585711420703</v>
      </c>
      <c r="R191">
        <v>43891.585711420703</v>
      </c>
      <c r="S191">
        <v>46599.86357022421</v>
      </c>
      <c r="T191">
        <v>46599.86357022421</v>
      </c>
      <c r="U191">
        <v>49100.350929474036</v>
      </c>
      <c r="V191">
        <v>49100.350929474036</v>
      </c>
      <c r="W191">
        <v>51253.270545788146</v>
      </c>
      <c r="X191">
        <v>51253.270545788146</v>
      </c>
      <c r="Y191">
        <v>51253.270545788146</v>
      </c>
      <c r="Z191">
        <v>51253.270545788146</v>
      </c>
      <c r="AA191">
        <v>51253.270545788146</v>
      </c>
    </row>
    <row r="192" spans="1:27" x14ac:dyDescent="0.2">
      <c r="A192" t="s">
        <v>511</v>
      </c>
      <c r="B192" t="s">
        <v>512</v>
      </c>
      <c r="C192">
        <v>15062.589643770842</v>
      </c>
      <c r="D192">
        <v>16438.312018859164</v>
      </c>
      <c r="E192">
        <v>17095.844499613529</v>
      </c>
      <c r="F192">
        <v>18114.203656617043</v>
      </c>
      <c r="G192">
        <v>22178.564330335324</v>
      </c>
      <c r="H192">
        <v>23065.70690354874</v>
      </c>
      <c r="I192">
        <v>24304.680454702881</v>
      </c>
      <c r="J192">
        <v>28823.237177993466</v>
      </c>
      <c r="K192">
        <v>29976.1666651132</v>
      </c>
      <c r="L192">
        <v>36113.59700505816</v>
      </c>
      <c r="M192">
        <v>39288.181521219391</v>
      </c>
      <c r="N192">
        <v>42110.006205944788</v>
      </c>
      <c r="O192">
        <v>42110.006205944788</v>
      </c>
      <c r="P192">
        <v>42110.006205944788</v>
      </c>
      <c r="Q192">
        <v>44579.32502599564</v>
      </c>
      <c r="R192">
        <v>44579.32502599564</v>
      </c>
      <c r="S192">
        <v>47330.039017559036</v>
      </c>
      <c r="T192">
        <v>47330.039017559036</v>
      </c>
      <c r="U192">
        <v>49869.706630488021</v>
      </c>
      <c r="V192">
        <v>49869.706630488021</v>
      </c>
      <c r="W192">
        <v>52056.360445219878</v>
      </c>
      <c r="X192">
        <v>52056.360445219878</v>
      </c>
      <c r="Y192">
        <v>52056.360445219878</v>
      </c>
      <c r="Z192">
        <v>52056.360445219878</v>
      </c>
      <c r="AA192">
        <v>52056.360445219878</v>
      </c>
    </row>
    <row r="193" spans="1:27" x14ac:dyDescent="0.2">
      <c r="A193" t="s">
        <v>530</v>
      </c>
      <c r="B193" t="s">
        <v>119</v>
      </c>
      <c r="C193">
        <v>13429.812256034405</v>
      </c>
      <c r="D193">
        <v>14656.406995107214</v>
      </c>
      <c r="E193">
        <v>15242.663274911502</v>
      </c>
      <c r="F193">
        <v>16150.632794842393</v>
      </c>
      <c r="G193">
        <v>19774.418749299381</v>
      </c>
      <c r="H193">
        <v>20565.395499271359</v>
      </c>
      <c r="I193">
        <v>21670.06492038073</v>
      </c>
      <c r="J193">
        <v>25698.812293653973</v>
      </c>
      <c r="K193">
        <v>26726.76478540013</v>
      </c>
      <c r="L193">
        <v>32198.900663046974</v>
      </c>
      <c r="M193">
        <v>35029.361762449662</v>
      </c>
      <c r="N193">
        <v>37545.302024486722</v>
      </c>
      <c r="O193">
        <v>37545.302024486722</v>
      </c>
      <c r="P193">
        <v>37545.302024486722</v>
      </c>
      <c r="Q193">
        <v>39746.947886046109</v>
      </c>
      <c r="R193">
        <v>39746.947886046109</v>
      </c>
      <c r="S193">
        <v>42199.485819456568</v>
      </c>
      <c r="T193">
        <v>42199.485819456568</v>
      </c>
      <c r="U193">
        <v>44463.854698978714</v>
      </c>
      <c r="V193">
        <v>44463.854698978714</v>
      </c>
      <c r="W193">
        <v>46413.476304247284</v>
      </c>
      <c r="X193">
        <v>46413.476304247284</v>
      </c>
      <c r="Y193">
        <v>46413.476304247284</v>
      </c>
      <c r="Z193">
        <v>46413.476304247284</v>
      </c>
      <c r="AA193">
        <v>46413.476304247284</v>
      </c>
    </row>
    <row r="194" spans="1:27" x14ac:dyDescent="0.2">
      <c r="A194" t="s">
        <v>952</v>
      </c>
      <c r="B194" t="s">
        <v>953</v>
      </c>
      <c r="C194">
        <v>1.2653099373626259E-3</v>
      </c>
      <c r="D194">
        <v>1.3808754034225236E-3</v>
      </c>
      <c r="E194">
        <v>1.4361104195594245E-3</v>
      </c>
      <c r="F194">
        <v>1.521656131925933E-3</v>
      </c>
      <c r="G194">
        <v>1.8630765696531445E-3</v>
      </c>
      <c r="H194">
        <v>1.9375996324392704E-3</v>
      </c>
      <c r="I194">
        <v>2.0416777214983528E-3</v>
      </c>
      <c r="J194">
        <v>2.4212522076744875E-3</v>
      </c>
      <c r="K194">
        <v>2.5181022959814667E-3</v>
      </c>
      <c r="L194">
        <v>3.0336677985054483E-3</v>
      </c>
      <c r="M194">
        <v>3.3003439431986354E-3</v>
      </c>
      <c r="N194">
        <v>3.5373870346935149E-3</v>
      </c>
      <c r="O194">
        <v>3.5373870346935149E-3</v>
      </c>
      <c r="P194">
        <v>3.5373870346935149E-3</v>
      </c>
      <c r="Q194">
        <v>3.7448184070816635E-3</v>
      </c>
      <c r="R194">
        <v>3.7448184070816635E-3</v>
      </c>
      <c r="S194">
        <v>3.9758879529354172E-3</v>
      </c>
      <c r="T194">
        <v>3.9758879529354172E-3</v>
      </c>
      <c r="U194">
        <v>4.189228868689966E-3</v>
      </c>
      <c r="V194">
        <v>4.189228868689966E-3</v>
      </c>
      <c r="W194">
        <v>4.3729153971546336E-3</v>
      </c>
      <c r="X194">
        <v>4.3729153971546336E-3</v>
      </c>
      <c r="Y194">
        <v>4.3729153971546336E-3</v>
      </c>
      <c r="Z194">
        <v>4.3729153971546336E-3</v>
      </c>
      <c r="AA194">
        <v>4.3729153971546336E-3</v>
      </c>
    </row>
    <row r="195" spans="1:27" x14ac:dyDescent="0.2">
      <c r="A195" t="s">
        <v>738</v>
      </c>
      <c r="B195" t="s">
        <v>739</v>
      </c>
      <c r="C195">
        <v>2489.3463627770734</v>
      </c>
      <c r="D195">
        <v>2716.7076314307283</v>
      </c>
      <c r="E195">
        <v>2825.3759366879576</v>
      </c>
      <c r="F195">
        <v>2993.6769210101183</v>
      </c>
      <c r="G195">
        <v>3665.3809041508221</v>
      </c>
      <c r="H195">
        <v>3811.996140316855</v>
      </c>
      <c r="I195">
        <v>4016.7573650520744</v>
      </c>
      <c r="J195">
        <v>4763.524887114726</v>
      </c>
      <c r="K195">
        <v>4954.065882599315</v>
      </c>
      <c r="L195">
        <v>5968.3795069406615</v>
      </c>
      <c r="M195">
        <v>6493.0330097931756</v>
      </c>
      <c r="N195">
        <v>6959.3870154087181</v>
      </c>
      <c r="O195">
        <v>6959.3870154087181</v>
      </c>
      <c r="P195">
        <v>6959.3870154087181</v>
      </c>
      <c r="Q195">
        <v>7367.483496067518</v>
      </c>
      <c r="R195">
        <v>7367.483496067518</v>
      </c>
      <c r="S195">
        <v>7822.0852632191672</v>
      </c>
      <c r="T195">
        <v>7822.0852632191672</v>
      </c>
      <c r="U195">
        <v>8241.8080655011781</v>
      </c>
      <c r="V195">
        <v>8241.8080655011781</v>
      </c>
      <c r="W195">
        <v>8603.1893982659894</v>
      </c>
      <c r="X195">
        <v>8603.1893982659894</v>
      </c>
      <c r="Y195">
        <v>8603.1893982659894</v>
      </c>
      <c r="Z195">
        <v>8603.1893982659894</v>
      </c>
      <c r="AA195">
        <v>8603.1893982659894</v>
      </c>
    </row>
    <row r="196" spans="1:27" x14ac:dyDescent="0.2">
      <c r="A196" t="s">
        <v>763</v>
      </c>
      <c r="B196" t="s">
        <v>764</v>
      </c>
      <c r="C196">
        <v>2068.5254183397551</v>
      </c>
      <c r="D196">
        <v>2257.4515438433987</v>
      </c>
      <c r="E196">
        <v>2347.7496055971342</v>
      </c>
      <c r="F196">
        <v>2487.5995152792957</v>
      </c>
      <c r="G196">
        <v>3045.7527652659996</v>
      </c>
      <c r="H196">
        <v>3167.5828758766397</v>
      </c>
      <c r="I196">
        <v>3337.7294671218492</v>
      </c>
      <c r="J196">
        <v>3958.2568569921518</v>
      </c>
      <c r="K196">
        <v>4116.5871312718373</v>
      </c>
      <c r="L196">
        <v>4959.4322835140329</v>
      </c>
      <c r="M196">
        <v>5395.3937562520887</v>
      </c>
      <c r="N196">
        <v>5782.9111901394908</v>
      </c>
      <c r="O196">
        <v>5782.9111901394908</v>
      </c>
      <c r="P196">
        <v>5782.9111901394908</v>
      </c>
      <c r="Q196">
        <v>6122.0194620940611</v>
      </c>
      <c r="R196">
        <v>6122.0194620940611</v>
      </c>
      <c r="S196">
        <v>6499.7713589921332</v>
      </c>
      <c r="T196">
        <v>6499.7713589921332</v>
      </c>
      <c r="U196">
        <v>6848.5405371825773</v>
      </c>
      <c r="V196">
        <v>6848.5405371825773</v>
      </c>
      <c r="W196">
        <v>7148.8307996045496</v>
      </c>
      <c r="X196">
        <v>7148.8307996045496</v>
      </c>
      <c r="Y196">
        <v>7148.8307996045496</v>
      </c>
      <c r="Z196">
        <v>7148.8307996045496</v>
      </c>
      <c r="AA196">
        <v>7148.8307996045496</v>
      </c>
    </row>
    <row r="197" spans="1:27" x14ac:dyDescent="0.2">
      <c r="A197" t="s">
        <v>795</v>
      </c>
      <c r="B197" t="s">
        <v>796</v>
      </c>
      <c r="C197">
        <v>1457.1084843818428</v>
      </c>
      <c r="D197">
        <v>1590.1916256147401</v>
      </c>
      <c r="E197">
        <v>1653.7992906393297</v>
      </c>
      <c r="F197">
        <v>1752.3122159005852</v>
      </c>
      <c r="G197">
        <v>2145.4859371080775</v>
      </c>
      <c r="H197">
        <v>2231.3053745924003</v>
      </c>
      <c r="I197">
        <v>2351.1598561926471</v>
      </c>
      <c r="J197">
        <v>2788.2711029555944</v>
      </c>
      <c r="K197">
        <v>2899.8019470738177</v>
      </c>
      <c r="L197">
        <v>3493.5180365468314</v>
      </c>
      <c r="M197">
        <v>3800.617555439901</v>
      </c>
      <c r="N197">
        <v>4073.5921757935726</v>
      </c>
      <c r="O197">
        <v>4073.5921757935726</v>
      </c>
      <c r="P197">
        <v>4073.5921757935726</v>
      </c>
      <c r="Q197">
        <v>4312.4664655693578</v>
      </c>
      <c r="R197">
        <v>4312.4664655693578</v>
      </c>
      <c r="S197">
        <v>4578.5620566998259</v>
      </c>
      <c r="T197">
        <v>4578.5620566998259</v>
      </c>
      <c r="U197">
        <v>4824.2416718142813</v>
      </c>
      <c r="V197">
        <v>4824.2416718142813</v>
      </c>
      <c r="W197">
        <v>5035.7718204278281</v>
      </c>
      <c r="X197">
        <v>5035.7718204278281</v>
      </c>
      <c r="Y197">
        <v>5035.7718204278281</v>
      </c>
      <c r="Z197">
        <v>5035.7718204278281</v>
      </c>
      <c r="AA197">
        <v>5035.7718204278281</v>
      </c>
    </row>
    <row r="198" spans="1:27" x14ac:dyDescent="0.2">
      <c r="A198" t="s">
        <v>488</v>
      </c>
      <c r="B198" t="s">
        <v>489</v>
      </c>
      <c r="C198">
        <v>20942.841630953026</v>
      </c>
      <c r="D198">
        <v>22855.629306314568</v>
      </c>
      <c r="E198">
        <v>23769.854478567147</v>
      </c>
      <c r="F198">
        <v>25185.768677449632</v>
      </c>
      <c r="G198">
        <v>30836.806376399149</v>
      </c>
      <c r="H198">
        <v>32070.278631455116</v>
      </c>
      <c r="I198">
        <v>33792.932403510262</v>
      </c>
      <c r="J198">
        <v>40075.478771324757</v>
      </c>
      <c r="K198">
        <v>41678.497922177747</v>
      </c>
      <c r="L198">
        <v>50211.906497351229</v>
      </c>
      <c r="M198">
        <v>54625.810237571306</v>
      </c>
      <c r="N198">
        <v>58549.24099417813</v>
      </c>
      <c r="O198">
        <v>58549.24099417813</v>
      </c>
      <c r="P198">
        <v>58549.24099417813</v>
      </c>
      <c r="Q198">
        <v>61982.551879470913</v>
      </c>
      <c r="R198">
        <v>61982.551879470913</v>
      </c>
      <c r="S198">
        <v>65807.111192296827</v>
      </c>
      <c r="T198">
        <v>65807.111192296827</v>
      </c>
      <c r="U198">
        <v>69338.23418447288</v>
      </c>
      <c r="V198">
        <v>69338.23418447288</v>
      </c>
      <c r="W198">
        <v>72378.531080736473</v>
      </c>
      <c r="X198">
        <v>72378.531080736473</v>
      </c>
      <c r="Y198">
        <v>72378.531080736473</v>
      </c>
      <c r="Z198">
        <v>72378.531080736473</v>
      </c>
      <c r="AA198">
        <v>72378.531080736473</v>
      </c>
    </row>
    <row r="199" spans="1:27" x14ac:dyDescent="0.2">
      <c r="A199" t="s">
        <v>649</v>
      </c>
      <c r="B199" t="s">
        <v>650</v>
      </c>
      <c r="C199">
        <v>4759.4396997502599</v>
      </c>
      <c r="D199">
        <v>5194.1370421516622</v>
      </c>
      <c r="E199">
        <v>5401.902523837728</v>
      </c>
      <c r="F199">
        <v>5723.6811233397821</v>
      </c>
      <c r="G199">
        <v>7007.9277238304412</v>
      </c>
      <c r="H199">
        <v>7288.2448327836591</v>
      </c>
      <c r="I199">
        <v>7679.7326211230447</v>
      </c>
      <c r="J199">
        <v>9107.4949623281918</v>
      </c>
      <c r="K199">
        <v>9471.7947608213181</v>
      </c>
      <c r="L199">
        <v>11411.084770389221</v>
      </c>
      <c r="M199">
        <v>12414.182108480663</v>
      </c>
      <c r="N199">
        <v>13305.815270363382</v>
      </c>
      <c r="O199">
        <v>13305.815270363382</v>
      </c>
      <c r="P199">
        <v>13305.815270363382</v>
      </c>
      <c r="Q199">
        <v>14086.064503824429</v>
      </c>
      <c r="R199">
        <v>14086.064503824429</v>
      </c>
      <c r="S199">
        <v>14955.228285333906</v>
      </c>
      <c r="T199">
        <v>14955.228285333906</v>
      </c>
      <c r="U199">
        <v>15757.706155807056</v>
      </c>
      <c r="V199">
        <v>15757.706155807056</v>
      </c>
      <c r="W199">
        <v>16448.639602284442</v>
      </c>
      <c r="X199">
        <v>16448.639602284442</v>
      </c>
      <c r="Y199">
        <v>16448.639602284442</v>
      </c>
      <c r="Z199">
        <v>16448.639602284442</v>
      </c>
      <c r="AA199">
        <v>16448.639602284442</v>
      </c>
    </row>
    <row r="200" spans="1:27" x14ac:dyDescent="0.2">
      <c r="A200" t="s">
        <v>916</v>
      </c>
      <c r="B200" t="s">
        <v>917</v>
      </c>
      <c r="C200">
        <v>109.20146423056104</v>
      </c>
      <c r="D200">
        <v>119.1752404063276</v>
      </c>
      <c r="E200">
        <v>123.94225002258071</v>
      </c>
      <c r="F200">
        <v>131.32519768877918</v>
      </c>
      <c r="G200">
        <v>160.79118907723173</v>
      </c>
      <c r="H200">
        <v>167.22283664032102</v>
      </c>
      <c r="I200">
        <v>176.20520482061082</v>
      </c>
      <c r="J200">
        <v>208.96404789220961</v>
      </c>
      <c r="K200">
        <v>217.32260980789795</v>
      </c>
      <c r="L200">
        <v>261.81803825583609</v>
      </c>
      <c r="M200">
        <v>284.83328899871481</v>
      </c>
      <c r="N200">
        <v>305.29108507904476</v>
      </c>
      <c r="O200">
        <v>305.29108507904476</v>
      </c>
      <c r="P200">
        <v>305.29108507904476</v>
      </c>
      <c r="Q200">
        <v>323.19326771688554</v>
      </c>
      <c r="R200">
        <v>323.19326771688554</v>
      </c>
      <c r="S200">
        <v>343.13552218057515</v>
      </c>
      <c r="T200">
        <v>343.13552218057515</v>
      </c>
      <c r="U200">
        <v>361.54772277487808</v>
      </c>
      <c r="V200">
        <v>361.54772277487808</v>
      </c>
      <c r="W200">
        <v>377.40062748657294</v>
      </c>
      <c r="X200">
        <v>377.40062748657294</v>
      </c>
      <c r="Y200">
        <v>377.40062748657294</v>
      </c>
      <c r="Z200">
        <v>377.40062748657294</v>
      </c>
      <c r="AA200">
        <v>377.40062748657294</v>
      </c>
    </row>
    <row r="201" spans="1:27" x14ac:dyDescent="0.2">
      <c r="A201" t="s">
        <v>926</v>
      </c>
      <c r="B201" t="s">
        <v>927</v>
      </c>
      <c r="C201">
        <v>68.197819471643086</v>
      </c>
      <c r="D201">
        <v>74.426580156109665</v>
      </c>
      <c r="E201">
        <v>77.40364336235406</v>
      </c>
      <c r="F201">
        <v>82.014395934727375</v>
      </c>
      <c r="G201">
        <v>100.4163136692727</v>
      </c>
      <c r="H201">
        <v>104.4329662160436</v>
      </c>
      <c r="I201">
        <v>110.04257894334071</v>
      </c>
      <c r="J201">
        <v>130.50092793745202</v>
      </c>
      <c r="K201">
        <v>135.72096505495009</v>
      </c>
      <c r="L201">
        <v>163.50897337504975</v>
      </c>
      <c r="M201">
        <v>177.8823146696638</v>
      </c>
      <c r="N201">
        <v>190.65849027962028</v>
      </c>
      <c r="O201">
        <v>190.65849027962028</v>
      </c>
      <c r="P201">
        <v>190.65849027962028</v>
      </c>
      <c r="Q201">
        <v>201.83865007222289</v>
      </c>
      <c r="R201">
        <v>201.83865007222289</v>
      </c>
      <c r="S201">
        <v>214.29286283718011</v>
      </c>
      <c r="T201">
        <v>214.29286283718011</v>
      </c>
      <c r="U201">
        <v>225.79153587287132</v>
      </c>
      <c r="V201">
        <v>225.79153587287132</v>
      </c>
      <c r="W201">
        <v>235.69189335660147</v>
      </c>
      <c r="X201">
        <v>235.69189335660147</v>
      </c>
      <c r="Y201">
        <v>235.69189335660147</v>
      </c>
      <c r="Z201">
        <v>235.69189335660147</v>
      </c>
      <c r="AA201">
        <v>235.69189335660147</v>
      </c>
    </row>
    <row r="202" spans="1:27" x14ac:dyDescent="0.2">
      <c r="A202" t="s">
        <v>904</v>
      </c>
      <c r="B202" t="s">
        <v>905</v>
      </c>
      <c r="C202">
        <v>204.16037617371421</v>
      </c>
      <c r="D202">
        <v>222.80710321409273</v>
      </c>
      <c r="E202">
        <v>231.71938734265643</v>
      </c>
      <c r="F202">
        <v>245.52236501720023</v>
      </c>
      <c r="G202">
        <v>300.61125900397445</v>
      </c>
      <c r="H202">
        <v>312.63570936413345</v>
      </c>
      <c r="I202">
        <v>329.42892435937296</v>
      </c>
      <c r="J202">
        <v>390.67405299970454</v>
      </c>
      <c r="K202">
        <v>406.30101511969269</v>
      </c>
      <c r="L202">
        <v>489.48857559747</v>
      </c>
      <c r="M202">
        <v>532.51732326588694</v>
      </c>
      <c r="N202">
        <v>570.7647164933893</v>
      </c>
      <c r="O202">
        <v>570.7647164933893</v>
      </c>
      <c r="P202">
        <v>570.7647164933893</v>
      </c>
      <c r="Q202">
        <v>604.23419757979082</v>
      </c>
      <c r="R202">
        <v>604.23419757979082</v>
      </c>
      <c r="S202">
        <v>641.51774685952091</v>
      </c>
      <c r="T202">
        <v>641.51774685952091</v>
      </c>
      <c r="U202">
        <v>675.94074499425437</v>
      </c>
      <c r="V202">
        <v>675.94074499425437</v>
      </c>
      <c r="W202">
        <v>705.57894638825996</v>
      </c>
      <c r="X202">
        <v>705.57894638825996</v>
      </c>
      <c r="Y202">
        <v>705.57894638825996</v>
      </c>
      <c r="Z202">
        <v>705.57894638825996</v>
      </c>
      <c r="AA202">
        <v>705.57894638825996</v>
      </c>
    </row>
    <row r="203" spans="1:27" x14ac:dyDescent="0.2">
      <c r="A203" t="s">
        <v>673</v>
      </c>
      <c r="B203" t="s">
        <v>674</v>
      </c>
      <c r="C203">
        <v>3819.6187400492795</v>
      </c>
      <c r="D203">
        <v>4168.4787361898216</v>
      </c>
      <c r="E203">
        <v>4335.2178856374139</v>
      </c>
      <c r="F203">
        <v>4593.4565957253571</v>
      </c>
      <c r="G203">
        <v>5624.1099271114235</v>
      </c>
      <c r="H203">
        <v>5849.0743241958808</v>
      </c>
      <c r="I203">
        <v>6163.2571245200497</v>
      </c>
      <c r="J203">
        <v>7309.0869151758652</v>
      </c>
      <c r="K203">
        <v>7601.4503917828988</v>
      </c>
      <c r="L203">
        <v>9157.7992332914055</v>
      </c>
      <c r="M203">
        <v>9962.8203350124058</v>
      </c>
      <c r="N203">
        <v>10678.387491910167</v>
      </c>
      <c r="O203">
        <v>10678.387491910167</v>
      </c>
      <c r="P203">
        <v>10678.387491910167</v>
      </c>
      <c r="Q203">
        <v>11304.565105672829</v>
      </c>
      <c r="R203">
        <v>11304.565105672829</v>
      </c>
      <c r="S203">
        <v>12002.099789892043</v>
      </c>
      <c r="T203">
        <v>12002.099789892043</v>
      </c>
      <c r="U203">
        <v>12646.116671268843</v>
      </c>
      <c r="V203">
        <v>12646.116671268843</v>
      </c>
      <c r="W203">
        <v>13200.615206134267</v>
      </c>
      <c r="X203">
        <v>13200.615206134267</v>
      </c>
      <c r="Y203">
        <v>13200.615206134267</v>
      </c>
      <c r="Z203">
        <v>13200.615206134267</v>
      </c>
      <c r="AA203">
        <v>13200.615206134267</v>
      </c>
    </row>
    <row r="204" spans="1:27" x14ac:dyDescent="0.2">
      <c r="A204" t="s">
        <v>385</v>
      </c>
      <c r="B204" t="s">
        <v>386</v>
      </c>
      <c r="C204">
        <v>76650.150326749426</v>
      </c>
      <c r="D204">
        <v>83650.893847768166</v>
      </c>
      <c r="E204">
        <v>86996.929601678887</v>
      </c>
      <c r="F204">
        <v>92179.131621184992</v>
      </c>
      <c r="G204">
        <v>112861.75419740783</v>
      </c>
      <c r="H204">
        <v>117376.22436530415</v>
      </c>
      <c r="I204">
        <v>123681.08370176661</v>
      </c>
      <c r="J204">
        <v>146675.00840470774</v>
      </c>
      <c r="K204">
        <v>152542.00874089604</v>
      </c>
      <c r="L204">
        <v>183774.01925850866</v>
      </c>
      <c r="M204">
        <v>199928.7699450455</v>
      </c>
      <c r="N204">
        <v>214288.40473529435</v>
      </c>
      <c r="O204">
        <v>214288.40473529435</v>
      </c>
      <c r="P204">
        <v>214288.40473529435</v>
      </c>
      <c r="Q204">
        <v>226854.21600931016</v>
      </c>
      <c r="R204">
        <v>226854.21600931016</v>
      </c>
      <c r="S204">
        <v>240851.98438418066</v>
      </c>
      <c r="T204">
        <v>240851.98438418066</v>
      </c>
      <c r="U204">
        <v>253775.78493341009</v>
      </c>
      <c r="V204">
        <v>253775.78493341009</v>
      </c>
      <c r="W204">
        <v>264903.17720629665</v>
      </c>
      <c r="X204">
        <v>264903.17720629665</v>
      </c>
      <c r="Y204">
        <v>264903.17720629665</v>
      </c>
      <c r="Z204">
        <v>264903.17720629665</v>
      </c>
      <c r="AA204">
        <v>264903.17720629665</v>
      </c>
    </row>
    <row r="205" spans="1:27" x14ac:dyDescent="0.2">
      <c r="A205" t="s">
        <v>370</v>
      </c>
      <c r="B205" t="s">
        <v>371</v>
      </c>
      <c r="C205">
        <v>102859.51240150757</v>
      </c>
      <c r="D205">
        <v>112254.05451199711</v>
      </c>
      <c r="E205">
        <v>116744.21669247698</v>
      </c>
      <c r="F205">
        <v>123698.39448104272</v>
      </c>
      <c r="G205">
        <v>151453.12769820995</v>
      </c>
      <c r="H205">
        <v>157511.25280613833</v>
      </c>
      <c r="I205">
        <v>165971.96363767734</v>
      </c>
      <c r="J205">
        <v>196828.31386085643</v>
      </c>
      <c r="K205">
        <v>204701.44641529067</v>
      </c>
      <c r="L205">
        <v>246612.77156554657</v>
      </c>
      <c r="M205">
        <v>268291.39543649298</v>
      </c>
      <c r="N205">
        <v>287561.09062289976</v>
      </c>
      <c r="O205">
        <v>287561.09062289976</v>
      </c>
      <c r="P205">
        <v>287561.09062289976</v>
      </c>
      <c r="Q205">
        <v>304423.59141467669</v>
      </c>
      <c r="R205">
        <v>304423.59141467669</v>
      </c>
      <c r="S205">
        <v>323207.68542637437</v>
      </c>
      <c r="T205">
        <v>323207.68542637437</v>
      </c>
      <c r="U205">
        <v>340550.58452313149</v>
      </c>
      <c r="V205">
        <v>340550.58452313149</v>
      </c>
      <c r="W205">
        <v>355482.82064543932</v>
      </c>
      <c r="X205">
        <v>355482.82064543932</v>
      </c>
      <c r="Y205">
        <v>355482.82064543932</v>
      </c>
      <c r="Z205">
        <v>355482.82064543932</v>
      </c>
      <c r="AA205">
        <v>355482.82064543932</v>
      </c>
    </row>
    <row r="206" spans="1:27" x14ac:dyDescent="0.2">
      <c r="A206" t="s">
        <v>553</v>
      </c>
      <c r="B206" t="s">
        <v>554</v>
      </c>
      <c r="C206">
        <v>10535.778639854852</v>
      </c>
      <c r="D206">
        <v>11498.050517175767</v>
      </c>
      <c r="E206">
        <v>11957.972537862797</v>
      </c>
      <c r="F206">
        <v>12670.280773551556</v>
      </c>
      <c r="G206">
        <v>15513.165389248165</v>
      </c>
      <c r="H206">
        <v>16133.692004818093</v>
      </c>
      <c r="I206">
        <v>17000.312644715377</v>
      </c>
      <c r="J206">
        <v>20160.892235217947</v>
      </c>
      <c r="K206">
        <v>20967.327924626661</v>
      </c>
      <c r="L206">
        <v>25260.255569105811</v>
      </c>
      <c r="M206">
        <v>27480.771464897836</v>
      </c>
      <c r="N206">
        <v>29454.543634349448</v>
      </c>
      <c r="O206">
        <v>29454.543634349448</v>
      </c>
      <c r="P206">
        <v>29454.543634349448</v>
      </c>
      <c r="Q206">
        <v>31181.749718732313</v>
      </c>
      <c r="R206">
        <v>31181.749718732313</v>
      </c>
      <c r="S206">
        <v>33105.782332118193</v>
      </c>
      <c r="T206">
        <v>33105.782332118193</v>
      </c>
      <c r="U206">
        <v>34882.195048751812</v>
      </c>
      <c r="V206">
        <v>34882.195048751812</v>
      </c>
      <c r="W206">
        <v>36411.686397773359</v>
      </c>
      <c r="X206">
        <v>36411.686397773359</v>
      </c>
      <c r="Y206">
        <v>36411.686397773359</v>
      </c>
      <c r="Z206">
        <v>36411.686397773359</v>
      </c>
      <c r="AA206">
        <v>36411.686397773359</v>
      </c>
    </row>
    <row r="207" spans="1:27" x14ac:dyDescent="0.2">
      <c r="A207" t="s">
        <v>934</v>
      </c>
      <c r="B207" t="s">
        <v>935</v>
      </c>
      <c r="C207">
        <v>20.605727188071501</v>
      </c>
      <c r="D207">
        <v>22.487724946625519</v>
      </c>
      <c r="E207">
        <v>23.387233944490539</v>
      </c>
      <c r="F207">
        <v>24.780356340105083</v>
      </c>
      <c r="G207">
        <v>30.340429954086861</v>
      </c>
      <c r="H207">
        <v>31.554047152250337</v>
      </c>
      <c r="I207">
        <v>33.248971570434719</v>
      </c>
      <c r="J207">
        <v>39.430388532985845</v>
      </c>
      <c r="K207">
        <v>41.007604074305277</v>
      </c>
      <c r="L207">
        <v>49.40365138168174</v>
      </c>
      <c r="M207">
        <v>53.746505035837195</v>
      </c>
      <c r="N207">
        <v>57.606780791942889</v>
      </c>
      <c r="O207">
        <v>57.606780791942889</v>
      </c>
      <c r="P207">
        <v>57.606780791942889</v>
      </c>
      <c r="Q207">
        <v>60.984826078291171</v>
      </c>
      <c r="R207">
        <v>60.984826078291171</v>
      </c>
      <c r="S207">
        <v>64.747821912543813</v>
      </c>
      <c r="T207">
        <v>64.747821912543813</v>
      </c>
      <c r="U207">
        <v>68.222104835868166</v>
      </c>
      <c r="V207">
        <v>68.222104835868166</v>
      </c>
      <c r="W207">
        <v>71.213462432850449</v>
      </c>
      <c r="X207">
        <v>71.213462432850449</v>
      </c>
      <c r="Y207">
        <v>71.213462432850449</v>
      </c>
      <c r="Z207">
        <v>71.213462432850449</v>
      </c>
      <c r="AA207">
        <v>71.213462432850449</v>
      </c>
    </row>
    <row r="208" spans="1:27" x14ac:dyDescent="0.2">
      <c r="A208" t="s">
        <v>407</v>
      </c>
      <c r="B208" t="s">
        <v>79</v>
      </c>
      <c r="C208">
        <v>58508.45200803379</v>
      </c>
      <c r="D208">
        <v>63852.246698246345</v>
      </c>
      <c r="E208">
        <v>66406.336566176193</v>
      </c>
      <c r="F208">
        <v>70362.005496526574</v>
      </c>
      <c r="G208">
        <v>86149.426985495345</v>
      </c>
      <c r="H208">
        <v>89595.404064915158</v>
      </c>
      <c r="I208">
        <v>94408.017717103692</v>
      </c>
      <c r="J208">
        <v>111959.69810159573</v>
      </c>
      <c r="K208">
        <v>116438.08602565955</v>
      </c>
      <c r="L208">
        <v>140278.04694803807</v>
      </c>
      <c r="M208">
        <v>152609.26157991777</v>
      </c>
      <c r="N208">
        <v>163570.23164190297</v>
      </c>
      <c r="O208">
        <v>163570.23164190297</v>
      </c>
      <c r="P208">
        <v>163570.23164190297</v>
      </c>
      <c r="Q208">
        <v>173161.94363116429</v>
      </c>
      <c r="R208">
        <v>173161.94363116429</v>
      </c>
      <c r="S208">
        <v>183846.69448539545</v>
      </c>
      <c r="T208">
        <v>183846.69448539545</v>
      </c>
      <c r="U208">
        <v>193711.66619089921</v>
      </c>
      <c r="V208">
        <v>193711.66619089921</v>
      </c>
      <c r="W208">
        <v>202205.40682933794</v>
      </c>
      <c r="X208">
        <v>202205.40682933794</v>
      </c>
      <c r="Y208">
        <v>202205.40682933794</v>
      </c>
      <c r="Z208">
        <v>202205.40682933794</v>
      </c>
      <c r="AA208">
        <v>202205.40682933794</v>
      </c>
    </row>
    <row r="209" spans="1:27" x14ac:dyDescent="0.2">
      <c r="A209" t="s">
        <v>454</v>
      </c>
      <c r="B209" t="s">
        <v>455</v>
      </c>
      <c r="C209">
        <v>27043.191025544897</v>
      </c>
      <c r="D209">
        <v>29513.146316600411</v>
      </c>
      <c r="E209">
        <v>30693.672169264428</v>
      </c>
      <c r="F209">
        <v>32522.02186654559</v>
      </c>
      <c r="G209">
        <v>39819.125797245237</v>
      </c>
      <c r="H209">
        <v>41411.890829135045</v>
      </c>
      <c r="I209">
        <v>43636.328937844693</v>
      </c>
      <c r="J209">
        <v>51748.89095524267</v>
      </c>
      <c r="K209">
        <v>53818.846593452377</v>
      </c>
      <c r="L209">
        <v>64837.914696243446</v>
      </c>
      <c r="M209">
        <v>70537.525289617683</v>
      </c>
      <c r="N209">
        <v>75603.795153856161</v>
      </c>
      <c r="O209">
        <v>75603.795153856161</v>
      </c>
      <c r="P209">
        <v>75603.795153856161</v>
      </c>
      <c r="Q209">
        <v>80037.180257806365</v>
      </c>
      <c r="R209">
        <v>80037.180257806365</v>
      </c>
      <c r="S209">
        <v>84975.778844753295</v>
      </c>
      <c r="T209">
        <v>84975.778844753295</v>
      </c>
      <c r="U209">
        <v>89535.467319452669</v>
      </c>
      <c r="V209">
        <v>89535.467319452669</v>
      </c>
      <c r="W209">
        <v>93461.359096168831</v>
      </c>
      <c r="X209">
        <v>93461.359096168831</v>
      </c>
      <c r="Y209">
        <v>93461.359096168831</v>
      </c>
      <c r="Z209">
        <v>93461.359096168831</v>
      </c>
      <c r="AA209">
        <v>93461.359096168831</v>
      </c>
    </row>
    <row r="210" spans="1:27" x14ac:dyDescent="0.2">
      <c r="A210" t="s">
        <v>503</v>
      </c>
      <c r="B210" t="s">
        <v>504</v>
      </c>
      <c r="C210">
        <v>15636.938383732426</v>
      </c>
      <c r="D210">
        <v>17065.11816696608</v>
      </c>
      <c r="E210">
        <v>17747.722893644721</v>
      </c>
      <c r="F210">
        <v>18804.912909915198</v>
      </c>
      <c r="G210">
        <v>23024.250947214845</v>
      </c>
      <c r="H210">
        <v>23945.220985103439</v>
      </c>
      <c r="I210">
        <v>25231.437601014732</v>
      </c>
      <c r="J210">
        <v>29922.290551039488</v>
      </c>
      <c r="K210">
        <v>31119.182173081063</v>
      </c>
      <c r="L210">
        <v>37490.637701636748</v>
      </c>
      <c r="M210">
        <v>40786.271696000607</v>
      </c>
      <c r="N210">
        <v>43715.69484091075</v>
      </c>
      <c r="O210">
        <v>43715.69484091075</v>
      </c>
      <c r="P210">
        <v>43715.69484091075</v>
      </c>
      <c r="Q210">
        <v>46279.170787086739</v>
      </c>
      <c r="R210">
        <v>46279.170787086739</v>
      </c>
      <c r="S210">
        <v>49134.771730523149</v>
      </c>
      <c r="T210">
        <v>49134.771730523149</v>
      </c>
      <c r="U210">
        <v>51771.278926014231</v>
      </c>
      <c r="V210">
        <v>51771.278926014231</v>
      </c>
      <c r="W210">
        <v>54041.311621332061</v>
      </c>
      <c r="X210">
        <v>54041.311621332061</v>
      </c>
      <c r="Y210">
        <v>54041.311621332061</v>
      </c>
      <c r="Z210">
        <v>54041.311621332061</v>
      </c>
      <c r="AA210">
        <v>54041.311621332061</v>
      </c>
    </row>
    <row r="211" spans="1:27" x14ac:dyDescent="0.2">
      <c r="A211" t="s">
        <v>348</v>
      </c>
      <c r="B211" t="s">
        <v>349</v>
      </c>
      <c r="C211">
        <v>192661.13392976005</v>
      </c>
      <c r="D211">
        <v>210257.59237584606</v>
      </c>
      <c r="E211">
        <v>218667.89607087988</v>
      </c>
      <c r="F211">
        <v>231693.42717649485</v>
      </c>
      <c r="G211">
        <v>283679.46374902525</v>
      </c>
      <c r="H211">
        <v>295026.64229898626</v>
      </c>
      <c r="I211">
        <v>310873.98694022157</v>
      </c>
      <c r="J211">
        <v>368669.51099176623</v>
      </c>
      <c r="K211">
        <v>383416.29143143684</v>
      </c>
      <c r="L211">
        <v>461918.34962152434</v>
      </c>
      <c r="M211">
        <v>502523.52224484005</v>
      </c>
      <c r="N211">
        <v>538616.64808625286</v>
      </c>
      <c r="O211">
        <v>538616.64808625286</v>
      </c>
      <c r="P211">
        <v>538616.64808625286</v>
      </c>
      <c r="Q211">
        <v>570200.97555957269</v>
      </c>
      <c r="R211">
        <v>570200.97555957269</v>
      </c>
      <c r="S211">
        <v>605384.54553422343</v>
      </c>
      <c r="T211">
        <v>605384.54553422343</v>
      </c>
      <c r="U211">
        <v>637868.68363287591</v>
      </c>
      <c r="V211">
        <v>637868.68363287591</v>
      </c>
      <c r="W211">
        <v>665837.52653581568</v>
      </c>
      <c r="X211">
        <v>665837.52653581568</v>
      </c>
      <c r="Y211">
        <v>665837.52653581568</v>
      </c>
      <c r="Z211">
        <v>665837.52653581568</v>
      </c>
      <c r="AA211">
        <v>665837.52653581568</v>
      </c>
    </row>
    <row r="212" spans="1:27" x14ac:dyDescent="0.2">
      <c r="A212" t="s">
        <v>374</v>
      </c>
      <c r="B212" t="s">
        <v>375</v>
      </c>
      <c r="C212">
        <v>96482.058686084973</v>
      </c>
      <c r="D212">
        <v>105294.12421187744</v>
      </c>
      <c r="E212">
        <v>109505.88918035253</v>
      </c>
      <c r="F212">
        <v>116028.89686184756</v>
      </c>
      <c r="G212">
        <v>142062.79238161782</v>
      </c>
      <c r="H212">
        <v>147745.30407688254</v>
      </c>
      <c r="I212">
        <v>155681.43735144174</v>
      </c>
      <c r="J212">
        <v>184624.64467922138</v>
      </c>
      <c r="K212">
        <v>192009.63046639023</v>
      </c>
      <c r="L212">
        <v>231322.38665537752</v>
      </c>
      <c r="M212">
        <v>251656.9012930296</v>
      </c>
      <c r="N212">
        <v>269731.84466414573</v>
      </c>
      <c r="O212">
        <v>269731.84466414573</v>
      </c>
      <c r="P212">
        <v>269731.84466414573</v>
      </c>
      <c r="Q212">
        <v>285548.84352989704</v>
      </c>
      <c r="R212">
        <v>285548.84352989704</v>
      </c>
      <c r="S212">
        <v>303168.29377312987</v>
      </c>
      <c r="T212">
        <v>303168.29377312987</v>
      </c>
      <c r="U212">
        <v>319435.9054832515</v>
      </c>
      <c r="V212">
        <v>319435.9054832515</v>
      </c>
      <c r="W212">
        <v>333442.3191656663</v>
      </c>
      <c r="X212">
        <v>333442.3191656663</v>
      </c>
      <c r="Y212">
        <v>333442.3191656663</v>
      </c>
      <c r="Z212">
        <v>333442.3191656663</v>
      </c>
      <c r="AA212">
        <v>333442.3191656663</v>
      </c>
    </row>
    <row r="213" spans="1:27" x14ac:dyDescent="0.2">
      <c r="A213" t="s">
        <v>464</v>
      </c>
      <c r="B213" t="s">
        <v>191</v>
      </c>
      <c r="C213">
        <v>25913.008862514478</v>
      </c>
      <c r="D213">
        <v>28279.740410085109</v>
      </c>
      <c r="E213">
        <v>29410.930026488513</v>
      </c>
      <c r="F213">
        <v>31162.869798117881</v>
      </c>
      <c r="G213">
        <v>38155.015016790312</v>
      </c>
      <c r="H213">
        <v>39681.21561746193</v>
      </c>
      <c r="I213">
        <v>41812.690574343302</v>
      </c>
      <c r="J213">
        <v>49586.214462702417</v>
      </c>
      <c r="K213">
        <v>51569.663041210515</v>
      </c>
      <c r="L213">
        <v>62128.22505168325</v>
      </c>
      <c r="M213">
        <v>67589.638968386964</v>
      </c>
      <c r="N213">
        <v>72444.180570666547</v>
      </c>
      <c r="O213">
        <v>72444.180570666547</v>
      </c>
      <c r="P213">
        <v>72444.180570666547</v>
      </c>
      <c r="Q213">
        <v>76692.286771635365</v>
      </c>
      <c r="R213">
        <v>76692.286771635365</v>
      </c>
      <c r="S213">
        <v>81424.492702180825</v>
      </c>
      <c r="T213">
        <v>81424.492702180825</v>
      </c>
      <c r="U213">
        <v>85793.623835543782</v>
      </c>
      <c r="V213">
        <v>85793.623835543782</v>
      </c>
      <c r="W213">
        <v>89555.445741369302</v>
      </c>
      <c r="X213">
        <v>89555.445741369302</v>
      </c>
      <c r="Y213">
        <v>89555.445741369302</v>
      </c>
      <c r="Z213">
        <v>89555.445741369302</v>
      </c>
      <c r="AA213">
        <v>89555.445741369302</v>
      </c>
    </row>
    <row r="214" spans="1:27" x14ac:dyDescent="0.2">
      <c r="A214" t="s">
        <v>359</v>
      </c>
      <c r="B214" t="s">
        <v>65</v>
      </c>
      <c r="C214">
        <v>141382.08027640992</v>
      </c>
      <c r="D214">
        <v>154295.03189182002</v>
      </c>
      <c r="E214">
        <v>160466.83316749282</v>
      </c>
      <c r="F214">
        <v>170025.46415265213</v>
      </c>
      <c r="G214">
        <v>208174.79840617871</v>
      </c>
      <c r="H214">
        <v>216501.7903424259</v>
      </c>
      <c r="I214">
        <v>228131.17560832965</v>
      </c>
      <c r="J214">
        <v>270543.73310968705</v>
      </c>
      <c r="K214">
        <v>281365.48243407451</v>
      </c>
      <c r="L214">
        <v>338973.28358477633</v>
      </c>
      <c r="M214">
        <v>368770.90627270303</v>
      </c>
      <c r="N214">
        <v>395257.41712754726</v>
      </c>
      <c r="O214">
        <v>395257.41712754726</v>
      </c>
      <c r="P214">
        <v>395257.41712754726</v>
      </c>
      <c r="Q214">
        <v>418435.19995912415</v>
      </c>
      <c r="R214">
        <v>418435.19995912415</v>
      </c>
      <c r="S214">
        <v>444254.24406575901</v>
      </c>
      <c r="T214">
        <v>444254.24406575901</v>
      </c>
      <c r="U214">
        <v>468092.34221610025</v>
      </c>
      <c r="V214">
        <v>468092.34221610025</v>
      </c>
      <c r="W214">
        <v>488616.94472354418</v>
      </c>
      <c r="X214">
        <v>488616.94472354418</v>
      </c>
      <c r="Y214">
        <v>488616.94472354418</v>
      </c>
      <c r="Z214">
        <v>488616.94472354418</v>
      </c>
      <c r="AA214">
        <v>488616.94472354418</v>
      </c>
    </row>
    <row r="215" spans="1:27" x14ac:dyDescent="0.2">
      <c r="A215" t="s">
        <v>886</v>
      </c>
      <c r="B215" t="s">
        <v>887</v>
      </c>
      <c r="C215">
        <v>374.46386343898246</v>
      </c>
      <c r="D215">
        <v>408.66504184047136</v>
      </c>
      <c r="E215">
        <v>425.01164351409022</v>
      </c>
      <c r="F215">
        <v>450.32858524314429</v>
      </c>
      <c r="G215">
        <v>551.37071918452943</v>
      </c>
      <c r="H215">
        <v>573.42554795191074</v>
      </c>
      <c r="I215">
        <v>604.22707900575324</v>
      </c>
      <c r="J215">
        <v>716.56076449995555</v>
      </c>
      <c r="K215">
        <v>745.2231950799536</v>
      </c>
      <c r="L215">
        <v>897.80292612466542</v>
      </c>
      <c r="M215">
        <v>976.72475901327005</v>
      </c>
      <c r="N215">
        <v>1046.8767978312928</v>
      </c>
      <c r="O215">
        <v>1046.8767978312928</v>
      </c>
      <c r="P215">
        <v>1046.8767978312928</v>
      </c>
      <c r="Q215">
        <v>1108.265356325365</v>
      </c>
      <c r="R215">
        <v>1108.265356325365</v>
      </c>
      <c r="S215">
        <v>1176.6495460866834</v>
      </c>
      <c r="T215">
        <v>1176.6495460866834</v>
      </c>
      <c r="U215">
        <v>1239.787012397567</v>
      </c>
      <c r="V215">
        <v>1239.787012397567</v>
      </c>
      <c r="W215">
        <v>1294.1483708912376</v>
      </c>
      <c r="X215">
        <v>1294.1483708912376</v>
      </c>
      <c r="Y215">
        <v>1294.1483708912376</v>
      </c>
      <c r="Z215">
        <v>1294.1483708912376</v>
      </c>
      <c r="AA215">
        <v>1294.1483708912376</v>
      </c>
    </row>
    <row r="216" spans="1:27" x14ac:dyDescent="0.2">
      <c r="A216" t="s">
        <v>830</v>
      </c>
      <c r="B216" t="s">
        <v>831</v>
      </c>
      <c r="C216">
        <v>1102.5889664791489</v>
      </c>
      <c r="D216">
        <v>1203.2925206211933</v>
      </c>
      <c r="E216">
        <v>1251.424221446041</v>
      </c>
      <c r="F216">
        <v>1325.9686123495951</v>
      </c>
      <c r="G216">
        <v>1623.4818116477516</v>
      </c>
      <c r="H216">
        <v>1688.4210841136617</v>
      </c>
      <c r="I216">
        <v>1779.1145571199443</v>
      </c>
      <c r="J216">
        <v>2109.8751305231199</v>
      </c>
      <c r="K216">
        <v>2194.2701357440442</v>
      </c>
      <c r="L216">
        <v>2643.5330537015957</v>
      </c>
      <c r="M216">
        <v>2875.9142008652552</v>
      </c>
      <c r="N216">
        <v>3082.4731549560884</v>
      </c>
      <c r="O216">
        <v>3082.4731549560884</v>
      </c>
      <c r="P216">
        <v>3082.4731549560884</v>
      </c>
      <c r="Q216">
        <v>3263.228506465869</v>
      </c>
      <c r="R216">
        <v>3263.228506465869</v>
      </c>
      <c r="S216">
        <v>3464.5821228602376</v>
      </c>
      <c r="T216">
        <v>3464.5821228602376</v>
      </c>
      <c r="U216">
        <v>3650.4870405911647</v>
      </c>
      <c r="V216">
        <v>3650.4870405911647</v>
      </c>
      <c r="W216">
        <v>3810.5511747574933</v>
      </c>
      <c r="X216">
        <v>3810.5511747574933</v>
      </c>
      <c r="Y216">
        <v>3810.5511747574933</v>
      </c>
      <c r="Z216">
        <v>3810.5511747574933</v>
      </c>
      <c r="AA216">
        <v>3810.5511747574933</v>
      </c>
    </row>
    <row r="217" spans="1:27" x14ac:dyDescent="0.2">
      <c r="A217" t="s">
        <v>665</v>
      </c>
      <c r="B217" t="s">
        <v>666</v>
      </c>
      <c r="C217">
        <v>3956.9490535348586</v>
      </c>
      <c r="D217">
        <v>4318.3519383491375</v>
      </c>
      <c r="E217">
        <v>4491.0860158831028</v>
      </c>
      <c r="F217">
        <v>4758.6094230636236</v>
      </c>
      <c r="G217">
        <v>5826.3187945225218</v>
      </c>
      <c r="H217">
        <v>6059.3715463034223</v>
      </c>
      <c r="I217">
        <v>6384.8504537515555</v>
      </c>
      <c r="J217">
        <v>7571.8773310961451</v>
      </c>
      <c r="K217">
        <v>7874.7524243399903</v>
      </c>
      <c r="L217">
        <v>9487.0581266880999</v>
      </c>
      <c r="M217">
        <v>10321.022902578115</v>
      </c>
      <c r="N217">
        <v>11062.317512571231</v>
      </c>
      <c r="O217">
        <v>11062.317512571231</v>
      </c>
      <c r="P217">
        <v>11062.317512571231</v>
      </c>
      <c r="Q217">
        <v>11711.008673849521</v>
      </c>
      <c r="R217">
        <v>11711.008673849521</v>
      </c>
      <c r="S217">
        <v>12433.622472862704</v>
      </c>
      <c r="T217">
        <v>12433.622472862704</v>
      </c>
      <c r="U217">
        <v>13100.794293574714</v>
      </c>
      <c r="V217">
        <v>13100.794293574714</v>
      </c>
      <c r="W217">
        <v>13675.229231207757</v>
      </c>
      <c r="X217">
        <v>13675.229231207757</v>
      </c>
      <c r="Y217">
        <v>13675.229231207757</v>
      </c>
      <c r="Z217">
        <v>13675.229231207757</v>
      </c>
      <c r="AA217">
        <v>13675.229231207757</v>
      </c>
    </row>
    <row r="218" spans="1:27" x14ac:dyDescent="0.2">
      <c r="A218" t="s">
        <v>771</v>
      </c>
      <c r="B218" t="s">
        <v>772</v>
      </c>
      <c r="C218">
        <v>1880.0727486314511</v>
      </c>
      <c r="D218">
        <v>2051.7867903902479</v>
      </c>
      <c r="E218">
        <v>2133.8582620058578</v>
      </c>
      <c r="F218">
        <v>2260.9671685539015</v>
      </c>
      <c r="G218">
        <v>2768.2699580464896</v>
      </c>
      <c r="H218">
        <v>2879.0007563683489</v>
      </c>
      <c r="I218">
        <v>3033.6461702639167</v>
      </c>
      <c r="J218">
        <v>3597.6405138339987</v>
      </c>
      <c r="K218">
        <v>3741.5461343873585</v>
      </c>
      <c r="L218">
        <v>4507.6040169723938</v>
      </c>
      <c r="M218">
        <v>4903.8472910849805</v>
      </c>
      <c r="N218">
        <v>5256.0600125781757</v>
      </c>
      <c r="O218">
        <v>5256.0600125781757</v>
      </c>
      <c r="P218">
        <v>5256.0600125781757</v>
      </c>
      <c r="Q218">
        <v>5564.27388091391</v>
      </c>
      <c r="R218">
        <v>5564.27388091391</v>
      </c>
      <c r="S218">
        <v>5907.610753066986</v>
      </c>
      <c r="T218">
        <v>5907.610753066986</v>
      </c>
      <c r="U218">
        <v>6224.605372357054</v>
      </c>
      <c r="V218">
        <v>6224.605372357054</v>
      </c>
      <c r="W218">
        <v>6497.5377395658033</v>
      </c>
      <c r="X218">
        <v>6497.5377395658033</v>
      </c>
      <c r="Y218">
        <v>6497.5377395658033</v>
      </c>
      <c r="Z218">
        <v>6497.5377395658033</v>
      </c>
      <c r="AA218">
        <v>6497.5377395658033</v>
      </c>
    </row>
    <row r="219" spans="1:27" x14ac:dyDescent="0.2">
      <c r="A219" t="s">
        <v>579</v>
      </c>
      <c r="B219" t="s">
        <v>580</v>
      </c>
      <c r="C219">
        <v>8576.2866387537051</v>
      </c>
      <c r="D219">
        <v>9359.5908183894953</v>
      </c>
      <c r="E219">
        <v>9733.9744511250756</v>
      </c>
      <c r="F219">
        <v>10313.804363392092</v>
      </c>
      <c r="G219">
        <v>12627.956376123935</v>
      </c>
      <c r="H219">
        <v>13133.074631168894</v>
      </c>
      <c r="I219">
        <v>13838.517225293257</v>
      </c>
      <c r="J219">
        <v>16411.277857355879</v>
      </c>
      <c r="K219">
        <v>17067.728971650111</v>
      </c>
      <c r="L219">
        <v>20562.238419600148</v>
      </c>
      <c r="M219">
        <v>22369.772675889697</v>
      </c>
      <c r="N219">
        <v>23976.453725620348</v>
      </c>
      <c r="O219">
        <v>23976.453725620348</v>
      </c>
      <c r="P219">
        <v>23976.453725620348</v>
      </c>
      <c r="Q219">
        <v>25382.42617153261</v>
      </c>
      <c r="R219">
        <v>25382.42617153261</v>
      </c>
      <c r="S219">
        <v>26948.618453922383</v>
      </c>
      <c r="T219">
        <v>26948.618453922383</v>
      </c>
      <c r="U219">
        <v>28394.64585895402</v>
      </c>
      <c r="V219">
        <v>28394.64585895402</v>
      </c>
      <c r="W219">
        <v>29639.675454686261</v>
      </c>
      <c r="X219">
        <v>29639.675454686261</v>
      </c>
      <c r="Y219">
        <v>29639.675454686261</v>
      </c>
      <c r="Z219">
        <v>29639.675454686261</v>
      </c>
      <c r="AA219">
        <v>29639.675454686261</v>
      </c>
    </row>
    <row r="220" spans="1:27" x14ac:dyDescent="0.2">
      <c r="A220" t="s">
        <v>367</v>
      </c>
      <c r="B220" t="s">
        <v>93</v>
      </c>
      <c r="C220">
        <v>105135.32465884718</v>
      </c>
      <c r="D220">
        <v>114737.72517336732</v>
      </c>
      <c r="E220">
        <v>119327.23418030201</v>
      </c>
      <c r="F220">
        <v>126435.27623169994</v>
      </c>
      <c r="G220">
        <v>154804.0952108943</v>
      </c>
      <c r="H220">
        <v>160996.25901933009</v>
      </c>
      <c r="I220">
        <v>169644.1668243591</v>
      </c>
      <c r="J220">
        <v>201183.22745919717</v>
      </c>
      <c r="K220">
        <v>209230.55655756503</v>
      </c>
      <c r="L220">
        <v>252069.18833480531</v>
      </c>
      <c r="M220">
        <v>274227.46135803597</v>
      </c>
      <c r="N220">
        <v>293923.50708292518</v>
      </c>
      <c r="O220">
        <v>293923.50708292518</v>
      </c>
      <c r="P220">
        <v>293923.50708292518</v>
      </c>
      <c r="Q220">
        <v>311159.09817131486</v>
      </c>
      <c r="R220">
        <v>311159.09817131486</v>
      </c>
      <c r="S220">
        <v>330358.79858048382</v>
      </c>
      <c r="T220">
        <v>330358.79858048382</v>
      </c>
      <c r="U220">
        <v>348085.41699906834</v>
      </c>
      <c r="V220">
        <v>348085.41699906834</v>
      </c>
      <c r="W220">
        <v>363348.03545746958</v>
      </c>
      <c r="X220">
        <v>363348.03545746958</v>
      </c>
      <c r="Y220">
        <v>363348.03545746958</v>
      </c>
      <c r="Z220">
        <v>363348.03545746958</v>
      </c>
      <c r="AA220">
        <v>363348.03545746958</v>
      </c>
    </row>
    <row r="221" spans="1:27" x14ac:dyDescent="0.2">
      <c r="A221" t="s">
        <v>744</v>
      </c>
      <c r="B221" t="s">
        <v>247</v>
      </c>
      <c r="C221">
        <v>2451.4439557231772</v>
      </c>
      <c r="D221">
        <v>2675.3434564679314</v>
      </c>
      <c r="E221">
        <v>2782.3571947266487</v>
      </c>
      <c r="F221">
        <v>2948.0956539977619</v>
      </c>
      <c r="G221">
        <v>3609.5723750067627</v>
      </c>
      <c r="H221">
        <v>3753.9552700070335</v>
      </c>
      <c r="I221">
        <v>3955.5988316461016</v>
      </c>
      <c r="J221">
        <v>4690.9961856119871</v>
      </c>
      <c r="K221">
        <v>4878.636033036466</v>
      </c>
      <c r="L221">
        <v>5877.505873240354</v>
      </c>
      <c r="M221">
        <v>6394.171082087375</v>
      </c>
      <c r="N221">
        <v>6853.4244529273146</v>
      </c>
      <c r="O221">
        <v>6853.4244529273146</v>
      </c>
      <c r="P221">
        <v>6853.4244529273146</v>
      </c>
      <c r="Q221">
        <v>7255.307318976882</v>
      </c>
      <c r="R221">
        <v>7255.307318976882</v>
      </c>
      <c r="S221">
        <v>7702.9873891386505</v>
      </c>
      <c r="T221">
        <v>7702.9873891386505</v>
      </c>
      <c r="U221">
        <v>8116.3195562162673</v>
      </c>
      <c r="V221">
        <v>8116.3195562162673</v>
      </c>
      <c r="W221">
        <v>8472.1985520700946</v>
      </c>
      <c r="X221">
        <v>8472.1985520700946</v>
      </c>
      <c r="Y221">
        <v>8472.1985520700946</v>
      </c>
      <c r="Z221">
        <v>8472.1985520700946</v>
      </c>
      <c r="AA221">
        <v>8472.1985520700946</v>
      </c>
    </row>
    <row r="222" spans="1:27" x14ac:dyDescent="0.2">
      <c r="A222" t="s">
        <v>408</v>
      </c>
      <c r="B222" t="s">
        <v>163</v>
      </c>
      <c r="C222">
        <v>55250.117760411682</v>
      </c>
      <c r="D222">
        <v>60296.316656276613</v>
      </c>
      <c r="E222">
        <v>62708.169322527676</v>
      </c>
      <c r="F222">
        <v>66443.547147821213</v>
      </c>
      <c r="G222">
        <v>81351.767523896255</v>
      </c>
      <c r="H222">
        <v>84605.838224852108</v>
      </c>
      <c r="I222">
        <v>89150.437541584513</v>
      </c>
      <c r="J222">
        <v>105724.66527885466</v>
      </c>
      <c r="K222">
        <v>109953.65189000884</v>
      </c>
      <c r="L222">
        <v>132465.96597728235</v>
      </c>
      <c r="M222">
        <v>144110.45557079811</v>
      </c>
      <c r="N222">
        <v>154461.00948068238</v>
      </c>
      <c r="O222">
        <v>154461.00948068238</v>
      </c>
      <c r="P222">
        <v>154461.00948068238</v>
      </c>
      <c r="Q222">
        <v>163518.55926610267</v>
      </c>
      <c r="R222">
        <v>163518.55926610267</v>
      </c>
      <c r="S222">
        <v>173608.27660909225</v>
      </c>
      <c r="T222">
        <v>173608.27660909225</v>
      </c>
      <c r="U222">
        <v>182923.86828390483</v>
      </c>
      <c r="V222">
        <v>182923.86828390483</v>
      </c>
      <c r="W222">
        <v>190944.59271591846</v>
      </c>
      <c r="X222">
        <v>190944.59271591846</v>
      </c>
      <c r="Y222">
        <v>190944.59271591846</v>
      </c>
      <c r="Z222">
        <v>190944.59271591846</v>
      </c>
      <c r="AA222">
        <v>190944.59271591846</v>
      </c>
    </row>
    <row r="223" spans="1:27" x14ac:dyDescent="0.2">
      <c r="A223" t="s">
        <v>499</v>
      </c>
      <c r="B223" t="s">
        <v>500</v>
      </c>
      <c r="C223">
        <v>19582.398742793888</v>
      </c>
      <c r="D223">
        <v>21370.932105614669</v>
      </c>
      <c r="E223">
        <v>22225.769389839254</v>
      </c>
      <c r="F223">
        <v>23549.706079840314</v>
      </c>
      <c r="G223">
        <v>28833.653477305026</v>
      </c>
      <c r="H223">
        <v>29986.999616397228</v>
      </c>
      <c r="I223">
        <v>31597.750137009687</v>
      </c>
      <c r="J223">
        <v>37472.183523967236</v>
      </c>
      <c r="K223">
        <v>38971.070864925918</v>
      </c>
      <c r="L223">
        <v>46950.150891355916</v>
      </c>
      <c r="M223">
        <v>51077.328309607998</v>
      </c>
      <c r="N223">
        <v>54745.8937731439</v>
      </c>
      <c r="O223">
        <v>54745.8937731439</v>
      </c>
      <c r="P223">
        <v>54745.8937731439</v>
      </c>
      <c r="Q223">
        <v>57956.1774561571</v>
      </c>
      <c r="R223">
        <v>57956.1774561571</v>
      </c>
      <c r="S223">
        <v>61532.294145524174</v>
      </c>
      <c r="T223">
        <v>61532.294145524174</v>
      </c>
      <c r="U223">
        <v>64834.036080125836</v>
      </c>
      <c r="V223">
        <v>64834.036080125836</v>
      </c>
      <c r="W223">
        <v>67676.835885817869</v>
      </c>
      <c r="X223">
        <v>67676.835885817869</v>
      </c>
      <c r="Y223">
        <v>67676.835885817869</v>
      </c>
      <c r="Z223">
        <v>67676.835885817869</v>
      </c>
      <c r="AA223">
        <v>67676.835885817869</v>
      </c>
    </row>
    <row r="224" spans="1:27" x14ac:dyDescent="0.2">
      <c r="A224" t="s">
        <v>396</v>
      </c>
      <c r="B224" t="s">
        <v>397</v>
      </c>
      <c r="C224">
        <v>68736.368489409302</v>
      </c>
      <c r="D224">
        <v>75014.316860146646</v>
      </c>
      <c r="E224">
        <v>78014.889534552509</v>
      </c>
      <c r="F224">
        <v>82662.052600520081</v>
      </c>
      <c r="G224">
        <v>101209.28780705694</v>
      </c>
      <c r="H224">
        <v>105257.65931933922</v>
      </c>
      <c r="I224">
        <v>110911.57040467387</v>
      </c>
      <c r="J224">
        <v>131531.47623214519</v>
      </c>
      <c r="K224">
        <v>136792.735281431</v>
      </c>
      <c r="L224">
        <v>164800.18176982418</v>
      </c>
      <c r="M224">
        <v>179287.02740953612</v>
      </c>
      <c r="N224">
        <v>192164.09476176323</v>
      </c>
      <c r="O224">
        <v>192164.09476176323</v>
      </c>
      <c r="P224">
        <v>192164.09476176323</v>
      </c>
      <c r="Q224">
        <v>203432.54277415675</v>
      </c>
      <c r="R224">
        <v>203432.54277415675</v>
      </c>
      <c r="S224">
        <v>215985.10478405442</v>
      </c>
      <c r="T224">
        <v>215985.10478405442</v>
      </c>
      <c r="U224">
        <v>227574.58129582394</v>
      </c>
      <c r="V224">
        <v>227574.58129582394</v>
      </c>
      <c r="W224">
        <v>237553.1205724575</v>
      </c>
      <c r="X224">
        <v>237553.1205724575</v>
      </c>
      <c r="Y224">
        <v>237553.1205724575</v>
      </c>
      <c r="Z224">
        <v>237553.1205724575</v>
      </c>
      <c r="AA224">
        <v>237553.1205724575</v>
      </c>
    </row>
    <row r="225" spans="1:27" x14ac:dyDescent="0.2">
      <c r="A225" t="s">
        <v>745</v>
      </c>
      <c r="B225" t="s">
        <v>257</v>
      </c>
      <c r="C225">
        <v>2370.2078136311479</v>
      </c>
      <c r="D225">
        <v>2586.6877151579101</v>
      </c>
      <c r="E225">
        <v>2690.1552237642263</v>
      </c>
      <c r="F225">
        <v>2850.4014289717588</v>
      </c>
      <c r="G225">
        <v>3489.9580825148059</v>
      </c>
      <c r="H225">
        <v>3629.5564058153982</v>
      </c>
      <c r="I225">
        <v>3824.5178872922779</v>
      </c>
      <c r="J225">
        <v>4535.545586059071</v>
      </c>
      <c r="K225">
        <v>4716.9674095014325</v>
      </c>
      <c r="L225">
        <v>5682.7366225909191</v>
      </c>
      <c r="M225">
        <v>6182.2805392207902</v>
      </c>
      <c r="N225">
        <v>6626.3151358347486</v>
      </c>
      <c r="O225">
        <v>6626.3151358347486</v>
      </c>
      <c r="P225">
        <v>6626.3151358347486</v>
      </c>
      <c r="Q225">
        <v>7014.8803759461271</v>
      </c>
      <c r="R225">
        <v>7014.8803759461271</v>
      </c>
      <c r="S225">
        <v>7447.7251888275796</v>
      </c>
      <c r="T225">
        <v>7447.7251888275796</v>
      </c>
      <c r="U225">
        <v>7847.3603221314752</v>
      </c>
      <c r="V225">
        <v>7847.3603221314752</v>
      </c>
      <c r="W225">
        <v>8191.4461719061301</v>
      </c>
      <c r="X225">
        <v>8191.4461719061301</v>
      </c>
      <c r="Y225">
        <v>8191.4461719061301</v>
      </c>
      <c r="Z225">
        <v>8191.4461719061301</v>
      </c>
      <c r="AA225">
        <v>8191.4461719061301</v>
      </c>
    </row>
    <row r="226" spans="1:27" x14ac:dyDescent="0.2">
      <c r="A226" t="s">
        <v>655</v>
      </c>
      <c r="B226" t="s">
        <v>656</v>
      </c>
      <c r="C226">
        <v>4301.4600850235583</v>
      </c>
      <c r="D226">
        <v>4694.3284446129373</v>
      </c>
      <c r="E226">
        <v>4882.1015823974549</v>
      </c>
      <c r="F226">
        <v>5172.9168651387181</v>
      </c>
      <c r="G226">
        <v>6333.5861539265625</v>
      </c>
      <c r="H226">
        <v>6586.9296000836257</v>
      </c>
      <c r="I226">
        <v>6940.7462679162654</v>
      </c>
      <c r="J226">
        <v>8231.1214189904531</v>
      </c>
      <c r="K226">
        <v>8560.3662757500697</v>
      </c>
      <c r="L226">
        <v>10313.047073424428</v>
      </c>
      <c r="M226">
        <v>11219.620837016837</v>
      </c>
      <c r="N226">
        <v>12025.456123998856</v>
      </c>
      <c r="O226">
        <v>12025.456123998856</v>
      </c>
      <c r="P226">
        <v>12025.456123998856</v>
      </c>
      <c r="Q226">
        <v>12730.625460271574</v>
      </c>
      <c r="R226">
        <v>12730.625460271574</v>
      </c>
      <c r="S226">
        <v>13516.153494949129</v>
      </c>
      <c r="T226">
        <v>13516.153494949129</v>
      </c>
      <c r="U226">
        <v>14241.412505823055</v>
      </c>
      <c r="V226">
        <v>14241.412505823055</v>
      </c>
      <c r="W226">
        <v>14865.860514185506</v>
      </c>
      <c r="X226">
        <v>14865.860514185506</v>
      </c>
      <c r="Y226">
        <v>14865.860514185506</v>
      </c>
      <c r="Z226">
        <v>14865.860514185506</v>
      </c>
      <c r="AA226">
        <v>14865.860514185506</v>
      </c>
    </row>
    <row r="227" spans="1:27" x14ac:dyDescent="0.2">
      <c r="A227" t="s">
        <v>805</v>
      </c>
      <c r="B227" t="s">
        <v>806</v>
      </c>
      <c r="C227">
        <v>1368.7442388727807</v>
      </c>
      <c r="D227">
        <v>1493.7567446718242</v>
      </c>
      <c r="E227">
        <v>1553.5070144586971</v>
      </c>
      <c r="F227">
        <v>1646.0457652457067</v>
      </c>
      <c r="G227">
        <v>2015.3760323789954</v>
      </c>
      <c r="H227">
        <v>2095.9910736741554</v>
      </c>
      <c r="I227">
        <v>2208.5771528520672</v>
      </c>
      <c r="J227">
        <v>2619.1804175822836</v>
      </c>
      <c r="K227">
        <v>2723.9476342855746</v>
      </c>
      <c r="L227">
        <v>3281.6586665818536</v>
      </c>
      <c r="M227">
        <v>3570.1345774360925</v>
      </c>
      <c r="N227">
        <v>3826.555045076208</v>
      </c>
      <c r="O227">
        <v>3826.555045076208</v>
      </c>
      <c r="P227">
        <v>3826.555045076208</v>
      </c>
      <c r="Q227">
        <v>4050.9431475750694</v>
      </c>
      <c r="R227">
        <v>4050.9431475750694</v>
      </c>
      <c r="S227">
        <v>4300.9017548120519</v>
      </c>
      <c r="T227">
        <v>4300.9017548120519</v>
      </c>
      <c r="U227">
        <v>4531.6824834954423</v>
      </c>
      <c r="V227">
        <v>4531.6824834954423</v>
      </c>
      <c r="W227">
        <v>4730.3846908918422</v>
      </c>
      <c r="X227">
        <v>4730.3846908918422</v>
      </c>
      <c r="Y227">
        <v>4730.3846908918422</v>
      </c>
      <c r="Z227">
        <v>4730.3846908918422</v>
      </c>
      <c r="AA227">
        <v>4730.3846908918422</v>
      </c>
    </row>
    <row r="228" spans="1:27" x14ac:dyDescent="0.2">
      <c r="A228" t="s">
        <v>850</v>
      </c>
      <c r="B228" t="s">
        <v>851</v>
      </c>
      <c r="C228">
        <v>821.33759287722319</v>
      </c>
      <c r="D228">
        <v>896.35341225126172</v>
      </c>
      <c r="E228">
        <v>932.20754874131217</v>
      </c>
      <c r="F228">
        <v>987.73695493765263</v>
      </c>
      <c r="G228">
        <v>1209.3596832523119</v>
      </c>
      <c r="H228">
        <v>1257.7340705824045</v>
      </c>
      <c r="I228">
        <v>1325.2932073716299</v>
      </c>
      <c r="J228">
        <v>1571.6824797449551</v>
      </c>
      <c r="K228">
        <v>1634.5497789347532</v>
      </c>
      <c r="L228">
        <v>1969.2134975302274</v>
      </c>
      <c r="M228">
        <v>2142.3182336051073</v>
      </c>
      <c r="N228">
        <v>2296.1875714073467</v>
      </c>
      <c r="O228">
        <v>2296.1875714073467</v>
      </c>
      <c r="P228">
        <v>2296.1875714073467</v>
      </c>
      <c r="Q228">
        <v>2430.8353593158313</v>
      </c>
      <c r="R228">
        <v>2430.8353593158313</v>
      </c>
      <c r="S228">
        <v>2580.8271510299937</v>
      </c>
      <c r="T228">
        <v>2580.8271510299937</v>
      </c>
      <c r="U228">
        <v>2719.3109398898973</v>
      </c>
      <c r="V228">
        <v>2719.3109398898973</v>
      </c>
      <c r="W228">
        <v>2838.545482098275</v>
      </c>
      <c r="X228">
        <v>2838.545482098275</v>
      </c>
      <c r="Y228">
        <v>2838.545482098275</v>
      </c>
      <c r="Z228">
        <v>2838.545482098275</v>
      </c>
      <c r="AA228">
        <v>2838.545482098275</v>
      </c>
    </row>
    <row r="229" spans="1:27" x14ac:dyDescent="0.2">
      <c r="A229" t="s">
        <v>473</v>
      </c>
      <c r="B229" t="s">
        <v>143</v>
      </c>
      <c r="C229">
        <v>23098.340517341425</v>
      </c>
      <c r="D229">
        <v>25207.997928758534</v>
      </c>
      <c r="E229">
        <v>26216.317845908874</v>
      </c>
      <c r="F229">
        <v>27777.962100563826</v>
      </c>
      <c r="G229">
        <v>34010.621228050601</v>
      </c>
      <c r="H229">
        <v>35371.046077172628</v>
      </c>
      <c r="I229">
        <v>37271.000444473153</v>
      </c>
      <c r="J229">
        <v>44200.164971281549</v>
      </c>
      <c r="K229">
        <v>45968.171570132807</v>
      </c>
      <c r="L229">
        <v>55379.863665996156</v>
      </c>
      <c r="M229">
        <v>60248.059367370559</v>
      </c>
      <c r="N229">
        <v>64575.301162408221</v>
      </c>
      <c r="O229">
        <v>64575.301162408221</v>
      </c>
      <c r="P229">
        <v>64575.301162408221</v>
      </c>
      <c r="Q229">
        <v>68361.978506765285</v>
      </c>
      <c r="R229">
        <v>68361.978506765285</v>
      </c>
      <c r="S229">
        <v>72580.172718092203</v>
      </c>
      <c r="T229">
        <v>72580.172718092203</v>
      </c>
      <c r="U229">
        <v>76474.729279191713</v>
      </c>
      <c r="V229">
        <v>76474.729279191713</v>
      </c>
      <c r="W229">
        <v>79827.942478298399</v>
      </c>
      <c r="X229">
        <v>79827.942478298399</v>
      </c>
      <c r="Y229">
        <v>79827.942478298399</v>
      </c>
      <c r="Z229">
        <v>79827.942478298399</v>
      </c>
      <c r="AA229">
        <v>79827.942478298399</v>
      </c>
    </row>
    <row r="230" spans="1:27" x14ac:dyDescent="0.2">
      <c r="A230" t="s">
        <v>898</v>
      </c>
      <c r="B230" t="s">
        <v>899</v>
      </c>
      <c r="C230">
        <v>251.6492116229366</v>
      </c>
      <c r="D230">
        <v>274.63327075822491</v>
      </c>
      <c r="E230">
        <v>285.61860158855387</v>
      </c>
      <c r="F230">
        <v>302.63222839972525</v>
      </c>
      <c r="G230">
        <v>370.53510456388153</v>
      </c>
      <c r="H230">
        <v>385.35650874643682</v>
      </c>
      <c r="I230">
        <v>406.05591865823436</v>
      </c>
      <c r="J230">
        <v>481.54700378912628</v>
      </c>
      <c r="K230">
        <v>500.80888394069126</v>
      </c>
      <c r="L230">
        <v>603.34633221251363</v>
      </c>
      <c r="M230">
        <v>656.38380515812594</v>
      </c>
      <c r="N230">
        <v>703.52775411002176</v>
      </c>
      <c r="O230">
        <v>703.52775411002176</v>
      </c>
      <c r="P230">
        <v>703.52775411002176</v>
      </c>
      <c r="Q230">
        <v>744.78242206603682</v>
      </c>
      <c r="R230">
        <v>744.78242206603682</v>
      </c>
      <c r="S230">
        <v>790.73833162395124</v>
      </c>
      <c r="T230">
        <v>790.73833162395124</v>
      </c>
      <c r="U230">
        <v>833.16830998044099</v>
      </c>
      <c r="V230">
        <v>833.16830998044099</v>
      </c>
      <c r="W230">
        <v>869.70052134537866</v>
      </c>
      <c r="X230">
        <v>869.70052134537866</v>
      </c>
      <c r="Y230">
        <v>869.70052134537866</v>
      </c>
      <c r="Z230">
        <v>869.70052134537866</v>
      </c>
      <c r="AA230">
        <v>869.70052134537866</v>
      </c>
    </row>
    <row r="231" spans="1:27" x14ac:dyDescent="0.2">
      <c r="A231" t="s">
        <v>846</v>
      </c>
      <c r="B231" t="s">
        <v>847</v>
      </c>
      <c r="C231">
        <v>832.53753177534998</v>
      </c>
      <c r="D231">
        <v>908.57628325510029</v>
      </c>
      <c r="E231">
        <v>944.91933458530434</v>
      </c>
      <c r="F231">
        <v>1001.2059518990242</v>
      </c>
      <c r="G231">
        <v>1225.85077616678</v>
      </c>
      <c r="H231">
        <v>1274.8848072134513</v>
      </c>
      <c r="I231">
        <v>1343.3651951552008</v>
      </c>
      <c r="J231">
        <v>1593.1142854884813</v>
      </c>
      <c r="K231">
        <v>1656.8388569080203</v>
      </c>
      <c r="L231">
        <v>1996.0661231021852</v>
      </c>
      <c r="M231">
        <v>2171.5313531856536</v>
      </c>
      <c r="N231">
        <v>2327.4988869022463</v>
      </c>
      <c r="O231">
        <v>2327.4988869022463</v>
      </c>
      <c r="P231">
        <v>2327.4988869022463</v>
      </c>
      <c r="Q231">
        <v>2463.9827614703713</v>
      </c>
      <c r="R231">
        <v>2463.9827614703713</v>
      </c>
      <c r="S231">
        <v>2616.0198740330957</v>
      </c>
      <c r="T231">
        <v>2616.0198740330957</v>
      </c>
      <c r="U231">
        <v>2756.3920580998702</v>
      </c>
      <c r="V231">
        <v>2756.3920580998702</v>
      </c>
      <c r="W231">
        <v>2877.2525085813631</v>
      </c>
      <c r="X231">
        <v>2877.2525085813631</v>
      </c>
      <c r="Y231">
        <v>2877.2525085813631</v>
      </c>
      <c r="Z231">
        <v>2877.2525085813631</v>
      </c>
      <c r="AA231">
        <v>2877.2525085813631</v>
      </c>
    </row>
    <row r="232" spans="1:27" x14ac:dyDescent="0.2">
      <c r="A232" t="s">
        <v>885</v>
      </c>
      <c r="B232" t="s">
        <v>293</v>
      </c>
      <c r="C232">
        <v>380.24984058181894</v>
      </c>
      <c r="D232">
        <v>414.97947381115625</v>
      </c>
      <c r="E232">
        <v>431.57865276360246</v>
      </c>
      <c r="F232">
        <v>457.28677575331437</v>
      </c>
      <c r="G232">
        <v>559.89014840029643</v>
      </c>
      <c r="H232">
        <v>582.28575433630829</v>
      </c>
      <c r="I232">
        <v>613.56321103222797</v>
      </c>
      <c r="J232">
        <v>727.63260509566567</v>
      </c>
      <c r="K232">
        <v>756.73790929949223</v>
      </c>
      <c r="L232">
        <v>911.67520517883781</v>
      </c>
      <c r="M232">
        <v>991.8164879683502</v>
      </c>
      <c r="N232">
        <v>1063.0524714142919</v>
      </c>
      <c r="O232">
        <v>1063.0524714142919</v>
      </c>
      <c r="P232">
        <v>1063.0524714142919</v>
      </c>
      <c r="Q232">
        <v>1125.3895668192863</v>
      </c>
      <c r="R232">
        <v>1125.3895668192863</v>
      </c>
      <c r="S232">
        <v>1194.8303855307433</v>
      </c>
      <c r="T232">
        <v>1194.8303855307433</v>
      </c>
      <c r="U232">
        <v>1258.943411762353</v>
      </c>
      <c r="V232">
        <v>1258.943411762353</v>
      </c>
      <c r="W232">
        <v>1314.1447273477693</v>
      </c>
      <c r="X232">
        <v>1314.1447273477693</v>
      </c>
      <c r="Y232">
        <v>1314.1447273477693</v>
      </c>
      <c r="Z232">
        <v>1314.1447273477693</v>
      </c>
      <c r="AA232">
        <v>1314.1447273477693</v>
      </c>
    </row>
    <row r="233" spans="1:27" x14ac:dyDescent="0.2">
      <c r="A233" t="s">
        <v>852</v>
      </c>
      <c r="B233" t="s">
        <v>289</v>
      </c>
      <c r="C233">
        <v>808.03482981157049</v>
      </c>
      <c r="D233">
        <v>881.83565832197064</v>
      </c>
      <c r="E233">
        <v>917.10908465484943</v>
      </c>
      <c r="F233">
        <v>971.73911093699587</v>
      </c>
      <c r="G233">
        <v>1189.7723351667323</v>
      </c>
      <c r="H233">
        <v>1237.3632285734018</v>
      </c>
      <c r="I233">
        <v>1303.8281463746971</v>
      </c>
      <c r="J233">
        <v>1546.2267842747858</v>
      </c>
      <c r="K233">
        <v>1608.0758556457772</v>
      </c>
      <c r="L233">
        <v>1937.3192060592103</v>
      </c>
      <c r="M233">
        <v>2107.6202578640455</v>
      </c>
      <c r="N233">
        <v>2258.9974567923268</v>
      </c>
      <c r="O233">
        <v>2258.9974567923268</v>
      </c>
      <c r="P233">
        <v>2258.9974567923268</v>
      </c>
      <c r="Q233">
        <v>2391.4644269281998</v>
      </c>
      <c r="R233">
        <v>2391.4644269281998</v>
      </c>
      <c r="S233">
        <v>2539.0268822960538</v>
      </c>
      <c r="T233">
        <v>2539.0268822960538</v>
      </c>
      <c r="U233">
        <v>2675.2677237399216</v>
      </c>
      <c r="V233">
        <v>2675.2677237399216</v>
      </c>
      <c r="W233">
        <v>2792.5710882230919</v>
      </c>
      <c r="X233">
        <v>2792.5710882230919</v>
      </c>
      <c r="Y233">
        <v>2792.5710882230919</v>
      </c>
      <c r="Z233">
        <v>2792.5710882230919</v>
      </c>
      <c r="AA233">
        <v>2792.5710882230919</v>
      </c>
    </row>
    <row r="234" spans="1:27" x14ac:dyDescent="0.2">
      <c r="A234" t="s">
        <v>875</v>
      </c>
      <c r="B234" t="s">
        <v>876</v>
      </c>
      <c r="C234">
        <v>546.40139585707868</v>
      </c>
      <c r="D234">
        <v>596.30626904539793</v>
      </c>
      <c r="E234">
        <v>620.15851980721379</v>
      </c>
      <c r="F234">
        <v>657.09990093955253</v>
      </c>
      <c r="G234">
        <v>804.53619163772555</v>
      </c>
      <c r="H234">
        <v>836.71763930323459</v>
      </c>
      <c r="I234">
        <v>881.66189482576272</v>
      </c>
      <c r="J234">
        <v>1045.5743268348497</v>
      </c>
      <c r="K234">
        <v>1087.3972999082434</v>
      </c>
      <c r="L234">
        <v>1310.035012548072</v>
      </c>
      <c r="M234">
        <v>1425.1943212672147</v>
      </c>
      <c r="N234">
        <v>1527.5571276014859</v>
      </c>
      <c r="O234">
        <v>1527.5571276014859</v>
      </c>
      <c r="P234">
        <v>1527.5571276014859</v>
      </c>
      <c r="Q234">
        <v>1617.1326442955838</v>
      </c>
      <c r="R234">
        <v>1617.1326442955838</v>
      </c>
      <c r="S234">
        <v>1716.915882114547</v>
      </c>
      <c r="T234">
        <v>1716.915882114547</v>
      </c>
      <c r="U234">
        <v>1809.0433290898609</v>
      </c>
      <c r="V234">
        <v>1809.0433290898609</v>
      </c>
      <c r="W234">
        <v>1888.3650609356064</v>
      </c>
      <c r="X234">
        <v>1888.3650609356064</v>
      </c>
      <c r="Y234">
        <v>1888.3650609356064</v>
      </c>
      <c r="Z234">
        <v>1888.3650609356064</v>
      </c>
      <c r="AA234">
        <v>1888.3650609356064</v>
      </c>
    </row>
    <row r="235" spans="1:27" x14ac:dyDescent="0.2">
      <c r="A235" t="s">
        <v>938</v>
      </c>
      <c r="B235" t="s">
        <v>939</v>
      </c>
      <c r="C235">
        <v>11.433169700500036</v>
      </c>
      <c r="D235">
        <v>12.477403643477063</v>
      </c>
      <c r="E235">
        <v>12.976499789216144</v>
      </c>
      <c r="F235">
        <v>13.749479292305397</v>
      </c>
      <c r="G235">
        <v>16.834508255162188</v>
      </c>
      <c r="H235">
        <v>17.507888585368676</v>
      </c>
      <c r="I235">
        <v>18.448324141258269</v>
      </c>
      <c r="J235">
        <v>21.878107932791174</v>
      </c>
      <c r="K235">
        <v>22.753232250102819</v>
      </c>
      <c r="L235">
        <v>27.411812498327755</v>
      </c>
      <c r="M235">
        <v>29.821462124337536</v>
      </c>
      <c r="N235">
        <v>31.963351483905104</v>
      </c>
      <c r="O235">
        <v>31.963351483905104</v>
      </c>
      <c r="P235">
        <v>31.963351483905104</v>
      </c>
      <c r="Q235">
        <v>33.837673349000553</v>
      </c>
      <c r="R235">
        <v>33.837673349000553</v>
      </c>
      <c r="S235">
        <v>35.925586556945511</v>
      </c>
      <c r="T235">
        <v>35.925586556945511</v>
      </c>
      <c r="U235">
        <v>37.853306257753331</v>
      </c>
      <c r="V235">
        <v>37.853306257753331</v>
      </c>
      <c r="W235">
        <v>39.513072920148872</v>
      </c>
      <c r="X235">
        <v>39.513072920148872</v>
      </c>
      <c r="Y235">
        <v>39.513072920148872</v>
      </c>
      <c r="Z235">
        <v>39.513072920148872</v>
      </c>
      <c r="AA235">
        <v>39.513072920148872</v>
      </c>
    </row>
    <row r="236" spans="1:27" x14ac:dyDescent="0.2">
      <c r="A236" t="s">
        <v>883</v>
      </c>
      <c r="B236" t="s">
        <v>884</v>
      </c>
      <c r="C236">
        <v>410.25022282153827</v>
      </c>
      <c r="D236">
        <v>447.71990262218026</v>
      </c>
      <c r="E236">
        <v>465.62869872706744</v>
      </c>
      <c r="F236">
        <v>493.36510268903953</v>
      </c>
      <c r="G236">
        <v>604.06352251285659</v>
      </c>
      <c r="H236">
        <v>628.22606341337087</v>
      </c>
      <c r="I236">
        <v>661.97120202844178</v>
      </c>
      <c r="J236">
        <v>785.04027224827212</v>
      </c>
      <c r="K236">
        <v>816.44188313820291</v>
      </c>
      <c r="L236">
        <v>983.60318966396107</v>
      </c>
      <c r="M236">
        <v>1070.0673393169757</v>
      </c>
      <c r="N236">
        <v>1146.9235926605472</v>
      </c>
      <c r="O236">
        <v>1146.9235926605472</v>
      </c>
      <c r="P236">
        <v>1146.9235926605472</v>
      </c>
      <c r="Q236">
        <v>1214.1788668266483</v>
      </c>
      <c r="R236">
        <v>1214.1788668266483</v>
      </c>
      <c r="S236">
        <v>1289.0983232179929</v>
      </c>
      <c r="T236">
        <v>1289.0983232179929</v>
      </c>
      <c r="U236">
        <v>1358.2696429404043</v>
      </c>
      <c r="V236">
        <v>1358.2696429404043</v>
      </c>
      <c r="W236">
        <v>1417.826149221401</v>
      </c>
      <c r="X236">
        <v>1417.826149221401</v>
      </c>
      <c r="Y236">
        <v>1417.826149221401</v>
      </c>
      <c r="Z236">
        <v>1417.826149221401</v>
      </c>
      <c r="AA236">
        <v>1417.826149221401</v>
      </c>
    </row>
    <row r="237" spans="1:27" x14ac:dyDescent="0.2">
      <c r="A237" t="s">
        <v>946</v>
      </c>
      <c r="B237" t="s">
        <v>947</v>
      </c>
      <c r="C237">
        <v>3.6396968483636201</v>
      </c>
      <c r="D237">
        <v>3.9721239084676583</v>
      </c>
      <c r="E237">
        <v>4.1310088648063648</v>
      </c>
      <c r="F237">
        <v>4.3770833249029888</v>
      </c>
      <c r="G237">
        <v>5.359188068150984</v>
      </c>
      <c r="H237">
        <v>5.5735555908770245</v>
      </c>
      <c r="I237">
        <v>5.8729389131337326</v>
      </c>
      <c r="J237">
        <v>6.9647947662017557</v>
      </c>
      <c r="K237">
        <v>7.2433865568498259</v>
      </c>
      <c r="L237">
        <v>8.7264240951251253</v>
      </c>
      <c r="M237">
        <v>9.493524941101791</v>
      </c>
      <c r="N237">
        <v>10.175385541073529</v>
      </c>
      <c r="O237">
        <v>10.175385541073529</v>
      </c>
      <c r="P237">
        <v>10.175385541073529</v>
      </c>
      <c r="Q237">
        <v>10.772067263108021</v>
      </c>
      <c r="R237">
        <v>10.772067263108021</v>
      </c>
      <c r="S237">
        <v>11.436744804129885</v>
      </c>
      <c r="T237">
        <v>11.436744804129885</v>
      </c>
      <c r="U237">
        <v>12.050425480911217</v>
      </c>
      <c r="V237">
        <v>12.050425480911217</v>
      </c>
      <c r="W237">
        <v>12.578804543619945</v>
      </c>
      <c r="X237">
        <v>12.578804543619945</v>
      </c>
      <c r="Y237">
        <v>12.578804543619945</v>
      </c>
      <c r="Z237">
        <v>12.578804543619945</v>
      </c>
      <c r="AA237">
        <v>12.578804543619945</v>
      </c>
    </row>
    <row r="238" spans="1:27" x14ac:dyDescent="0.2">
      <c r="A238" t="s">
        <v>914</v>
      </c>
      <c r="B238" t="s">
        <v>915</v>
      </c>
      <c r="C238">
        <v>128.01252622518734</v>
      </c>
      <c r="D238">
        <v>139.704386707651</v>
      </c>
      <c r="E238">
        <v>145.29256217595704</v>
      </c>
      <c r="F238">
        <v>153.94729760828579</v>
      </c>
      <c r="G238">
        <v>188.48910546721186</v>
      </c>
      <c r="H238">
        <v>196.02866968590035</v>
      </c>
      <c r="I238">
        <v>206.55834207029167</v>
      </c>
      <c r="J238">
        <v>244.96022877902533</v>
      </c>
      <c r="K238">
        <v>254.75863793018632</v>
      </c>
      <c r="L238">
        <v>306.9188561216431</v>
      </c>
      <c r="M238">
        <v>333.89871770190103</v>
      </c>
      <c r="N238">
        <v>357.88057706336065</v>
      </c>
      <c r="O238">
        <v>357.88057706336065</v>
      </c>
      <c r="P238">
        <v>357.88057706336065</v>
      </c>
      <c r="Q238">
        <v>378.86659259494843</v>
      </c>
      <c r="R238">
        <v>378.86659259494843</v>
      </c>
      <c r="S238">
        <v>402.24410305701042</v>
      </c>
      <c r="T238">
        <v>402.24410305701042</v>
      </c>
      <c r="U238">
        <v>423.8279923212167</v>
      </c>
      <c r="V238">
        <v>423.8279923212167</v>
      </c>
      <c r="W238">
        <v>442.41172097769834</v>
      </c>
      <c r="X238">
        <v>442.41172097769834</v>
      </c>
      <c r="Y238">
        <v>442.41172097769834</v>
      </c>
      <c r="Z238">
        <v>442.41172097769834</v>
      </c>
      <c r="AA238">
        <v>442.41172097769834</v>
      </c>
    </row>
    <row r="239" spans="1:27" x14ac:dyDescent="0.2">
      <c r="A239" t="s">
        <v>936</v>
      </c>
      <c r="B239" t="s">
        <v>937</v>
      </c>
      <c r="C239">
        <v>15.980303360027683</v>
      </c>
      <c r="D239">
        <v>17.439843944550006</v>
      </c>
      <c r="E239">
        <v>18.137437702332004</v>
      </c>
      <c r="F239">
        <v>19.217842111085726</v>
      </c>
      <c r="G239">
        <v>23.529830823959195</v>
      </c>
      <c r="H239">
        <v>24.471024056917564</v>
      </c>
      <c r="I239">
        <v>25.785484164425167</v>
      </c>
      <c r="J239">
        <v>30.579341588373374</v>
      </c>
      <c r="K239">
        <v>31.802515251908307</v>
      </c>
      <c r="L239">
        <v>38.313878902043896</v>
      </c>
      <c r="M239">
        <v>41.681880342040841</v>
      </c>
      <c r="N239">
        <v>44.675629462025313</v>
      </c>
      <c r="O239">
        <v>44.675629462025313</v>
      </c>
      <c r="P239">
        <v>44.675629462025313</v>
      </c>
      <c r="Q239">
        <v>47.295395702112536</v>
      </c>
      <c r="R239">
        <v>47.295395702112536</v>
      </c>
      <c r="S239">
        <v>50.213701589841101</v>
      </c>
      <c r="T239">
        <v>50.213701589841101</v>
      </c>
      <c r="U239">
        <v>52.908102741838647</v>
      </c>
      <c r="V239">
        <v>52.908102741838647</v>
      </c>
      <c r="W239">
        <v>55.227982133708544</v>
      </c>
      <c r="X239">
        <v>55.227982133708544</v>
      </c>
      <c r="Y239">
        <v>55.227982133708544</v>
      </c>
      <c r="Z239">
        <v>55.227982133708544</v>
      </c>
      <c r="AA239">
        <v>55.227982133708544</v>
      </c>
    </row>
    <row r="240" spans="1:27" x14ac:dyDescent="0.2">
      <c r="A240" t="s">
        <v>942</v>
      </c>
      <c r="B240" t="s">
        <v>943</v>
      </c>
      <c r="C240">
        <v>5.1525018573392822</v>
      </c>
      <c r="D240">
        <v>5.623099029569703</v>
      </c>
      <c r="E240">
        <v>5.848022990752491</v>
      </c>
      <c r="F240">
        <v>6.1963759348339895</v>
      </c>
      <c r="G240">
        <v>7.5866830742766842</v>
      </c>
      <c r="H240">
        <v>7.8901503972477522</v>
      </c>
      <c r="I240">
        <v>8.3139695196226349</v>
      </c>
      <c r="J240">
        <v>9.8596447627157691</v>
      </c>
      <c r="K240">
        <v>10.2540305532244</v>
      </c>
      <c r="L240">
        <v>12.353478388805225</v>
      </c>
      <c r="M240">
        <v>13.43941732776887</v>
      </c>
      <c r="N240">
        <v>14.404686731834872</v>
      </c>
      <c r="O240">
        <v>14.404686731834872</v>
      </c>
      <c r="P240">
        <v>14.404686731834872</v>
      </c>
      <c r="Q240">
        <v>15.249373476118354</v>
      </c>
      <c r="R240">
        <v>15.249373476118354</v>
      </c>
      <c r="S240">
        <v>16.190317847951576</v>
      </c>
      <c r="T240">
        <v>16.190317847951576</v>
      </c>
      <c r="U240">
        <v>17.059068999122488</v>
      </c>
      <c r="V240">
        <v>17.059068999122488</v>
      </c>
      <c r="W240">
        <v>17.807063740280647</v>
      </c>
      <c r="X240">
        <v>17.807063740280647</v>
      </c>
      <c r="Y240">
        <v>17.807063740280647</v>
      </c>
      <c r="Z240">
        <v>17.807063740280647</v>
      </c>
      <c r="AA240">
        <v>17.807063740280647</v>
      </c>
    </row>
    <row r="241" spans="1:27" x14ac:dyDescent="0.2">
      <c r="A241" t="s">
        <v>874</v>
      </c>
      <c r="B241" t="s">
        <v>283</v>
      </c>
      <c r="C241">
        <v>549.99744663012598</v>
      </c>
      <c r="D241">
        <v>600.23076052004001</v>
      </c>
      <c r="E241">
        <v>624.23999094084161</v>
      </c>
      <c r="F241">
        <v>661.4244956874054</v>
      </c>
      <c r="G241">
        <v>809.83111404425631</v>
      </c>
      <c r="H241">
        <v>842.22435860602661</v>
      </c>
      <c r="I241">
        <v>887.46440734219095</v>
      </c>
      <c r="J241">
        <v>1052.4556020197256</v>
      </c>
      <c r="K241">
        <v>1094.5538261005145</v>
      </c>
      <c r="L241">
        <v>1318.6567921689</v>
      </c>
      <c r="M241">
        <v>1434.5740029071133</v>
      </c>
      <c r="N241">
        <v>1537.6104931880959</v>
      </c>
      <c r="O241">
        <v>1537.6104931880959</v>
      </c>
      <c r="P241">
        <v>1537.6104931880959</v>
      </c>
      <c r="Q241">
        <v>1627.7755363887077</v>
      </c>
      <c r="R241">
        <v>1627.7755363887077</v>
      </c>
      <c r="S241">
        <v>1728.2154811491553</v>
      </c>
      <c r="T241">
        <v>1728.2154811491553</v>
      </c>
      <c r="U241">
        <v>1820.9492497397255</v>
      </c>
      <c r="V241">
        <v>1820.9492497397255</v>
      </c>
      <c r="W241">
        <v>1900.7930244962067</v>
      </c>
      <c r="X241">
        <v>1900.7930244962067</v>
      </c>
      <c r="Y241">
        <v>1900.7930244962067</v>
      </c>
      <c r="Z241">
        <v>1900.7930244962067</v>
      </c>
      <c r="AA241">
        <v>1900.7930244962067</v>
      </c>
    </row>
    <row r="242" spans="1:27" x14ac:dyDescent="0.2">
      <c r="A242" t="s">
        <v>1005</v>
      </c>
      <c r="B242" t="s">
        <v>1006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1007</v>
      </c>
      <c r="B243" t="s">
        <v>1008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994</v>
      </c>
      <c r="B244" t="s">
        <v>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1009</v>
      </c>
      <c r="B245" t="s">
        <v>1010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1013</v>
      </c>
      <c r="B246" t="s">
        <v>1014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932</v>
      </c>
      <c r="B247" t="s">
        <v>933</v>
      </c>
      <c r="C247">
        <v>26.083099955836616</v>
      </c>
      <c r="D247">
        <v>28.465366556039001</v>
      </c>
      <c r="E247">
        <v>29.603981218280563</v>
      </c>
      <c r="F247">
        <v>31.367420594327619</v>
      </c>
      <c r="G247">
        <v>38.405461742385221</v>
      </c>
      <c r="H247">
        <v>39.941680212080634</v>
      </c>
      <c r="I247">
        <v>42.087146014553426</v>
      </c>
      <c r="J247">
        <v>49.911694744688042</v>
      </c>
      <c r="K247">
        <v>51.908162534475558</v>
      </c>
      <c r="L247">
        <v>62.536030173090495</v>
      </c>
      <c r="M247">
        <v>68.033292410963909</v>
      </c>
      <c r="N247">
        <v>72.919698868964829</v>
      </c>
      <c r="O247">
        <v>72.919698868964829</v>
      </c>
      <c r="P247">
        <v>72.919698868964829</v>
      </c>
      <c r="Q247">
        <v>77.195689328072291</v>
      </c>
      <c r="R247">
        <v>77.195689328072291</v>
      </c>
      <c r="S247">
        <v>81.958957111944869</v>
      </c>
      <c r="T247">
        <v>81.958957111944869</v>
      </c>
      <c r="U247">
        <v>86.356766902243606</v>
      </c>
      <c r="V247">
        <v>86.356766902243606</v>
      </c>
      <c r="W247">
        <v>90.143281131690813</v>
      </c>
      <c r="X247">
        <v>90.143281131690813</v>
      </c>
      <c r="Y247">
        <v>90.143281131690813</v>
      </c>
      <c r="Z247">
        <v>90.143281131690813</v>
      </c>
      <c r="AA247">
        <v>90.143281131690813</v>
      </c>
    </row>
    <row r="248" spans="1:27" x14ac:dyDescent="0.2">
      <c r="A248" t="s">
        <v>708</v>
      </c>
      <c r="B248" t="s">
        <v>709</v>
      </c>
      <c r="C248">
        <v>3265.8960054898093</v>
      </c>
      <c r="D248">
        <v>3564.1824433283368</v>
      </c>
      <c r="E248">
        <v>3706.7497410614701</v>
      </c>
      <c r="F248">
        <v>3927.5520852577852</v>
      </c>
      <c r="G248">
        <v>4808.7935983767329</v>
      </c>
      <c r="H248">
        <v>5001.1453423118028</v>
      </c>
      <c r="I248">
        <v>5269.7816702818218</v>
      </c>
      <c r="J248">
        <v>6249.5027343338243</v>
      </c>
      <c r="K248">
        <v>6499.4828437071765</v>
      </c>
      <c r="L248">
        <v>7830.2108065105385</v>
      </c>
      <c r="M248">
        <v>8518.5295575101991</v>
      </c>
      <c r="N248">
        <v>9130.3623288987765</v>
      </c>
      <c r="O248">
        <v>9130.3623288987765</v>
      </c>
      <c r="P248">
        <v>9130.3623288987765</v>
      </c>
      <c r="Q248">
        <v>9665.7641861763532</v>
      </c>
      <c r="R248">
        <v>9665.7641861763532</v>
      </c>
      <c r="S248">
        <v>10262.178617542542</v>
      </c>
      <c r="T248">
        <v>10262.178617542542</v>
      </c>
      <c r="U248">
        <v>10812.833618342269</v>
      </c>
      <c r="V248">
        <v>10812.833618342269</v>
      </c>
      <c r="W248">
        <v>11286.947574030835</v>
      </c>
      <c r="X248">
        <v>11286.947574030835</v>
      </c>
      <c r="Y248">
        <v>11286.947574030835</v>
      </c>
      <c r="Z248">
        <v>11286.947574030835</v>
      </c>
      <c r="AA248">
        <v>11286.947574030835</v>
      </c>
    </row>
    <row r="249" spans="1:27" x14ac:dyDescent="0.2">
      <c r="A249" t="s">
        <v>382</v>
      </c>
      <c r="B249" t="s">
        <v>383</v>
      </c>
      <c r="C249">
        <v>81728.846755962295</v>
      </c>
      <c r="D249">
        <v>89193.446524757033</v>
      </c>
      <c r="E249">
        <v>92761.1843857473</v>
      </c>
      <c r="F249">
        <v>98286.749474728582</v>
      </c>
      <c r="G249">
        <v>120339.76416338493</v>
      </c>
      <c r="H249">
        <v>125153.35472992032</v>
      </c>
      <c r="I249">
        <v>131875.96232209113</v>
      </c>
      <c r="J249">
        <v>156393.42171850125</v>
      </c>
      <c r="K249">
        <v>162649.15858724128</v>
      </c>
      <c r="L249">
        <v>195950.54404563055</v>
      </c>
      <c r="M249">
        <v>213175.6784727966</v>
      </c>
      <c r="N249">
        <v>228486.75596241595</v>
      </c>
      <c r="O249">
        <v>228486.75596241595</v>
      </c>
      <c r="P249">
        <v>228486.75596241595</v>
      </c>
      <c r="Q249">
        <v>241885.1545252428</v>
      </c>
      <c r="R249">
        <v>241885.1545252428</v>
      </c>
      <c r="S249">
        <v>256810.38900369374</v>
      </c>
      <c r="T249">
        <v>256810.38900369374</v>
      </c>
      <c r="U249">
        <v>270590.49654542655</v>
      </c>
      <c r="V249">
        <v>270590.49654542655</v>
      </c>
      <c r="W249">
        <v>282455.16913885856</v>
      </c>
      <c r="X249">
        <v>282455.16913885856</v>
      </c>
      <c r="Y249">
        <v>282455.16913885856</v>
      </c>
      <c r="Z249">
        <v>282455.16913885856</v>
      </c>
      <c r="AA249">
        <v>282455.16913885856</v>
      </c>
    </row>
    <row r="250" spans="1:27" x14ac:dyDescent="0.2">
      <c r="A250" t="s">
        <v>1015</v>
      </c>
      <c r="B250" t="s">
        <v>1016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950</v>
      </c>
      <c r="B251" t="s">
        <v>951</v>
      </c>
      <c r="C251">
        <v>1.8458429564823824</v>
      </c>
      <c r="D251">
        <v>2.0144306639209999</v>
      </c>
      <c r="E251">
        <v>2.0950078904778398</v>
      </c>
      <c r="F251">
        <v>2.2198025719754955</v>
      </c>
      <c r="G251">
        <v>2.717869086407124</v>
      </c>
      <c r="H251">
        <v>2.8265838498634093</v>
      </c>
      <c r="I251">
        <v>2.9784136916603412</v>
      </c>
      <c r="J251">
        <v>3.5321395979225012</v>
      </c>
      <c r="K251">
        <v>3.6734251818394013</v>
      </c>
      <c r="L251">
        <v>4.4255357306767777</v>
      </c>
      <c r="M251">
        <v>4.8145647494243988</v>
      </c>
      <c r="N251">
        <v>5.1603648636087831</v>
      </c>
      <c r="O251">
        <v>5.1603648636087831</v>
      </c>
      <c r="P251">
        <v>5.1603648636087831</v>
      </c>
      <c r="Q251">
        <v>5.4629671955514327</v>
      </c>
      <c r="R251">
        <v>5.4629671955514327</v>
      </c>
      <c r="S251">
        <v>5.8000530597158724</v>
      </c>
      <c r="T251">
        <v>5.8000530597158724</v>
      </c>
      <c r="U251">
        <v>6.1112762747139682</v>
      </c>
      <c r="V251">
        <v>6.1112762747139682</v>
      </c>
      <c r="W251">
        <v>6.3792394628273295</v>
      </c>
      <c r="X251">
        <v>6.3792394628273295</v>
      </c>
      <c r="Y251">
        <v>6.3792394628273295</v>
      </c>
      <c r="Z251">
        <v>6.3792394628273295</v>
      </c>
      <c r="AA251">
        <v>6.3792394628273295</v>
      </c>
    </row>
    <row r="252" spans="1:27" x14ac:dyDescent="0.2">
      <c r="A252" t="s">
        <v>813</v>
      </c>
      <c r="B252" t="s">
        <v>814</v>
      </c>
      <c r="C252">
        <v>1284.7210216743019</v>
      </c>
      <c r="D252">
        <v>1402.0593743123945</v>
      </c>
      <c r="E252">
        <v>1458.1417492848905</v>
      </c>
      <c r="F252">
        <v>1544.9998160289435</v>
      </c>
      <c r="G252">
        <v>1891.6579751292015</v>
      </c>
      <c r="H252">
        <v>1967.3242941343697</v>
      </c>
      <c r="I252">
        <v>2072.9990422428032</v>
      </c>
      <c r="J252">
        <v>2458.3965699806627</v>
      </c>
      <c r="K252">
        <v>2556.7324327798888</v>
      </c>
      <c r="L252">
        <v>3080.2072112387013</v>
      </c>
      <c r="M252">
        <v>3350.9744271988557</v>
      </c>
      <c r="N252">
        <v>3591.6539901215169</v>
      </c>
      <c r="O252">
        <v>3591.6539901215169</v>
      </c>
      <c r="P252">
        <v>3591.6539901215169</v>
      </c>
      <c r="Q252">
        <v>3802.2675613839633</v>
      </c>
      <c r="R252">
        <v>3802.2675613839633</v>
      </c>
      <c r="S252">
        <v>4036.8819386691184</v>
      </c>
      <c r="T252">
        <v>4036.8819386691184</v>
      </c>
      <c r="U252">
        <v>4253.495711437241</v>
      </c>
      <c r="V252">
        <v>4253.495711437241</v>
      </c>
      <c r="W252">
        <v>4440.0001697905955</v>
      </c>
      <c r="X252">
        <v>4440.0001697905955</v>
      </c>
      <c r="Y252">
        <v>4440.0001697905955</v>
      </c>
      <c r="Z252">
        <v>4440.0001697905955</v>
      </c>
      <c r="AA252">
        <v>4440.0001697905955</v>
      </c>
    </row>
    <row r="253" spans="1:27" x14ac:dyDescent="0.2">
      <c r="A253" t="s">
        <v>878</v>
      </c>
      <c r="B253" t="s">
        <v>237</v>
      </c>
      <c r="C253">
        <v>466.34493775420327</v>
      </c>
      <c r="D253">
        <v>508.93795665404076</v>
      </c>
      <c r="E253">
        <v>529.29547492020242</v>
      </c>
      <c r="F253">
        <v>560.82435865903699</v>
      </c>
      <c r="G253">
        <v>686.65889775368919</v>
      </c>
      <c r="H253">
        <v>714.12525366383682</v>
      </c>
      <c r="I253">
        <v>752.48446394950156</v>
      </c>
      <c r="J253">
        <v>892.38112871280293</v>
      </c>
      <c r="K253">
        <v>928.07637386131501</v>
      </c>
      <c r="L253">
        <v>1118.0941355837185</v>
      </c>
      <c r="M253">
        <v>1216.3807817446534</v>
      </c>
      <c r="N253">
        <v>1303.7458157841852</v>
      </c>
      <c r="O253">
        <v>1303.7458157841852</v>
      </c>
      <c r="P253">
        <v>1303.7458157841852</v>
      </c>
      <c r="Q253">
        <v>1380.1971006340068</v>
      </c>
      <c r="R253">
        <v>1380.1971006340068</v>
      </c>
      <c r="S253">
        <v>1465.3605137995341</v>
      </c>
      <c r="T253">
        <v>1465.3605137995341</v>
      </c>
      <c r="U253">
        <v>1543.989830728282</v>
      </c>
      <c r="V253">
        <v>1543.989830728282</v>
      </c>
      <c r="W253">
        <v>1611.6896726039338</v>
      </c>
      <c r="X253">
        <v>1611.6896726039338</v>
      </c>
      <c r="Y253">
        <v>1611.6896726039338</v>
      </c>
      <c r="Z253">
        <v>1611.6896726039338</v>
      </c>
      <c r="AA253">
        <v>1611.6896726039338</v>
      </c>
    </row>
    <row r="254" spans="1:27" x14ac:dyDescent="0.2">
      <c r="A254" t="s">
        <v>861</v>
      </c>
      <c r="B254" t="s">
        <v>285</v>
      </c>
      <c r="C254">
        <v>707.29458300796296</v>
      </c>
      <c r="D254">
        <v>771.89442982283128</v>
      </c>
      <c r="E254">
        <v>802.77020701574452</v>
      </c>
      <c r="F254">
        <v>850.58933588665627</v>
      </c>
      <c r="G254">
        <v>1041.4396714463437</v>
      </c>
      <c r="H254">
        <v>1083.0972583041976</v>
      </c>
      <c r="I254">
        <v>1141.2757854994773</v>
      </c>
      <c r="J254">
        <v>1353.4538218784564</v>
      </c>
      <c r="K254">
        <v>1407.5919747535945</v>
      </c>
      <c r="L254">
        <v>1695.7875198554293</v>
      </c>
      <c r="M254">
        <v>1844.8566032391336</v>
      </c>
      <c r="N254">
        <v>1977.3611300772404</v>
      </c>
      <c r="O254">
        <v>1977.3611300772404</v>
      </c>
      <c r="P254">
        <v>1977.3611300772404</v>
      </c>
      <c r="Q254">
        <v>2093.3130258964211</v>
      </c>
      <c r="R254">
        <v>2093.3130258964211</v>
      </c>
      <c r="S254">
        <v>2222.4784052667337</v>
      </c>
      <c r="T254">
        <v>2222.4784052667337</v>
      </c>
      <c r="U254">
        <v>2341.7336719736968</v>
      </c>
      <c r="V254">
        <v>2341.7336719736968</v>
      </c>
      <c r="W254">
        <v>2444.4124566083919</v>
      </c>
      <c r="X254">
        <v>2444.4124566083919</v>
      </c>
      <c r="Y254">
        <v>2444.4124566083919</v>
      </c>
      <c r="Z254">
        <v>2444.4124566083919</v>
      </c>
      <c r="AA254">
        <v>2444.4124566083919</v>
      </c>
    </row>
    <row r="255" spans="1:27" x14ac:dyDescent="0.2">
      <c r="A255" t="s">
        <v>920</v>
      </c>
      <c r="B255" t="s">
        <v>921</v>
      </c>
      <c r="C255">
        <v>89.073563937950581</v>
      </c>
      <c r="D255">
        <v>97.208984063996141</v>
      </c>
      <c r="E255">
        <v>101.09734342655598</v>
      </c>
      <c r="F255">
        <v>107.11947385886599</v>
      </c>
      <c r="G255">
        <v>131.15432436593363</v>
      </c>
      <c r="H255">
        <v>136.40049734057098</v>
      </c>
      <c r="I255">
        <v>143.7272447615762</v>
      </c>
      <c r="J255">
        <v>170.44801195486744</v>
      </c>
      <c r="K255">
        <v>177.26593243306212</v>
      </c>
      <c r="L255">
        <v>213.56000979484477</v>
      </c>
      <c r="M255">
        <v>232.33311346189291</v>
      </c>
      <c r="N255">
        <v>249.02014984945862</v>
      </c>
      <c r="O255">
        <v>249.02014984945862</v>
      </c>
      <c r="P255">
        <v>249.02014984945862</v>
      </c>
      <c r="Q255">
        <v>263.62262080583531</v>
      </c>
      <c r="R255">
        <v>263.62262080583531</v>
      </c>
      <c r="S255">
        <v>279.88913967125927</v>
      </c>
      <c r="T255">
        <v>279.88913967125927</v>
      </c>
      <c r="U255">
        <v>294.90762260489771</v>
      </c>
      <c r="V255">
        <v>294.90762260489771</v>
      </c>
      <c r="W255">
        <v>307.83853641076047</v>
      </c>
      <c r="X255">
        <v>307.83853641076047</v>
      </c>
      <c r="Y255">
        <v>307.83853641076047</v>
      </c>
      <c r="Z255">
        <v>307.83853641076047</v>
      </c>
      <c r="AA255">
        <v>307.83853641076047</v>
      </c>
    </row>
    <row r="256" spans="1:27" x14ac:dyDescent="0.2">
      <c r="A256" t="s">
        <v>748</v>
      </c>
      <c r="B256" t="s">
        <v>749</v>
      </c>
      <c r="C256">
        <v>2334.6998266238893</v>
      </c>
      <c r="D256">
        <v>2547.9366515366355</v>
      </c>
      <c r="E256">
        <v>2649.8541175981009</v>
      </c>
      <c r="F256">
        <v>2807.6996809126531</v>
      </c>
      <c r="G256">
        <v>3437.6751621999133</v>
      </c>
      <c r="H256">
        <v>3575.1821686879098</v>
      </c>
      <c r="I256">
        <v>3767.2229401277268</v>
      </c>
      <c r="J256">
        <v>4467.5987618125118</v>
      </c>
      <c r="K256">
        <v>4646.3027122850126</v>
      </c>
      <c r="L256">
        <v>5597.6037760108966</v>
      </c>
      <c r="M256">
        <v>6089.6640455110773</v>
      </c>
      <c r="N256">
        <v>6527.0465778643975</v>
      </c>
      <c r="O256">
        <v>6527.0465778643975</v>
      </c>
      <c r="P256">
        <v>6527.0465778643975</v>
      </c>
      <c r="Q256">
        <v>6909.7907378924183</v>
      </c>
      <c r="R256">
        <v>6909.7907378924183</v>
      </c>
      <c r="S256">
        <v>7336.1511202089378</v>
      </c>
      <c r="T256">
        <v>7336.1511202089378</v>
      </c>
      <c r="U256">
        <v>7729.7993358090816</v>
      </c>
      <c r="V256">
        <v>7729.7993358090816</v>
      </c>
      <c r="W256">
        <v>8068.7304494408063</v>
      </c>
      <c r="X256">
        <v>8068.7304494408063</v>
      </c>
      <c r="Y256">
        <v>8068.7304494408063</v>
      </c>
      <c r="Z256">
        <v>8068.7304494408063</v>
      </c>
      <c r="AA256">
        <v>8068.7304494408063</v>
      </c>
    </row>
    <row r="257" spans="1:27" x14ac:dyDescent="0.2">
      <c r="A257" t="s">
        <v>629</v>
      </c>
      <c r="B257" t="s">
        <v>630</v>
      </c>
      <c r="C257">
        <v>5902.7695740649515</v>
      </c>
      <c r="D257">
        <v>6441.8914893585797</v>
      </c>
      <c r="E257">
        <v>6699.5671489329225</v>
      </c>
      <c r="F257">
        <v>7098.644571181937</v>
      </c>
      <c r="G257">
        <v>8691.3975499349581</v>
      </c>
      <c r="H257">
        <v>9039.0534519323573</v>
      </c>
      <c r="I257">
        <v>9524.5858573011992</v>
      </c>
      <c r="J257">
        <v>11295.330448750421</v>
      </c>
      <c r="K257">
        <v>11747.143666700436</v>
      </c>
      <c r="L257">
        <v>14152.296959086138</v>
      </c>
      <c r="M257">
        <v>15396.361979475492</v>
      </c>
      <c r="N257">
        <v>16502.186494799178</v>
      </c>
      <c r="O257">
        <v>16502.186494799178</v>
      </c>
      <c r="P257">
        <v>16502.186494799178</v>
      </c>
      <c r="Q257">
        <v>17469.870030258833</v>
      </c>
      <c r="R257">
        <v>17469.870030258833</v>
      </c>
      <c r="S257">
        <v>18547.827489125804</v>
      </c>
      <c r="T257">
        <v>18547.827489125804</v>
      </c>
      <c r="U257">
        <v>19543.079505437283</v>
      </c>
      <c r="V257">
        <v>19543.079505437283</v>
      </c>
      <c r="W257">
        <v>20399.991491481473</v>
      </c>
      <c r="X257">
        <v>20399.991491481473</v>
      </c>
      <c r="Y257">
        <v>20399.991491481473</v>
      </c>
      <c r="Z257">
        <v>20399.991491481473</v>
      </c>
      <c r="AA257">
        <v>20399.991491481473</v>
      </c>
    </row>
    <row r="258" spans="1:27" x14ac:dyDescent="0.2">
      <c r="A258" t="s">
        <v>775</v>
      </c>
      <c r="B258" t="s">
        <v>776</v>
      </c>
      <c r="C258">
        <v>1807.1145921583225</v>
      </c>
      <c r="D258">
        <v>1972.1650939363442</v>
      </c>
      <c r="E258">
        <v>2051.0516976937979</v>
      </c>
      <c r="F258">
        <v>2173.2280124047379</v>
      </c>
      <c r="G258">
        <v>2660.8443954420454</v>
      </c>
      <c r="H258">
        <v>2767.2781712597275</v>
      </c>
      <c r="I258">
        <v>2915.92241083209</v>
      </c>
      <c r="J258">
        <v>3458.0303738894509</v>
      </c>
      <c r="K258">
        <v>3596.3515888450288</v>
      </c>
      <c r="L258">
        <v>4332.6818074841894</v>
      </c>
      <c r="M258">
        <v>4713.5484538491664</v>
      </c>
      <c r="N258">
        <v>5052.0931984700665</v>
      </c>
      <c r="O258">
        <v>5052.0931984700665</v>
      </c>
      <c r="P258">
        <v>5052.0931984700665</v>
      </c>
      <c r="Q258">
        <v>5348.3465106786007</v>
      </c>
      <c r="R258">
        <v>5348.3465106786007</v>
      </c>
      <c r="S258">
        <v>5678.3598424209276</v>
      </c>
      <c r="T258">
        <v>5678.3598424209276</v>
      </c>
      <c r="U258">
        <v>5983.0531595129078</v>
      </c>
      <c r="V258">
        <v>5983.0531595129078</v>
      </c>
      <c r="W258">
        <v>6245.3941055291043</v>
      </c>
      <c r="X258">
        <v>6245.3941055291043</v>
      </c>
      <c r="Y258">
        <v>6245.3941055291043</v>
      </c>
      <c r="Z258">
        <v>6245.3941055291043</v>
      </c>
      <c r="AA258">
        <v>6245.3941055291043</v>
      </c>
    </row>
    <row r="259" spans="1:27" x14ac:dyDescent="0.2">
      <c r="A259" t="s">
        <v>733</v>
      </c>
      <c r="B259" t="s">
        <v>734</v>
      </c>
      <c r="C259">
        <v>2589.9670001429167</v>
      </c>
      <c r="D259">
        <v>2826.5183261169668</v>
      </c>
      <c r="E259">
        <v>2939.5790591616451</v>
      </c>
      <c r="F259">
        <v>3114.6828542798507</v>
      </c>
      <c r="G259">
        <v>3813.5374517004389</v>
      </c>
      <c r="H259">
        <v>3966.0789497684564</v>
      </c>
      <c r="I259">
        <v>4179.1167266334824</v>
      </c>
      <c r="J259">
        <v>4956.0689691342459</v>
      </c>
      <c r="K259">
        <v>5154.3117278996151</v>
      </c>
      <c r="L259">
        <v>6209.6244212721704</v>
      </c>
      <c r="M259">
        <v>6755.4846837153227</v>
      </c>
      <c r="N259">
        <v>7240.6889537957913</v>
      </c>
      <c r="O259">
        <v>7240.6889537957913</v>
      </c>
      <c r="P259">
        <v>7240.6889537957913</v>
      </c>
      <c r="Q259">
        <v>7665.2809003345728</v>
      </c>
      <c r="R259">
        <v>7665.2809003345728</v>
      </c>
      <c r="S259">
        <v>8138.2579005363177</v>
      </c>
      <c r="T259">
        <v>8138.2579005363177</v>
      </c>
      <c r="U259">
        <v>8574.9461104908387</v>
      </c>
      <c r="V259">
        <v>8574.9461104908387</v>
      </c>
      <c r="W259">
        <v>8950.9346592616821</v>
      </c>
      <c r="X259">
        <v>8950.9346592616821</v>
      </c>
      <c r="Y259">
        <v>8950.9346592616821</v>
      </c>
      <c r="Z259">
        <v>8950.9346592616821</v>
      </c>
      <c r="AA259">
        <v>8950.9346592616821</v>
      </c>
    </row>
    <row r="260" spans="1:27" x14ac:dyDescent="0.2">
      <c r="A260" t="s">
        <v>853</v>
      </c>
      <c r="B260" t="s">
        <v>854</v>
      </c>
      <c r="C260">
        <v>800.49587608885963</v>
      </c>
      <c r="D260">
        <v>873.60814389579684</v>
      </c>
      <c r="E260">
        <v>908.55246965162871</v>
      </c>
      <c r="F260">
        <v>962.67279854844378</v>
      </c>
      <c r="G260">
        <v>1178.6717758288689</v>
      </c>
      <c r="H260">
        <v>1225.8186468620238</v>
      </c>
      <c r="I260">
        <v>1291.6634479047327</v>
      </c>
      <c r="J260">
        <v>1531.8005098848787</v>
      </c>
      <c r="K260">
        <v>1593.0725302802737</v>
      </c>
      <c r="L260">
        <v>1919.2440448139887</v>
      </c>
      <c r="M260">
        <v>2087.9561901743023</v>
      </c>
      <c r="N260">
        <v>2237.921041942177</v>
      </c>
      <c r="O260">
        <v>2237.921041942177</v>
      </c>
      <c r="P260">
        <v>2237.921041942177</v>
      </c>
      <c r="Q260">
        <v>2369.1520970892434</v>
      </c>
      <c r="R260">
        <v>2369.1520970892434</v>
      </c>
      <c r="S260">
        <v>2515.3377968010482</v>
      </c>
      <c r="T260">
        <v>2515.3377968010482</v>
      </c>
      <c r="U260">
        <v>2650.3075130892985</v>
      </c>
      <c r="V260">
        <v>2650.3075130892985</v>
      </c>
      <c r="W260">
        <v>2766.5164388134822</v>
      </c>
      <c r="X260">
        <v>2766.5164388134822</v>
      </c>
      <c r="Y260">
        <v>2766.5164388134822</v>
      </c>
      <c r="Z260">
        <v>2766.5164388134822</v>
      </c>
      <c r="AA260">
        <v>2766.5164388134822</v>
      </c>
    </row>
    <row r="261" spans="1:27" x14ac:dyDescent="0.2">
      <c r="A261" t="s">
        <v>785</v>
      </c>
      <c r="B261" t="s">
        <v>786</v>
      </c>
      <c r="C261">
        <v>1687.2195576977881</v>
      </c>
      <c r="D261">
        <v>1841.319599729497</v>
      </c>
      <c r="E261">
        <v>1914.9723837186766</v>
      </c>
      <c r="F261">
        <v>2029.0427744743274</v>
      </c>
      <c r="G261">
        <v>2484.3077043711041</v>
      </c>
      <c r="H261">
        <v>2583.6800125459486</v>
      </c>
      <c r="I261">
        <v>2722.4622841483647</v>
      </c>
      <c r="J261">
        <v>3228.603489373028</v>
      </c>
      <c r="K261">
        <v>3357.7476289479491</v>
      </c>
      <c r="L261">
        <v>4045.2251974446331</v>
      </c>
      <c r="M261">
        <v>4400.8228210874495</v>
      </c>
      <c r="N261">
        <v>4716.9064367910751</v>
      </c>
      <c r="O261">
        <v>4716.9064367910751</v>
      </c>
      <c r="P261">
        <v>4716.9064367910751</v>
      </c>
      <c r="Q261">
        <v>4993.5044923654032</v>
      </c>
      <c r="R261">
        <v>4993.5044923654032</v>
      </c>
      <c r="S261">
        <v>5301.6227212994318</v>
      </c>
      <c r="T261">
        <v>5301.6227212994318</v>
      </c>
      <c r="U261">
        <v>5586.1008202136845</v>
      </c>
      <c r="V261">
        <v>5586.1008202136845</v>
      </c>
      <c r="W261">
        <v>5831.0364633788558</v>
      </c>
      <c r="X261">
        <v>5831.0364633788558</v>
      </c>
      <c r="Y261">
        <v>5831.0364633788558</v>
      </c>
      <c r="Z261">
        <v>5831.0364633788558</v>
      </c>
      <c r="AA261">
        <v>5831.0364633788558</v>
      </c>
    </row>
    <row r="262" spans="1:27" x14ac:dyDescent="0.2">
      <c r="A262" t="s">
        <v>908</v>
      </c>
      <c r="B262" t="s">
        <v>909</v>
      </c>
      <c r="C262">
        <v>173.01467553160455</v>
      </c>
      <c r="D262">
        <v>188.8167498081157</v>
      </c>
      <c r="E262">
        <v>196.36941980044031</v>
      </c>
      <c r="F262">
        <v>208.06668323856798</v>
      </c>
      <c r="G262">
        <v>254.75148710279524</v>
      </c>
      <c r="H262">
        <v>264.94154658690707</v>
      </c>
      <c r="I262">
        <v>279.17287147955739</v>
      </c>
      <c r="J262">
        <v>331.07474518389586</v>
      </c>
      <c r="K262">
        <v>344.31773499125171</v>
      </c>
      <c r="L262">
        <v>414.81461129051002</v>
      </c>
      <c r="M262">
        <v>451.27910531185745</v>
      </c>
      <c r="N262">
        <v>483.6916647575527</v>
      </c>
      <c r="O262">
        <v>483.6916647575527</v>
      </c>
      <c r="P262">
        <v>483.6916647575527</v>
      </c>
      <c r="Q262">
        <v>512.05520678711764</v>
      </c>
      <c r="R262">
        <v>512.05520678711764</v>
      </c>
      <c r="S262">
        <v>543.65096156673485</v>
      </c>
      <c r="T262">
        <v>543.65096156673485</v>
      </c>
      <c r="U262">
        <v>572.82255678381273</v>
      </c>
      <c r="V262">
        <v>572.82255678381273</v>
      </c>
      <c r="W262">
        <v>597.93930026571684</v>
      </c>
      <c r="X262">
        <v>597.93930026571684</v>
      </c>
      <c r="Y262">
        <v>597.93930026571684</v>
      </c>
      <c r="Z262">
        <v>597.93930026571684</v>
      </c>
      <c r="AA262">
        <v>597.93930026571684</v>
      </c>
    </row>
    <row r="263" spans="1:27" x14ac:dyDescent="0.2">
      <c r="A263" t="s">
        <v>881</v>
      </c>
      <c r="B263" t="s">
        <v>882</v>
      </c>
      <c r="C263">
        <v>431.53822544926021</v>
      </c>
      <c r="D263">
        <v>470.95221776378702</v>
      </c>
      <c r="E263">
        <v>489.79030647433848</v>
      </c>
      <c r="F263">
        <v>518.96596045393426</v>
      </c>
      <c r="G263">
        <v>635.40855327511542</v>
      </c>
      <c r="H263">
        <v>660.82489540612005</v>
      </c>
      <c r="I263">
        <v>696.32107901653501</v>
      </c>
      <c r="J263">
        <v>825.77623885799301</v>
      </c>
      <c r="K263">
        <v>858.80728841231257</v>
      </c>
      <c r="L263">
        <v>1034.642643444613</v>
      </c>
      <c r="M263">
        <v>1125.5934428119358</v>
      </c>
      <c r="N263">
        <v>1206.4377893535616</v>
      </c>
      <c r="O263">
        <v>1206.4377893535616</v>
      </c>
      <c r="P263">
        <v>1206.4377893535616</v>
      </c>
      <c r="Q263">
        <v>1277.1829591334401</v>
      </c>
      <c r="R263">
        <v>1277.1829591334401</v>
      </c>
      <c r="S263">
        <v>1355.9900077692384</v>
      </c>
      <c r="T263">
        <v>1355.9900077692384</v>
      </c>
      <c r="U263">
        <v>1428.7506472630964</v>
      </c>
      <c r="V263">
        <v>1428.7506472630964</v>
      </c>
      <c r="W263">
        <v>1491.3975578673085</v>
      </c>
      <c r="X263">
        <v>1491.3975578673085</v>
      </c>
      <c r="Y263">
        <v>1491.3975578673085</v>
      </c>
      <c r="Z263">
        <v>1491.3975578673085</v>
      </c>
      <c r="AA263">
        <v>1491.3975578673085</v>
      </c>
    </row>
    <row r="264" spans="1:27" x14ac:dyDescent="0.2">
      <c r="A264" t="s">
        <v>918</v>
      </c>
      <c r="B264" t="s">
        <v>919</v>
      </c>
      <c r="C264">
        <v>93.967679414276404</v>
      </c>
      <c r="D264">
        <v>102.55009732266093</v>
      </c>
      <c r="E264">
        <v>106.65210121556737</v>
      </c>
      <c r="F264">
        <v>113.00511547520185</v>
      </c>
      <c r="G264">
        <v>138.36055234524201</v>
      </c>
      <c r="H264">
        <v>143.89497443905168</v>
      </c>
      <c r="I264">
        <v>151.62428740654443</v>
      </c>
      <c r="J264">
        <v>179.81321770545796</v>
      </c>
      <c r="K264">
        <v>187.00574641367626</v>
      </c>
      <c r="L264">
        <v>225.2939890233994</v>
      </c>
      <c r="M264">
        <v>245.09857423372083</v>
      </c>
      <c r="N264">
        <v>262.70247393547129</v>
      </c>
      <c r="O264">
        <v>262.70247393547129</v>
      </c>
      <c r="P264">
        <v>262.70247393547129</v>
      </c>
      <c r="Q264">
        <v>278.10727249546773</v>
      </c>
      <c r="R264">
        <v>278.10727249546773</v>
      </c>
      <c r="S264">
        <v>295.26754948850709</v>
      </c>
      <c r="T264">
        <v>295.26754948850709</v>
      </c>
      <c r="U264">
        <v>311.11121765676421</v>
      </c>
      <c r="V264">
        <v>311.11121765676421</v>
      </c>
      <c r="W264">
        <v>324.75261594963359</v>
      </c>
      <c r="X264">
        <v>324.75261594963359</v>
      </c>
      <c r="Y264">
        <v>324.75261594963359</v>
      </c>
      <c r="Z264">
        <v>324.75261594963359</v>
      </c>
      <c r="AA264">
        <v>324.75261594963359</v>
      </c>
    </row>
    <row r="265" spans="1:27" x14ac:dyDescent="0.2">
      <c r="A265" t="s">
        <v>615</v>
      </c>
      <c r="B265" t="s">
        <v>616</v>
      </c>
      <c r="C265">
        <v>6504.6545679369992</v>
      </c>
      <c r="D265">
        <v>7098.7488799354733</v>
      </c>
      <c r="E265">
        <v>7382.6988351328919</v>
      </c>
      <c r="F265">
        <v>7822.4688015903375</v>
      </c>
      <c r="G265">
        <v>9577.6292917374158</v>
      </c>
      <c r="H265">
        <v>9960.7344634069123</v>
      </c>
      <c r="I265">
        <v>10495.774928537074</v>
      </c>
      <c r="J265">
        <v>12447.07622039624</v>
      </c>
      <c r="K265">
        <v>12944.95926921209</v>
      </c>
      <c r="L265">
        <v>15595.357722616671</v>
      </c>
      <c r="M265">
        <v>16966.275749510532</v>
      </c>
      <c r="N265">
        <v>18184.857365255946</v>
      </c>
      <c r="O265">
        <v>18184.857365255946</v>
      </c>
      <c r="P265">
        <v>18184.857365255946</v>
      </c>
      <c r="Q265">
        <v>19251.212243295067</v>
      </c>
      <c r="R265">
        <v>19251.212243295067</v>
      </c>
      <c r="S265">
        <v>20439.085295238066</v>
      </c>
      <c r="T265">
        <v>20439.085295238066</v>
      </c>
      <c r="U265">
        <v>21535.819716753151</v>
      </c>
      <c r="V265">
        <v>21535.819716753151</v>
      </c>
      <c r="W265">
        <v>22480.108053677643</v>
      </c>
      <c r="X265">
        <v>22480.108053677643</v>
      </c>
      <c r="Y265">
        <v>22480.108053677643</v>
      </c>
      <c r="Z265">
        <v>22480.108053677643</v>
      </c>
      <c r="AA265">
        <v>22480.108053677643</v>
      </c>
    </row>
    <row r="266" spans="1:27" x14ac:dyDescent="0.2">
      <c r="A266" t="s">
        <v>704</v>
      </c>
      <c r="B266" t="s">
        <v>705</v>
      </c>
      <c r="C266">
        <v>3291.8660625217481</v>
      </c>
      <c r="D266">
        <v>3592.524442329493</v>
      </c>
      <c r="E266">
        <v>3736.2254200226726</v>
      </c>
      <c r="F266">
        <v>3958.7835609320259</v>
      </c>
      <c r="G266">
        <v>4847.0326126609425</v>
      </c>
      <c r="H266">
        <v>5040.9139171673805</v>
      </c>
      <c r="I266">
        <v>5311.6864125923648</v>
      </c>
      <c r="J266">
        <v>6299.1981141496808</v>
      </c>
      <c r="K266">
        <v>6551.166038715668</v>
      </c>
      <c r="L266">
        <v>7892.4758084810119</v>
      </c>
      <c r="M266">
        <v>8586.2679968435168</v>
      </c>
      <c r="N266">
        <v>9202.9659972351801</v>
      </c>
      <c r="O266">
        <v>9202.9659972351801</v>
      </c>
      <c r="P266">
        <v>9202.9659972351801</v>
      </c>
      <c r="Q266">
        <v>9742.6253130310724</v>
      </c>
      <c r="R266">
        <v>9742.6253130310724</v>
      </c>
      <c r="S266">
        <v>10343.782368403419</v>
      </c>
      <c r="T266">
        <v>10343.782368403419</v>
      </c>
      <c r="U266">
        <v>10898.816119093422</v>
      </c>
      <c r="V266">
        <v>10898.816119093422</v>
      </c>
      <c r="W266">
        <v>11376.700178437515</v>
      </c>
      <c r="X266">
        <v>11376.700178437515</v>
      </c>
      <c r="Y266">
        <v>11376.700178437515</v>
      </c>
      <c r="Z266">
        <v>11376.700178437515</v>
      </c>
      <c r="AA266">
        <v>11376.700178437515</v>
      </c>
    </row>
    <row r="267" spans="1:27" x14ac:dyDescent="0.2">
      <c r="A267" t="s">
        <v>357</v>
      </c>
      <c r="B267" t="s">
        <v>358</v>
      </c>
      <c r="C267">
        <v>152791.32507108265</v>
      </c>
      <c r="D267">
        <v>166746.32547877214</v>
      </c>
      <c r="E267">
        <v>173416.17849792301</v>
      </c>
      <c r="F267">
        <v>183746.17145907259</v>
      </c>
      <c r="G267">
        <v>224974.0789829976</v>
      </c>
      <c r="H267">
        <v>233973.04214231751</v>
      </c>
      <c r="I267">
        <v>246540.89502060084</v>
      </c>
      <c r="J267">
        <v>292376.05919145327</v>
      </c>
      <c r="K267">
        <v>304071.10155911132</v>
      </c>
      <c r="L267">
        <v>366327.7344721285</v>
      </c>
      <c r="M267">
        <v>398529.96438383625</v>
      </c>
      <c r="N267">
        <v>427153.88250775501</v>
      </c>
      <c r="O267">
        <v>427153.88250775501</v>
      </c>
      <c r="P267">
        <v>427153.88250775501</v>
      </c>
      <c r="Q267">
        <v>452202.06502227776</v>
      </c>
      <c r="R267">
        <v>452202.06502227776</v>
      </c>
      <c r="S267">
        <v>480104.65319617442</v>
      </c>
      <c r="T267">
        <v>480104.65319617442</v>
      </c>
      <c r="U267">
        <v>505866.43712554051</v>
      </c>
      <c r="V267">
        <v>505866.43712554051</v>
      </c>
      <c r="W267">
        <v>528047.33308872487</v>
      </c>
      <c r="X267">
        <v>528047.33308872487</v>
      </c>
      <c r="Y267">
        <v>528047.33308872487</v>
      </c>
      <c r="Z267">
        <v>528047.33308872487</v>
      </c>
      <c r="AA267">
        <v>528047.33308872487</v>
      </c>
    </row>
    <row r="268" spans="1:27" x14ac:dyDescent="0.2">
      <c r="A268" t="s">
        <v>390</v>
      </c>
      <c r="B268" t="s">
        <v>391</v>
      </c>
      <c r="C268">
        <v>70070.248385524159</v>
      </c>
      <c r="D268">
        <v>76470.024971871448</v>
      </c>
      <c r="E268">
        <v>79528.8259707463</v>
      </c>
      <c r="F268">
        <v>84266.170661432931</v>
      </c>
      <c r="G268">
        <v>103173.32863831987</v>
      </c>
      <c r="H268">
        <v>107300.26178385266</v>
      </c>
      <c r="I268">
        <v>113063.89118129616</v>
      </c>
      <c r="J268">
        <v>134083.94148028234</v>
      </c>
      <c r="K268">
        <v>139447.29913949361</v>
      </c>
      <c r="L268">
        <v>167998.25077128314</v>
      </c>
      <c r="M268">
        <v>182766.22432888774</v>
      </c>
      <c r="N268">
        <v>195893.18066477129</v>
      </c>
      <c r="O268">
        <v>195893.18066477129</v>
      </c>
      <c r="P268">
        <v>195893.18066477129</v>
      </c>
      <c r="Q268">
        <v>207380.30121681845</v>
      </c>
      <c r="R268">
        <v>207380.30121681845</v>
      </c>
      <c r="S268">
        <v>220176.45494501176</v>
      </c>
      <c r="T268">
        <v>220176.45494501176</v>
      </c>
      <c r="U268">
        <v>231990.83379109541</v>
      </c>
      <c r="V268">
        <v>231990.83379109541</v>
      </c>
      <c r="W268">
        <v>242163.01397757346</v>
      </c>
      <c r="X268">
        <v>242163.01397757346</v>
      </c>
      <c r="Y268">
        <v>242163.01397757346</v>
      </c>
      <c r="Z268">
        <v>242163.01397757346</v>
      </c>
      <c r="AA268">
        <v>242163.01397757346</v>
      </c>
    </row>
    <row r="269" spans="1:27" x14ac:dyDescent="0.2">
      <c r="A269" t="s">
        <v>696</v>
      </c>
      <c r="B269" t="s">
        <v>697</v>
      </c>
      <c r="C269">
        <v>3402.7342890381092</v>
      </c>
      <c r="D269">
        <v>3713.518676624868</v>
      </c>
      <c r="E269">
        <v>3862.0594236898628</v>
      </c>
      <c r="F269">
        <v>4092.1131995706146</v>
      </c>
      <c r="G269">
        <v>5010.2779876021759</v>
      </c>
      <c r="H269">
        <v>5210.6891071062628</v>
      </c>
      <c r="I269">
        <v>5490.5810702699137</v>
      </c>
      <c r="J269">
        <v>6511.3516192215084</v>
      </c>
      <c r="K269">
        <v>6771.8056839903675</v>
      </c>
      <c r="L269">
        <v>8158.2900242147034</v>
      </c>
      <c r="M269">
        <v>8875.4487493784454</v>
      </c>
      <c r="N269">
        <v>9512.9167970019917</v>
      </c>
      <c r="O269">
        <v>9512.9167970019917</v>
      </c>
      <c r="P269">
        <v>9512.9167970019917</v>
      </c>
      <c r="Q269">
        <v>10070.751539783358</v>
      </c>
      <c r="R269">
        <v>10070.751539783358</v>
      </c>
      <c r="S269">
        <v>10692.155231963239</v>
      </c>
      <c r="T269">
        <v>10692.155231963239</v>
      </c>
      <c r="U269">
        <v>11265.882212094233</v>
      </c>
      <c r="V269">
        <v>11265.882212094233</v>
      </c>
      <c r="W269">
        <v>11759.861141987018</v>
      </c>
      <c r="X269">
        <v>11759.861141987018</v>
      </c>
      <c r="Y269">
        <v>11759.861141987018</v>
      </c>
      <c r="Z269">
        <v>11759.861141987018</v>
      </c>
      <c r="AA269">
        <v>11759.861141987018</v>
      </c>
    </row>
    <row r="270" spans="1:27" x14ac:dyDescent="0.2">
      <c r="A270" t="s">
        <v>355</v>
      </c>
      <c r="B270" t="s">
        <v>356</v>
      </c>
      <c r="C270">
        <v>167789.23618439352</v>
      </c>
      <c r="D270">
        <v>183114.0516362511</v>
      </c>
      <c r="E270">
        <v>190438.61370170114</v>
      </c>
      <c r="F270">
        <v>201782.5930011482</v>
      </c>
      <c r="G270">
        <v>247057.40889597687</v>
      </c>
      <c r="H270">
        <v>256939.70525181596</v>
      </c>
      <c r="I270">
        <v>270741.21154769987</v>
      </c>
      <c r="J270">
        <v>321075.52982811077</v>
      </c>
      <c r="K270">
        <v>333918.55102123518</v>
      </c>
      <c r="L270">
        <v>402286.26024181803</v>
      </c>
      <c r="M270">
        <v>437649.44305213768</v>
      </c>
      <c r="N270">
        <v>469083.06898857455</v>
      </c>
      <c r="O270">
        <v>469083.06898857455</v>
      </c>
      <c r="P270">
        <v>469083.06898857455</v>
      </c>
      <c r="Q270">
        <v>496589.9671057536</v>
      </c>
      <c r="R270">
        <v>496589.9671057536</v>
      </c>
      <c r="S270">
        <v>527231.4577472395</v>
      </c>
      <c r="T270">
        <v>527231.4577472395</v>
      </c>
      <c r="U270">
        <v>555522.00399549515</v>
      </c>
      <c r="V270">
        <v>555522.00399549515</v>
      </c>
      <c r="W270">
        <v>579880.16431524337</v>
      </c>
      <c r="X270">
        <v>579880.16431524337</v>
      </c>
      <c r="Y270">
        <v>579880.16431524337</v>
      </c>
      <c r="Z270">
        <v>579880.16431524337</v>
      </c>
      <c r="AA270">
        <v>579880.16431524337</v>
      </c>
    </row>
    <row r="271" spans="1:27" x14ac:dyDescent="0.2">
      <c r="A271" t="s">
        <v>410</v>
      </c>
      <c r="B271" t="s">
        <v>411</v>
      </c>
      <c r="C271">
        <v>49729.659451362313</v>
      </c>
      <c r="D271">
        <v>54271.654342729111</v>
      </c>
      <c r="E271">
        <v>56442.520516438271</v>
      </c>
      <c r="F271">
        <v>59804.668412295236</v>
      </c>
      <c r="G271">
        <v>73223.29541944513</v>
      </c>
      <c r="H271">
        <v>76152.227236222941</v>
      </c>
      <c r="I271">
        <v>80242.741166782085</v>
      </c>
      <c r="J271">
        <v>95160.912103864743</v>
      </c>
      <c r="K271">
        <v>98967.348588019318</v>
      </c>
      <c r="L271">
        <v>119230.28663055855</v>
      </c>
      <c r="M271">
        <v>129711.28695134693</v>
      </c>
      <c r="N271">
        <v>139027.6385164893</v>
      </c>
      <c r="O271">
        <v>139027.6385164893</v>
      </c>
      <c r="P271">
        <v>139027.6385164893</v>
      </c>
      <c r="Q271">
        <v>147180.17980601132</v>
      </c>
      <c r="R271">
        <v>147180.17980601132</v>
      </c>
      <c r="S271">
        <v>156261.75696396807</v>
      </c>
      <c r="T271">
        <v>156261.75696396807</v>
      </c>
      <c r="U271">
        <v>164646.55722059877</v>
      </c>
      <c r="V271">
        <v>164646.55722059877</v>
      </c>
      <c r="W271">
        <v>171865.8702415578</v>
      </c>
      <c r="X271">
        <v>171865.8702415578</v>
      </c>
      <c r="Y271">
        <v>171865.8702415578</v>
      </c>
      <c r="Z271">
        <v>171865.8702415578</v>
      </c>
      <c r="AA271">
        <v>171865.8702415578</v>
      </c>
    </row>
    <row r="272" spans="1:27" x14ac:dyDescent="0.2">
      <c r="A272" t="s">
        <v>669</v>
      </c>
      <c r="B272" t="s">
        <v>670</v>
      </c>
      <c r="C272">
        <v>3866.002066236706</v>
      </c>
      <c r="D272">
        <v>4219.0984241965743</v>
      </c>
      <c r="E272">
        <v>4387.8623611644371</v>
      </c>
      <c r="F272">
        <v>4649.2369785613064</v>
      </c>
      <c r="G272">
        <v>5692.4059909378839</v>
      </c>
      <c r="H272">
        <v>5920.1022305753995</v>
      </c>
      <c r="I272">
        <v>6238.1002921341833</v>
      </c>
      <c r="J272">
        <v>7397.844402661246</v>
      </c>
      <c r="K272">
        <v>7693.7581787676954</v>
      </c>
      <c r="L272">
        <v>9269.006455243416</v>
      </c>
      <c r="M272">
        <v>10083.80328561434</v>
      </c>
      <c r="N272">
        <v>10808.059892194446</v>
      </c>
      <c r="O272">
        <v>10808.059892194446</v>
      </c>
      <c r="P272">
        <v>10808.059892194446</v>
      </c>
      <c r="Q272">
        <v>11441.841458730165</v>
      </c>
      <c r="R272">
        <v>11441.841458730165</v>
      </c>
      <c r="S272">
        <v>12147.846616309966</v>
      </c>
      <c r="T272">
        <v>12147.846616309966</v>
      </c>
      <c r="U272">
        <v>12799.684080606703</v>
      </c>
      <c r="V272">
        <v>12799.684080606703</v>
      </c>
      <c r="W272">
        <v>13360.916137366195</v>
      </c>
      <c r="X272">
        <v>13360.916137366195</v>
      </c>
      <c r="Y272">
        <v>13360.916137366195</v>
      </c>
      <c r="Z272">
        <v>13360.916137366195</v>
      </c>
      <c r="AA272">
        <v>13360.916137366195</v>
      </c>
    </row>
    <row r="273" spans="1:27" x14ac:dyDescent="0.2">
      <c r="A273" t="s">
        <v>643</v>
      </c>
      <c r="B273" t="s">
        <v>644</v>
      </c>
      <c r="C273">
        <v>5264.5777042531927</v>
      </c>
      <c r="D273">
        <v>5745.4111807282961</v>
      </c>
      <c r="E273">
        <v>5975.2276279574271</v>
      </c>
      <c r="F273">
        <v>6331.1578524191891</v>
      </c>
      <c r="G273">
        <v>7751.706582149046</v>
      </c>
      <c r="H273">
        <v>8061.7748454350085</v>
      </c>
      <c r="I273">
        <v>8494.8127683835992</v>
      </c>
      <c r="J273">
        <v>10074.109127338494</v>
      </c>
      <c r="K273">
        <v>10477.073492432031</v>
      </c>
      <c r="L273">
        <v>12622.187957688913</v>
      </c>
      <c r="M273">
        <v>13731.747950977415</v>
      </c>
      <c r="N273">
        <v>14718.013637811697</v>
      </c>
      <c r="O273">
        <v>14718.013637811697</v>
      </c>
      <c r="P273">
        <v>14718.013637811697</v>
      </c>
      <c r="Q273">
        <v>15581.073782991227</v>
      </c>
      <c r="R273">
        <v>15581.073782991227</v>
      </c>
      <c r="S273">
        <v>16542.485325975853</v>
      </c>
      <c r="T273">
        <v>16542.485325975853</v>
      </c>
      <c r="U273">
        <v>17430.133320606652</v>
      </c>
      <c r="V273">
        <v>17430.133320606652</v>
      </c>
      <c r="W273">
        <v>18194.398243983771</v>
      </c>
      <c r="X273">
        <v>18194.398243983771</v>
      </c>
      <c r="Y273">
        <v>18194.398243983771</v>
      </c>
      <c r="Z273">
        <v>18194.398243983771</v>
      </c>
      <c r="AA273">
        <v>18194.398243983771</v>
      </c>
    </row>
    <row r="274" spans="1:27" x14ac:dyDescent="0.2">
      <c r="A274" t="s">
        <v>334</v>
      </c>
      <c r="B274" t="s">
        <v>335</v>
      </c>
      <c r="C274">
        <v>14830456.493650824</v>
      </c>
      <c r="D274">
        <v>16184977.284139652</v>
      </c>
      <c r="E274">
        <v>16832376.375505239</v>
      </c>
      <c r="F274">
        <v>17835041.35742601</v>
      </c>
      <c r="G274">
        <v>21836765.202502795</v>
      </c>
      <c r="H274">
        <v>22710235.810602907</v>
      </c>
      <c r="I274">
        <v>23930115.245795138</v>
      </c>
      <c r="J274">
        <v>28379035.417139478</v>
      </c>
      <c r="K274">
        <v>29514196.833825052</v>
      </c>
      <c r="L274">
        <v>35557041.775631465</v>
      </c>
      <c r="M274">
        <v>38682702.01505895</v>
      </c>
      <c r="N274">
        <v>41461038.888681248</v>
      </c>
      <c r="O274">
        <v>41461038.888681248</v>
      </c>
      <c r="P274">
        <v>41461038.888681248</v>
      </c>
      <c r="Q274">
        <v>43892302.449317522</v>
      </c>
      <c r="R274">
        <v>43892302.449317522</v>
      </c>
      <c r="S274">
        <v>46600624.533576667</v>
      </c>
      <c r="T274">
        <v>46600624.533576667</v>
      </c>
      <c r="U274">
        <v>49101152.725118645</v>
      </c>
      <c r="V274">
        <v>49101152.725118645</v>
      </c>
      <c r="W274">
        <v>51254107.498036295</v>
      </c>
      <c r="X274">
        <v>51254107.498036295</v>
      </c>
      <c r="Y274">
        <v>51254107.498036295</v>
      </c>
      <c r="Z274">
        <v>51254107.498036295</v>
      </c>
      <c r="AA274">
        <v>51254107.498036295</v>
      </c>
    </row>
    <row r="275" spans="1:27" x14ac:dyDescent="0.2">
      <c r="A275" t="s">
        <v>398</v>
      </c>
      <c r="B275" t="s">
        <v>15</v>
      </c>
      <c r="C275">
        <v>67507.575593436195</v>
      </c>
      <c r="D275">
        <v>73673.293735420084</v>
      </c>
      <c r="E275">
        <v>76620.225484836876</v>
      </c>
      <c r="F275">
        <v>81184.311700988488</v>
      </c>
      <c r="G275">
        <v>99399.979916679047</v>
      </c>
      <c r="H275">
        <v>103375.97911334623</v>
      </c>
      <c r="I275">
        <v>108928.81581944315</v>
      </c>
      <c r="J275">
        <v>129180.10173938567</v>
      </c>
      <c r="K275">
        <v>134347.3058089611</v>
      </c>
      <c r="L275">
        <v>161854.06609533899</v>
      </c>
      <c r="M275">
        <v>176081.93190532833</v>
      </c>
      <c r="N275">
        <v>188728.79726651162</v>
      </c>
      <c r="O275">
        <v>188728.79726651162</v>
      </c>
      <c r="P275">
        <v>188728.79726651162</v>
      </c>
      <c r="Q275">
        <v>199795.80040815374</v>
      </c>
      <c r="R275">
        <v>199795.80040815374</v>
      </c>
      <c r="S275">
        <v>212123.96157519336</v>
      </c>
      <c r="T275">
        <v>212123.96157519336</v>
      </c>
      <c r="U275">
        <v>223506.25422318478</v>
      </c>
      <c r="V275">
        <v>223506.25422318478</v>
      </c>
      <c r="W275">
        <v>233306.40819310542</v>
      </c>
      <c r="X275">
        <v>233306.40819310542</v>
      </c>
      <c r="Y275">
        <v>233306.40819310542</v>
      </c>
      <c r="Z275">
        <v>233306.40819310542</v>
      </c>
      <c r="AA275">
        <v>233306.40819310542</v>
      </c>
    </row>
    <row r="276" spans="1:27" x14ac:dyDescent="0.2">
      <c r="A276" t="s">
        <v>566</v>
      </c>
      <c r="B276" t="s">
        <v>249</v>
      </c>
      <c r="C276">
        <v>9018.9370129318195</v>
      </c>
      <c r="D276">
        <v>9842.6700987849345</v>
      </c>
      <c r="E276">
        <v>10236.376902736332</v>
      </c>
      <c r="F276">
        <v>10846.133744738285</v>
      </c>
      <c r="G276">
        <v>13279.726757694167</v>
      </c>
      <c r="H276">
        <v>13810.915828001933</v>
      </c>
      <c r="I276">
        <v>14552.768635707464</v>
      </c>
      <c r="J276">
        <v>17258.317909803947</v>
      </c>
      <c r="K276">
        <v>17948.6506261961</v>
      </c>
      <c r="L276">
        <v>21623.523205634105</v>
      </c>
      <c r="M276">
        <v>23524.350252683573</v>
      </c>
      <c r="N276">
        <v>25213.957398264898</v>
      </c>
      <c r="O276">
        <v>25213.957398264898</v>
      </c>
      <c r="P276">
        <v>25213.957398264898</v>
      </c>
      <c r="Q276">
        <v>26692.496708541854</v>
      </c>
      <c r="R276">
        <v>26692.496708541854</v>
      </c>
      <c r="S276">
        <v>28339.525328269283</v>
      </c>
      <c r="T276">
        <v>28339.525328269283</v>
      </c>
      <c r="U276">
        <v>29860.186965908855</v>
      </c>
      <c r="V276">
        <v>29860.186965908855</v>
      </c>
      <c r="W276">
        <v>31169.476635916526</v>
      </c>
      <c r="X276">
        <v>31169.476635916526</v>
      </c>
      <c r="Y276">
        <v>31169.476635916526</v>
      </c>
      <c r="Z276">
        <v>31169.476635916526</v>
      </c>
      <c r="AA276">
        <v>31169.476635916526</v>
      </c>
    </row>
    <row r="277" spans="1:27" x14ac:dyDescent="0.2">
      <c r="A277" t="s">
        <v>561</v>
      </c>
      <c r="B277" t="s">
        <v>195</v>
      </c>
      <c r="C277">
        <v>9727.2340960373695</v>
      </c>
      <c r="D277">
        <v>10615.658590770568</v>
      </c>
      <c r="E277">
        <v>11040.28493440139</v>
      </c>
      <c r="F277">
        <v>11697.928682806434</v>
      </c>
      <c r="G277">
        <v>14322.64253739489</v>
      </c>
      <c r="H277">
        <v>14895.548238890686</v>
      </c>
      <c r="I277">
        <v>15695.662034452997</v>
      </c>
      <c r="J277">
        <v>18613.69008030419</v>
      </c>
      <c r="K277">
        <v>19358.237683516356</v>
      </c>
      <c r="L277">
        <v>23321.714288580475</v>
      </c>
      <c r="M277">
        <v>25371.821705476501</v>
      </c>
      <c r="N277">
        <v>27194.121186207034</v>
      </c>
      <c r="O277">
        <v>27194.121186207034</v>
      </c>
      <c r="P277">
        <v>27194.121186207034</v>
      </c>
      <c r="Q277">
        <v>28788.776739365439</v>
      </c>
      <c r="R277">
        <v>28788.776739365439</v>
      </c>
      <c r="S277">
        <v>30565.153813957513</v>
      </c>
      <c r="T277">
        <v>30565.153813957513</v>
      </c>
      <c r="U277">
        <v>32205.23974747433</v>
      </c>
      <c r="V277">
        <v>32205.23974747433</v>
      </c>
      <c r="W277">
        <v>33617.353736232311</v>
      </c>
      <c r="X277">
        <v>33617.353736232311</v>
      </c>
      <c r="Y277">
        <v>33617.353736232311</v>
      </c>
      <c r="Z277">
        <v>33617.353736232311</v>
      </c>
      <c r="AA277">
        <v>33617.353736232311</v>
      </c>
    </row>
    <row r="278" spans="1:27" x14ac:dyDescent="0.2">
      <c r="A278" t="s">
        <v>593</v>
      </c>
      <c r="B278" t="s">
        <v>594</v>
      </c>
      <c r="C278">
        <v>7636.0611026982351</v>
      </c>
      <c r="D278">
        <v>8333.4909846088776</v>
      </c>
      <c r="E278">
        <v>8666.8306239932317</v>
      </c>
      <c r="F278">
        <v>9183.093294043927</v>
      </c>
      <c r="G278">
        <v>11243.542870239575</v>
      </c>
      <c r="H278">
        <v>11693.284585049159</v>
      </c>
      <c r="I278">
        <v>12321.388912723822</v>
      </c>
      <c r="J278">
        <v>14612.095627244456</v>
      </c>
      <c r="K278">
        <v>15196.579452334232</v>
      </c>
      <c r="L278">
        <v>18307.982882803117</v>
      </c>
      <c r="M278">
        <v>19917.355634394469</v>
      </c>
      <c r="N278">
        <v>21347.894885828988</v>
      </c>
      <c r="O278">
        <v>21347.894885828988</v>
      </c>
      <c r="P278">
        <v>21347.894885828988</v>
      </c>
      <c r="Q278">
        <v>22599.729386926807</v>
      </c>
      <c r="R278">
        <v>22599.729386926807</v>
      </c>
      <c r="S278">
        <v>23994.21868872569</v>
      </c>
      <c r="T278">
        <v>23994.21868872569</v>
      </c>
      <c r="U278">
        <v>25281.71688999877</v>
      </c>
      <c r="V278">
        <v>25281.71688999877</v>
      </c>
      <c r="W278">
        <v>26390.252841294892</v>
      </c>
      <c r="X278">
        <v>26390.252841294892</v>
      </c>
      <c r="Y278">
        <v>26390.252841294892</v>
      </c>
      <c r="Z278">
        <v>26390.252841294892</v>
      </c>
      <c r="AA278">
        <v>26390.252841294892</v>
      </c>
    </row>
    <row r="279" spans="1:27" x14ac:dyDescent="0.2">
      <c r="A279" t="s">
        <v>557</v>
      </c>
      <c r="B279" t="s">
        <v>558</v>
      </c>
      <c r="C279">
        <v>9947.8447203469386</v>
      </c>
      <c r="D279">
        <v>10856.418404510547</v>
      </c>
      <c r="E279">
        <v>11290.675140690968</v>
      </c>
      <c r="F279">
        <v>11963.234043442715</v>
      </c>
      <c r="G279">
        <v>14647.475586619505</v>
      </c>
      <c r="H279">
        <v>15233.374610084285</v>
      </c>
      <c r="I279">
        <v>16051.634736064367</v>
      </c>
      <c r="J279">
        <v>19035.842744543406</v>
      </c>
      <c r="K279">
        <v>19797.276454325143</v>
      </c>
      <c r="L279">
        <v>23850.643468075505</v>
      </c>
      <c r="M279">
        <v>25947.246679426335</v>
      </c>
      <c r="N279">
        <v>27810.875341931853</v>
      </c>
      <c r="O279">
        <v>27810.875341931853</v>
      </c>
      <c r="P279">
        <v>27810.875341931853</v>
      </c>
      <c r="Q279">
        <v>29441.697183848981</v>
      </c>
      <c r="R279">
        <v>29441.697183848981</v>
      </c>
      <c r="S279">
        <v>31258.361934420256</v>
      </c>
      <c r="T279">
        <v>31258.361934420256</v>
      </c>
      <c r="U279">
        <v>32935.644503500916</v>
      </c>
      <c r="V279">
        <v>32935.644503500916</v>
      </c>
      <c r="W279">
        <v>34379.784795479361</v>
      </c>
      <c r="X279">
        <v>34379.784795479361</v>
      </c>
      <c r="Y279">
        <v>34379.784795479361</v>
      </c>
      <c r="Z279">
        <v>34379.784795479361</v>
      </c>
      <c r="AA279">
        <v>34379.784795479361</v>
      </c>
    </row>
    <row r="280" spans="1:27" x14ac:dyDescent="0.2">
      <c r="A280" t="s">
        <v>1017</v>
      </c>
      <c r="B280" t="s">
        <v>1018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442</v>
      </c>
      <c r="B281" t="s">
        <v>443</v>
      </c>
      <c r="C281">
        <v>31241.388848898347</v>
      </c>
      <c r="D281">
        <v>34094.781172843017</v>
      </c>
      <c r="E281">
        <v>35458.57241975674</v>
      </c>
      <c r="F281">
        <v>37570.755992714934</v>
      </c>
      <c r="G281">
        <v>46000.665804558921</v>
      </c>
      <c r="H281">
        <v>47840.692436741279</v>
      </c>
      <c r="I281">
        <v>50410.453374304518</v>
      </c>
      <c r="J281">
        <v>59782.413373659918</v>
      </c>
      <c r="K281">
        <v>62173.709908606303</v>
      </c>
      <c r="L281">
        <v>74903.383378967483</v>
      </c>
      <c r="M281">
        <v>81487.804228811219</v>
      </c>
      <c r="N281">
        <v>87340.564233820303</v>
      </c>
      <c r="O281">
        <v>87340.564233820303</v>
      </c>
      <c r="P281">
        <v>87340.564233820303</v>
      </c>
      <c r="Q281">
        <v>92462.190147662739</v>
      </c>
      <c r="R281">
        <v>92462.190147662739</v>
      </c>
      <c r="S281">
        <v>98167.45912563536</v>
      </c>
      <c r="T281">
        <v>98167.45912563536</v>
      </c>
      <c r="U281">
        <v>103434.99580551033</v>
      </c>
      <c r="V281">
        <v>103434.99580551033</v>
      </c>
      <c r="W281">
        <v>107970.3448868827</v>
      </c>
      <c r="X281">
        <v>107970.3448868827</v>
      </c>
      <c r="Y281">
        <v>107970.3448868827</v>
      </c>
      <c r="Z281">
        <v>107970.3448868827</v>
      </c>
      <c r="AA281">
        <v>107970.3448868827</v>
      </c>
    </row>
    <row r="282" spans="1:27" x14ac:dyDescent="0.2">
      <c r="A282" t="s">
        <v>339</v>
      </c>
      <c r="B282" t="s">
        <v>35</v>
      </c>
      <c r="C282">
        <v>793959.34234378033</v>
      </c>
      <c r="D282">
        <v>866474.60419481643</v>
      </c>
      <c r="E282">
        <v>901133.58836260904</v>
      </c>
      <c r="F282">
        <v>954811.99198948115</v>
      </c>
      <c r="G282">
        <v>1169047.2067745961</v>
      </c>
      <c r="H282">
        <v>1215809.0950455798</v>
      </c>
      <c r="I282">
        <v>1281116.2334009348</v>
      </c>
      <c r="J282">
        <v>1519292.4308020568</v>
      </c>
      <c r="K282">
        <v>1580064.1280341391</v>
      </c>
      <c r="L282">
        <v>1903572.254566594</v>
      </c>
      <c r="M282">
        <v>2070906.763059194</v>
      </c>
      <c r="N282">
        <v>2219647.0609680959</v>
      </c>
      <c r="O282">
        <v>2219647.0609680959</v>
      </c>
      <c r="P282">
        <v>2219647.0609680959</v>
      </c>
      <c r="Q282">
        <v>2349806.5350539801</v>
      </c>
      <c r="R282">
        <v>2349806.5350539801</v>
      </c>
      <c r="S282">
        <v>2494798.539972649</v>
      </c>
      <c r="T282">
        <v>2494798.539972649</v>
      </c>
      <c r="U282">
        <v>2628666.1467667287</v>
      </c>
      <c r="V282">
        <v>2628666.1467667287</v>
      </c>
      <c r="W282">
        <v>2743926.1562164314</v>
      </c>
      <c r="X282">
        <v>2743926.1562164314</v>
      </c>
      <c r="Y282">
        <v>2743926.1562164314</v>
      </c>
      <c r="Z282">
        <v>2743926.1562164314</v>
      </c>
      <c r="AA282">
        <v>2743926.1562164314</v>
      </c>
    </row>
    <row r="283" spans="1:27" x14ac:dyDescent="0.2">
      <c r="A283" t="s">
        <v>1019</v>
      </c>
      <c r="B283" t="s">
        <v>323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1020</v>
      </c>
      <c r="B284" t="s">
        <v>331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412</v>
      </c>
      <c r="B285" t="s">
        <v>27</v>
      </c>
      <c r="C285">
        <v>48252.530597545527</v>
      </c>
      <c r="D285">
        <v>52659.613812823169</v>
      </c>
      <c r="E285">
        <v>54765.998365336091</v>
      </c>
      <c r="F285">
        <v>58028.279788698368</v>
      </c>
      <c r="G285">
        <v>71048.330948968563</v>
      </c>
      <c r="H285">
        <v>73890.264186927307</v>
      </c>
      <c r="I285">
        <v>77859.276860079321</v>
      </c>
      <c r="J285">
        <v>92334.330732206246</v>
      </c>
      <c r="K285">
        <v>96027.703961494481</v>
      </c>
      <c r="L285">
        <v>115688.76837819458</v>
      </c>
      <c r="M285">
        <v>125858.44969616854</v>
      </c>
      <c r="N285">
        <v>134898.0760260892</v>
      </c>
      <c r="O285">
        <v>134898.0760260892</v>
      </c>
      <c r="P285">
        <v>134898.0760260892</v>
      </c>
      <c r="Q285">
        <v>142808.46094246206</v>
      </c>
      <c r="R285">
        <v>142808.46094246206</v>
      </c>
      <c r="S285">
        <v>151620.28641086016</v>
      </c>
      <c r="T285">
        <v>151620.28641086016</v>
      </c>
      <c r="U285">
        <v>159756.0314652393</v>
      </c>
      <c r="V285">
        <v>159756.0314652393</v>
      </c>
      <c r="W285">
        <v>166760.90795705977</v>
      </c>
      <c r="X285">
        <v>166760.90795705977</v>
      </c>
      <c r="Y285">
        <v>166760.90795705977</v>
      </c>
      <c r="Z285">
        <v>166760.90795705977</v>
      </c>
      <c r="AA285">
        <v>166760.90795705977</v>
      </c>
    </row>
    <row r="286" spans="1:27" x14ac:dyDescent="0.2">
      <c r="A286" t="s">
        <v>1021</v>
      </c>
      <c r="B286" t="s">
        <v>1022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1023</v>
      </c>
      <c r="B287" t="s">
        <v>1024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990</v>
      </c>
      <c r="B288" t="s">
        <v>991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1011</v>
      </c>
      <c r="B289" t="s">
        <v>1012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992</v>
      </c>
      <c r="B290" t="s">
        <v>993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974</v>
      </c>
      <c r="B291" t="s">
        <v>975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988</v>
      </c>
      <c r="B292" t="s">
        <v>989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956</v>
      </c>
      <c r="B293" t="s">
        <v>957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958</v>
      </c>
      <c r="B294" t="s">
        <v>959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960</v>
      </c>
      <c r="B295" t="s">
        <v>961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962</v>
      </c>
      <c r="B296" t="s">
        <v>315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338</v>
      </c>
      <c r="B297" t="s">
        <v>7</v>
      </c>
      <c r="C297">
        <v>885828.18167529337</v>
      </c>
      <c r="D297">
        <v>966734.16655807744</v>
      </c>
      <c r="E297">
        <v>1005403.5332204005</v>
      </c>
      <c r="F297">
        <v>1065293.0516681042</v>
      </c>
      <c r="G297">
        <v>1304317.3702228728</v>
      </c>
      <c r="H297">
        <v>1356490.0650317876</v>
      </c>
      <c r="I297">
        <v>1429353.8762301849</v>
      </c>
      <c r="J297">
        <v>1695089.3825841325</v>
      </c>
      <c r="K297">
        <v>1762892.9578874977</v>
      </c>
      <c r="L297">
        <v>2123834.1298087933</v>
      </c>
      <c r="M297">
        <v>2310530.8729341435</v>
      </c>
      <c r="N297">
        <v>2476481.8739634049</v>
      </c>
      <c r="O297">
        <v>2476481.8739634049</v>
      </c>
      <c r="P297">
        <v>2476481.8739634049</v>
      </c>
      <c r="Q297">
        <v>2621702.0686360272</v>
      </c>
      <c r="R297">
        <v>2621702.0686360272</v>
      </c>
      <c r="S297">
        <v>2783471.0626192815</v>
      </c>
      <c r="T297">
        <v>2783471.0626192815</v>
      </c>
      <c r="U297">
        <v>2932828.4571195613</v>
      </c>
      <c r="V297">
        <v>2932828.4571195613</v>
      </c>
      <c r="W297">
        <v>3061425.1737843025</v>
      </c>
      <c r="X297">
        <v>3061425.1737843025</v>
      </c>
      <c r="Y297">
        <v>3061425.1737843025</v>
      </c>
      <c r="Z297">
        <v>3061425.1737843025</v>
      </c>
      <c r="AA297">
        <v>3061425.1737843025</v>
      </c>
    </row>
    <row r="298" spans="1:27" x14ac:dyDescent="0.2">
      <c r="A298" t="s">
        <v>605</v>
      </c>
      <c r="B298" t="s">
        <v>129</v>
      </c>
      <c r="C298">
        <v>7240.6374331682218</v>
      </c>
      <c r="D298">
        <v>7901.9517995747328</v>
      </c>
      <c r="E298">
        <v>8218.029871557721</v>
      </c>
      <c r="F298">
        <v>8707.5585387387073</v>
      </c>
      <c r="G298">
        <v>10661.310365748855</v>
      </c>
      <c r="H298">
        <v>11087.762780378811</v>
      </c>
      <c r="I298">
        <v>11683.341527815643</v>
      </c>
      <c r="J298">
        <v>13855.426921384205</v>
      </c>
      <c r="K298">
        <v>14409.643998239573</v>
      </c>
      <c r="L298">
        <v>17359.927376718624</v>
      </c>
      <c r="M298">
        <v>18885.960816259292</v>
      </c>
      <c r="N298">
        <v>20242.421419998198</v>
      </c>
      <c r="O298">
        <v>20242.421419998198</v>
      </c>
      <c r="P298">
        <v>20242.421419998198</v>
      </c>
      <c r="Q298">
        <v>21429.431270610512</v>
      </c>
      <c r="R298">
        <v>21429.431270610512</v>
      </c>
      <c r="S298">
        <v>22751.708725303717</v>
      </c>
      <c r="T298">
        <v>22751.708725303717</v>
      </c>
      <c r="U298">
        <v>23972.535476936246</v>
      </c>
      <c r="V298">
        <v>23972.535476936246</v>
      </c>
      <c r="W298">
        <v>25023.66731009186</v>
      </c>
      <c r="X298">
        <v>25023.66731009186</v>
      </c>
      <c r="Y298">
        <v>25023.66731009186</v>
      </c>
      <c r="Z298">
        <v>25023.66731009186</v>
      </c>
      <c r="AA298">
        <v>25023.66731009186</v>
      </c>
    </row>
    <row r="299" spans="1:27" x14ac:dyDescent="0.2">
      <c r="A299" t="s">
        <v>448</v>
      </c>
      <c r="B299" t="s">
        <v>449</v>
      </c>
      <c r="C299">
        <v>28076.005865461862</v>
      </c>
      <c r="D299">
        <v>30640.291979981364</v>
      </c>
      <c r="E299">
        <v>31865.903659180618</v>
      </c>
      <c r="F299">
        <v>33764.080423028223</v>
      </c>
      <c r="G299">
        <v>41339.870298035399</v>
      </c>
      <c r="H299">
        <v>42993.465109956815</v>
      </c>
      <c r="I299">
        <v>45302.857419780601</v>
      </c>
      <c r="J299">
        <v>53725.248792501363</v>
      </c>
      <c r="K299">
        <v>55874.258744201412</v>
      </c>
      <c r="L299">
        <v>67314.159471658277</v>
      </c>
      <c r="M299">
        <v>73231.445649138841</v>
      </c>
      <c r="N299">
        <v>78491.202986577759</v>
      </c>
      <c r="O299">
        <v>78491.202986577759</v>
      </c>
      <c r="P299">
        <v>78491.202986577759</v>
      </c>
      <c r="Q299">
        <v>83093.904866869256</v>
      </c>
      <c r="R299">
        <v>83093.904866869256</v>
      </c>
      <c r="S299">
        <v>88221.114993932642</v>
      </c>
      <c r="T299">
        <v>88221.114993932642</v>
      </c>
      <c r="U299">
        <v>92954.943935917079</v>
      </c>
      <c r="V299">
        <v>92954.943935917079</v>
      </c>
      <c r="W299">
        <v>97030.770654965701</v>
      </c>
      <c r="X299">
        <v>97030.770654965701</v>
      </c>
      <c r="Y299">
        <v>97030.770654965701</v>
      </c>
      <c r="Z299">
        <v>97030.770654965701</v>
      </c>
      <c r="AA299">
        <v>97030.770654965701</v>
      </c>
    </row>
    <row r="300" spans="1:27" x14ac:dyDescent="0.2">
      <c r="A300" t="s">
        <v>365</v>
      </c>
      <c r="B300" t="s">
        <v>366</v>
      </c>
      <c r="C300">
        <v>111226.202108704</v>
      </c>
      <c r="D300">
        <v>121384.90513095092</v>
      </c>
      <c r="E300">
        <v>126240.30133618895</v>
      </c>
      <c r="F300">
        <v>133760.13850196902</v>
      </c>
      <c r="G300">
        <v>163772.46788416195</v>
      </c>
      <c r="H300">
        <v>170323.36659952844</v>
      </c>
      <c r="I300">
        <v>179472.27962624683</v>
      </c>
      <c r="J300">
        <v>212838.51446569926</v>
      </c>
      <c r="K300">
        <v>221352.05504432722</v>
      </c>
      <c r="L300">
        <v>266672.4868932502</v>
      </c>
      <c r="M300">
        <v>290114.47046688729</v>
      </c>
      <c r="N300">
        <v>310951.58082582173</v>
      </c>
      <c r="O300">
        <v>310951.58082582173</v>
      </c>
      <c r="P300">
        <v>310951.58082582173</v>
      </c>
      <c r="Q300">
        <v>329185.69332873961</v>
      </c>
      <c r="R300">
        <v>329185.69332873961</v>
      </c>
      <c r="S300">
        <v>349497.70325562474</v>
      </c>
      <c r="T300">
        <v>349497.70325562474</v>
      </c>
      <c r="U300">
        <v>368251.29011453432</v>
      </c>
      <c r="V300">
        <v>368251.29011453432</v>
      </c>
      <c r="W300">
        <v>384398.12840005552</v>
      </c>
      <c r="X300">
        <v>384398.12840005552</v>
      </c>
      <c r="Y300">
        <v>384398.12840005552</v>
      </c>
      <c r="Z300">
        <v>384398.12840005552</v>
      </c>
      <c r="AA300">
        <v>384398.12840005552</v>
      </c>
    </row>
    <row r="301" spans="1:27" x14ac:dyDescent="0.2">
      <c r="A301" t="s">
        <v>597</v>
      </c>
      <c r="B301" t="s">
        <v>598</v>
      </c>
      <c r="C301">
        <v>7530.1732477431169</v>
      </c>
      <c r="D301">
        <v>8217.9319977463638</v>
      </c>
      <c r="E301">
        <v>8546.6492776562191</v>
      </c>
      <c r="F301">
        <v>9055.7530282077296</v>
      </c>
      <c r="G301">
        <v>11087.630729069711</v>
      </c>
      <c r="H301">
        <v>11531.1359582325</v>
      </c>
      <c r="I301">
        <v>12150.530478710625</v>
      </c>
      <c r="J301">
        <v>14409.472384507273</v>
      </c>
      <c r="K301">
        <v>14985.851279887562</v>
      </c>
      <c r="L301">
        <v>18054.109451207602</v>
      </c>
      <c r="M301">
        <v>19641.165326834063</v>
      </c>
      <c r="N301">
        <v>21051.867553560915</v>
      </c>
      <c r="O301">
        <v>21051.867553560915</v>
      </c>
      <c r="P301">
        <v>21051.867553560915</v>
      </c>
      <c r="Q301">
        <v>22286.343095858203</v>
      </c>
      <c r="R301">
        <v>22286.343095858203</v>
      </c>
      <c r="S301">
        <v>23661.495270971027</v>
      </c>
      <c r="T301">
        <v>23661.495270971027</v>
      </c>
      <c r="U301">
        <v>24931.139971472196</v>
      </c>
      <c r="V301">
        <v>24931.139971472196</v>
      </c>
      <c r="W301">
        <v>26024.304058603706</v>
      </c>
      <c r="X301">
        <v>26024.304058603706</v>
      </c>
      <c r="Y301">
        <v>26024.304058603706</v>
      </c>
      <c r="Z301">
        <v>26024.304058603706</v>
      </c>
      <c r="AA301">
        <v>26024.304058603706</v>
      </c>
    </row>
    <row r="302" spans="1:27" x14ac:dyDescent="0.2">
      <c r="A302" t="s">
        <v>606</v>
      </c>
      <c r="B302" t="s">
        <v>607</v>
      </c>
      <c r="C302">
        <v>7223.6122532138443</v>
      </c>
      <c r="D302">
        <v>7883.3716465674424</v>
      </c>
      <c r="E302">
        <v>8198.7065124301407</v>
      </c>
      <c r="F302">
        <v>8687.0841326586287</v>
      </c>
      <c r="G302">
        <v>10636.242030370693</v>
      </c>
      <c r="H302">
        <v>11061.691711585521</v>
      </c>
      <c r="I302">
        <v>11655.870052573928</v>
      </c>
      <c r="J302">
        <v>13822.848141013197</v>
      </c>
      <c r="K302">
        <v>14375.762066653724</v>
      </c>
      <c r="L302">
        <v>17319.10833415344</v>
      </c>
      <c r="M302">
        <v>18841.553554540147</v>
      </c>
      <c r="N302">
        <v>20194.824662037481</v>
      </c>
      <c r="O302">
        <v>20194.824662037481</v>
      </c>
      <c r="P302">
        <v>20194.824662037481</v>
      </c>
      <c r="Q302">
        <v>21379.043452263079</v>
      </c>
      <c r="R302">
        <v>21379.043452263079</v>
      </c>
      <c r="S302">
        <v>22698.211786823758</v>
      </c>
      <c r="T302">
        <v>22698.211786823758</v>
      </c>
      <c r="U302">
        <v>23916.167963133121</v>
      </c>
      <c r="V302">
        <v>23916.167963133121</v>
      </c>
      <c r="W302">
        <v>24964.828230935484</v>
      </c>
      <c r="X302">
        <v>24964.828230935484</v>
      </c>
      <c r="Y302">
        <v>24964.828230935484</v>
      </c>
      <c r="Z302">
        <v>24964.828230935484</v>
      </c>
      <c r="AA302">
        <v>24964.828230935484</v>
      </c>
    </row>
    <row r="303" spans="1:27" x14ac:dyDescent="0.2">
      <c r="A303" t="s">
        <v>590</v>
      </c>
      <c r="B303" t="s">
        <v>207</v>
      </c>
      <c r="C303">
        <v>7679.3076659982135</v>
      </c>
      <c r="D303">
        <v>8380.6874174986478</v>
      </c>
      <c r="E303">
        <v>8715.9149141985945</v>
      </c>
      <c r="F303">
        <v>9235.1014197109871</v>
      </c>
      <c r="G303">
        <v>11307.220279562822</v>
      </c>
      <c r="H303">
        <v>11759.509090745336</v>
      </c>
      <c r="I303">
        <v>12391.170665173324</v>
      </c>
      <c r="J303">
        <v>14694.850716549028</v>
      </c>
      <c r="K303">
        <v>15282.644745210988</v>
      </c>
      <c r="L303">
        <v>18411.669499500866</v>
      </c>
      <c r="M303">
        <v>20030.156877028145</v>
      </c>
      <c r="N303">
        <v>21468.797937164589</v>
      </c>
      <c r="O303">
        <v>21468.797937164589</v>
      </c>
      <c r="P303">
        <v>21468.797937164589</v>
      </c>
      <c r="Q303">
        <v>22727.722158900408</v>
      </c>
      <c r="R303">
        <v>22727.722158900408</v>
      </c>
      <c r="S303">
        <v>24130.109101780246</v>
      </c>
      <c r="T303">
        <v>24130.109101780246</v>
      </c>
      <c r="U303">
        <v>25424.899003802067</v>
      </c>
      <c r="V303">
        <v>25424.899003802067</v>
      </c>
      <c r="W303">
        <v>26539.713109442855</v>
      </c>
      <c r="X303">
        <v>26539.713109442855</v>
      </c>
      <c r="Y303">
        <v>26539.713109442855</v>
      </c>
      <c r="Z303">
        <v>26539.713109442855</v>
      </c>
      <c r="AA303">
        <v>26539.713109442855</v>
      </c>
    </row>
    <row r="304" spans="1:27" x14ac:dyDescent="0.2">
      <c r="A304" t="s">
        <v>446</v>
      </c>
      <c r="B304" t="s">
        <v>447</v>
      </c>
      <c r="C304">
        <v>30159.713818601107</v>
      </c>
      <c r="D304">
        <v>32914.312736036853</v>
      </c>
      <c r="E304">
        <v>34230.885245478326</v>
      </c>
      <c r="F304">
        <v>36269.938387477669</v>
      </c>
      <c r="G304">
        <v>44407.978238122705</v>
      </c>
      <c r="H304">
        <v>46184.297367647618</v>
      </c>
      <c r="I304">
        <v>48665.085108358457</v>
      </c>
      <c r="J304">
        <v>57712.558409466285</v>
      </c>
      <c r="K304">
        <v>60021.06074584493</v>
      </c>
      <c r="L304">
        <v>72309.992928956577</v>
      </c>
      <c r="M304">
        <v>78666.440443277621</v>
      </c>
      <c r="N304">
        <v>84316.559509807295</v>
      </c>
      <c r="O304">
        <v>84316.559509807295</v>
      </c>
      <c r="P304">
        <v>84316.559509807295</v>
      </c>
      <c r="Q304">
        <v>89260.858644346779</v>
      </c>
      <c r="R304">
        <v>89260.858644346779</v>
      </c>
      <c r="S304">
        <v>94768.593286555712</v>
      </c>
      <c r="T304">
        <v>94768.593286555712</v>
      </c>
      <c r="U304">
        <v>99853.751298012532</v>
      </c>
      <c r="V304">
        <v>99853.751298012532</v>
      </c>
      <c r="W304">
        <v>104232.07234587686</v>
      </c>
      <c r="X304">
        <v>104232.07234587686</v>
      </c>
      <c r="Y304">
        <v>104232.07234587686</v>
      </c>
      <c r="Z304">
        <v>104232.07234587686</v>
      </c>
      <c r="AA304">
        <v>104232.07234587686</v>
      </c>
    </row>
    <row r="305" spans="1:27" x14ac:dyDescent="0.2">
      <c r="A305" t="s">
        <v>791</v>
      </c>
      <c r="B305" t="s">
        <v>792</v>
      </c>
      <c r="C305">
        <v>1482.5520456143886</v>
      </c>
      <c r="D305">
        <v>1617.9590419955287</v>
      </c>
      <c r="E305">
        <v>1682.6774036753498</v>
      </c>
      <c r="F305">
        <v>1782.9105300561157</v>
      </c>
      <c r="G305">
        <v>2182.949724739191</v>
      </c>
      <c r="H305">
        <v>2270.2677137287587</v>
      </c>
      <c r="I305">
        <v>2392.2150558636035</v>
      </c>
      <c r="J305">
        <v>2836.9589990878344</v>
      </c>
      <c r="K305">
        <v>2950.4373590513474</v>
      </c>
      <c r="L305">
        <v>3554.520728544464</v>
      </c>
      <c r="M305">
        <v>3866.9827207860817</v>
      </c>
      <c r="N305">
        <v>4144.7239364498109</v>
      </c>
      <c r="O305">
        <v>4144.7239364498109</v>
      </c>
      <c r="P305">
        <v>4144.7239364498109</v>
      </c>
      <c r="Q305">
        <v>4387.7693724950313</v>
      </c>
      <c r="R305">
        <v>4387.7693724950313</v>
      </c>
      <c r="S305">
        <v>4658.511439532549</v>
      </c>
      <c r="T305">
        <v>4658.511439532549</v>
      </c>
      <c r="U305">
        <v>4908.4810333258429</v>
      </c>
      <c r="V305">
        <v>4908.4810333258429</v>
      </c>
      <c r="W305">
        <v>5123.7048535818694</v>
      </c>
      <c r="X305">
        <v>5123.7048535818694</v>
      </c>
      <c r="Y305">
        <v>5123.7048535818694</v>
      </c>
      <c r="Z305">
        <v>5123.7048535818694</v>
      </c>
      <c r="AA305">
        <v>5123.7048535818694</v>
      </c>
    </row>
    <row r="306" spans="1:27" x14ac:dyDescent="0.2">
      <c r="A306" t="s">
        <v>767</v>
      </c>
      <c r="B306" t="s">
        <v>768</v>
      </c>
      <c r="C306">
        <v>2064.1170265540172</v>
      </c>
      <c r="D306">
        <v>2252.6405172278455</v>
      </c>
      <c r="E306">
        <v>2342.7461379169595</v>
      </c>
      <c r="F306">
        <v>2482.2980028240295</v>
      </c>
      <c r="G306">
        <v>3039.2617299841786</v>
      </c>
      <c r="H306">
        <v>3160.832199183546</v>
      </c>
      <c r="I306">
        <v>3330.6161780921771</v>
      </c>
      <c r="J306">
        <v>3949.8211148642113</v>
      </c>
      <c r="K306">
        <v>4107.8139594587792</v>
      </c>
      <c r="L306">
        <v>4948.8628603168481</v>
      </c>
      <c r="M306">
        <v>5383.8952224148916</v>
      </c>
      <c r="N306">
        <v>5770.5867884365989</v>
      </c>
      <c r="O306">
        <v>5770.5867884365989</v>
      </c>
      <c r="P306">
        <v>5770.5867884365989</v>
      </c>
      <c r="Q306">
        <v>6108.9723609709408</v>
      </c>
      <c r="R306">
        <v>6108.9723609709408</v>
      </c>
      <c r="S306">
        <v>6485.9192020816554</v>
      </c>
      <c r="T306">
        <v>6485.9192020816554</v>
      </c>
      <c r="U306">
        <v>6833.9450917600889</v>
      </c>
      <c r="V306">
        <v>6833.9450917600889</v>
      </c>
      <c r="W306">
        <v>7133.5953827732201</v>
      </c>
      <c r="X306">
        <v>7133.5953827732201</v>
      </c>
      <c r="Y306">
        <v>7133.5953827732201</v>
      </c>
      <c r="Z306">
        <v>7133.5953827732201</v>
      </c>
      <c r="AA306">
        <v>7133.5953827732201</v>
      </c>
    </row>
    <row r="307" spans="1:27" x14ac:dyDescent="0.2">
      <c r="A307" t="s">
        <v>550</v>
      </c>
      <c r="B307" t="s">
        <v>127</v>
      </c>
      <c r="C307">
        <v>10676.598278750929</v>
      </c>
      <c r="D307">
        <v>11651.73173782258</v>
      </c>
      <c r="E307">
        <v>12117.801007335484</v>
      </c>
      <c r="F307">
        <v>12839.62984818891</v>
      </c>
      <c r="G307">
        <v>15720.512033755791</v>
      </c>
      <c r="H307">
        <v>16349.332515106023</v>
      </c>
      <c r="I307">
        <v>17227.536276644511</v>
      </c>
      <c r="J307">
        <v>20430.359700455541</v>
      </c>
      <c r="K307">
        <v>21247.574088473761</v>
      </c>
      <c r="L307">
        <v>25597.880360709543</v>
      </c>
      <c r="M307">
        <v>27848.075339300973</v>
      </c>
      <c r="N307">
        <v>29848.228651871315</v>
      </c>
      <c r="O307">
        <v>29848.228651871315</v>
      </c>
      <c r="P307">
        <v>29848.228651871315</v>
      </c>
      <c r="Q307">
        <v>31598.520314018871</v>
      </c>
      <c r="R307">
        <v>31598.520314018871</v>
      </c>
      <c r="S307">
        <v>33548.26925906878</v>
      </c>
      <c r="T307">
        <v>33548.26925906878</v>
      </c>
      <c r="U307">
        <v>35348.425241941921</v>
      </c>
      <c r="V307">
        <v>35348.425241941921</v>
      </c>
      <c r="W307">
        <v>36898.359543195693</v>
      </c>
      <c r="X307">
        <v>36898.359543195693</v>
      </c>
      <c r="Y307">
        <v>36898.359543195693</v>
      </c>
      <c r="Z307">
        <v>36898.359543195693</v>
      </c>
      <c r="AA307">
        <v>36898.359543195693</v>
      </c>
    </row>
    <row r="308" spans="1:27" x14ac:dyDescent="0.2">
      <c r="A308" t="s">
        <v>417</v>
      </c>
      <c r="B308" t="s">
        <v>71</v>
      </c>
      <c r="C308">
        <v>41888.443569290597</v>
      </c>
      <c r="D308">
        <v>45714.271029160969</v>
      </c>
      <c r="E308">
        <v>47542.841870327407</v>
      </c>
      <c r="F308">
        <v>50374.856888346112</v>
      </c>
      <c r="G308">
        <v>61677.677104038528</v>
      </c>
      <c r="H308">
        <v>64144.784188200072</v>
      </c>
      <c r="I308">
        <v>67590.318781438255</v>
      </c>
      <c r="J308">
        <v>80156.239568935212</v>
      </c>
      <c r="K308">
        <v>83362.489151692615</v>
      </c>
      <c r="L308">
        <v>100430.43102193769</v>
      </c>
      <c r="M308">
        <v>109258.82026350194</v>
      </c>
      <c r="N308">
        <v>117106.19889254356</v>
      </c>
      <c r="O308">
        <v>117106.19889254356</v>
      </c>
      <c r="P308">
        <v>117106.19889254356</v>
      </c>
      <c r="Q308">
        <v>123973.2731802019</v>
      </c>
      <c r="R308">
        <v>123973.2731802019</v>
      </c>
      <c r="S308">
        <v>131622.89589023252</v>
      </c>
      <c r="T308">
        <v>131622.89589023252</v>
      </c>
      <c r="U308">
        <v>138685.6072834839</v>
      </c>
      <c r="V308">
        <v>138685.6072834839</v>
      </c>
      <c r="W308">
        <v>144766.60179307335</v>
      </c>
      <c r="X308">
        <v>144766.60179307335</v>
      </c>
      <c r="Y308">
        <v>144766.60179307335</v>
      </c>
      <c r="Z308">
        <v>144766.60179307335</v>
      </c>
      <c r="AA308">
        <v>144766.60179307335</v>
      </c>
    </row>
    <row r="309" spans="1:27" x14ac:dyDescent="0.2">
      <c r="A309" t="s">
        <v>409</v>
      </c>
      <c r="B309" t="s">
        <v>95</v>
      </c>
      <c r="C309">
        <v>50200.264523306789</v>
      </c>
      <c r="D309">
        <v>54785.241527485232</v>
      </c>
      <c r="E309">
        <v>56976.651188584634</v>
      </c>
      <c r="F309">
        <v>60370.615989481244</v>
      </c>
      <c r="G309">
        <v>73916.227053987735</v>
      </c>
      <c r="H309">
        <v>76872.876136147257</v>
      </c>
      <c r="I309">
        <v>81002.099694397752</v>
      </c>
      <c r="J309">
        <v>96061.445274230427</v>
      </c>
      <c r="K309">
        <v>99903.903085199636</v>
      </c>
      <c r="L309">
        <v>120358.59473153423</v>
      </c>
      <c r="M309">
        <v>130938.77956242044</v>
      </c>
      <c r="N309">
        <v>140343.29425489856</v>
      </c>
      <c r="O309">
        <v>140343.29425489856</v>
      </c>
      <c r="P309">
        <v>140343.29425489856</v>
      </c>
      <c r="Q309">
        <v>148572.98522375507</v>
      </c>
      <c r="R309">
        <v>148572.98522375507</v>
      </c>
      <c r="S309">
        <v>157740.50377602139</v>
      </c>
      <c r="T309">
        <v>157740.50377602139</v>
      </c>
      <c r="U309">
        <v>166204.65164073033</v>
      </c>
      <c r="V309">
        <v>166204.65164073033</v>
      </c>
      <c r="W309">
        <v>173492.28295224474</v>
      </c>
      <c r="X309">
        <v>173492.28295224474</v>
      </c>
      <c r="Y309">
        <v>173492.28295224474</v>
      </c>
      <c r="Z309">
        <v>173492.28295224474</v>
      </c>
      <c r="AA309">
        <v>173492.28295224474</v>
      </c>
    </row>
    <row r="310" spans="1:27" x14ac:dyDescent="0.2">
      <c r="A310" t="s">
        <v>529</v>
      </c>
      <c r="B310" t="s">
        <v>135</v>
      </c>
      <c r="C310">
        <v>13510.611598481122</v>
      </c>
      <c r="D310">
        <v>14744.58604223455</v>
      </c>
      <c r="E310">
        <v>15334.369483923932</v>
      </c>
      <c r="F310">
        <v>16247.801726547697</v>
      </c>
      <c r="G310">
        <v>19893.389886181176</v>
      </c>
      <c r="H310">
        <v>20689.125481628424</v>
      </c>
      <c r="I310">
        <v>21800.441053938197</v>
      </c>
      <c r="J310">
        <v>25853.427048901642</v>
      </c>
      <c r="K310">
        <v>26887.564130857703</v>
      </c>
      <c r="L310">
        <v>32392.62265643615</v>
      </c>
      <c r="M310">
        <v>35240.112988362176</v>
      </c>
      <c r="N310">
        <v>37771.190194604576</v>
      </c>
      <c r="O310">
        <v>37771.190194604576</v>
      </c>
      <c r="P310">
        <v>37771.190194604576</v>
      </c>
      <c r="Q310">
        <v>39986.082074389917</v>
      </c>
      <c r="R310">
        <v>39986.082074389917</v>
      </c>
      <c r="S310">
        <v>42453.375497197187</v>
      </c>
      <c r="T310">
        <v>42453.375497197187</v>
      </c>
      <c r="U310">
        <v>44731.367762738002</v>
      </c>
      <c r="V310">
        <v>44731.367762738002</v>
      </c>
      <c r="W310">
        <v>46692.719103368654</v>
      </c>
      <c r="X310">
        <v>46692.719103368654</v>
      </c>
      <c r="Y310">
        <v>46692.719103368654</v>
      </c>
      <c r="Z310">
        <v>46692.719103368654</v>
      </c>
      <c r="AA310">
        <v>46692.719103368654</v>
      </c>
    </row>
    <row r="311" spans="1:27" x14ac:dyDescent="0.2">
      <c r="A311" t="s">
        <v>434</v>
      </c>
      <c r="B311" t="s">
        <v>49</v>
      </c>
      <c r="C311">
        <v>32989.433604395555</v>
      </c>
      <c r="D311">
        <v>36002.481362078201</v>
      </c>
      <c r="E311">
        <v>37442.580616561325</v>
      </c>
      <c r="F311">
        <v>39672.946880923373</v>
      </c>
      <c r="G311">
        <v>48574.534175070708</v>
      </c>
      <c r="H311">
        <v>50517.515542073539</v>
      </c>
      <c r="I311">
        <v>53231.061928853371</v>
      </c>
      <c r="J311">
        <v>63127.409803691466</v>
      </c>
      <c r="K311">
        <v>65652.506195839116</v>
      </c>
      <c r="L311">
        <v>79094.441181099042</v>
      </c>
      <c r="M311">
        <v>86047.279145502689</v>
      </c>
      <c r="N311">
        <v>92227.5177553018</v>
      </c>
      <c r="O311">
        <v>92227.5177553018</v>
      </c>
      <c r="P311">
        <v>92227.5177553018</v>
      </c>
      <c r="Q311">
        <v>97635.71323753355</v>
      </c>
      <c r="R311">
        <v>97635.71323753355</v>
      </c>
      <c r="S311">
        <v>103660.20827693005</v>
      </c>
      <c r="T311">
        <v>103660.20827693005</v>
      </c>
      <c r="U311">
        <v>109222.47864845296</v>
      </c>
      <c r="V311">
        <v>109222.47864845296</v>
      </c>
      <c r="W311">
        <v>114011.5934383342</v>
      </c>
      <c r="X311">
        <v>114011.5934383342</v>
      </c>
      <c r="Y311">
        <v>114011.5934383342</v>
      </c>
      <c r="Z311">
        <v>114011.5934383342</v>
      </c>
      <c r="AA311">
        <v>114011.5934383342</v>
      </c>
    </row>
    <row r="312" spans="1:27" x14ac:dyDescent="0.2">
      <c r="A312" t="s">
        <v>346</v>
      </c>
      <c r="B312" t="s">
        <v>347</v>
      </c>
      <c r="C312">
        <v>193086.33840302334</v>
      </c>
      <c r="D312">
        <v>210721.63235626247</v>
      </c>
      <c r="E312">
        <v>219150.49765051296</v>
      </c>
      <c r="F312">
        <v>232204.77619459553</v>
      </c>
      <c r="G312">
        <v>284305.54631429753</v>
      </c>
      <c r="H312">
        <v>295677.76816686941</v>
      </c>
      <c r="I312">
        <v>311560.08800882817</v>
      </c>
      <c r="J312">
        <v>369483.16718713893</v>
      </c>
      <c r="K312">
        <v>384262.49387462443</v>
      </c>
      <c r="L312">
        <v>462937.80665748817</v>
      </c>
      <c r="M312">
        <v>503632.59518145223</v>
      </c>
      <c r="N312">
        <v>539805.37880463339</v>
      </c>
      <c r="O312">
        <v>539805.37880463339</v>
      </c>
      <c r="P312">
        <v>539805.37880463339</v>
      </c>
      <c r="Q312">
        <v>571459.41311011359</v>
      </c>
      <c r="R312">
        <v>571459.41311011359</v>
      </c>
      <c r="S312">
        <v>606720.63347035821</v>
      </c>
      <c r="T312">
        <v>606720.63347035821</v>
      </c>
      <c r="U312">
        <v>639276.46428952937</v>
      </c>
      <c r="V312">
        <v>639276.46428952937</v>
      </c>
      <c r="W312">
        <v>667307.03462483583</v>
      </c>
      <c r="X312">
        <v>667307.03462483583</v>
      </c>
      <c r="Y312">
        <v>667307.03462483583</v>
      </c>
      <c r="Z312">
        <v>667307.03462483583</v>
      </c>
      <c r="AA312">
        <v>667307.03462483583</v>
      </c>
    </row>
    <row r="313" spans="1:27" x14ac:dyDescent="0.2">
      <c r="A313" t="s">
        <v>581</v>
      </c>
      <c r="B313" t="s">
        <v>582</v>
      </c>
      <c r="C313">
        <v>8523.2166221554671</v>
      </c>
      <c r="D313">
        <v>9301.6737196488648</v>
      </c>
      <c r="E313">
        <v>9673.7406684348189</v>
      </c>
      <c r="F313">
        <v>10249.982596255382</v>
      </c>
      <c r="G313">
        <v>12549.814648507878</v>
      </c>
      <c r="H313">
        <v>13051.807234448193</v>
      </c>
      <c r="I313">
        <v>13752.884553511658</v>
      </c>
      <c r="J313">
        <v>16309.724956319127</v>
      </c>
      <c r="K313">
        <v>16962.113954571891</v>
      </c>
      <c r="L313">
        <v>20434.999396443654</v>
      </c>
      <c r="M313">
        <v>22231.348640265252</v>
      </c>
      <c r="N313">
        <v>23828.087556113391</v>
      </c>
      <c r="O313">
        <v>23828.087556113391</v>
      </c>
      <c r="P313">
        <v>23828.087556113391</v>
      </c>
      <c r="Q313">
        <v>25225.359851927584</v>
      </c>
      <c r="R313">
        <v>25225.359851927584</v>
      </c>
      <c r="S313">
        <v>26781.860544714131</v>
      </c>
      <c r="T313">
        <v>26781.860544714131</v>
      </c>
      <c r="U313">
        <v>28218.939939771408</v>
      </c>
      <c r="V313">
        <v>28218.939939771408</v>
      </c>
      <c r="W313">
        <v>29456.265298915725</v>
      </c>
      <c r="X313">
        <v>29456.265298915725</v>
      </c>
      <c r="Y313">
        <v>29456.265298915725</v>
      </c>
      <c r="Z313">
        <v>29456.265298915725</v>
      </c>
      <c r="AA313">
        <v>29456.265298915725</v>
      </c>
    </row>
    <row r="314" spans="1:27" x14ac:dyDescent="0.2">
      <c r="A314" t="s">
        <v>486</v>
      </c>
      <c r="B314" t="s">
        <v>487</v>
      </c>
      <c r="C314">
        <v>20979.213914857562</v>
      </c>
      <c r="D314">
        <v>22895.323606285659</v>
      </c>
      <c r="E314">
        <v>23811.136550537085</v>
      </c>
      <c r="F314">
        <v>25229.509825133064</v>
      </c>
      <c r="G314">
        <v>30890.361910838845</v>
      </c>
      <c r="H314">
        <v>32125.9763872724</v>
      </c>
      <c r="I314">
        <v>33851.621962119665</v>
      </c>
      <c r="J314">
        <v>40145.079483451933</v>
      </c>
      <c r="K314">
        <v>41750.882662790005</v>
      </c>
      <c r="L314">
        <v>50299.111555322474</v>
      </c>
      <c r="M314">
        <v>54720.681101491697</v>
      </c>
      <c r="N314">
        <v>58650.925839690593</v>
      </c>
      <c r="O314">
        <v>58650.925839690593</v>
      </c>
      <c r="P314">
        <v>58650.925839690593</v>
      </c>
      <c r="Q314">
        <v>62090.199495482862</v>
      </c>
      <c r="R314">
        <v>62090.199495482862</v>
      </c>
      <c r="S314">
        <v>65921.401075847592</v>
      </c>
      <c r="T314">
        <v>65921.401075847592</v>
      </c>
      <c r="U314">
        <v>69458.656712782962</v>
      </c>
      <c r="V314">
        <v>69458.656712782962</v>
      </c>
      <c r="W314">
        <v>72504.233816184322</v>
      </c>
      <c r="X314">
        <v>72504.233816184322</v>
      </c>
      <c r="Y314">
        <v>72504.233816184322</v>
      </c>
      <c r="Z314">
        <v>72504.233816184322</v>
      </c>
      <c r="AA314">
        <v>72504.233816184322</v>
      </c>
    </row>
    <row r="315" spans="1:27" x14ac:dyDescent="0.2">
      <c r="A315" t="s">
        <v>692</v>
      </c>
      <c r="B315" t="s">
        <v>693</v>
      </c>
      <c r="C315">
        <v>3453.7537072922341</v>
      </c>
      <c r="D315">
        <v>3769.1978882422954</v>
      </c>
      <c r="E315">
        <v>3919.9658037719869</v>
      </c>
      <c r="F315">
        <v>4153.4689262121847</v>
      </c>
      <c r="G315">
        <v>5085.4003587618618</v>
      </c>
      <c r="H315">
        <v>5288.8163731123359</v>
      </c>
      <c r="I315">
        <v>5572.9049393374189</v>
      </c>
      <c r="J315">
        <v>6608.9805680145228</v>
      </c>
      <c r="K315">
        <v>6873.3397907351027</v>
      </c>
      <c r="L315">
        <v>8280.6125964839375</v>
      </c>
      <c r="M315">
        <v>9008.5241509448715</v>
      </c>
      <c r="N315">
        <v>9655.5501734741028</v>
      </c>
      <c r="O315">
        <v>9655.5501734741028</v>
      </c>
      <c r="P315">
        <v>9655.5501734741028</v>
      </c>
      <c r="Q315">
        <v>10221.748896995996</v>
      </c>
      <c r="R315">
        <v>10221.748896995996</v>
      </c>
      <c r="S315">
        <v>10852.469700705307</v>
      </c>
      <c r="T315">
        <v>10852.469700705307</v>
      </c>
      <c r="U315">
        <v>11434.798944274053</v>
      </c>
      <c r="V315">
        <v>11434.798944274053</v>
      </c>
      <c r="W315">
        <v>11936.184422986744</v>
      </c>
      <c r="X315">
        <v>11936.184422986744</v>
      </c>
      <c r="Y315">
        <v>11936.184422986744</v>
      </c>
      <c r="Z315">
        <v>11936.184422986744</v>
      </c>
      <c r="AA315">
        <v>11936.184422986744</v>
      </c>
    </row>
    <row r="316" spans="1:27" x14ac:dyDescent="0.2">
      <c r="A316" t="s">
        <v>517</v>
      </c>
      <c r="B316" t="s">
        <v>518</v>
      </c>
      <c r="C316">
        <v>14659.06018145782</v>
      </c>
      <c r="D316">
        <v>15997.926708817398</v>
      </c>
      <c r="E316">
        <v>16637.843777170092</v>
      </c>
      <c r="F316">
        <v>17628.920910777506</v>
      </c>
      <c r="G316">
        <v>21584.396637345289</v>
      </c>
      <c r="H316">
        <v>22447.7725028391</v>
      </c>
      <c r="I316">
        <v>23653.553731640885</v>
      </c>
      <c r="J316">
        <v>28051.057514626853</v>
      </c>
      <c r="K316">
        <v>29173.099815211925</v>
      </c>
      <c r="L316">
        <v>35146.107302006538</v>
      </c>
      <c r="M316">
        <v>38235.644132931018</v>
      </c>
      <c r="N316">
        <v>40981.871631203168</v>
      </c>
      <c r="O316">
        <v>40981.871631203168</v>
      </c>
      <c r="P316">
        <v>40981.871631203168</v>
      </c>
      <c r="Q316">
        <v>43385.036959769466</v>
      </c>
      <c r="R316">
        <v>43385.036959769466</v>
      </c>
      <c r="S316">
        <v>46062.058833028925</v>
      </c>
      <c r="T316">
        <v>46062.058833028925</v>
      </c>
      <c r="U316">
        <v>48533.688297768509</v>
      </c>
      <c r="V316">
        <v>48533.688297768509</v>
      </c>
      <c r="W316">
        <v>50661.761266909285</v>
      </c>
      <c r="X316">
        <v>50661.761266909285</v>
      </c>
      <c r="Y316">
        <v>50661.761266909285</v>
      </c>
      <c r="Z316">
        <v>50661.761266909285</v>
      </c>
      <c r="AA316">
        <v>50661.761266909285</v>
      </c>
    </row>
    <row r="317" spans="1:27" x14ac:dyDescent="0.2">
      <c r="A317" t="s">
        <v>492</v>
      </c>
      <c r="B317" t="s">
        <v>493</v>
      </c>
      <c r="C317">
        <v>20532.247923895913</v>
      </c>
      <c r="D317">
        <v>22407.534547763131</v>
      </c>
      <c r="E317">
        <v>23303.835929673656</v>
      </c>
      <c r="F317">
        <v>24691.990502138742</v>
      </c>
      <c r="G317">
        <v>30232.237098408961</v>
      </c>
      <c r="H317">
        <v>31441.526582345323</v>
      </c>
      <c r="I317">
        <v>33130.406962484129</v>
      </c>
      <c r="J317">
        <v>39289.78121982883</v>
      </c>
      <c r="K317">
        <v>40861.372468621979</v>
      </c>
      <c r="L317">
        <v>49227.479780554524</v>
      </c>
      <c r="M317">
        <v>53554.846978540925</v>
      </c>
      <c r="N317">
        <v>57401.357133487072</v>
      </c>
      <c r="O317">
        <v>57401.357133487072</v>
      </c>
      <c r="P317">
        <v>57401.357133487072</v>
      </c>
      <c r="Q317">
        <v>60767.356434768815</v>
      </c>
      <c r="R317">
        <v>60767.356434768815</v>
      </c>
      <c r="S317">
        <v>64516.933564480089</v>
      </c>
      <c r="T317">
        <v>64516.933564480089</v>
      </c>
      <c r="U317">
        <v>67978.827322869198</v>
      </c>
      <c r="V317">
        <v>67978.827322869198</v>
      </c>
      <c r="W317">
        <v>70959.517848842224</v>
      </c>
      <c r="X317">
        <v>70959.517848842224</v>
      </c>
      <c r="Y317">
        <v>70959.517848842224</v>
      </c>
      <c r="Z317">
        <v>70959.517848842224</v>
      </c>
      <c r="AA317">
        <v>70959.517848842224</v>
      </c>
    </row>
    <row r="318" spans="1:27" x14ac:dyDescent="0.2">
      <c r="A318" t="s">
        <v>435</v>
      </c>
      <c r="B318" t="s">
        <v>436</v>
      </c>
      <c r="C318">
        <v>32633.843017178118</v>
      </c>
      <c r="D318">
        <v>35614.413363022875</v>
      </c>
      <c r="E318">
        <v>37038.98989754379</v>
      </c>
      <c r="F318">
        <v>39245.315214153736</v>
      </c>
      <c r="G318">
        <v>48050.952978186331</v>
      </c>
      <c r="H318">
        <v>49972.991097313788</v>
      </c>
      <c r="I318">
        <v>52657.288374676107</v>
      </c>
      <c r="J318">
        <v>62446.964271015822</v>
      </c>
      <c r="K318">
        <v>64944.842841856451</v>
      </c>
      <c r="L318">
        <v>78241.888235737933</v>
      </c>
      <c r="M318">
        <v>85119.782090332417</v>
      </c>
      <c r="N318">
        <v>91233.404379804357</v>
      </c>
      <c r="O318">
        <v>91233.404379804357</v>
      </c>
      <c r="P318">
        <v>91233.404379804357</v>
      </c>
      <c r="Q318">
        <v>96583.305335662139</v>
      </c>
      <c r="R318">
        <v>96583.305335662139</v>
      </c>
      <c r="S318">
        <v>102542.86280279119</v>
      </c>
      <c r="T318">
        <v>102542.86280279119</v>
      </c>
      <c r="U318">
        <v>108045.17788646677</v>
      </c>
      <c r="V318">
        <v>108045.17788646677</v>
      </c>
      <c r="W318">
        <v>112782.67117351145</v>
      </c>
      <c r="X318">
        <v>112782.67117351145</v>
      </c>
      <c r="Y318">
        <v>112782.67117351145</v>
      </c>
      <c r="Z318">
        <v>112782.67117351145</v>
      </c>
      <c r="AA318">
        <v>112782.67117351145</v>
      </c>
    </row>
    <row r="319" spans="1:27" x14ac:dyDescent="0.2">
      <c r="A319" t="s">
        <v>627</v>
      </c>
      <c r="B319" t="s">
        <v>628</v>
      </c>
      <c r="C319">
        <v>6126.5759552529671</v>
      </c>
      <c r="D319">
        <v>6686.138940347314</v>
      </c>
      <c r="E319">
        <v>6953.5844979612066</v>
      </c>
      <c r="F319">
        <v>7367.7931348996481</v>
      </c>
      <c r="G319">
        <v>9020.9361180105152</v>
      </c>
      <c r="H319">
        <v>9381.7735627309357</v>
      </c>
      <c r="I319">
        <v>9885.7151655505058</v>
      </c>
      <c r="J319">
        <v>11723.598399978739</v>
      </c>
      <c r="K319">
        <v>12192.542335977887</v>
      </c>
      <c r="L319">
        <v>14688.88818599558</v>
      </c>
      <c r="M319">
        <v>15980.122537100344</v>
      </c>
      <c r="N319">
        <v>17127.874927110344</v>
      </c>
      <c r="O319">
        <v>17127.874927110344</v>
      </c>
      <c r="P319">
        <v>17127.874927110344</v>
      </c>
      <c r="Q319">
        <v>18132.248654773677</v>
      </c>
      <c r="R319">
        <v>18132.248654773677</v>
      </c>
      <c r="S319">
        <v>19251.077395318938</v>
      </c>
      <c r="T319">
        <v>19251.077395318938</v>
      </c>
      <c r="U319">
        <v>20284.064876202745</v>
      </c>
      <c r="V319">
        <v>20284.064876202745</v>
      </c>
      <c r="W319">
        <v>21173.467097243709</v>
      </c>
      <c r="X319">
        <v>21173.467097243709</v>
      </c>
      <c r="Y319">
        <v>21173.467097243709</v>
      </c>
      <c r="Z319">
        <v>21173.467097243709</v>
      </c>
      <c r="AA319">
        <v>21173.467097243709</v>
      </c>
    </row>
    <row r="320" spans="1:27" x14ac:dyDescent="0.2">
      <c r="A320" t="s">
        <v>524</v>
      </c>
      <c r="B320" t="s">
        <v>183</v>
      </c>
      <c r="C320">
        <v>14135.71419925018</v>
      </c>
      <c r="D320">
        <v>15426.781590162236</v>
      </c>
      <c r="E320">
        <v>16043.852853768725</v>
      </c>
      <c r="F320">
        <v>16999.547348277123</v>
      </c>
      <c r="G320">
        <v>20813.807860254437</v>
      </c>
      <c r="H320">
        <v>21646.360174664616</v>
      </c>
      <c r="I320">
        <v>22809.093571360969</v>
      </c>
      <c r="J320">
        <v>27049.601209431752</v>
      </c>
      <c r="K320">
        <v>28131.585257809016</v>
      </c>
      <c r="L320">
        <v>33891.349232999521</v>
      </c>
      <c r="M320">
        <v>36870.58590365915</v>
      </c>
      <c r="N320">
        <v>39518.769795475084</v>
      </c>
      <c r="O320">
        <v>39518.769795475084</v>
      </c>
      <c r="P320">
        <v>39518.769795475084</v>
      </c>
      <c r="Q320">
        <v>41836.139247380976</v>
      </c>
      <c r="R320">
        <v>41836.139247380976</v>
      </c>
      <c r="S320">
        <v>44417.588237774144</v>
      </c>
      <c r="T320">
        <v>44417.588237774144</v>
      </c>
      <c r="U320">
        <v>46800.977574301847</v>
      </c>
      <c r="V320">
        <v>46800.977574301847</v>
      </c>
      <c r="W320">
        <v>48853.075793052201</v>
      </c>
      <c r="X320">
        <v>48853.075793052201</v>
      </c>
      <c r="Y320">
        <v>48853.075793052201</v>
      </c>
      <c r="Z320">
        <v>48853.075793052201</v>
      </c>
      <c r="AA320">
        <v>48853.075793052201</v>
      </c>
    </row>
    <row r="321" spans="1:27" x14ac:dyDescent="0.2">
      <c r="A321" t="s">
        <v>617</v>
      </c>
      <c r="B321" t="s">
        <v>618</v>
      </c>
      <c r="C321">
        <v>6391.3863723023678</v>
      </c>
      <c r="D321">
        <v>6975.1354784095774</v>
      </c>
      <c r="E321">
        <v>7254.1408975459599</v>
      </c>
      <c r="F321">
        <v>7686.2529707095064</v>
      </c>
      <c r="G321">
        <v>9410.850137363881</v>
      </c>
      <c r="H321">
        <v>9787.2841428584361</v>
      </c>
      <c r="I321">
        <v>10313.007730751866</v>
      </c>
      <c r="J321">
        <v>12230.330219561618</v>
      </c>
      <c r="K321">
        <v>12719.543428344081</v>
      </c>
      <c r="L321">
        <v>15323.789415480931</v>
      </c>
      <c r="M321">
        <v>16670.835089177948</v>
      </c>
      <c r="N321">
        <v>17868.19704761375</v>
      </c>
      <c r="O321">
        <v>17868.19704761375</v>
      </c>
      <c r="P321">
        <v>17868.19704761375</v>
      </c>
      <c r="Q321">
        <v>18915.98305444224</v>
      </c>
      <c r="R321">
        <v>18915.98305444224</v>
      </c>
      <c r="S321">
        <v>20083.171189787237</v>
      </c>
      <c r="T321">
        <v>20083.171189787237</v>
      </c>
      <c r="U321">
        <v>21160.80772874485</v>
      </c>
      <c r="V321">
        <v>21160.80772874485</v>
      </c>
      <c r="W321">
        <v>22088.652788787356</v>
      </c>
      <c r="X321">
        <v>22088.652788787356</v>
      </c>
      <c r="Y321">
        <v>22088.652788787356</v>
      </c>
      <c r="Z321">
        <v>22088.652788787356</v>
      </c>
      <c r="AA321">
        <v>22088.652788787356</v>
      </c>
    </row>
    <row r="322" spans="1:27" x14ac:dyDescent="0.2">
      <c r="A322" t="s">
        <v>540</v>
      </c>
      <c r="B322" t="s">
        <v>541</v>
      </c>
      <c r="C322">
        <v>12507.710156243351</v>
      </c>
      <c r="D322">
        <v>13650.085878480426</v>
      </c>
      <c r="E322">
        <v>14196.089313619643</v>
      </c>
      <c r="F322">
        <v>15041.716889753192</v>
      </c>
      <c r="G322">
        <v>18416.690681084321</v>
      </c>
      <c r="H322">
        <v>19153.358308327694</v>
      </c>
      <c r="I322">
        <v>20182.180206526071</v>
      </c>
      <c r="J322">
        <v>23934.310428226421</v>
      </c>
      <c r="K322">
        <v>24891.682845355477</v>
      </c>
      <c r="L322">
        <v>29988.097314026341</v>
      </c>
      <c r="M322">
        <v>32624.216595883267</v>
      </c>
      <c r="N322">
        <v>34967.410303140241</v>
      </c>
      <c r="O322">
        <v>34967.410303140241</v>
      </c>
      <c r="P322">
        <v>34967.410303140241</v>
      </c>
      <c r="Q322">
        <v>37017.889325339835</v>
      </c>
      <c r="R322">
        <v>37017.889325339835</v>
      </c>
      <c r="S322">
        <v>39302.033960683235</v>
      </c>
      <c r="T322">
        <v>39302.033960683235</v>
      </c>
      <c r="U322">
        <v>41410.929386168769</v>
      </c>
      <c r="V322">
        <v>41410.929386168769</v>
      </c>
      <c r="W322">
        <v>43226.688347511816</v>
      </c>
      <c r="X322">
        <v>43226.688347511816</v>
      </c>
      <c r="Y322">
        <v>43226.688347511816</v>
      </c>
      <c r="Z322">
        <v>43226.688347511816</v>
      </c>
      <c r="AA322">
        <v>43226.688347511816</v>
      </c>
    </row>
    <row r="323" spans="1:27" x14ac:dyDescent="0.2">
      <c r="A323" t="s">
        <v>423</v>
      </c>
      <c r="B323" t="s">
        <v>424</v>
      </c>
      <c r="C323">
        <v>40263.716238339992</v>
      </c>
      <c r="D323">
        <v>43941.151303843399</v>
      </c>
      <c r="E323">
        <v>45698.797355997129</v>
      </c>
      <c r="F323">
        <v>48420.966989242188</v>
      </c>
      <c r="G323">
        <v>59285.384644312384</v>
      </c>
      <c r="H323">
        <v>61656.80003008488</v>
      </c>
      <c r="I323">
        <v>64968.692650827492</v>
      </c>
      <c r="J323">
        <v>77047.218987675195</v>
      </c>
      <c r="K323">
        <v>80129.107747182192</v>
      </c>
      <c r="L323">
        <v>96535.035245998268</v>
      </c>
      <c r="M323">
        <v>105020.99769709673</v>
      </c>
      <c r="N323">
        <v>112564.00000062909</v>
      </c>
      <c r="O323">
        <v>112564.00000062909</v>
      </c>
      <c r="P323">
        <v>112564.00000062909</v>
      </c>
      <c r="Q323">
        <v>119164.72103359152</v>
      </c>
      <c r="R323">
        <v>119164.72103359152</v>
      </c>
      <c r="S323">
        <v>126517.63777821934</v>
      </c>
      <c r="T323">
        <v>126517.63777821934</v>
      </c>
      <c r="U323">
        <v>133306.4077390981</v>
      </c>
      <c r="V323">
        <v>133306.4077390981</v>
      </c>
      <c r="W323">
        <v>139151.53867541469</v>
      </c>
      <c r="X323">
        <v>139151.53867541469</v>
      </c>
      <c r="Y323">
        <v>139151.53867541469</v>
      </c>
      <c r="Z323">
        <v>139151.53867541469</v>
      </c>
      <c r="AA323">
        <v>139151.53867541469</v>
      </c>
    </row>
    <row r="324" spans="1:27" x14ac:dyDescent="0.2">
      <c r="A324" t="s">
        <v>826</v>
      </c>
      <c r="B324" t="s">
        <v>827</v>
      </c>
      <c r="C324">
        <v>1150.6809186086368</v>
      </c>
      <c r="D324">
        <v>1255.7768897367982</v>
      </c>
      <c r="E324">
        <v>1306.0079653262701</v>
      </c>
      <c r="F324">
        <v>1383.8037811831352</v>
      </c>
      <c r="G324">
        <v>1694.2937025178151</v>
      </c>
      <c r="H324">
        <v>1762.0654506185278</v>
      </c>
      <c r="I324">
        <v>1856.7147279135138</v>
      </c>
      <c r="J324">
        <v>2201.902183995574</v>
      </c>
      <c r="K324">
        <v>2289.9782713553968</v>
      </c>
      <c r="L324">
        <v>2758.8368241332037</v>
      </c>
      <c r="M324">
        <v>3001.3538091702248</v>
      </c>
      <c r="N324">
        <v>3216.922306829932</v>
      </c>
      <c r="O324">
        <v>3216.922306829932</v>
      </c>
      <c r="P324">
        <v>3216.922306829932</v>
      </c>
      <c r="Q324">
        <v>3405.5617184711286</v>
      </c>
      <c r="R324">
        <v>3405.5617184711286</v>
      </c>
      <c r="S324">
        <v>3615.6978356660074</v>
      </c>
      <c r="T324">
        <v>3615.6978356660074</v>
      </c>
      <c r="U324">
        <v>3809.711423695624</v>
      </c>
      <c r="V324">
        <v>3809.711423695624</v>
      </c>
      <c r="W324">
        <v>3976.7571229891241</v>
      </c>
      <c r="X324">
        <v>3976.7571229891241</v>
      </c>
      <c r="Y324">
        <v>3976.7571229891241</v>
      </c>
      <c r="Z324">
        <v>3976.7571229891241</v>
      </c>
      <c r="AA324">
        <v>3976.7571229891241</v>
      </c>
    </row>
    <row r="325" spans="1:27" x14ac:dyDescent="0.2">
      <c r="A325" t="s">
        <v>474</v>
      </c>
      <c r="B325" t="s">
        <v>91</v>
      </c>
      <c r="C325">
        <v>22734.175682518762</v>
      </c>
      <c r="D325">
        <v>24810.572564150872</v>
      </c>
      <c r="E325">
        <v>25802.995466716904</v>
      </c>
      <c r="F325">
        <v>27340.0190815635</v>
      </c>
      <c r="G325">
        <v>33474.415077118218</v>
      </c>
      <c r="H325">
        <v>34813.391680202949</v>
      </c>
      <c r="I325">
        <v>36683.391663212569</v>
      </c>
      <c r="J325">
        <v>43503.312062570782</v>
      </c>
      <c r="K325">
        <v>45243.444545073609</v>
      </c>
      <c r="L325">
        <v>54506.753370938895</v>
      </c>
      <c r="M325">
        <v>59298.197857993611</v>
      </c>
      <c r="N325">
        <v>63557.217033646804</v>
      </c>
      <c r="O325">
        <v>63557.217033646804</v>
      </c>
      <c r="P325">
        <v>63557.217033646804</v>
      </c>
      <c r="Q325">
        <v>67284.194213457449</v>
      </c>
      <c r="R325">
        <v>67284.194213457449</v>
      </c>
      <c r="S325">
        <v>71435.885032600636</v>
      </c>
      <c r="T325">
        <v>71435.885032600636</v>
      </c>
      <c r="U325">
        <v>75269.040622244414</v>
      </c>
      <c r="V325">
        <v>75269.040622244414</v>
      </c>
      <c r="W325">
        <v>78569.387584927696</v>
      </c>
      <c r="X325">
        <v>78569.387584927696</v>
      </c>
      <c r="Y325">
        <v>78569.387584927696</v>
      </c>
      <c r="Z325">
        <v>78569.387584927696</v>
      </c>
      <c r="AA325">
        <v>78569.387584927696</v>
      </c>
    </row>
    <row r="326" spans="1:27" x14ac:dyDescent="0.2">
      <c r="A326" t="s">
        <v>404</v>
      </c>
      <c r="B326" t="s">
        <v>99</v>
      </c>
      <c r="C326">
        <v>63199.831426635581</v>
      </c>
      <c r="D326">
        <v>68972.107260452045</v>
      </c>
      <c r="E326">
        <v>71730.991550870123</v>
      </c>
      <c r="F326">
        <v>76003.837626910507</v>
      </c>
      <c r="G326">
        <v>93057.140910803006</v>
      </c>
      <c r="H326">
        <v>96779.42654723514</v>
      </c>
      <c r="I326">
        <v>101977.92968825271</v>
      </c>
      <c r="J326">
        <v>120936.95532444234</v>
      </c>
      <c r="K326">
        <v>125774.43353742003</v>
      </c>
      <c r="L326">
        <v>151525.95250266319</v>
      </c>
      <c r="M326">
        <v>164845.92011885392</v>
      </c>
      <c r="N326">
        <v>176685.7729335335</v>
      </c>
      <c r="O326">
        <v>176685.7729335335</v>
      </c>
      <c r="P326">
        <v>176685.7729335335</v>
      </c>
      <c r="Q326">
        <v>187046.5765441113</v>
      </c>
      <c r="R326">
        <v>187046.5765441113</v>
      </c>
      <c r="S326">
        <v>198588.06208418831</v>
      </c>
      <c r="T326">
        <v>198588.06208418831</v>
      </c>
      <c r="U326">
        <v>209244.03617714086</v>
      </c>
      <c r="V326">
        <v>209244.03617714086</v>
      </c>
      <c r="W326">
        <v>218418.82987117302</v>
      </c>
      <c r="X326">
        <v>218418.82987117302</v>
      </c>
      <c r="Y326">
        <v>218418.82987117302</v>
      </c>
      <c r="Z326">
        <v>218418.82987117302</v>
      </c>
      <c r="AA326">
        <v>218418.82987117302</v>
      </c>
    </row>
    <row r="327" spans="1:27" x14ac:dyDescent="0.2">
      <c r="A327" t="s">
        <v>458</v>
      </c>
      <c r="B327" t="s">
        <v>459</v>
      </c>
      <c r="C327">
        <v>26481.158630797319</v>
      </c>
      <c r="D327">
        <v>28899.781411357304</v>
      </c>
      <c r="E327">
        <v>30055.772667811598</v>
      </c>
      <c r="F327">
        <v>31846.124195504406</v>
      </c>
      <c r="G327">
        <v>38991.574100130754</v>
      </c>
      <c r="H327">
        <v>40551.237064135988</v>
      </c>
      <c r="I327">
        <v>42729.445189260303</v>
      </c>
      <c r="J327">
        <v>50673.405703460325</v>
      </c>
      <c r="K327">
        <v>52700.341931598734</v>
      </c>
      <c r="L327">
        <v>63490.403286338202</v>
      </c>
      <c r="M327">
        <v>69071.560188803807</v>
      </c>
      <c r="N327">
        <v>74032.538936267432</v>
      </c>
      <c r="O327">
        <v>74032.538936267432</v>
      </c>
      <c r="P327">
        <v>74032.538936267432</v>
      </c>
      <c r="Q327">
        <v>78373.786021281281</v>
      </c>
      <c r="R327">
        <v>78373.786021281281</v>
      </c>
      <c r="S327">
        <v>83209.746854129698</v>
      </c>
      <c r="T327">
        <v>83209.746854129698</v>
      </c>
      <c r="U327">
        <v>87674.672376102171</v>
      </c>
      <c r="V327">
        <v>87674.672376102171</v>
      </c>
      <c r="W327">
        <v>91518.973250520474</v>
      </c>
      <c r="X327">
        <v>91518.973250520474</v>
      </c>
      <c r="Y327">
        <v>91518.973250520474</v>
      </c>
      <c r="Z327">
        <v>91518.973250520474</v>
      </c>
      <c r="AA327">
        <v>91518.973250520474</v>
      </c>
    </row>
    <row r="328" spans="1:27" x14ac:dyDescent="0.2">
      <c r="A328" t="s">
        <v>588</v>
      </c>
      <c r="B328" t="s">
        <v>589</v>
      </c>
      <c r="C328">
        <v>7711.1928918119356</v>
      </c>
      <c r="D328">
        <v>8415.4848396626712</v>
      </c>
      <c r="E328">
        <v>8752.1042332491779</v>
      </c>
      <c r="F328">
        <v>9273.4464511887472</v>
      </c>
      <c r="G328">
        <v>11354.168948325723</v>
      </c>
      <c r="H328">
        <v>11808.335706258753</v>
      </c>
      <c r="I328">
        <v>12442.620000444105</v>
      </c>
      <c r="J328">
        <v>14755.865153497649</v>
      </c>
      <c r="K328">
        <v>15346.099759637553</v>
      </c>
      <c r="L328">
        <v>18488.116526385664</v>
      </c>
      <c r="M328">
        <v>20113.324019547534</v>
      </c>
      <c r="N328">
        <v>21557.938456069252</v>
      </c>
      <c r="O328">
        <v>21557.938456069252</v>
      </c>
      <c r="P328">
        <v>21557.938456069252</v>
      </c>
      <c r="Q328">
        <v>22822.089852550282</v>
      </c>
      <c r="R328">
        <v>22822.089852550282</v>
      </c>
      <c r="S328">
        <v>24230.299641225185</v>
      </c>
      <c r="T328">
        <v>24230.299641225185</v>
      </c>
      <c r="U328">
        <v>25530.465635754677</v>
      </c>
      <c r="V328">
        <v>25530.465635754677</v>
      </c>
      <c r="W328">
        <v>26649.908557044571</v>
      </c>
      <c r="X328">
        <v>26649.908557044571</v>
      </c>
      <c r="Y328">
        <v>26649.908557044571</v>
      </c>
      <c r="Z328">
        <v>26649.908557044571</v>
      </c>
      <c r="AA328">
        <v>26649.908557044571</v>
      </c>
    </row>
    <row r="329" spans="1:27" x14ac:dyDescent="0.2">
      <c r="A329" t="s">
        <v>888</v>
      </c>
      <c r="B329" t="s">
        <v>889</v>
      </c>
      <c r="C329">
        <v>371.90602003511327</v>
      </c>
      <c r="D329">
        <v>405.87358107823974</v>
      </c>
      <c r="E329">
        <v>422.10852432136932</v>
      </c>
      <c r="F329">
        <v>447.25253408360265</v>
      </c>
      <c r="G329">
        <v>547.60448138470349</v>
      </c>
      <c r="H329">
        <v>569.50866064009165</v>
      </c>
      <c r="I329">
        <v>600.09979624399261</v>
      </c>
      <c r="J329">
        <v>711.6661661050257</v>
      </c>
      <c r="K329">
        <v>740.13281274922656</v>
      </c>
      <c r="L329">
        <v>891.67032023988793</v>
      </c>
      <c r="M329">
        <v>970.05306322053332</v>
      </c>
      <c r="N329">
        <v>1039.7259158011691</v>
      </c>
      <c r="O329">
        <v>1039.7259158011691</v>
      </c>
      <c r="P329">
        <v>1039.7259158011691</v>
      </c>
      <c r="Q329">
        <v>1100.6951486012345</v>
      </c>
      <c r="R329">
        <v>1100.6951486012345</v>
      </c>
      <c r="S329">
        <v>1168.6122277391041</v>
      </c>
      <c r="T329">
        <v>1168.6122277391041</v>
      </c>
      <c r="U329">
        <v>1231.3184221236204</v>
      </c>
      <c r="V329">
        <v>1231.3184221236204</v>
      </c>
      <c r="W329">
        <v>1285.3084554886889</v>
      </c>
      <c r="X329">
        <v>1285.3084554886889</v>
      </c>
      <c r="Y329">
        <v>1285.3084554886889</v>
      </c>
      <c r="Z329">
        <v>1285.3084554886889</v>
      </c>
      <c r="AA329">
        <v>1285.3084554886889</v>
      </c>
    </row>
    <row r="330" spans="1:27" x14ac:dyDescent="0.2">
      <c r="A330" t="s">
        <v>354</v>
      </c>
      <c r="B330" t="s">
        <v>29</v>
      </c>
      <c r="C330">
        <v>170307.35868997834</v>
      </c>
      <c r="D330">
        <v>185862.16364271691</v>
      </c>
      <c r="E330">
        <v>193296.65018842558</v>
      </c>
      <c r="F330">
        <v>204810.87598417015</v>
      </c>
      <c r="G330">
        <v>250765.16057099338</v>
      </c>
      <c r="H330">
        <v>260795.76699383315</v>
      </c>
      <c r="I330">
        <v>274804.40149653744</v>
      </c>
      <c r="J330">
        <v>325894.11972123251</v>
      </c>
      <c r="K330">
        <v>338929.88451008179</v>
      </c>
      <c r="L330">
        <v>408323.63253481314</v>
      </c>
      <c r="M330">
        <v>444217.53369470505</v>
      </c>
      <c r="N330">
        <v>476122.90455770976</v>
      </c>
      <c r="O330">
        <v>476122.90455770976</v>
      </c>
      <c r="P330">
        <v>476122.90455770976</v>
      </c>
      <c r="Q330">
        <v>504042.61663592013</v>
      </c>
      <c r="R330">
        <v>504042.61663592013</v>
      </c>
      <c r="S330">
        <v>535143.96411294339</v>
      </c>
      <c r="T330">
        <v>535143.96411294339</v>
      </c>
      <c r="U330">
        <v>563859.08504085685</v>
      </c>
      <c r="V330">
        <v>563859.08504085685</v>
      </c>
      <c r="W330">
        <v>588582.80415979051</v>
      </c>
      <c r="X330">
        <v>588582.80415979051</v>
      </c>
      <c r="Y330">
        <v>588582.80415979051</v>
      </c>
      <c r="Z330">
        <v>588582.80415979051</v>
      </c>
      <c r="AA330">
        <v>588582.80415979051</v>
      </c>
    </row>
    <row r="331" spans="1:27" x14ac:dyDescent="0.2">
      <c r="A331" t="s">
        <v>531</v>
      </c>
      <c r="B331" t="s">
        <v>532</v>
      </c>
      <c r="C331">
        <v>13182.828174962071</v>
      </c>
      <c r="D331">
        <v>14386.864938636383</v>
      </c>
      <c r="E331">
        <v>14962.339536181837</v>
      </c>
      <c r="F331">
        <v>15853.610831800541</v>
      </c>
      <c r="G331">
        <v>19410.752709117714</v>
      </c>
      <c r="H331">
        <v>20187.182817482426</v>
      </c>
      <c r="I331">
        <v>21271.536559067772</v>
      </c>
      <c r="J331">
        <v>25226.192318185102</v>
      </c>
      <c r="K331">
        <v>26235.240010912501</v>
      </c>
      <c r="L331">
        <v>31606.739302918599</v>
      </c>
      <c r="M331">
        <v>34385.146150160552</v>
      </c>
      <c r="N331">
        <v>36854.816428536978</v>
      </c>
      <c r="O331">
        <v>36854.816428536978</v>
      </c>
      <c r="P331">
        <v>36854.816428536978</v>
      </c>
      <c r="Q331">
        <v>39015.972410595656</v>
      </c>
      <c r="R331">
        <v>39015.972410595656</v>
      </c>
      <c r="S331">
        <v>41423.406375593877</v>
      </c>
      <c r="T331">
        <v>41423.406375593877</v>
      </c>
      <c r="U331">
        <v>43646.131853387436</v>
      </c>
      <c r="V331">
        <v>43646.131853387436</v>
      </c>
      <c r="W331">
        <v>45559.898489767693</v>
      </c>
      <c r="X331">
        <v>45559.898489767693</v>
      </c>
      <c r="Y331">
        <v>45559.898489767693</v>
      </c>
      <c r="Z331">
        <v>45559.898489767693</v>
      </c>
      <c r="AA331">
        <v>45559.898489767693</v>
      </c>
    </row>
    <row r="332" spans="1:27" x14ac:dyDescent="0.2">
      <c r="A332" t="s">
        <v>401</v>
      </c>
      <c r="B332" t="s">
        <v>57</v>
      </c>
      <c r="C332">
        <v>65198.062087211278</v>
      </c>
      <c r="D332">
        <v>71152.843764667865</v>
      </c>
      <c r="E332">
        <v>73998.957515254588</v>
      </c>
      <c r="F332">
        <v>78406.900977543148</v>
      </c>
      <c r="G332">
        <v>95999.389773750314</v>
      </c>
      <c r="H332">
        <v>99839.365364700323</v>
      </c>
      <c r="I332">
        <v>105202.23300054317</v>
      </c>
      <c r="J332">
        <v>124760.69862677221</v>
      </c>
      <c r="K332">
        <v>129751.12657184308</v>
      </c>
      <c r="L332">
        <v>156316.84825869443</v>
      </c>
      <c r="M332">
        <v>170057.9620565715</v>
      </c>
      <c r="N332">
        <v>182272.16328922843</v>
      </c>
      <c r="O332">
        <v>182272.16328922843</v>
      </c>
      <c r="P332">
        <v>182272.16328922843</v>
      </c>
      <c r="Q332">
        <v>192960.55124576914</v>
      </c>
      <c r="R332">
        <v>192960.55124576914</v>
      </c>
      <c r="S332">
        <v>204866.95152935371</v>
      </c>
      <c r="T332">
        <v>204866.95152935371</v>
      </c>
      <c r="U332">
        <v>215859.84256765535</v>
      </c>
      <c r="V332">
        <v>215859.84256765535</v>
      </c>
      <c r="W332">
        <v>225324.72175163304</v>
      </c>
      <c r="X332">
        <v>225324.72175163304</v>
      </c>
      <c r="Y332">
        <v>225324.72175163304</v>
      </c>
      <c r="Z332">
        <v>225324.72175163304</v>
      </c>
      <c r="AA332">
        <v>225324.72175163304</v>
      </c>
    </row>
    <row r="333" spans="1:27" x14ac:dyDescent="0.2">
      <c r="A333" t="s">
        <v>963</v>
      </c>
      <c r="B333" t="s">
        <v>964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965</v>
      </c>
      <c r="B334" t="s">
        <v>966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392</v>
      </c>
      <c r="B335" t="s">
        <v>393</v>
      </c>
      <c r="C335">
        <v>69230.034045791894</v>
      </c>
      <c r="D335">
        <v>75553.070729215688</v>
      </c>
      <c r="E335">
        <v>78575.193558384301</v>
      </c>
      <c r="F335">
        <v>83255.732614253284</v>
      </c>
      <c r="G335">
        <v>101936.1743225128</v>
      </c>
      <c r="H335">
        <v>106013.62129541331</v>
      </c>
      <c r="I335">
        <v>111708.13884895423</v>
      </c>
      <c r="J335">
        <v>132476.13712743195</v>
      </c>
      <c r="K335">
        <v>137775.18261252923</v>
      </c>
      <c r="L335">
        <v>165983.77897190631</v>
      </c>
      <c r="M335">
        <v>180574.66933888747</v>
      </c>
      <c r="N335">
        <v>193544.21996828966</v>
      </c>
      <c r="O335">
        <v>193544.21996828966</v>
      </c>
      <c r="P335">
        <v>193544.21996828966</v>
      </c>
      <c r="Q335">
        <v>204893.5981313423</v>
      </c>
      <c r="R335">
        <v>204893.5981313423</v>
      </c>
      <c r="S335">
        <v>217536.31281652418</v>
      </c>
      <c r="T335">
        <v>217536.31281652418</v>
      </c>
      <c r="U335">
        <v>229209.02511010907</v>
      </c>
      <c r="V335">
        <v>229209.02511010907</v>
      </c>
      <c r="W335">
        <v>239259.23039488567</v>
      </c>
      <c r="X335">
        <v>239259.23039488567</v>
      </c>
      <c r="Y335">
        <v>239259.23039488567</v>
      </c>
      <c r="Z335">
        <v>239259.23039488567</v>
      </c>
      <c r="AA335">
        <v>239259.23039488567</v>
      </c>
    </row>
    <row r="336" spans="1:27" x14ac:dyDescent="0.2">
      <c r="A336" t="s">
        <v>381</v>
      </c>
      <c r="B336" t="s">
        <v>47</v>
      </c>
      <c r="C336">
        <v>84109.299031228846</v>
      </c>
      <c r="D336">
        <v>91791.314366361374</v>
      </c>
      <c r="E336">
        <v>95462.966941015824</v>
      </c>
      <c r="F336">
        <v>101149.47084793335</v>
      </c>
      <c r="G336">
        <v>123844.80646825352</v>
      </c>
      <c r="H336">
        <v>128798.59872698366</v>
      </c>
      <c r="I336">
        <v>135717.01045898639</v>
      </c>
      <c r="J336">
        <v>160948.57074291067</v>
      </c>
      <c r="K336">
        <v>167386.51357262707</v>
      </c>
      <c r="L336">
        <v>201657.84247119058</v>
      </c>
      <c r="M336">
        <v>219384.67993304346</v>
      </c>
      <c r="N336">
        <v>235141.71121613521</v>
      </c>
      <c r="O336">
        <v>235141.71121613521</v>
      </c>
      <c r="P336">
        <v>235141.71121613521</v>
      </c>
      <c r="Q336">
        <v>248930.35446746286</v>
      </c>
      <c r="R336">
        <v>248930.35446746286</v>
      </c>
      <c r="S336">
        <v>264290.30459140922</v>
      </c>
      <c r="T336">
        <v>264290.30459140922</v>
      </c>
      <c r="U336">
        <v>278471.7745608915</v>
      </c>
      <c r="V336">
        <v>278471.7745608915</v>
      </c>
      <c r="W336">
        <v>290682.02020461572</v>
      </c>
      <c r="X336">
        <v>290682.02020461572</v>
      </c>
      <c r="Y336">
        <v>290682.02020461572</v>
      </c>
      <c r="Z336">
        <v>290682.02020461572</v>
      </c>
      <c r="AA336">
        <v>290682.02020461572</v>
      </c>
    </row>
    <row r="337" spans="1:27" x14ac:dyDescent="0.2">
      <c r="A337" t="s">
        <v>967</v>
      </c>
      <c r="B337" t="s">
        <v>321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362</v>
      </c>
      <c r="B338" t="s">
        <v>363</v>
      </c>
      <c r="C338">
        <v>136270.59454510265</v>
      </c>
      <c r="D338">
        <v>148716.69514373477</v>
      </c>
      <c r="E338">
        <v>154665.36294948417</v>
      </c>
      <c r="F338">
        <v>163878.41402949599</v>
      </c>
      <c r="G338">
        <v>200648.50858507407</v>
      </c>
      <c r="H338">
        <v>208674.44892847704</v>
      </c>
      <c r="I338">
        <v>219883.38885410622</v>
      </c>
      <c r="J338">
        <v>260762.57535064747</v>
      </c>
      <c r="K338">
        <v>271193.07836467336</v>
      </c>
      <c r="L338">
        <v>326718.1441855646</v>
      </c>
      <c r="M338">
        <v>355438.4724745233</v>
      </c>
      <c r="N338">
        <v>380967.3978840129</v>
      </c>
      <c r="O338">
        <v>380967.3978840129</v>
      </c>
      <c r="P338">
        <v>380967.3978840129</v>
      </c>
      <c r="Q338">
        <v>403307.21804029658</v>
      </c>
      <c r="R338">
        <v>403307.21804029658</v>
      </c>
      <c r="S338">
        <v>428192.80809611361</v>
      </c>
      <c r="T338">
        <v>428192.80809611361</v>
      </c>
      <c r="U338">
        <v>451169.07072728057</v>
      </c>
      <c r="V338">
        <v>451169.07072728057</v>
      </c>
      <c r="W338">
        <v>470951.63285271532</v>
      </c>
      <c r="X338">
        <v>470951.63285271532</v>
      </c>
      <c r="Y338">
        <v>470951.63285271532</v>
      </c>
      <c r="Z338">
        <v>470951.63285271532</v>
      </c>
      <c r="AA338">
        <v>470951.63285271532</v>
      </c>
    </row>
    <row r="339" spans="1:27" x14ac:dyDescent="0.2">
      <c r="A339" t="s">
        <v>954</v>
      </c>
      <c r="B339" t="s">
        <v>955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380</v>
      </c>
      <c r="B340" t="s">
        <v>53</v>
      </c>
      <c r="C340">
        <v>86839.579335694638</v>
      </c>
      <c r="D340">
        <v>94770.961333130806</v>
      </c>
      <c r="E340">
        <v>98561.799786456031</v>
      </c>
      <c r="F340">
        <v>104432.89386113326</v>
      </c>
      <c r="G340">
        <v>127864.94502374314</v>
      </c>
      <c r="H340">
        <v>132979.54282469288</v>
      </c>
      <c r="I340">
        <v>140122.53380664345</v>
      </c>
      <c r="J340">
        <v>166173.13827340608</v>
      </c>
      <c r="K340">
        <v>172820.0638043423</v>
      </c>
      <c r="L340">
        <v>208203.87771202324</v>
      </c>
      <c r="M340">
        <v>226506.14780427521</v>
      </c>
      <c r="N340">
        <v>242774.66964387608</v>
      </c>
      <c r="O340">
        <v>242774.66964387608</v>
      </c>
      <c r="P340">
        <v>242774.66964387608</v>
      </c>
      <c r="Q340">
        <v>257010.90741243336</v>
      </c>
      <c r="R340">
        <v>257010.90741243336</v>
      </c>
      <c r="S340">
        <v>272869.45840196795</v>
      </c>
      <c r="T340">
        <v>272869.45840196795</v>
      </c>
      <c r="U340">
        <v>287511.27447576943</v>
      </c>
      <c r="V340">
        <v>287511.27447576943</v>
      </c>
      <c r="W340">
        <v>300117.8781153126</v>
      </c>
      <c r="X340">
        <v>300117.8781153126</v>
      </c>
      <c r="Y340">
        <v>300117.8781153126</v>
      </c>
      <c r="Z340">
        <v>300117.8781153126</v>
      </c>
      <c r="AA340">
        <v>300117.8781153126</v>
      </c>
    </row>
    <row r="341" spans="1:27" x14ac:dyDescent="0.2">
      <c r="A341" t="s">
        <v>970</v>
      </c>
      <c r="B341" t="s">
        <v>971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972</v>
      </c>
      <c r="B342" t="s">
        <v>973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948</v>
      </c>
      <c r="B343" t="s">
        <v>949</v>
      </c>
      <c r="C343">
        <v>2.8677137140418356</v>
      </c>
      <c r="D343">
        <v>3.1296326811688808</v>
      </c>
      <c r="E343">
        <v>3.2548179884156361</v>
      </c>
      <c r="F343">
        <v>3.4486998234403838</v>
      </c>
      <c r="G343">
        <v>4.2224992243723714</v>
      </c>
      <c r="H343">
        <v>4.3913991933472669</v>
      </c>
      <c r="I343">
        <v>4.627283030589636</v>
      </c>
      <c r="J343">
        <v>5.4875552274369506</v>
      </c>
      <c r="K343">
        <v>5.707057436534428</v>
      </c>
      <c r="L343">
        <v>6.8755413142131427</v>
      </c>
      <c r="M343">
        <v>7.4799393472661997</v>
      </c>
      <c r="N343">
        <v>8.0171766708863998</v>
      </c>
      <c r="O343">
        <v>8.0171766708863998</v>
      </c>
      <c r="P343">
        <v>8.0171766708863998</v>
      </c>
      <c r="Q343">
        <v>8.4873016369163885</v>
      </c>
      <c r="R343">
        <v>8.4873016369163885</v>
      </c>
      <c r="S343">
        <v>9.0110004445962044</v>
      </c>
      <c r="T343">
        <v>9.0110004445962044</v>
      </c>
      <c r="U343">
        <v>9.4945188710386486</v>
      </c>
      <c r="V343">
        <v>9.4945188710386486</v>
      </c>
      <c r="W343">
        <v>9.9108282362055924</v>
      </c>
      <c r="X343">
        <v>9.9108282362055924</v>
      </c>
      <c r="Y343">
        <v>9.9108282362055924</v>
      </c>
      <c r="Z343">
        <v>9.9108282362055924</v>
      </c>
      <c r="AA343">
        <v>9.9108282362055924</v>
      </c>
    </row>
    <row r="344" spans="1:27" x14ac:dyDescent="0.2">
      <c r="A344" t="s">
        <v>968</v>
      </c>
      <c r="B344" t="s">
        <v>969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372</v>
      </c>
      <c r="B345" t="s">
        <v>373</v>
      </c>
      <c r="C345">
        <v>101982.94228331005</v>
      </c>
      <c r="D345">
        <v>111297.42398231271</v>
      </c>
      <c r="E345">
        <v>115749.32094160521</v>
      </c>
      <c r="F345">
        <v>122644.23513554789</v>
      </c>
      <c r="G345">
        <v>150162.44215101833</v>
      </c>
      <c r="H345">
        <v>156168.93983705906</v>
      </c>
      <c r="I345">
        <v>164557.54837955855</v>
      </c>
      <c r="J345">
        <v>195150.94038010191</v>
      </c>
      <c r="K345">
        <v>202956.97799530596</v>
      </c>
      <c r="L345">
        <v>244511.13428112699</v>
      </c>
      <c r="M345">
        <v>266005.01263417961</v>
      </c>
      <c r="N345">
        <v>285110.49122464104</v>
      </c>
      <c r="O345">
        <v>285110.49122464104</v>
      </c>
      <c r="P345">
        <v>285110.49122464104</v>
      </c>
      <c r="Q345">
        <v>301829.28956277948</v>
      </c>
      <c r="R345">
        <v>301829.28956277948</v>
      </c>
      <c r="S345">
        <v>320453.30527813261</v>
      </c>
      <c r="T345">
        <v>320453.30527813261</v>
      </c>
      <c r="U345">
        <v>337648.40796057467</v>
      </c>
      <c r="V345">
        <v>337648.40796057467</v>
      </c>
      <c r="W345">
        <v>352453.3913701573</v>
      </c>
      <c r="X345">
        <v>352453.3913701573</v>
      </c>
      <c r="Y345">
        <v>352453.3913701573</v>
      </c>
      <c r="Z345">
        <v>352453.3913701573</v>
      </c>
      <c r="AA345">
        <v>352453.3913701573</v>
      </c>
    </row>
    <row r="346" spans="1:27" x14ac:dyDescent="0.2">
      <c r="A346" t="s">
        <v>343</v>
      </c>
      <c r="B346" t="s">
        <v>344</v>
      </c>
      <c r="C346">
        <v>219056.50048027132</v>
      </c>
      <c r="D346">
        <v>239063.74599690683</v>
      </c>
      <c r="E346">
        <v>248626.2958367831</v>
      </c>
      <c r="F346">
        <v>263436.37819586025</v>
      </c>
      <c r="G346">
        <v>322544.71527006052</v>
      </c>
      <c r="H346">
        <v>335446.50388086296</v>
      </c>
      <c r="I346">
        <v>353464.99981829163</v>
      </c>
      <c r="J346">
        <v>419178.74801397318</v>
      </c>
      <c r="K346">
        <v>435945.89793453203</v>
      </c>
      <c r="L346">
        <v>525203.06048133096</v>
      </c>
      <c r="M346">
        <v>571371.30850744143</v>
      </c>
      <c r="N346">
        <v>612409.34081289044</v>
      </c>
      <c r="O346">
        <v>612409.34081289044</v>
      </c>
      <c r="P346">
        <v>612409.34081289044</v>
      </c>
      <c r="Q346">
        <v>648320.85085752024</v>
      </c>
      <c r="R346">
        <v>648320.85085752024</v>
      </c>
      <c r="S346">
        <v>688324.71440718463</v>
      </c>
      <c r="T346">
        <v>688324.71440718463</v>
      </c>
      <c r="U346">
        <v>725259.31282807293</v>
      </c>
      <c r="V346">
        <v>725259.31282807293</v>
      </c>
      <c r="W346">
        <v>757060.00206845778</v>
      </c>
      <c r="X346">
        <v>757060.00206845778</v>
      </c>
      <c r="Y346">
        <v>757060.00206845778</v>
      </c>
      <c r="Z346">
        <v>757060.00206845778</v>
      </c>
      <c r="AA346">
        <v>757060.00206845778</v>
      </c>
    </row>
    <row r="347" spans="1:27" x14ac:dyDescent="0.2">
      <c r="A347" t="s">
        <v>427</v>
      </c>
      <c r="B347" t="s">
        <v>89</v>
      </c>
      <c r="C347">
        <v>36266.250555088161</v>
      </c>
      <c r="D347">
        <v>39578.582201182428</v>
      </c>
      <c r="E347">
        <v>41161.725489229728</v>
      </c>
      <c r="F347">
        <v>43613.632446559008</v>
      </c>
      <c r="G347">
        <v>53399.408068500044</v>
      </c>
      <c r="H347">
        <v>55535.384391240048</v>
      </c>
      <c r="I347">
        <v>58518.465408511569</v>
      </c>
      <c r="J347">
        <v>69397.810471331075</v>
      </c>
      <c r="K347">
        <v>72173.722890184305</v>
      </c>
      <c r="L347">
        <v>86950.835706564641</v>
      </c>
      <c r="M347">
        <v>94594.294115392695</v>
      </c>
      <c r="N347">
        <v>101388.41142583176</v>
      </c>
      <c r="O347">
        <v>101388.41142583176</v>
      </c>
      <c r="P347">
        <v>101388.41142583176</v>
      </c>
      <c r="Q347">
        <v>107333.79911455458</v>
      </c>
      <c r="R347">
        <v>107333.79911455458</v>
      </c>
      <c r="S347">
        <v>113956.70295663594</v>
      </c>
      <c r="T347">
        <v>113956.70295663594</v>
      </c>
      <c r="U347">
        <v>120071.46968369836</v>
      </c>
      <c r="V347">
        <v>120071.46968369836</v>
      </c>
      <c r="W347">
        <v>125336.28383569913</v>
      </c>
      <c r="X347">
        <v>125336.28383569913</v>
      </c>
      <c r="Y347">
        <v>125336.28383569913</v>
      </c>
      <c r="Z347">
        <v>125336.28383569913</v>
      </c>
      <c r="AA347">
        <v>125336.28383569913</v>
      </c>
    </row>
    <row r="348" spans="1:27" x14ac:dyDescent="0.2">
      <c r="A348" t="s">
        <v>730</v>
      </c>
      <c r="B348" t="s">
        <v>209</v>
      </c>
      <c r="C348">
        <v>2682.2124717470929</v>
      </c>
      <c r="D348">
        <v>2927.1889199801776</v>
      </c>
      <c r="E348">
        <v>3044.2764767793842</v>
      </c>
      <c r="F348">
        <v>3225.6168502630553</v>
      </c>
      <c r="G348">
        <v>3949.3621786922822</v>
      </c>
      <c r="H348">
        <v>4107.3366658399736</v>
      </c>
      <c r="I348">
        <v>4327.9620954416305</v>
      </c>
      <c r="J348">
        <v>5132.5866310717847</v>
      </c>
      <c r="K348">
        <v>5337.8900963146561</v>
      </c>
      <c r="L348">
        <v>6430.7892983510874</v>
      </c>
      <c r="M348">
        <v>6996.0911742728167</v>
      </c>
      <c r="N348">
        <v>7498.5767057421226</v>
      </c>
      <c r="O348">
        <v>7498.5767057421226</v>
      </c>
      <c r="P348">
        <v>7498.5767057421226</v>
      </c>
      <c r="Q348">
        <v>7938.2911169090812</v>
      </c>
      <c r="R348">
        <v>7938.2911169090812</v>
      </c>
      <c r="S348">
        <v>8428.1138863577435</v>
      </c>
      <c r="T348">
        <v>8428.1138863577435</v>
      </c>
      <c r="U348">
        <v>8880.3553870951255</v>
      </c>
      <c r="V348">
        <v>8880.3553870951255</v>
      </c>
      <c r="W348">
        <v>9269.7353192300125</v>
      </c>
      <c r="X348">
        <v>9269.7353192300125</v>
      </c>
      <c r="Y348">
        <v>9269.7353192300125</v>
      </c>
      <c r="Z348">
        <v>9269.7353192300125</v>
      </c>
      <c r="AA348">
        <v>9269.7353192300125</v>
      </c>
    </row>
    <row r="349" spans="1:27" x14ac:dyDescent="0.2">
      <c r="A349" t="s">
        <v>350</v>
      </c>
      <c r="B349" t="s">
        <v>351</v>
      </c>
      <c r="C349">
        <v>186711.99923186487</v>
      </c>
      <c r="D349">
        <v>203765.1010633269</v>
      </c>
      <c r="E349">
        <v>211915.70510585999</v>
      </c>
      <c r="F349">
        <v>224539.02411255118</v>
      </c>
      <c r="G349">
        <v>274919.79693690676</v>
      </c>
      <c r="H349">
        <v>285916.58881438308</v>
      </c>
      <c r="I349">
        <v>301274.58728625008</v>
      </c>
      <c r="J349">
        <v>357285.45788691536</v>
      </c>
      <c r="K349">
        <v>371576.87620239193</v>
      </c>
      <c r="L349">
        <v>447654.88908189232</v>
      </c>
      <c r="M349">
        <v>487006.2247924892</v>
      </c>
      <c r="N349">
        <v>521984.84007892449</v>
      </c>
      <c r="O349">
        <v>521984.84007892449</v>
      </c>
      <c r="P349">
        <v>521984.84007892449</v>
      </c>
      <c r="Q349">
        <v>552593.88304805523</v>
      </c>
      <c r="R349">
        <v>552593.88304805523</v>
      </c>
      <c r="S349">
        <v>586691.02841457329</v>
      </c>
      <c r="T349">
        <v>586691.02841457329</v>
      </c>
      <c r="U349">
        <v>618172.09698305081</v>
      </c>
      <c r="V349">
        <v>618172.09698305081</v>
      </c>
      <c r="W349">
        <v>645277.29702050984</v>
      </c>
      <c r="X349">
        <v>645277.29702050984</v>
      </c>
      <c r="Y349">
        <v>645277.29702050984</v>
      </c>
      <c r="Z349">
        <v>645277.29702050984</v>
      </c>
      <c r="AA349">
        <v>645277.29702050984</v>
      </c>
    </row>
    <row r="350" spans="1:27" x14ac:dyDescent="0.2">
      <c r="A350" t="s">
        <v>399</v>
      </c>
      <c r="B350" t="s">
        <v>400</v>
      </c>
      <c r="C350">
        <v>66357.321039419723</v>
      </c>
      <c r="D350">
        <v>72417.982151740565</v>
      </c>
      <c r="E350">
        <v>75314.701437810189</v>
      </c>
      <c r="F350">
        <v>79801.02066397731</v>
      </c>
      <c r="G350">
        <v>97706.314004916945</v>
      </c>
      <c r="H350">
        <v>101614.56656511364</v>
      </c>
      <c r="I350">
        <v>107072.7890645419</v>
      </c>
      <c r="J350">
        <v>126979.01543154784</v>
      </c>
      <c r="K350">
        <v>132058.17604880975</v>
      </c>
      <c r="L350">
        <v>159096.25150970678</v>
      </c>
      <c r="M350">
        <v>173081.69019506589</v>
      </c>
      <c r="N350">
        <v>185513.06693370786</v>
      </c>
      <c r="O350">
        <v>185513.06693370786</v>
      </c>
      <c r="P350">
        <v>185513.06693370786</v>
      </c>
      <c r="Q350">
        <v>196391.50056072755</v>
      </c>
      <c r="R350">
        <v>196391.50056072755</v>
      </c>
      <c r="S350">
        <v>208509.60347281757</v>
      </c>
      <c r="T350">
        <v>208509.60347281757</v>
      </c>
      <c r="U350">
        <v>219697.95442110481</v>
      </c>
      <c r="V350">
        <v>219697.95442110481</v>
      </c>
      <c r="W350">
        <v>229331.12458758015</v>
      </c>
      <c r="X350">
        <v>229331.12458758015</v>
      </c>
      <c r="Y350">
        <v>229331.12458758015</v>
      </c>
      <c r="Z350">
        <v>229331.12458758015</v>
      </c>
      <c r="AA350">
        <v>229331.12458758015</v>
      </c>
    </row>
    <row r="351" spans="1:27" x14ac:dyDescent="0.2">
      <c r="A351" t="s">
        <v>430</v>
      </c>
      <c r="B351" t="s">
        <v>431</v>
      </c>
      <c r="C351">
        <v>33976.4028459822</v>
      </c>
      <c r="D351">
        <v>37079.594177996114</v>
      </c>
      <c r="E351">
        <v>38562.777945115959</v>
      </c>
      <c r="F351">
        <v>40859.871723711673</v>
      </c>
      <c r="G351">
        <v>50027.77437707303</v>
      </c>
      <c r="H351">
        <v>52028.885352155958</v>
      </c>
      <c r="I351">
        <v>54823.614909628763</v>
      </c>
      <c r="J351">
        <v>65016.039130415556</v>
      </c>
      <c r="K351">
        <v>67616.680695632167</v>
      </c>
      <c r="L351">
        <v>81460.767974167335</v>
      </c>
      <c r="M351">
        <v>88621.619125305064</v>
      </c>
      <c r="N351">
        <v>94986.756496528353</v>
      </c>
      <c r="O351">
        <v>94986.756496528353</v>
      </c>
      <c r="P351">
        <v>94986.756496528353</v>
      </c>
      <c r="Q351">
        <v>100556.75295592932</v>
      </c>
      <c r="R351">
        <v>100556.75295592932</v>
      </c>
      <c r="S351">
        <v>106761.48726136716</v>
      </c>
      <c r="T351">
        <v>106761.48726136716</v>
      </c>
      <c r="U351">
        <v>112490.16818227732</v>
      </c>
      <c r="V351">
        <v>112490.16818227732</v>
      </c>
      <c r="W351">
        <v>117422.56245518099</v>
      </c>
      <c r="X351">
        <v>117422.56245518099</v>
      </c>
      <c r="Y351">
        <v>117422.56245518099</v>
      </c>
      <c r="Z351">
        <v>117422.56245518099</v>
      </c>
      <c r="AA351">
        <v>117422.56245518099</v>
      </c>
    </row>
    <row r="352" spans="1:27" x14ac:dyDescent="0.2">
      <c r="A352" t="s">
        <v>342</v>
      </c>
      <c r="B352" t="s">
        <v>41</v>
      </c>
      <c r="C352">
        <v>265742.26301667158</v>
      </c>
      <c r="D352">
        <v>290013.49299005338</v>
      </c>
      <c r="E352">
        <v>301614.03270965547</v>
      </c>
      <c r="F352">
        <v>319580.46964686428</v>
      </c>
      <c r="G352">
        <v>391286.09455556161</v>
      </c>
      <c r="H352">
        <v>406937.53833778412</v>
      </c>
      <c r="I352">
        <v>428796.17241653061</v>
      </c>
      <c r="J352">
        <v>508514.96696744085</v>
      </c>
      <c r="K352">
        <v>528855.56564613839</v>
      </c>
      <c r="L352">
        <v>637135.39442834561</v>
      </c>
      <c r="M352">
        <v>693143.11245120584</v>
      </c>
      <c r="N352">
        <v>742927.25284736569</v>
      </c>
      <c r="O352">
        <v>742927.25284736569</v>
      </c>
      <c r="P352">
        <v>742927.25284736569</v>
      </c>
      <c r="Q352">
        <v>786492.2962342673</v>
      </c>
      <c r="R352">
        <v>786492.2962342673</v>
      </c>
      <c r="S352">
        <v>835021.86374671536</v>
      </c>
      <c r="T352">
        <v>835021.86374671536</v>
      </c>
      <c r="U352">
        <v>879828.03816500353</v>
      </c>
      <c r="V352">
        <v>879828.03816500353</v>
      </c>
      <c r="W352">
        <v>918406.15433914959</v>
      </c>
      <c r="X352">
        <v>918406.15433914959</v>
      </c>
      <c r="Y352">
        <v>918406.15433914959</v>
      </c>
      <c r="Z352">
        <v>918406.15433914959</v>
      </c>
      <c r="AA352">
        <v>918406.15433914959</v>
      </c>
    </row>
    <row r="353" spans="1:27" x14ac:dyDescent="0.2">
      <c r="A353" t="s">
        <v>387</v>
      </c>
      <c r="B353" t="s">
        <v>19</v>
      </c>
      <c r="C353">
        <v>73773.168702384108</v>
      </c>
      <c r="D353">
        <v>80511.146783530799</v>
      </c>
      <c r="E353">
        <v>83731.592654872031</v>
      </c>
      <c r="F353">
        <v>88719.286249798242</v>
      </c>
      <c r="G353">
        <v>108625.60865124229</v>
      </c>
      <c r="H353">
        <v>112970.63299729198</v>
      </c>
      <c r="I353">
        <v>119038.84616440075</v>
      </c>
      <c r="J353">
        <v>141169.71843286653</v>
      </c>
      <c r="K353">
        <v>146816.5071701812</v>
      </c>
      <c r="L353">
        <v>176876.25749041492</v>
      </c>
      <c r="M353">
        <v>192424.65684335041</v>
      </c>
      <c r="N353">
        <v>206245.31806018765</v>
      </c>
      <c r="O353">
        <v>206245.31806018765</v>
      </c>
      <c r="P353">
        <v>206245.31806018765</v>
      </c>
      <c r="Q353">
        <v>218339.485012875</v>
      </c>
      <c r="R353">
        <v>218339.485012875</v>
      </c>
      <c r="S353">
        <v>231811.86208420657</v>
      </c>
      <c r="T353">
        <v>231811.86208420657</v>
      </c>
      <c r="U353">
        <v>244250.58156655493</v>
      </c>
      <c r="V353">
        <v>244250.58156655493</v>
      </c>
      <c r="W353">
        <v>254960.31904085688</v>
      </c>
      <c r="X353">
        <v>254960.31904085688</v>
      </c>
      <c r="Y353">
        <v>254960.31904085688</v>
      </c>
      <c r="Z353">
        <v>254960.31904085688</v>
      </c>
      <c r="AA353">
        <v>254960.31904085688</v>
      </c>
    </row>
    <row r="354" spans="1:27" x14ac:dyDescent="0.2">
      <c r="A354" t="s">
        <v>384</v>
      </c>
      <c r="B354" t="s">
        <v>13</v>
      </c>
      <c r="C354">
        <v>78572.206585179461</v>
      </c>
      <c r="D354">
        <v>85748.498658169425</v>
      </c>
      <c r="E354">
        <v>89178.438604496187</v>
      </c>
      <c r="F354">
        <v>94490.587972853929</v>
      </c>
      <c r="G354">
        <v>115691.84181064524</v>
      </c>
      <c r="H354">
        <v>120319.51548307107</v>
      </c>
      <c r="I354">
        <v>126782.47358769654</v>
      </c>
      <c r="J354">
        <v>150352.98707347445</v>
      </c>
      <c r="K354">
        <v>156367.10655641343</v>
      </c>
      <c r="L354">
        <v>188382.28163434108</v>
      </c>
      <c r="M354">
        <v>204942.12402034714</v>
      </c>
      <c r="N354">
        <v>219661.83672042019</v>
      </c>
      <c r="O354">
        <v>219661.83672042019</v>
      </c>
      <c r="P354">
        <v>219661.83672042019</v>
      </c>
      <c r="Q354">
        <v>232542.74452195116</v>
      </c>
      <c r="R354">
        <v>232542.74452195116</v>
      </c>
      <c r="S354">
        <v>246891.51675257777</v>
      </c>
      <c r="T354">
        <v>246891.51675257777</v>
      </c>
      <c r="U354">
        <v>260139.39066138258</v>
      </c>
      <c r="V354">
        <v>260139.39066138258</v>
      </c>
      <c r="W354">
        <v>271545.81009686354</v>
      </c>
      <c r="X354">
        <v>271545.81009686354</v>
      </c>
      <c r="Y354">
        <v>271545.81009686354</v>
      </c>
      <c r="Z354">
        <v>271545.81009686354</v>
      </c>
      <c r="AA354">
        <v>271545.81009686354</v>
      </c>
    </row>
    <row r="355" spans="1:27" x14ac:dyDescent="0.2">
      <c r="A355" t="s">
        <v>345</v>
      </c>
      <c r="B355" t="s">
        <v>21</v>
      </c>
      <c r="C355">
        <v>208907.9740475388</v>
      </c>
      <c r="D355">
        <v>227988.31687228166</v>
      </c>
      <c r="E355">
        <v>237107.84954717293</v>
      </c>
      <c r="F355">
        <v>251231.80521307953</v>
      </c>
      <c r="G355">
        <v>307601.75050307246</v>
      </c>
      <c r="H355">
        <v>319905.82052319538</v>
      </c>
      <c r="I355">
        <v>337089.54925719404</v>
      </c>
      <c r="J355">
        <v>399758.88786404504</v>
      </c>
      <c r="K355">
        <v>415749.2433786068</v>
      </c>
      <c r="L355">
        <v>500871.26877389045</v>
      </c>
      <c r="M355">
        <v>544900.61800257338</v>
      </c>
      <c r="N355">
        <v>584037.42594496498</v>
      </c>
      <c r="O355">
        <v>584037.42594496498</v>
      </c>
      <c r="P355">
        <v>584037.42594496498</v>
      </c>
      <c r="Q355">
        <v>618285.21494900377</v>
      </c>
      <c r="R355">
        <v>618285.21494900377</v>
      </c>
      <c r="S355">
        <v>656435.7654686732</v>
      </c>
      <c r="T355">
        <v>656435.7654686732</v>
      </c>
      <c r="U355">
        <v>691659.24485161947</v>
      </c>
      <c r="V355">
        <v>691659.24485161947</v>
      </c>
      <c r="W355">
        <v>721986.66060033627</v>
      </c>
      <c r="X355">
        <v>721986.66060033627</v>
      </c>
      <c r="Y355">
        <v>721986.66060033627</v>
      </c>
      <c r="Z355">
        <v>721986.66060033627</v>
      </c>
      <c r="AA355">
        <v>721986.66060033627</v>
      </c>
    </row>
    <row r="356" spans="1:27" x14ac:dyDescent="0.2">
      <c r="A356" t="s">
        <v>675</v>
      </c>
      <c r="B356" t="s">
        <v>676</v>
      </c>
      <c r="C356">
        <v>3787.596672343846</v>
      </c>
      <c r="D356">
        <v>4133.5319738547905</v>
      </c>
      <c r="E356">
        <v>4298.8732528089822</v>
      </c>
      <c r="F356">
        <v>4554.9469987941229</v>
      </c>
      <c r="G356">
        <v>5576.9597686465395</v>
      </c>
      <c r="H356">
        <v>5800.0381593924012</v>
      </c>
      <c r="I356">
        <v>6111.5869840272244</v>
      </c>
      <c r="J356">
        <v>7247.8106224379044</v>
      </c>
      <c r="K356">
        <v>7537.7230473354193</v>
      </c>
      <c r="L356">
        <v>9081.0241185380819</v>
      </c>
      <c r="M356">
        <v>9879.2962638898716</v>
      </c>
      <c r="N356">
        <v>10588.864408450168</v>
      </c>
      <c r="O356">
        <v>10588.864408450168</v>
      </c>
      <c r="P356">
        <v>10588.864408450168</v>
      </c>
      <c r="Q356">
        <v>11209.792413990604</v>
      </c>
      <c r="R356">
        <v>11209.792413990604</v>
      </c>
      <c r="S356">
        <v>11901.479262495026</v>
      </c>
      <c r="T356">
        <v>11901.479262495026</v>
      </c>
      <c r="U356">
        <v>12540.096978776455</v>
      </c>
      <c r="V356">
        <v>12540.096978776455</v>
      </c>
      <c r="W356">
        <v>13089.946832494767</v>
      </c>
      <c r="X356">
        <v>13089.946832494767</v>
      </c>
      <c r="Y356">
        <v>13089.946832494767</v>
      </c>
      <c r="Z356">
        <v>13089.946832494767</v>
      </c>
      <c r="AA356">
        <v>13089.946832494767</v>
      </c>
    </row>
    <row r="357" spans="1:27" x14ac:dyDescent="0.2">
      <c r="A357" t="s">
        <v>603</v>
      </c>
      <c r="B357" t="s">
        <v>604</v>
      </c>
      <c r="C357">
        <v>7398.9905180672504</v>
      </c>
      <c r="D357">
        <v>8074.7678611073934</v>
      </c>
      <c r="E357">
        <v>8397.7585755516884</v>
      </c>
      <c r="F357">
        <v>8897.9932579571796</v>
      </c>
      <c r="G357">
        <v>10894.473730309648</v>
      </c>
      <c r="H357">
        <v>11330.252679522035</v>
      </c>
      <c r="I357">
        <v>11938.856762480418</v>
      </c>
      <c r="J357">
        <v>14158.445766871986</v>
      </c>
      <c r="K357">
        <v>14724.783597546864</v>
      </c>
      <c r="L357">
        <v>17739.589813776136</v>
      </c>
      <c r="M357">
        <v>19298.997677190506</v>
      </c>
      <c r="N357">
        <v>20685.124138822266</v>
      </c>
      <c r="O357">
        <v>20685.124138822266</v>
      </c>
      <c r="P357">
        <v>20685.124138822266</v>
      </c>
      <c r="Q357">
        <v>21898.0939513005</v>
      </c>
      <c r="R357">
        <v>21898.0939513005</v>
      </c>
      <c r="S357">
        <v>23249.289676791785</v>
      </c>
      <c r="T357">
        <v>23249.289676791785</v>
      </c>
      <c r="U357">
        <v>24496.815967523278</v>
      </c>
      <c r="V357">
        <v>24496.815967523278</v>
      </c>
      <c r="W357">
        <v>25570.936103843094</v>
      </c>
      <c r="X357">
        <v>25570.936103843094</v>
      </c>
      <c r="Y357">
        <v>25570.936103843094</v>
      </c>
      <c r="Z357">
        <v>25570.936103843094</v>
      </c>
      <c r="AA357">
        <v>25570.936103843094</v>
      </c>
    </row>
    <row r="358" spans="1:27" x14ac:dyDescent="0.2">
      <c r="A358" t="s">
        <v>976</v>
      </c>
      <c r="B358" t="s">
        <v>977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978</v>
      </c>
      <c r="B359" t="s">
        <v>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980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538</v>
      </c>
      <c r="B361" t="s">
        <v>539</v>
      </c>
      <c r="C361">
        <v>12525.67906940851</v>
      </c>
      <c r="D361">
        <v>13669.695959365212</v>
      </c>
      <c r="E361">
        <v>14216.48379773982</v>
      </c>
      <c r="F361">
        <v>15063.326225216724</v>
      </c>
      <c r="G361">
        <v>18443.148594763494</v>
      </c>
      <c r="H361">
        <v>19180.874538554035</v>
      </c>
      <c r="I361">
        <v>20211.174469991125</v>
      </c>
      <c r="J361">
        <v>23968.695102989463</v>
      </c>
      <c r="K361">
        <v>24927.442907109038</v>
      </c>
      <c r="L361">
        <v>30031.179022020282</v>
      </c>
      <c r="M361">
        <v>32671.085423811786</v>
      </c>
      <c r="N361">
        <v>35017.645426236217</v>
      </c>
      <c r="O361">
        <v>35017.645426236217</v>
      </c>
      <c r="P361">
        <v>35017.645426236217</v>
      </c>
      <c r="Q361">
        <v>37071.070221805727</v>
      </c>
      <c r="R361">
        <v>37071.070221805727</v>
      </c>
      <c r="S361">
        <v>39358.49632083004</v>
      </c>
      <c r="T361">
        <v>39358.49632083004</v>
      </c>
      <c r="U361">
        <v>41470.421442263243</v>
      </c>
      <c r="V361">
        <v>41470.421442263243</v>
      </c>
      <c r="W361">
        <v>43288.78897181723</v>
      </c>
      <c r="X361">
        <v>43288.78897181723</v>
      </c>
      <c r="Y361">
        <v>43288.78897181723</v>
      </c>
      <c r="Z361">
        <v>43288.78897181723</v>
      </c>
      <c r="AA361">
        <v>43288.78897181723</v>
      </c>
    </row>
    <row r="362" spans="1:27" x14ac:dyDescent="0.2">
      <c r="A362" t="s">
        <v>910</v>
      </c>
      <c r="B362" t="s">
        <v>911</v>
      </c>
      <c r="C362">
        <v>157.93164125543055</v>
      </c>
      <c r="D362">
        <v>172.3561258724811</v>
      </c>
      <c r="E362">
        <v>179.25037090738033</v>
      </c>
      <c r="F362">
        <v>189.92789295748634</v>
      </c>
      <c r="G362">
        <v>232.54281954282362</v>
      </c>
      <c r="H362">
        <v>241.84453232453657</v>
      </c>
      <c r="I362">
        <v>254.83520199246868</v>
      </c>
      <c r="J362">
        <v>302.21238588263475</v>
      </c>
      <c r="K362">
        <v>314.30088131794014</v>
      </c>
      <c r="L362">
        <v>378.65199686992196</v>
      </c>
      <c r="M362">
        <v>411.93759747371729</v>
      </c>
      <c r="N362">
        <v>441.52450213841888</v>
      </c>
      <c r="O362">
        <v>441.52450213841888</v>
      </c>
      <c r="P362">
        <v>441.52450213841888</v>
      </c>
      <c r="Q362">
        <v>467.41537371207505</v>
      </c>
      <c r="R362">
        <v>467.41537371207505</v>
      </c>
      <c r="S362">
        <v>496.25668092325179</v>
      </c>
      <c r="T362">
        <v>496.25668092325179</v>
      </c>
      <c r="U362">
        <v>522.88516140628803</v>
      </c>
      <c r="V362">
        <v>522.88516140628803</v>
      </c>
      <c r="W362">
        <v>545.81228310218228</v>
      </c>
      <c r="X362">
        <v>545.81228310218228</v>
      </c>
      <c r="Y362">
        <v>545.81228310218228</v>
      </c>
      <c r="Z362">
        <v>545.81228310218228</v>
      </c>
      <c r="AA362">
        <v>545.81228310218228</v>
      </c>
    </row>
    <row r="363" spans="1:27" x14ac:dyDescent="0.2">
      <c r="A363" t="s">
        <v>507</v>
      </c>
      <c r="B363" t="s">
        <v>508</v>
      </c>
      <c r="C363">
        <v>15460.366199519976</v>
      </c>
      <c r="D363">
        <v>16872.41898796826</v>
      </c>
      <c r="E363">
        <v>17547.315747486988</v>
      </c>
      <c r="F363">
        <v>18592.567982478318</v>
      </c>
      <c r="G363">
        <v>22764.261288124373</v>
      </c>
      <c r="H363">
        <v>23674.831739649351</v>
      </c>
      <c r="I363">
        <v>24946.524407734767</v>
      </c>
      <c r="J363">
        <v>29584.408283451026</v>
      </c>
      <c r="K363">
        <v>30767.784614789063</v>
      </c>
      <c r="L363">
        <v>37067.29371804835</v>
      </c>
      <c r="M363">
        <v>40325.713439485546</v>
      </c>
      <c r="N363">
        <v>43222.057561476635</v>
      </c>
      <c r="O363">
        <v>43222.057561476635</v>
      </c>
      <c r="P363">
        <v>43222.057561476635</v>
      </c>
      <c r="Q363">
        <v>45756.586757599347</v>
      </c>
      <c r="R363">
        <v>45756.586757599347</v>
      </c>
      <c r="S363">
        <v>48579.942277830269</v>
      </c>
      <c r="T363">
        <v>48579.942277830269</v>
      </c>
      <c r="U363">
        <v>51186.678054980017</v>
      </c>
      <c r="V363">
        <v>51186.678054980017</v>
      </c>
      <c r="W363">
        <v>53431.077559105957</v>
      </c>
      <c r="X363">
        <v>53431.077559105957</v>
      </c>
      <c r="Y363">
        <v>53431.077559105957</v>
      </c>
      <c r="Z363">
        <v>53431.077559105957</v>
      </c>
      <c r="AA363">
        <v>53431.077559105957</v>
      </c>
    </row>
    <row r="364" spans="1:27" x14ac:dyDescent="0.2">
      <c r="A364" t="s">
        <v>591</v>
      </c>
      <c r="B364" t="s">
        <v>592</v>
      </c>
      <c r="C364">
        <v>7640.5781998892826</v>
      </c>
      <c r="D364">
        <v>8338.4206450990077</v>
      </c>
      <c r="E364">
        <v>8671.9574709029675</v>
      </c>
      <c r="F364">
        <v>9188.5255351386186</v>
      </c>
      <c r="G364">
        <v>11250.193966299903</v>
      </c>
      <c r="H364">
        <v>11700.201724951899</v>
      </c>
      <c r="I364">
        <v>12328.677606527988</v>
      </c>
      <c r="J364">
        <v>14620.739384179537</v>
      </c>
      <c r="K364">
        <v>15205.568959546716</v>
      </c>
      <c r="L364">
        <v>18318.812934703099</v>
      </c>
      <c r="M364">
        <v>19929.137707636059</v>
      </c>
      <c r="N364">
        <v>21360.523191800701</v>
      </c>
      <c r="O364">
        <v>21360.523191800701</v>
      </c>
      <c r="P364">
        <v>21360.523191800701</v>
      </c>
      <c r="Q364">
        <v>22613.098213178873</v>
      </c>
      <c r="R364">
        <v>22613.098213178873</v>
      </c>
      <c r="S364">
        <v>24008.412422429828</v>
      </c>
      <c r="T364">
        <v>24008.412422429828</v>
      </c>
      <c r="U364">
        <v>25296.672240776188</v>
      </c>
      <c r="V364">
        <v>25296.672240776188</v>
      </c>
      <c r="W364">
        <v>26405.86394437241</v>
      </c>
      <c r="X364">
        <v>26405.86394437241</v>
      </c>
      <c r="Y364">
        <v>26405.86394437241</v>
      </c>
      <c r="Z364">
        <v>26405.86394437241</v>
      </c>
      <c r="AA364">
        <v>26405.86394437241</v>
      </c>
    </row>
    <row r="365" spans="1:27" x14ac:dyDescent="0.2">
      <c r="A365" t="s">
        <v>982</v>
      </c>
      <c r="B365" t="s">
        <v>983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984</v>
      </c>
      <c r="B366" t="s">
        <v>985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890</v>
      </c>
      <c r="B367" t="s">
        <v>891</v>
      </c>
      <c r="C367">
        <v>361.89984653591551</v>
      </c>
      <c r="D367">
        <v>394.95350651040633</v>
      </c>
      <c r="E367">
        <v>410.75164677082256</v>
      </c>
      <c r="F367">
        <v>435.21915410880723</v>
      </c>
      <c r="G367">
        <v>532.87112092671407</v>
      </c>
      <c r="H367">
        <v>554.18596576378263</v>
      </c>
      <c r="I367">
        <v>583.95404340706966</v>
      </c>
      <c r="J367">
        <v>692.51870747856015</v>
      </c>
      <c r="K367">
        <v>720.21945577770248</v>
      </c>
      <c r="L367">
        <v>867.67982950364444</v>
      </c>
      <c r="M367">
        <v>943.95367592613968</v>
      </c>
      <c r="N367">
        <v>1011.7519725341671</v>
      </c>
      <c r="O367">
        <v>1011.7519725341671</v>
      </c>
      <c r="P367">
        <v>1011.7519725341671</v>
      </c>
      <c r="Q367">
        <v>1071.0808212354407</v>
      </c>
      <c r="R367">
        <v>1071.0808212354407</v>
      </c>
      <c r="S367">
        <v>1137.1705836836047</v>
      </c>
      <c r="T367">
        <v>1137.1705836836047</v>
      </c>
      <c r="U367">
        <v>1198.1896608216007</v>
      </c>
      <c r="V367">
        <v>1198.1896608216007</v>
      </c>
      <c r="W367">
        <v>1250.7270862374155</v>
      </c>
      <c r="X367">
        <v>1250.7270862374155</v>
      </c>
      <c r="Y367">
        <v>1250.7270862374155</v>
      </c>
      <c r="Z367">
        <v>1250.7270862374155</v>
      </c>
      <c r="AA367">
        <v>1250.7270862374155</v>
      </c>
    </row>
    <row r="368" spans="1:27" x14ac:dyDescent="0.2">
      <c r="A368" t="s">
        <v>685</v>
      </c>
      <c r="B368" t="s">
        <v>686</v>
      </c>
      <c r="C368">
        <v>3551.7771691208641</v>
      </c>
      <c r="D368">
        <v>3876.1741976828253</v>
      </c>
      <c r="E368">
        <v>4031.2211655901383</v>
      </c>
      <c r="F368">
        <v>4271.3515076728527</v>
      </c>
      <c r="G368">
        <v>5229.7327548148542</v>
      </c>
      <c r="H368">
        <v>5438.9220650074485</v>
      </c>
      <c r="I368">
        <v>5731.0735526471408</v>
      </c>
      <c r="J368">
        <v>6796.5547870641012</v>
      </c>
      <c r="K368">
        <v>7068.4169785466647</v>
      </c>
      <c r="L368">
        <v>8515.6306034296304</v>
      </c>
      <c r="M368">
        <v>9264.2015379507757</v>
      </c>
      <c r="N368">
        <v>9929.5912702279311</v>
      </c>
      <c r="O368">
        <v>9929.5912702279311</v>
      </c>
      <c r="P368">
        <v>9929.5912702279311</v>
      </c>
      <c r="Q368">
        <v>10511.859685935859</v>
      </c>
      <c r="R368">
        <v>10511.859685935859</v>
      </c>
      <c r="S368">
        <v>11160.481429279745</v>
      </c>
      <c r="T368">
        <v>11160.481429279745</v>
      </c>
      <c r="U368">
        <v>11759.338176896659</v>
      </c>
      <c r="V368">
        <v>11759.338176896659</v>
      </c>
      <c r="W368">
        <v>12274.953836594825</v>
      </c>
      <c r="X368">
        <v>12274.953836594825</v>
      </c>
      <c r="Y368">
        <v>12274.953836594825</v>
      </c>
      <c r="Z368">
        <v>12274.953836594825</v>
      </c>
      <c r="AA368">
        <v>12274.953836594825</v>
      </c>
    </row>
    <row r="369" spans="1:27" x14ac:dyDescent="0.2">
      <c r="A369" t="s">
        <v>754</v>
      </c>
      <c r="B369" t="s">
        <v>755</v>
      </c>
      <c r="C369">
        <v>2184.2610653583274</v>
      </c>
      <c r="D369">
        <v>2383.7577582719796</v>
      </c>
      <c r="E369">
        <v>2479.1080686028586</v>
      </c>
      <c r="F369">
        <v>2626.7826922764702</v>
      </c>
      <c r="G369">
        <v>3216.1650617847404</v>
      </c>
      <c r="H369">
        <v>3344.8116642561299</v>
      </c>
      <c r="I369">
        <v>3524.4780929909725</v>
      </c>
      <c r="J369">
        <v>4179.7244852591411</v>
      </c>
      <c r="K369">
        <v>4346.9134646695065</v>
      </c>
      <c r="L369">
        <v>5236.9164754356316</v>
      </c>
      <c r="M369">
        <v>5697.2703402976413</v>
      </c>
      <c r="N369">
        <v>6106.469683696183</v>
      </c>
      <c r="O369">
        <v>6106.469683696183</v>
      </c>
      <c r="P369">
        <v>6106.469683696183</v>
      </c>
      <c r="Q369">
        <v>6464.5513339404488</v>
      </c>
      <c r="R369">
        <v>6464.5513339404488</v>
      </c>
      <c r="S369">
        <v>6863.4387507660849</v>
      </c>
      <c r="T369">
        <v>6863.4387507660849</v>
      </c>
      <c r="U369">
        <v>7231.721842655691</v>
      </c>
      <c r="V369">
        <v>7231.721842655691</v>
      </c>
      <c r="W369">
        <v>7548.8135847726435</v>
      </c>
      <c r="X369">
        <v>7548.8135847726435</v>
      </c>
      <c r="Y369">
        <v>7548.8135847726435</v>
      </c>
      <c r="Z369">
        <v>7548.8135847726435</v>
      </c>
      <c r="AA369">
        <v>7548.8135847726435</v>
      </c>
    </row>
    <row r="370" spans="1:27" x14ac:dyDescent="0.2">
      <c r="A370" t="s">
        <v>641</v>
      </c>
      <c r="B370" t="s">
        <v>642</v>
      </c>
      <c r="C370">
        <v>5446.7406524091521</v>
      </c>
      <c r="D370">
        <v>5944.2117489493976</v>
      </c>
      <c r="E370">
        <v>6181.9802189073735</v>
      </c>
      <c r="F370">
        <v>6550.2262078365084</v>
      </c>
      <c r="G370">
        <v>8019.9282332614284</v>
      </c>
      <c r="H370">
        <v>8340.7253625918856</v>
      </c>
      <c r="I370">
        <v>8788.747101743611</v>
      </c>
      <c r="J370">
        <v>10422.689682469869</v>
      </c>
      <c r="K370">
        <v>10839.597269768661</v>
      </c>
      <c r="L370">
        <v>13058.936183229145</v>
      </c>
      <c r="M370">
        <v>14206.888756300457</v>
      </c>
      <c r="N370">
        <v>15227.280839452083</v>
      </c>
      <c r="O370">
        <v>15227.280839452083</v>
      </c>
      <c r="P370">
        <v>15227.280839452083</v>
      </c>
      <c r="Q370">
        <v>16120.204268889873</v>
      </c>
      <c r="R370">
        <v>16120.204268889873</v>
      </c>
      <c r="S370">
        <v>17114.882214404708</v>
      </c>
      <c r="T370">
        <v>17114.882214404708</v>
      </c>
      <c r="U370">
        <v>18033.244272861753</v>
      </c>
      <c r="V370">
        <v>18033.244272861753</v>
      </c>
      <c r="W370">
        <v>18823.954005193274</v>
      </c>
      <c r="X370">
        <v>18823.954005193274</v>
      </c>
      <c r="Y370">
        <v>18823.954005193274</v>
      </c>
      <c r="Z370">
        <v>18823.954005193274</v>
      </c>
      <c r="AA370">
        <v>18823.954005193274</v>
      </c>
    </row>
    <row r="371" spans="1:27" x14ac:dyDescent="0.2">
      <c r="A371" t="s">
        <v>469</v>
      </c>
      <c r="B371" t="s">
        <v>470</v>
      </c>
      <c r="C371">
        <v>23884.080410923463</v>
      </c>
      <c r="D371">
        <v>26065.502371343428</v>
      </c>
      <c r="E371">
        <v>27108.122466197165</v>
      </c>
      <c r="F371">
        <v>28722.889419841867</v>
      </c>
      <c r="G371">
        <v>35167.565896189182</v>
      </c>
      <c r="H371">
        <v>36574.268532036745</v>
      </c>
      <c r="I371">
        <v>38538.853946803763</v>
      </c>
      <c r="J371">
        <v>45703.728956528423</v>
      </c>
      <c r="K371">
        <v>47531.878114789557</v>
      </c>
      <c r="L371">
        <v>57263.729225551768</v>
      </c>
      <c r="M371">
        <v>62297.527108150513</v>
      </c>
      <c r="N371">
        <v>66771.969370034887</v>
      </c>
      <c r="O371">
        <v>66771.969370034887</v>
      </c>
      <c r="P371">
        <v>66771.969370034887</v>
      </c>
      <c r="Q371">
        <v>70687.458715035493</v>
      </c>
      <c r="R371">
        <v>70687.458715035493</v>
      </c>
      <c r="S371">
        <v>75049.143904349665</v>
      </c>
      <c r="T371">
        <v>75049.143904349665</v>
      </c>
      <c r="U371">
        <v>79076.182210428655</v>
      </c>
      <c r="V371">
        <v>79076.182210428655</v>
      </c>
      <c r="W371">
        <v>82543.462191962666</v>
      </c>
      <c r="X371">
        <v>82543.462191962666</v>
      </c>
      <c r="Y371">
        <v>82543.462191962666</v>
      </c>
      <c r="Z371">
        <v>82543.462191962666</v>
      </c>
      <c r="AA371">
        <v>82543.462191962666</v>
      </c>
    </row>
    <row r="372" spans="1:27" x14ac:dyDescent="0.2">
      <c r="A372" t="s">
        <v>690</v>
      </c>
      <c r="B372" t="s">
        <v>691</v>
      </c>
      <c r="C372">
        <v>3477.5915922677709</v>
      </c>
      <c r="D372">
        <v>3795.2129759771988</v>
      </c>
      <c r="E372">
        <v>3947.0214950162863</v>
      </c>
      <c r="F372">
        <v>4182.1362612058356</v>
      </c>
      <c r="G372">
        <v>5120.4999052497196</v>
      </c>
      <c r="H372">
        <v>5325.3199014597094</v>
      </c>
      <c r="I372">
        <v>5611.3692532932846</v>
      </c>
      <c r="J372">
        <v>6654.5958990247354</v>
      </c>
      <c r="K372">
        <v>6920.7797349857246</v>
      </c>
      <c r="L372">
        <v>8337.7655689686835</v>
      </c>
      <c r="M372">
        <v>9070.7011851833449</v>
      </c>
      <c r="N372">
        <v>9722.1929957242319</v>
      </c>
      <c r="O372">
        <v>9722.1929957242319</v>
      </c>
      <c r="P372">
        <v>9722.1929957242319</v>
      </c>
      <c r="Q372">
        <v>10292.299635440644</v>
      </c>
      <c r="R372">
        <v>10292.299635440644</v>
      </c>
      <c r="S372">
        <v>10927.373688178326</v>
      </c>
      <c r="T372">
        <v>10927.373688178326</v>
      </c>
      <c r="U372">
        <v>11513.722181150055</v>
      </c>
      <c r="V372">
        <v>11513.722181150055</v>
      </c>
      <c r="W372">
        <v>12018.568233598713</v>
      </c>
      <c r="X372">
        <v>12018.568233598713</v>
      </c>
      <c r="Y372">
        <v>12018.568233598713</v>
      </c>
      <c r="Z372">
        <v>12018.568233598713</v>
      </c>
      <c r="AA372">
        <v>12018.568233598713</v>
      </c>
    </row>
    <row r="373" spans="1:27" x14ac:dyDescent="0.2">
      <c r="A373" t="s">
        <v>467</v>
      </c>
      <c r="B373" t="s">
        <v>468</v>
      </c>
      <c r="C373">
        <v>24448.099161366557</v>
      </c>
      <c r="D373">
        <v>26681.035053540938</v>
      </c>
      <c r="E373">
        <v>27748.276455682571</v>
      </c>
      <c r="F373">
        <v>29401.175873453256</v>
      </c>
      <c r="G373">
        <v>35998.042357146922</v>
      </c>
      <c r="H373">
        <v>37437.964051432798</v>
      </c>
      <c r="I373">
        <v>39448.942837504532</v>
      </c>
      <c r="J373">
        <v>46783.015228101249</v>
      </c>
      <c r="K373">
        <v>48654.335837225291</v>
      </c>
      <c r="L373">
        <v>58616.003060165727</v>
      </c>
      <c r="M373">
        <v>63768.673277092566</v>
      </c>
      <c r="N373">
        <v>68348.778779514498</v>
      </c>
      <c r="O373">
        <v>68348.778779514498</v>
      </c>
      <c r="P373">
        <v>68348.778779514498</v>
      </c>
      <c r="Q373">
        <v>72356.731781048875</v>
      </c>
      <c r="R373">
        <v>72356.731781048875</v>
      </c>
      <c r="S373">
        <v>76821.417470611661</v>
      </c>
      <c r="T373">
        <v>76821.417470611661</v>
      </c>
      <c r="U373">
        <v>80943.553644153129</v>
      </c>
      <c r="V373">
        <v>80943.553644153129</v>
      </c>
      <c r="W373">
        <v>84492.712889572329</v>
      </c>
      <c r="X373">
        <v>84492.712889572329</v>
      </c>
      <c r="Y373">
        <v>84492.712889572329</v>
      </c>
      <c r="Z373">
        <v>84492.712889572329</v>
      </c>
      <c r="AA373">
        <v>84492.712889572329</v>
      </c>
    </row>
    <row r="374" spans="1:27" x14ac:dyDescent="0.2">
      <c r="A374" t="s">
        <v>986</v>
      </c>
      <c r="B374" t="s">
        <v>987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471</v>
      </c>
      <c r="B375" t="s">
        <v>472</v>
      </c>
      <c r="C375">
        <v>23174.64800337901</v>
      </c>
      <c r="D375">
        <v>25291.274861512211</v>
      </c>
      <c r="E375">
        <v>26302.925855972699</v>
      </c>
      <c r="F375">
        <v>27869.72914562708</v>
      </c>
      <c r="G375">
        <v>34122.978434081946</v>
      </c>
      <c r="H375">
        <v>35487.897571445224</v>
      </c>
      <c r="I375">
        <v>37394.128612225642</v>
      </c>
      <c r="J375">
        <v>44346.184269458958</v>
      </c>
      <c r="K375">
        <v>46120.031640237314</v>
      </c>
      <c r="L375">
        <v>55562.816123999954</v>
      </c>
      <c r="M375">
        <v>60447.094356291753</v>
      </c>
      <c r="N375">
        <v>64788.631591411286</v>
      </c>
      <c r="O375">
        <v>64788.631591411286</v>
      </c>
      <c r="P375">
        <v>64788.631591411286</v>
      </c>
      <c r="Q375">
        <v>68587.818571617143</v>
      </c>
      <c r="R375">
        <v>68587.818571617143</v>
      </c>
      <c r="S375">
        <v>72819.947974333365</v>
      </c>
      <c r="T375">
        <v>72819.947974333365</v>
      </c>
      <c r="U375">
        <v>76727.37056016679</v>
      </c>
      <c r="V375">
        <v>76727.37056016679</v>
      </c>
      <c r="W375">
        <v>80091.661406569387</v>
      </c>
      <c r="X375">
        <v>80091.661406569387</v>
      </c>
      <c r="Y375">
        <v>80091.661406569387</v>
      </c>
      <c r="Z375">
        <v>80091.661406569387</v>
      </c>
      <c r="AA375">
        <v>80091.661406569387</v>
      </c>
    </row>
    <row r="376" spans="1:27" x14ac:dyDescent="0.2">
      <c r="A376" t="s">
        <v>546</v>
      </c>
      <c r="B376" t="s">
        <v>547</v>
      </c>
      <c r="C376">
        <v>11010.061032913865</v>
      </c>
      <c r="D376">
        <v>12015.650886470794</v>
      </c>
      <c r="E376">
        <v>12496.276921929626</v>
      </c>
      <c r="F376">
        <v>13240.650680838486</v>
      </c>
      <c r="G376">
        <v>16211.51161084591</v>
      </c>
      <c r="H376">
        <v>16859.972075279748</v>
      </c>
      <c r="I376">
        <v>17765.604820975266</v>
      </c>
      <c r="J376">
        <v>21068.462196810815</v>
      </c>
      <c r="K376">
        <v>21911.200684683245</v>
      </c>
      <c r="L376">
        <v>26397.380300948393</v>
      </c>
      <c r="M376">
        <v>28717.855737357371</v>
      </c>
      <c r="N376">
        <v>30780.479943272581</v>
      </c>
      <c r="O376">
        <v>30780.479943272581</v>
      </c>
      <c r="P376">
        <v>30780.479943272581</v>
      </c>
      <c r="Q376">
        <v>32585.438556728943</v>
      </c>
      <c r="R376">
        <v>32585.438556728943</v>
      </c>
      <c r="S376">
        <v>34596.084112868608</v>
      </c>
      <c r="T376">
        <v>34596.084112868608</v>
      </c>
      <c r="U376">
        <v>36452.464461995783</v>
      </c>
      <c r="V376">
        <v>36452.464461995783</v>
      </c>
      <c r="W376">
        <v>38050.807942594285</v>
      </c>
      <c r="X376">
        <v>38050.807942594285</v>
      </c>
      <c r="Y376">
        <v>38050.807942594285</v>
      </c>
      <c r="Z376">
        <v>38050.807942594285</v>
      </c>
      <c r="AA376">
        <v>38050.807942594285</v>
      </c>
    </row>
    <row r="377" spans="1:27" x14ac:dyDescent="0.2">
      <c r="A377" t="s">
        <v>793</v>
      </c>
      <c r="B377" t="s">
        <v>794</v>
      </c>
      <c r="C377">
        <v>1475.4790700897836</v>
      </c>
      <c r="D377">
        <v>1610.2400652906633</v>
      </c>
      <c r="E377">
        <v>1674.6496679022898</v>
      </c>
      <c r="F377">
        <v>1774.4046009867443</v>
      </c>
      <c r="G377">
        <v>2172.5352843017054</v>
      </c>
      <c r="H377">
        <v>2259.4366956737736</v>
      </c>
      <c r="I377">
        <v>2380.802250094142</v>
      </c>
      <c r="J377">
        <v>2823.4244040466592</v>
      </c>
      <c r="K377">
        <v>2936.3613802085256</v>
      </c>
      <c r="L377">
        <v>3537.5627821512376</v>
      </c>
      <c r="M377">
        <v>3848.5340773006142</v>
      </c>
      <c r="N377">
        <v>4124.9502421329917</v>
      </c>
      <c r="O377">
        <v>4124.9502421329917</v>
      </c>
      <c r="P377">
        <v>4124.9502421329917</v>
      </c>
      <c r="Q377">
        <v>4366.8361543519823</v>
      </c>
      <c r="R377">
        <v>4366.8361543519823</v>
      </c>
      <c r="S377">
        <v>4636.2865621730152</v>
      </c>
      <c r="T377">
        <v>4636.2865621730152</v>
      </c>
      <c r="U377">
        <v>4885.063598292516</v>
      </c>
      <c r="V377">
        <v>4885.063598292516</v>
      </c>
      <c r="W377">
        <v>5099.2606263914058</v>
      </c>
      <c r="X377">
        <v>5099.2606263914058</v>
      </c>
      <c r="Y377">
        <v>5099.2606263914058</v>
      </c>
      <c r="Z377">
        <v>5099.2606263914058</v>
      </c>
      <c r="AA377">
        <v>5099.2606263914058</v>
      </c>
    </row>
    <row r="378" spans="1:27" x14ac:dyDescent="0.2">
      <c r="A378" t="s">
        <v>779</v>
      </c>
      <c r="B378" t="s">
        <v>780</v>
      </c>
      <c r="C378">
        <v>1766.4188436831773</v>
      </c>
      <c r="D378">
        <v>1927.7524512834852</v>
      </c>
      <c r="E378">
        <v>2004.8625493348245</v>
      </c>
      <c r="F378">
        <v>2124.2874853591711</v>
      </c>
      <c r="G378">
        <v>2600.9228748487776</v>
      </c>
      <c r="H378">
        <v>2704.9597898427292</v>
      </c>
      <c r="I378">
        <v>2850.2565999758267</v>
      </c>
      <c r="J378">
        <v>3380.1564333403126</v>
      </c>
      <c r="K378">
        <v>3515.362690673925</v>
      </c>
      <c r="L378">
        <v>4235.1109451684661</v>
      </c>
      <c r="M378">
        <v>4607.40057416537</v>
      </c>
      <c r="N378">
        <v>4938.3213795881366</v>
      </c>
      <c r="O378">
        <v>4938.3213795881366</v>
      </c>
      <c r="P378">
        <v>4938.3213795881366</v>
      </c>
      <c r="Q378">
        <v>5227.9031446070885</v>
      </c>
      <c r="R378">
        <v>5227.9031446070885</v>
      </c>
      <c r="S378">
        <v>5550.4846623403264</v>
      </c>
      <c r="T378">
        <v>5550.4846623403264</v>
      </c>
      <c r="U378">
        <v>5848.3163655378485</v>
      </c>
      <c r="V378">
        <v>5848.3163655378485</v>
      </c>
      <c r="W378">
        <v>6104.7494619909157</v>
      </c>
      <c r="X378">
        <v>6104.7494619909157</v>
      </c>
      <c r="Y378">
        <v>6104.7494619909157</v>
      </c>
      <c r="Z378">
        <v>6104.7494619909157</v>
      </c>
      <c r="AA378">
        <v>6104.7494619909157</v>
      </c>
    </row>
    <row r="379" spans="1:27" x14ac:dyDescent="0.2">
      <c r="A379" t="s">
        <v>1025</v>
      </c>
      <c r="B379" t="s">
        <v>1026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698</v>
      </c>
      <c r="B380" t="s">
        <v>699</v>
      </c>
      <c r="C380">
        <v>3336.9049751126768</v>
      </c>
      <c r="D380">
        <v>3641.6769264420764</v>
      </c>
      <c r="E380">
        <v>3787.3440034997593</v>
      </c>
      <c r="F380">
        <v>4012.947157925591</v>
      </c>
      <c r="G380">
        <v>4913.3491255508325</v>
      </c>
      <c r="H380">
        <v>5109.8830905728664</v>
      </c>
      <c r="I380">
        <v>5384.3602624706637</v>
      </c>
      <c r="J380">
        <v>6385.3829794715693</v>
      </c>
      <c r="K380">
        <v>6640.7982986504312</v>
      </c>
      <c r="L380">
        <v>8000.4597061587583</v>
      </c>
      <c r="M380">
        <v>8703.7442751754115</v>
      </c>
      <c r="N380">
        <v>9328.8798628829336</v>
      </c>
      <c r="O380">
        <v>9328.8798628829336</v>
      </c>
      <c r="P380">
        <v>9328.8798628829336</v>
      </c>
      <c r="Q380">
        <v>9875.922732046849</v>
      </c>
      <c r="R380">
        <v>9875.922732046849</v>
      </c>
      <c r="S380">
        <v>10485.304745408401</v>
      </c>
      <c r="T380">
        <v>10485.304745408401</v>
      </c>
      <c r="U380">
        <v>11047.932400621723</v>
      </c>
      <c r="V380">
        <v>11047.932400621723</v>
      </c>
      <c r="W380">
        <v>11532.354811760395</v>
      </c>
      <c r="X380">
        <v>11532.354811760395</v>
      </c>
      <c r="Y380">
        <v>11532.354811760395</v>
      </c>
      <c r="Z380">
        <v>11532.354811760395</v>
      </c>
      <c r="AA380">
        <v>11532.354811760395</v>
      </c>
    </row>
    <row r="381" spans="1:27" x14ac:dyDescent="0.2">
      <c r="A381" t="s">
        <v>494</v>
      </c>
      <c r="B381" t="s">
        <v>495</v>
      </c>
      <c r="C381">
        <v>20118.486884196027</v>
      </c>
      <c r="D381">
        <v>21955.983172289849</v>
      </c>
      <c r="E381">
        <v>22834.222499181444</v>
      </c>
      <c r="F381">
        <v>24194.403306606469</v>
      </c>
      <c r="G381">
        <v>29623.004154181115</v>
      </c>
      <c r="H381">
        <v>30807.92432034836</v>
      </c>
      <c r="I381">
        <v>32462.770779573824</v>
      </c>
      <c r="J381">
        <v>38498.022772952798</v>
      </c>
      <c r="K381">
        <v>40037.943683870901</v>
      </c>
      <c r="L381">
        <v>48235.459165407839</v>
      </c>
      <c r="M381">
        <v>52475.622275578884</v>
      </c>
      <c r="N381">
        <v>56244.61846094772</v>
      </c>
      <c r="O381">
        <v>56244.61846094772</v>
      </c>
      <c r="P381">
        <v>56244.61846094772</v>
      </c>
      <c r="Q381">
        <v>59542.78693456317</v>
      </c>
      <c r="R381">
        <v>59542.78693456317</v>
      </c>
      <c r="S381">
        <v>63216.803466264195</v>
      </c>
      <c r="T381">
        <v>63216.803466264195</v>
      </c>
      <c r="U381">
        <v>66608.933954401014</v>
      </c>
      <c r="V381">
        <v>66608.933954401014</v>
      </c>
      <c r="W381">
        <v>69529.558304686841</v>
      </c>
      <c r="X381">
        <v>69529.558304686841</v>
      </c>
      <c r="Y381">
        <v>69529.558304686841</v>
      </c>
      <c r="Z381">
        <v>69529.558304686841</v>
      </c>
      <c r="AA381">
        <v>69529.558304686841</v>
      </c>
    </row>
    <row r="382" spans="1:27" x14ac:dyDescent="0.2">
      <c r="A382" t="s">
        <v>2</v>
      </c>
      <c r="B382" t="s">
        <v>3</v>
      </c>
      <c r="C382">
        <v>2026</v>
      </c>
      <c r="D382">
        <v>2027</v>
      </c>
      <c r="E382">
        <v>2028</v>
      </c>
      <c r="F382">
        <v>2029</v>
      </c>
      <c r="G382">
        <v>2030</v>
      </c>
      <c r="H382">
        <v>2031</v>
      </c>
      <c r="I382">
        <v>2032</v>
      </c>
      <c r="J382">
        <v>2033</v>
      </c>
      <c r="K382">
        <v>2034</v>
      </c>
      <c r="L382">
        <v>2035</v>
      </c>
      <c r="M382">
        <v>2036</v>
      </c>
      <c r="N382">
        <v>2037</v>
      </c>
      <c r="O382">
        <v>2038</v>
      </c>
      <c r="P382">
        <v>2039</v>
      </c>
      <c r="Q382">
        <v>2040</v>
      </c>
      <c r="R382">
        <v>2041</v>
      </c>
      <c r="S382">
        <v>2042</v>
      </c>
      <c r="T382">
        <v>2043</v>
      </c>
      <c r="U382">
        <v>2044</v>
      </c>
      <c r="V382">
        <v>2045</v>
      </c>
      <c r="W382">
        <v>2046</v>
      </c>
      <c r="X382">
        <v>2047</v>
      </c>
      <c r="Y382">
        <v>2048</v>
      </c>
      <c r="Z382">
        <v>2049</v>
      </c>
      <c r="AA382">
        <v>2050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9E26-89BC-5243-833E-FF43EDFE8A67}">
  <dimension ref="A1:AA382"/>
  <sheetViews>
    <sheetView workbookViewId="0">
      <selection activeCell="C1" sqref="C1:AA1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27" width="12.83203125" bestFit="1" customWidth="1"/>
  </cols>
  <sheetData>
    <row r="1" spans="1:27" x14ac:dyDescent="0.2">
      <c r="A1" t="s">
        <v>0</v>
      </c>
      <c r="B1" t="s">
        <v>1</v>
      </c>
      <c r="C1" t="s">
        <v>1029</v>
      </c>
      <c r="D1" t="s">
        <v>1030</v>
      </c>
      <c r="E1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  <c r="K1" t="s">
        <v>1037</v>
      </c>
      <c r="L1" t="s">
        <v>1038</v>
      </c>
      <c r="M1" t="s">
        <v>1039</v>
      </c>
      <c r="N1" t="s">
        <v>1040</v>
      </c>
      <c r="O1" t="s">
        <v>1041</v>
      </c>
      <c r="P1" t="s">
        <v>1042</v>
      </c>
      <c r="Q1" t="s">
        <v>1043</v>
      </c>
      <c r="R1" t="s">
        <v>1044</v>
      </c>
      <c r="S1" t="s">
        <v>1045</v>
      </c>
      <c r="T1" t="s">
        <v>1046</v>
      </c>
      <c r="U1" t="s">
        <v>1047</v>
      </c>
      <c r="V1" t="s">
        <v>1048</v>
      </c>
      <c r="W1" t="s">
        <v>1049</v>
      </c>
      <c r="X1" t="s">
        <v>1050</v>
      </c>
      <c r="Y1" t="s">
        <v>1051</v>
      </c>
      <c r="Z1" t="s">
        <v>1052</v>
      </c>
      <c r="AA1" t="s">
        <v>1053</v>
      </c>
    </row>
    <row r="2" spans="1:27" x14ac:dyDescent="0.2">
      <c r="A2" t="s">
        <v>567</v>
      </c>
      <c r="B2" t="s">
        <v>568</v>
      </c>
      <c r="C2">
        <v>-1009.8945636714362</v>
      </c>
      <c r="D2">
        <v>-1843.8570917356408</v>
      </c>
      <c r="E2">
        <v>-1843.8570917356401</v>
      </c>
      <c r="F2">
        <v>-2177.4421367069776</v>
      </c>
      <c r="G2">
        <v>-5005.0254598605579</v>
      </c>
      <c r="H2">
        <v>-5005.0254598605616</v>
      </c>
      <c r="I2">
        <v>-5005.0254598605616</v>
      </c>
      <c r="J2">
        <v>-6582.3968889467014</v>
      </c>
      <c r="K2">
        <v>-6582.3968889467014</v>
      </c>
      <c r="L2">
        <v>-8579.1608978785262</v>
      </c>
      <c r="M2">
        <v>-9889.7974871545521</v>
      </c>
      <c r="N2">
        <v>-11035.563588981071</v>
      </c>
      <c r="O2">
        <v>-11035.563588981071</v>
      </c>
      <c r="P2">
        <v>-11035.563588981071</v>
      </c>
      <c r="Q2">
        <v>-12041.439531679565</v>
      </c>
      <c r="R2">
        <v>-12041.439531679565</v>
      </c>
      <c r="S2">
        <v>-13151.678019834673</v>
      </c>
      <c r="T2">
        <v>-13151.678019834673</v>
      </c>
      <c r="U2">
        <v>-14207.514939703859</v>
      </c>
      <c r="V2">
        <v>-14207.514939703859</v>
      </c>
      <c r="W2">
        <v>-15106.530464377453</v>
      </c>
      <c r="X2">
        <v>-15106.530464377453</v>
      </c>
      <c r="Y2">
        <v>-15106.530464377453</v>
      </c>
      <c r="Z2">
        <v>-15106.530464377453</v>
      </c>
      <c r="AA2">
        <v>-15106.530464377453</v>
      </c>
    </row>
    <row r="3" spans="1:27" x14ac:dyDescent="0.2">
      <c r="A3" t="s">
        <v>839</v>
      </c>
      <c r="B3" t="s">
        <v>840</v>
      </c>
      <c r="C3">
        <v>-41.444312774005851</v>
      </c>
      <c r="D3">
        <v>-75.668681434077598</v>
      </c>
      <c r="E3">
        <v>-75.66868143407757</v>
      </c>
      <c r="F3">
        <v>-89.358430282969152</v>
      </c>
      <c r="G3">
        <v>-205.3975217434774</v>
      </c>
      <c r="H3">
        <v>-205.39752174347751</v>
      </c>
      <c r="I3">
        <v>-205.39752174347751</v>
      </c>
      <c r="J3">
        <v>-270.13009603337673</v>
      </c>
      <c r="K3">
        <v>-270.13009603337673</v>
      </c>
      <c r="L3">
        <v>-352.07381085168134</v>
      </c>
      <c r="M3">
        <v>-405.86005220101504</v>
      </c>
      <c r="N3">
        <v>-452.8802960939218</v>
      </c>
      <c r="O3">
        <v>-452.8802960939218</v>
      </c>
      <c r="P3">
        <v>-452.8802960939218</v>
      </c>
      <c r="Q3">
        <v>-494.15969166714859</v>
      </c>
      <c r="R3">
        <v>-494.15969166714859</v>
      </c>
      <c r="S3">
        <v>-539.72194421513802</v>
      </c>
      <c r="T3">
        <v>-539.72194421513802</v>
      </c>
      <c r="U3">
        <v>-583.05165121575726</v>
      </c>
      <c r="V3">
        <v>-583.05165121575726</v>
      </c>
      <c r="W3">
        <v>-619.94568147749601</v>
      </c>
      <c r="X3">
        <v>-619.94568147749601</v>
      </c>
      <c r="Y3">
        <v>-619.94568147749601</v>
      </c>
      <c r="Z3">
        <v>-619.94568147749601</v>
      </c>
      <c r="AA3">
        <v>-619.94568147749601</v>
      </c>
    </row>
    <row r="4" spans="1:27" x14ac:dyDescent="0.2">
      <c r="A4" t="s">
        <v>477</v>
      </c>
      <c r="B4" t="s">
        <v>478</v>
      </c>
      <c r="C4">
        <v>-35.523047769316797</v>
      </c>
      <c r="D4">
        <v>-64.857685055158484</v>
      </c>
      <c r="E4">
        <v>-64.857685055158456</v>
      </c>
      <c r="F4">
        <v>-76.591541156498792</v>
      </c>
      <c r="G4">
        <v>-176.05180272573247</v>
      </c>
      <c r="H4">
        <v>-176.05180272573259</v>
      </c>
      <c r="I4">
        <v>-176.05180272573259</v>
      </c>
      <c r="J4">
        <v>-231.53585288407416</v>
      </c>
      <c r="K4">
        <v>-231.53585288407416</v>
      </c>
      <c r="L4">
        <v>-301.77203973458063</v>
      </c>
      <c r="M4">
        <v>-347.87369018787894</v>
      </c>
      <c r="N4">
        <v>-388.17602018525986</v>
      </c>
      <c r="O4">
        <v>-388.17602018525986</v>
      </c>
      <c r="P4">
        <v>-388.17602018525986</v>
      </c>
      <c r="Q4">
        <v>-423.55771293601953</v>
      </c>
      <c r="R4">
        <v>-423.55771293601953</v>
      </c>
      <c r="S4">
        <v>-462.61035889411698</v>
      </c>
      <c r="T4">
        <v>-462.61035889411698</v>
      </c>
      <c r="U4">
        <v>-499.74942933803311</v>
      </c>
      <c r="V4">
        <v>-499.74942933803311</v>
      </c>
      <c r="W4">
        <v>-531.37230619780757</v>
      </c>
      <c r="X4">
        <v>-531.37230619780757</v>
      </c>
      <c r="Y4">
        <v>-531.37230619780757</v>
      </c>
      <c r="Z4">
        <v>-531.37230619780757</v>
      </c>
      <c r="AA4">
        <v>-531.37230619780757</v>
      </c>
    </row>
    <row r="5" spans="1:27" x14ac:dyDescent="0.2">
      <c r="A5" t="s">
        <v>832</v>
      </c>
      <c r="B5" t="s">
        <v>833</v>
      </c>
      <c r="C5">
        <v>-109.52780370866743</v>
      </c>
      <c r="D5">
        <v>-199.97495270819201</v>
      </c>
      <c r="E5">
        <v>-199.97495270819192</v>
      </c>
      <c r="F5">
        <v>-236.15381596787645</v>
      </c>
      <c r="G5">
        <v>-542.81849397383291</v>
      </c>
      <c r="H5">
        <v>-542.81849397383326</v>
      </c>
      <c r="I5">
        <v>-542.81849397383326</v>
      </c>
      <c r="J5">
        <v>-713.89182625569265</v>
      </c>
      <c r="K5">
        <v>-713.89182625569265</v>
      </c>
      <c r="L5">
        <v>-930.45025155084056</v>
      </c>
      <c r="M5">
        <v>-1072.5949389741959</v>
      </c>
      <c r="N5">
        <v>-1196.8586484852892</v>
      </c>
      <c r="O5">
        <v>-1196.8586484852892</v>
      </c>
      <c r="P5">
        <v>-1196.8586484852892</v>
      </c>
      <c r="Q5">
        <v>-1305.9506138946558</v>
      </c>
      <c r="R5">
        <v>-1305.9506138946558</v>
      </c>
      <c r="S5">
        <v>-1426.3611870126856</v>
      </c>
      <c r="T5">
        <v>-1426.3611870126856</v>
      </c>
      <c r="U5">
        <v>-1540.8716548058565</v>
      </c>
      <c r="V5">
        <v>-1540.8716548058565</v>
      </c>
      <c r="W5">
        <v>-1638.3741065068734</v>
      </c>
      <c r="X5">
        <v>-1638.3741065068734</v>
      </c>
      <c r="Y5">
        <v>-1638.3741065068734</v>
      </c>
      <c r="Z5">
        <v>-1638.3741065068734</v>
      </c>
      <c r="AA5">
        <v>-1638.3741065068734</v>
      </c>
    </row>
    <row r="6" spans="1:27" x14ac:dyDescent="0.2">
      <c r="A6" t="s">
        <v>586</v>
      </c>
      <c r="B6" t="s">
        <v>587</v>
      </c>
      <c r="C6">
        <v>-1048.9662945265679</v>
      </c>
      <c r="D6">
        <v>-1915.1939328428077</v>
      </c>
      <c r="E6">
        <v>-1915.193932842807</v>
      </c>
      <c r="F6">
        <v>-2261.6850232205416</v>
      </c>
      <c r="G6">
        <v>-5198.6644938007157</v>
      </c>
      <c r="H6">
        <v>-5198.6644938007184</v>
      </c>
      <c r="I6">
        <v>-5198.6644938007184</v>
      </c>
      <c r="J6">
        <v>-6837.0627212803192</v>
      </c>
      <c r="K6">
        <v>-6837.0627212803192</v>
      </c>
      <c r="L6">
        <v>-8911.079374938312</v>
      </c>
      <c r="M6">
        <v>-10272.423079498643</v>
      </c>
      <c r="N6">
        <v>-11462.51763536768</v>
      </c>
      <c r="O6">
        <v>-11462.51763536768</v>
      </c>
      <c r="P6">
        <v>-11462.51763536768</v>
      </c>
      <c r="Q6">
        <v>-12507.309832812503</v>
      </c>
      <c r="R6">
        <v>-12507.309832812503</v>
      </c>
      <c r="S6">
        <v>-13660.5022499763</v>
      </c>
      <c r="T6">
        <v>-13660.5022499763</v>
      </c>
      <c r="U6">
        <v>-14757.188360883869</v>
      </c>
      <c r="V6">
        <v>-14757.188360883869</v>
      </c>
      <c r="W6">
        <v>-15690.985826047301</v>
      </c>
      <c r="X6">
        <v>-15690.985826047301</v>
      </c>
      <c r="Y6">
        <v>-15690.985826047301</v>
      </c>
      <c r="Z6">
        <v>-15690.985826047301</v>
      </c>
      <c r="AA6">
        <v>-15690.985826047301</v>
      </c>
    </row>
    <row r="7" spans="1:27" x14ac:dyDescent="0.2">
      <c r="A7" t="s">
        <v>714</v>
      </c>
      <c r="B7" t="s">
        <v>715</v>
      </c>
      <c r="C7">
        <v>-520.90913393904157</v>
      </c>
      <c r="D7">
        <v>-951.07156263082936</v>
      </c>
      <c r="E7">
        <v>-951.07156263082902</v>
      </c>
      <c r="F7">
        <v>-1123.1365515137377</v>
      </c>
      <c r="G7">
        <v>-2581.619479325213</v>
      </c>
      <c r="H7">
        <v>-2581.6194793252143</v>
      </c>
      <c r="I7">
        <v>-2581.6194793252143</v>
      </c>
      <c r="J7">
        <v>-3395.23628110134</v>
      </c>
      <c r="K7">
        <v>-3395.23628110134</v>
      </c>
      <c r="L7">
        <v>-4425.1780670952749</v>
      </c>
      <c r="M7">
        <v>-5101.211581075765</v>
      </c>
      <c r="N7">
        <v>-5692.2039967883238</v>
      </c>
      <c r="O7">
        <v>-5692.2039967883238</v>
      </c>
      <c r="P7">
        <v>-5692.2039967883238</v>
      </c>
      <c r="Q7">
        <v>-6211.040304072043</v>
      </c>
      <c r="R7">
        <v>-6211.040304072043</v>
      </c>
      <c r="S7">
        <v>-6783.7073825323496</v>
      </c>
      <c r="T7">
        <v>-6783.7073825323496</v>
      </c>
      <c r="U7">
        <v>-7328.3138348241955</v>
      </c>
      <c r="V7">
        <v>-7328.3138348241955</v>
      </c>
      <c r="W7">
        <v>-7792.0309546123908</v>
      </c>
      <c r="X7">
        <v>-7792.0309546123908</v>
      </c>
      <c r="Y7">
        <v>-7792.0309546123908</v>
      </c>
      <c r="Z7">
        <v>-7792.0309546123908</v>
      </c>
      <c r="AA7">
        <v>-7792.0309546123908</v>
      </c>
    </row>
    <row r="8" spans="1:27" x14ac:dyDescent="0.2">
      <c r="A8" t="s">
        <v>857</v>
      </c>
      <c r="B8" t="s">
        <v>858</v>
      </c>
      <c r="C8">
        <v>-111.16048945180528</v>
      </c>
      <c r="D8">
        <v>-202.9558967535942</v>
      </c>
      <c r="E8">
        <v>-202.95589675359412</v>
      </c>
      <c r="F8">
        <v>-239.67406338874062</v>
      </c>
      <c r="G8">
        <v>-550.91006512027877</v>
      </c>
      <c r="H8">
        <v>-550.91006512027911</v>
      </c>
      <c r="I8">
        <v>-550.91006512027911</v>
      </c>
      <c r="J8">
        <v>-724.53351692604133</v>
      </c>
      <c r="K8">
        <v>-724.53351692604133</v>
      </c>
      <c r="L8">
        <v>-944.32008924471802</v>
      </c>
      <c r="M8">
        <v>-1088.5836688284255</v>
      </c>
      <c r="N8">
        <v>-1214.6997261456324</v>
      </c>
      <c r="O8">
        <v>-1214.6997261456324</v>
      </c>
      <c r="P8">
        <v>-1214.6997261456324</v>
      </c>
      <c r="Q8">
        <v>-1325.4178804365777</v>
      </c>
      <c r="R8">
        <v>-1325.4178804365777</v>
      </c>
      <c r="S8">
        <v>-1447.6233642475652</v>
      </c>
      <c r="T8">
        <v>-1447.6233642475652</v>
      </c>
      <c r="U8">
        <v>-1563.8407922999158</v>
      </c>
      <c r="V8">
        <v>-1563.8407922999158</v>
      </c>
      <c r="W8">
        <v>-1662.796672787259</v>
      </c>
      <c r="X8">
        <v>-1662.796672787259</v>
      </c>
      <c r="Y8">
        <v>-1662.796672787259</v>
      </c>
      <c r="Z8">
        <v>-1662.796672787259</v>
      </c>
      <c r="AA8">
        <v>-1662.796672787259</v>
      </c>
    </row>
    <row r="9" spans="1:27" x14ac:dyDescent="0.2">
      <c r="A9" t="s">
        <v>879</v>
      </c>
      <c r="B9" t="s">
        <v>880</v>
      </c>
      <c r="C9">
        <v>-84.744265160159983</v>
      </c>
      <c r="D9">
        <v>-154.72537423255577</v>
      </c>
      <c r="E9">
        <v>-154.72537423255571</v>
      </c>
      <c r="F9">
        <v>-182.71782069324607</v>
      </c>
      <c r="G9">
        <v>-419.99157135949179</v>
      </c>
      <c r="H9">
        <v>-419.99157135949201</v>
      </c>
      <c r="I9">
        <v>-419.99157135949201</v>
      </c>
      <c r="J9">
        <v>-552.35507488858536</v>
      </c>
      <c r="K9">
        <v>-552.35507488858536</v>
      </c>
      <c r="L9">
        <v>-719.91147604397918</v>
      </c>
      <c r="M9">
        <v>-829.89219942407954</v>
      </c>
      <c r="N9">
        <v>-926.03798516998563</v>
      </c>
      <c r="O9">
        <v>-926.03798516998563</v>
      </c>
      <c r="P9">
        <v>-926.03798516998563</v>
      </c>
      <c r="Q9">
        <v>-1010.4450318782798</v>
      </c>
      <c r="R9">
        <v>-1010.4450318782798</v>
      </c>
      <c r="S9">
        <v>-1103.609554409408</v>
      </c>
      <c r="T9">
        <v>-1103.609554409408</v>
      </c>
      <c r="U9">
        <v>-1192.2090252076205</v>
      </c>
      <c r="V9">
        <v>-1192.2090252076205</v>
      </c>
      <c r="W9">
        <v>-1267.6489896817993</v>
      </c>
      <c r="X9">
        <v>-1267.6489896817993</v>
      </c>
      <c r="Y9">
        <v>-1267.6489896817993</v>
      </c>
      <c r="Z9">
        <v>-1267.6489896817993</v>
      </c>
      <c r="AA9">
        <v>-1267.6489896817993</v>
      </c>
    </row>
    <row r="10" spans="1:27" x14ac:dyDescent="0.2">
      <c r="A10" t="s">
        <v>996</v>
      </c>
      <c r="B10" t="s">
        <v>997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998</v>
      </c>
      <c r="B11" t="s">
        <v>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896</v>
      </c>
      <c r="B12" t="s">
        <v>897</v>
      </c>
      <c r="C12">
        <v>-37.846939348363783</v>
      </c>
      <c r="D12">
        <v>-69.100626964730552</v>
      </c>
      <c r="E12">
        <v>-69.100626964730523</v>
      </c>
      <c r="F12">
        <v>-81.602103275933786</v>
      </c>
      <c r="G12">
        <v>-187.56898178331761</v>
      </c>
      <c r="H12">
        <v>-187.56898178331772</v>
      </c>
      <c r="I12">
        <v>-187.56898178331772</v>
      </c>
      <c r="J12">
        <v>-246.68275757138869</v>
      </c>
      <c r="K12">
        <v>-246.68275757138869</v>
      </c>
      <c r="L12">
        <v>-321.51374395109679</v>
      </c>
      <c r="M12">
        <v>-370.63133036699361</v>
      </c>
      <c r="N12">
        <v>-413.57020906101491</v>
      </c>
      <c r="O12">
        <v>-413.57020906101491</v>
      </c>
      <c r="P12">
        <v>-413.57020906101491</v>
      </c>
      <c r="Q12">
        <v>-451.26654604978779</v>
      </c>
      <c r="R12">
        <v>-451.26654604978779</v>
      </c>
      <c r="S12">
        <v>-492.87398729659122</v>
      </c>
      <c r="T12">
        <v>-492.87398729659122</v>
      </c>
      <c r="U12">
        <v>-532.44266833075619</v>
      </c>
      <c r="V12">
        <v>-532.44266833075619</v>
      </c>
      <c r="W12">
        <v>-566.134290465905</v>
      </c>
      <c r="X12">
        <v>-566.134290465905</v>
      </c>
      <c r="Y12">
        <v>-566.134290465905</v>
      </c>
      <c r="Z12">
        <v>-566.134290465905</v>
      </c>
      <c r="AA12">
        <v>-566.134290465905</v>
      </c>
    </row>
    <row r="13" spans="1:27" x14ac:dyDescent="0.2">
      <c r="A13" t="s">
        <v>562</v>
      </c>
      <c r="B13" t="s">
        <v>563</v>
      </c>
      <c r="C13">
        <v>-55.267331323175924</v>
      </c>
      <c r="D13">
        <v>-100.90663368962892</v>
      </c>
      <c r="E13">
        <v>-100.90663368962888</v>
      </c>
      <c r="F13">
        <v>-119.16235648296954</v>
      </c>
      <c r="G13">
        <v>-273.90423745368275</v>
      </c>
      <c r="H13">
        <v>-273.90423745368292</v>
      </c>
      <c r="I13">
        <v>-273.90423745368292</v>
      </c>
      <c r="J13">
        <v>-360.22721861132567</v>
      </c>
      <c r="K13">
        <v>-360.22721861132567</v>
      </c>
      <c r="L13">
        <v>-469.50181224279686</v>
      </c>
      <c r="M13">
        <v>-541.22750443828625</v>
      </c>
      <c r="N13">
        <v>-603.93052022470624</v>
      </c>
      <c r="O13">
        <v>-603.93052022470624</v>
      </c>
      <c r="P13">
        <v>-603.93052022470624</v>
      </c>
      <c r="Q13">
        <v>-658.97792912749969</v>
      </c>
      <c r="R13">
        <v>-658.97792912749969</v>
      </c>
      <c r="S13">
        <v>-719.7366663064962</v>
      </c>
      <c r="T13">
        <v>-719.7366663064962</v>
      </c>
      <c r="U13">
        <v>-777.51823180132419</v>
      </c>
      <c r="V13">
        <v>-777.51823180132419</v>
      </c>
      <c r="W13">
        <v>-826.7176142459449</v>
      </c>
      <c r="X13">
        <v>-826.7176142459449</v>
      </c>
      <c r="Y13">
        <v>-826.7176142459449</v>
      </c>
      <c r="Z13">
        <v>-826.7176142459449</v>
      </c>
      <c r="AA13">
        <v>-826.7176142459449</v>
      </c>
    </row>
    <row r="14" spans="1:27" x14ac:dyDescent="0.2">
      <c r="A14" t="s">
        <v>930</v>
      </c>
      <c r="B14" t="s">
        <v>931</v>
      </c>
      <c r="C14">
        <v>-3.2307667634231865</v>
      </c>
      <c r="D14">
        <v>-5.8987070757415694</v>
      </c>
      <c r="E14">
        <v>-5.8987070757415667</v>
      </c>
      <c r="F14">
        <v>-6.9658833086250844</v>
      </c>
      <c r="G14">
        <v>-16.011641697543769</v>
      </c>
      <c r="H14">
        <v>-16.01164169754378</v>
      </c>
      <c r="I14">
        <v>-16.01164169754378</v>
      </c>
      <c r="J14">
        <v>-21.057831042437442</v>
      </c>
      <c r="K14">
        <v>-21.057831042437442</v>
      </c>
      <c r="L14">
        <v>-27.445704615104184</v>
      </c>
      <c r="M14">
        <v>-31.638579083271875</v>
      </c>
      <c r="N14">
        <v>-35.30401424214692</v>
      </c>
      <c r="O14">
        <v>-35.30401424214692</v>
      </c>
      <c r="P14">
        <v>-35.30401424214692</v>
      </c>
      <c r="Q14">
        <v>-38.521924983227564</v>
      </c>
      <c r="R14">
        <v>-38.521924983227564</v>
      </c>
      <c r="S14">
        <v>-42.073703293593553</v>
      </c>
      <c r="T14">
        <v>-42.073703293593553</v>
      </c>
      <c r="U14">
        <v>-45.451444843075024</v>
      </c>
      <c r="V14">
        <v>-45.451444843075024</v>
      </c>
      <c r="W14">
        <v>-48.327497038422685</v>
      </c>
      <c r="X14">
        <v>-48.327497038422685</v>
      </c>
      <c r="Y14">
        <v>-48.327497038422685</v>
      </c>
      <c r="Z14">
        <v>-48.327497038422685</v>
      </c>
      <c r="AA14">
        <v>-48.327497038422685</v>
      </c>
    </row>
    <row r="15" spans="1:27" x14ac:dyDescent="0.2">
      <c r="A15" t="s">
        <v>783</v>
      </c>
      <c r="B15" t="s">
        <v>784</v>
      </c>
      <c r="C15">
        <v>-173.95039571535327</v>
      </c>
      <c r="D15">
        <v>-317.5971851793492</v>
      </c>
      <c r="E15">
        <v>-317.59718517934903</v>
      </c>
      <c r="F15">
        <v>-375.05590677750484</v>
      </c>
      <c r="G15">
        <v>-862.09609460915533</v>
      </c>
      <c r="H15">
        <v>-862.09609460915578</v>
      </c>
      <c r="I15">
        <v>-862.09609460915578</v>
      </c>
      <c r="J15">
        <v>-1133.7921648227746</v>
      </c>
      <c r="K15">
        <v>-1133.7921648227746</v>
      </c>
      <c r="L15">
        <v>-1477.7269695029099</v>
      </c>
      <c r="M15">
        <v>-1703.4790049577318</v>
      </c>
      <c r="N15">
        <v>-1900.8327426443559</v>
      </c>
      <c r="O15">
        <v>-1900.8327426443559</v>
      </c>
      <c r="P15">
        <v>-1900.8327426443559</v>
      </c>
      <c r="Q15">
        <v>-2074.0909465868062</v>
      </c>
      <c r="R15">
        <v>-2074.0909465868062</v>
      </c>
      <c r="S15">
        <v>-2265.3251915270821</v>
      </c>
      <c r="T15">
        <v>-2265.3251915270821</v>
      </c>
      <c r="U15">
        <v>-2447.1889787272262</v>
      </c>
      <c r="V15">
        <v>-2447.1889787272262</v>
      </c>
      <c r="W15">
        <v>-2602.0408928742718</v>
      </c>
      <c r="X15">
        <v>-2602.0408928742718</v>
      </c>
      <c r="Y15">
        <v>-2602.0408928742718</v>
      </c>
      <c r="Z15">
        <v>-2602.0408928742718</v>
      </c>
      <c r="AA15">
        <v>-2602.0408928742718</v>
      </c>
    </row>
    <row r="16" spans="1:27" x14ac:dyDescent="0.2">
      <c r="A16" t="s">
        <v>465</v>
      </c>
      <c r="B16" t="s">
        <v>466</v>
      </c>
      <c r="C16">
        <v>-625.64529640817705</v>
      </c>
      <c r="D16">
        <v>-1142.2979766317289</v>
      </c>
      <c r="E16">
        <v>-1142.2979766317285</v>
      </c>
      <c r="F16">
        <v>-1348.9590696271046</v>
      </c>
      <c r="G16">
        <v>-3100.6906562413242</v>
      </c>
      <c r="H16">
        <v>-3100.690656241326</v>
      </c>
      <c r="I16">
        <v>-3100.690656241326</v>
      </c>
      <c r="J16">
        <v>-4077.8966446651457</v>
      </c>
      <c r="K16">
        <v>-4077.8966446651457</v>
      </c>
      <c r="L16">
        <v>-5314.9228206291673</v>
      </c>
      <c r="M16">
        <v>-6126.8824517414932</v>
      </c>
      <c r="N16">
        <v>-6836.7022667780593</v>
      </c>
      <c r="O16">
        <v>-6836.7022667780593</v>
      </c>
      <c r="P16">
        <v>-6836.7022667780593</v>
      </c>
      <c r="Q16">
        <v>-7459.8579653606703</v>
      </c>
      <c r="R16">
        <v>-7459.8579653606703</v>
      </c>
      <c r="S16">
        <v>-8147.6678744271358</v>
      </c>
      <c r="T16">
        <v>-8147.6678744271358</v>
      </c>
      <c r="U16">
        <v>-8801.7751708252272</v>
      </c>
      <c r="V16">
        <v>-8801.7751708252272</v>
      </c>
      <c r="W16">
        <v>-9358.7291882477402</v>
      </c>
      <c r="X16">
        <v>-9358.7291882477402</v>
      </c>
      <c r="Y16">
        <v>-9358.7291882477402</v>
      </c>
      <c r="Z16">
        <v>-9358.7291882477402</v>
      </c>
      <c r="AA16">
        <v>-9358.7291882477402</v>
      </c>
    </row>
    <row r="17" spans="1:27" x14ac:dyDescent="0.2">
      <c r="A17" t="s">
        <v>451</v>
      </c>
      <c r="B17" t="s">
        <v>452</v>
      </c>
      <c r="C17">
        <v>-690.02108984589245</v>
      </c>
      <c r="D17">
        <v>-1259.8347646650375</v>
      </c>
      <c r="E17">
        <v>-1259.8347646650368</v>
      </c>
      <c r="F17">
        <v>-1487.7602576497693</v>
      </c>
      <c r="G17">
        <v>-3419.7363237248028</v>
      </c>
      <c r="H17">
        <v>-3419.7363237248046</v>
      </c>
      <c r="I17">
        <v>-3419.7363237248046</v>
      </c>
      <c r="J17">
        <v>-4497.4919546026267</v>
      </c>
      <c r="K17">
        <v>-4497.4919546026267</v>
      </c>
      <c r="L17">
        <v>-5861.8019797989336</v>
      </c>
      <c r="M17">
        <v>-6757.3082239719424</v>
      </c>
      <c r="N17">
        <v>-7540.1649723206065</v>
      </c>
      <c r="O17">
        <v>-7540.1649723206065</v>
      </c>
      <c r="P17">
        <v>-7540.1649723206065</v>
      </c>
      <c r="Q17">
        <v>-8227.4402970904448</v>
      </c>
      <c r="R17">
        <v>-8227.4402970904448</v>
      </c>
      <c r="S17">
        <v>-8986.0224294672716</v>
      </c>
      <c r="T17">
        <v>-8986.0224294672716</v>
      </c>
      <c r="U17">
        <v>-9707.4341177320821</v>
      </c>
      <c r="V17">
        <v>-9707.4341177320821</v>
      </c>
      <c r="W17">
        <v>-10321.695937172348</v>
      </c>
      <c r="X17">
        <v>-10321.695937172348</v>
      </c>
      <c r="Y17">
        <v>-10321.695937172348</v>
      </c>
      <c r="Z17">
        <v>-10321.695937172348</v>
      </c>
      <c r="AA17">
        <v>-10321.695937172348</v>
      </c>
    </row>
    <row r="18" spans="1:27" x14ac:dyDescent="0.2">
      <c r="A18" t="s">
        <v>687</v>
      </c>
      <c r="B18" t="s">
        <v>688</v>
      </c>
      <c r="C18">
        <v>-466.123943016873</v>
      </c>
      <c r="D18">
        <v>-851.0452168738118</v>
      </c>
      <c r="E18">
        <v>-851.04521687381146</v>
      </c>
      <c r="F18">
        <v>-1005.0137419921319</v>
      </c>
      <c r="G18">
        <v>-2310.1047239710247</v>
      </c>
      <c r="H18">
        <v>-2310.104723971026</v>
      </c>
      <c r="I18">
        <v>-2310.104723971026</v>
      </c>
      <c r="J18">
        <v>-3038.1516078504815</v>
      </c>
      <c r="K18">
        <v>-3038.1516078504815</v>
      </c>
      <c r="L18">
        <v>-3959.7720884418509</v>
      </c>
      <c r="M18">
        <v>-4564.7056298548796</v>
      </c>
      <c r="N18">
        <v>-5093.5420375060503</v>
      </c>
      <c r="O18">
        <v>-5093.5420375060503</v>
      </c>
      <c r="P18">
        <v>-5093.5420375060503</v>
      </c>
      <c r="Q18">
        <v>-5557.8111577317322</v>
      </c>
      <c r="R18">
        <v>-5557.8111577317322</v>
      </c>
      <c r="S18">
        <v>-6070.2495452665316</v>
      </c>
      <c r="T18">
        <v>-6070.2495452665316</v>
      </c>
      <c r="U18">
        <v>-6557.5785061067781</v>
      </c>
      <c r="V18">
        <v>-6557.5785061067781</v>
      </c>
      <c r="W18">
        <v>-6972.5254483606177</v>
      </c>
      <c r="X18">
        <v>-6972.5254483606177</v>
      </c>
      <c r="Y18">
        <v>-6972.5254483606177</v>
      </c>
      <c r="Z18">
        <v>-6972.5254483606177</v>
      </c>
      <c r="AA18">
        <v>-6972.5254483606177</v>
      </c>
    </row>
    <row r="19" spans="1:27" x14ac:dyDescent="0.2">
      <c r="A19" t="s">
        <v>924</v>
      </c>
      <c r="B19" t="s">
        <v>925</v>
      </c>
      <c r="C19">
        <v>-9.936478046927034</v>
      </c>
      <c r="D19">
        <v>-18.141938943700172</v>
      </c>
      <c r="E19">
        <v>-18.141938943700165</v>
      </c>
      <c r="F19">
        <v>-21.424123634437116</v>
      </c>
      <c r="G19">
        <v>-49.245067153758306</v>
      </c>
      <c r="H19">
        <v>-49.245067153758335</v>
      </c>
      <c r="I19">
        <v>-49.245067153758335</v>
      </c>
      <c r="J19">
        <v>-64.765020563531962</v>
      </c>
      <c r="K19">
        <v>-64.765020563531962</v>
      </c>
      <c r="L19">
        <v>-84.411429657481875</v>
      </c>
      <c r="M19">
        <v>-97.306945848296394</v>
      </c>
      <c r="N19">
        <v>-108.58028083519149</v>
      </c>
      <c r="O19">
        <v>-108.58028083519149</v>
      </c>
      <c r="P19">
        <v>-108.58028083519149</v>
      </c>
      <c r="Q19">
        <v>-118.47721917122892</v>
      </c>
      <c r="R19">
        <v>-118.47721917122892</v>
      </c>
      <c r="S19">
        <v>-129.40099355446824</v>
      </c>
      <c r="T19">
        <v>-129.40099355446824</v>
      </c>
      <c r="U19">
        <v>-139.7895041503412</v>
      </c>
      <c r="V19">
        <v>-139.7895041503412</v>
      </c>
      <c r="W19">
        <v>-148.63502956072659</v>
      </c>
      <c r="X19">
        <v>-148.63502956072659</v>
      </c>
      <c r="Y19">
        <v>-148.63502956072659</v>
      </c>
      <c r="Z19">
        <v>-148.63502956072659</v>
      </c>
      <c r="AA19">
        <v>-148.63502956072659</v>
      </c>
    </row>
    <row r="20" spans="1:27" x14ac:dyDescent="0.2">
      <c r="A20" t="s">
        <v>894</v>
      </c>
      <c r="B20" t="s">
        <v>895</v>
      </c>
      <c r="C20">
        <v>-66.493316482522431</v>
      </c>
      <c r="D20">
        <v>-121.4029439901114</v>
      </c>
      <c r="E20">
        <v>-121.40294399011135</v>
      </c>
      <c r="F20">
        <v>-143.36679721502301</v>
      </c>
      <c r="G20">
        <v>-329.54008653705893</v>
      </c>
      <c r="H20">
        <v>-329.54008653705915</v>
      </c>
      <c r="I20">
        <v>-329.54008653705915</v>
      </c>
      <c r="J20">
        <v>-433.39712411077272</v>
      </c>
      <c r="K20">
        <v>-433.39712411077272</v>
      </c>
      <c r="L20">
        <v>-564.8677409087561</v>
      </c>
      <c r="M20">
        <v>-651.16246578328071</v>
      </c>
      <c r="N20">
        <v>-726.60181436906362</v>
      </c>
      <c r="O20">
        <v>-726.60181436906362</v>
      </c>
      <c r="P20">
        <v>-726.60181436906362</v>
      </c>
      <c r="Q20">
        <v>-792.83053745165171</v>
      </c>
      <c r="R20">
        <v>-792.83053745165171</v>
      </c>
      <c r="S20">
        <v>-865.93068257530922</v>
      </c>
      <c r="T20">
        <v>-865.93068257530922</v>
      </c>
      <c r="U20">
        <v>-935.44892833312542</v>
      </c>
      <c r="V20">
        <v>-935.44892833312542</v>
      </c>
      <c r="W20">
        <v>-994.64176484815675</v>
      </c>
      <c r="X20">
        <v>-994.64176484815675</v>
      </c>
      <c r="Y20">
        <v>-994.64176484815675</v>
      </c>
      <c r="Z20">
        <v>-994.64176484815675</v>
      </c>
      <c r="AA20">
        <v>-994.64176484815675</v>
      </c>
    </row>
    <row r="21" spans="1:27" x14ac:dyDescent="0.2">
      <c r="A21" t="s">
        <v>855</v>
      </c>
      <c r="B21" t="s">
        <v>856</v>
      </c>
      <c r="C21">
        <v>-147.00686432562719</v>
      </c>
      <c r="D21">
        <v>-268.40390974598284</v>
      </c>
      <c r="E21">
        <v>-268.40390974598273</v>
      </c>
      <c r="F21">
        <v>-316.96273282636361</v>
      </c>
      <c r="G21">
        <v>-728.56427313476536</v>
      </c>
      <c r="H21">
        <v>-728.56427313476581</v>
      </c>
      <c r="I21">
        <v>-728.56427313476581</v>
      </c>
      <c r="J21">
        <v>-958.17678518134937</v>
      </c>
      <c r="K21">
        <v>-958.17678518134937</v>
      </c>
      <c r="L21">
        <v>-1248.8388268544811</v>
      </c>
      <c r="M21">
        <v>-1439.6236693428389</v>
      </c>
      <c r="N21">
        <v>-1606.4088842941624</v>
      </c>
      <c r="O21">
        <v>-1606.4088842941624</v>
      </c>
      <c r="P21">
        <v>-1606.4088842941624</v>
      </c>
      <c r="Q21">
        <v>-1752.8307718416222</v>
      </c>
      <c r="R21">
        <v>-1752.8307718416222</v>
      </c>
      <c r="S21">
        <v>-1914.4443547526475</v>
      </c>
      <c r="T21">
        <v>-1914.4443547526475</v>
      </c>
      <c r="U21">
        <v>-2068.1388892245609</v>
      </c>
      <c r="V21">
        <v>-2068.1388892245609</v>
      </c>
      <c r="W21">
        <v>-2199.0054747241948</v>
      </c>
      <c r="X21">
        <v>-2199.0054747241948</v>
      </c>
      <c r="Y21">
        <v>-2199.0054747241948</v>
      </c>
      <c r="Z21">
        <v>-2199.0054747241948</v>
      </c>
      <c r="AA21">
        <v>-2199.0054747241948</v>
      </c>
    </row>
    <row r="22" spans="1:27" x14ac:dyDescent="0.2">
      <c r="A22" t="s">
        <v>870</v>
      </c>
      <c r="B22" t="s">
        <v>871</v>
      </c>
      <c r="C22">
        <v>-82.19261381110131</v>
      </c>
      <c r="D22">
        <v>-150.06659042992371</v>
      </c>
      <c r="E22">
        <v>-150.06659042992365</v>
      </c>
      <c r="F22">
        <v>-177.21618382392114</v>
      </c>
      <c r="G22">
        <v>-407.34561758754808</v>
      </c>
      <c r="H22">
        <v>-407.34561758754836</v>
      </c>
      <c r="I22">
        <v>-407.34561758754836</v>
      </c>
      <c r="J22">
        <v>-535.72365364332268</v>
      </c>
      <c r="K22">
        <v>-535.72365364332268</v>
      </c>
      <c r="L22">
        <v>-698.23492854452627</v>
      </c>
      <c r="M22">
        <v>-804.90413036440179</v>
      </c>
      <c r="N22">
        <v>-898.15496477122679</v>
      </c>
      <c r="O22">
        <v>-898.15496477122679</v>
      </c>
      <c r="P22">
        <v>-898.15496477122679</v>
      </c>
      <c r="Q22">
        <v>-980.02051378411659</v>
      </c>
      <c r="R22">
        <v>-980.02051378411659</v>
      </c>
      <c r="S22">
        <v>-1070.3798508652126</v>
      </c>
      <c r="T22">
        <v>-1070.3798508652126</v>
      </c>
      <c r="U22">
        <v>-1156.3115900032251</v>
      </c>
      <c r="V22">
        <v>-1156.3115900032251</v>
      </c>
      <c r="W22">
        <v>-1229.4800557894432</v>
      </c>
      <c r="X22">
        <v>-1229.4800557894432</v>
      </c>
      <c r="Y22">
        <v>-1229.4800557894432</v>
      </c>
      <c r="Z22">
        <v>-1229.4800557894432</v>
      </c>
      <c r="AA22">
        <v>-1229.4800557894432</v>
      </c>
    </row>
    <row r="23" spans="1:27" x14ac:dyDescent="0.2">
      <c r="A23" t="s">
        <v>912</v>
      </c>
      <c r="B23" t="s">
        <v>913</v>
      </c>
      <c r="C23">
        <v>-9.6218525101009558</v>
      </c>
      <c r="D23">
        <v>-17.567498256338837</v>
      </c>
      <c r="E23">
        <v>-17.56749825633883</v>
      </c>
      <c r="F23">
        <v>-20.745756876348455</v>
      </c>
      <c r="G23">
        <v>-47.685786731045646</v>
      </c>
      <c r="H23">
        <v>-47.685786731045674</v>
      </c>
      <c r="I23">
        <v>-47.685786731045674</v>
      </c>
      <c r="J23">
        <v>-62.714321184323353</v>
      </c>
      <c r="K23">
        <v>-62.714321184323353</v>
      </c>
      <c r="L23">
        <v>-81.738652518055162</v>
      </c>
      <c r="M23">
        <v>-94.225849112628126</v>
      </c>
      <c r="N23">
        <v>-105.1422287421701</v>
      </c>
      <c r="O23">
        <v>-105.1422287421701</v>
      </c>
      <c r="P23">
        <v>-105.1422287421701</v>
      </c>
      <c r="Q23">
        <v>-114.7257935144353</v>
      </c>
      <c r="R23">
        <v>-114.7257935144353</v>
      </c>
      <c r="S23">
        <v>-125.30368091807658</v>
      </c>
      <c r="T23">
        <v>-125.30368091807658</v>
      </c>
      <c r="U23">
        <v>-135.36325295970389</v>
      </c>
      <c r="V23">
        <v>-135.36325295970389</v>
      </c>
      <c r="W23">
        <v>-143.92869641674446</v>
      </c>
      <c r="X23">
        <v>-143.92869641674446</v>
      </c>
      <c r="Y23">
        <v>-143.92869641674446</v>
      </c>
      <c r="Z23">
        <v>-143.92869641674446</v>
      </c>
      <c r="AA23">
        <v>-143.92869641674446</v>
      </c>
    </row>
    <row r="24" spans="1:27" x14ac:dyDescent="0.2">
      <c r="A24" t="s">
        <v>663</v>
      </c>
      <c r="B24" t="s">
        <v>664</v>
      </c>
      <c r="C24">
        <v>-491.87200633031676</v>
      </c>
      <c r="D24">
        <v>-898.05581664014301</v>
      </c>
      <c r="E24">
        <v>-898.05581664014267</v>
      </c>
      <c r="F24">
        <v>-1060.5293571999903</v>
      </c>
      <c r="G24">
        <v>-2437.7118198616949</v>
      </c>
      <c r="H24">
        <v>-2437.7118198616963</v>
      </c>
      <c r="I24">
        <v>-2437.7118198616963</v>
      </c>
      <c r="J24">
        <v>-3205.975040065684</v>
      </c>
      <c r="K24">
        <v>-3205.975040065684</v>
      </c>
      <c r="L24">
        <v>-4178.5046036182221</v>
      </c>
      <c r="M24">
        <v>-4816.8538649445372</v>
      </c>
      <c r="N24">
        <v>-5374.9024885967283</v>
      </c>
      <c r="O24">
        <v>-5374.9024885967283</v>
      </c>
      <c r="P24">
        <v>-5374.9024885967283</v>
      </c>
      <c r="Q24">
        <v>-5864.8172142051299</v>
      </c>
      <c r="R24">
        <v>-5864.8172142051299</v>
      </c>
      <c r="S24">
        <v>-6405.5620130370789</v>
      </c>
      <c r="T24">
        <v>-6405.5620130370789</v>
      </c>
      <c r="U24">
        <v>-6919.8103740200795</v>
      </c>
      <c r="V24">
        <v>-6919.8103740200795</v>
      </c>
      <c r="W24">
        <v>-7357.6784304988651</v>
      </c>
      <c r="X24">
        <v>-7357.6784304988651</v>
      </c>
      <c r="Y24">
        <v>-7357.6784304988651</v>
      </c>
      <c r="Z24">
        <v>-7357.6784304988651</v>
      </c>
      <c r="AA24">
        <v>-7357.6784304988651</v>
      </c>
    </row>
    <row r="25" spans="1:27" x14ac:dyDescent="0.2">
      <c r="A25" t="s">
        <v>722</v>
      </c>
      <c r="B25" t="s">
        <v>723</v>
      </c>
      <c r="C25">
        <v>-372.69142293049208</v>
      </c>
      <c r="D25">
        <v>-680.45689908576264</v>
      </c>
      <c r="E25">
        <v>-680.45689908576242</v>
      </c>
      <c r="F25">
        <v>-803.56310200136522</v>
      </c>
      <c r="G25">
        <v>-1847.0542644149207</v>
      </c>
      <c r="H25">
        <v>-1847.0542644149216</v>
      </c>
      <c r="I25">
        <v>-1847.0542644149216</v>
      </c>
      <c r="J25">
        <v>-2429.1673121956983</v>
      </c>
      <c r="K25">
        <v>-2429.1673121956983</v>
      </c>
      <c r="L25">
        <v>-3166.0529698823452</v>
      </c>
      <c r="M25">
        <v>-3649.7302100352767</v>
      </c>
      <c r="N25">
        <v>-4072.5636564129281</v>
      </c>
      <c r="O25">
        <v>-4072.5636564129281</v>
      </c>
      <c r="P25">
        <v>-4072.5636564129281</v>
      </c>
      <c r="Q25">
        <v>-4443.7720477255662</v>
      </c>
      <c r="R25">
        <v>-4443.7720477255662</v>
      </c>
      <c r="S25">
        <v>-4853.4943859055593</v>
      </c>
      <c r="T25">
        <v>-4853.4943859055593</v>
      </c>
      <c r="U25">
        <v>-5243.1403729262584</v>
      </c>
      <c r="V25">
        <v>-5243.1403729262584</v>
      </c>
      <c r="W25">
        <v>-5574.9130026442781</v>
      </c>
      <c r="X25">
        <v>-5574.9130026442781</v>
      </c>
      <c r="Y25">
        <v>-5574.9130026442781</v>
      </c>
      <c r="Z25">
        <v>-5574.9130026442781</v>
      </c>
      <c r="AA25">
        <v>-5574.9130026442781</v>
      </c>
    </row>
    <row r="26" spans="1:27" x14ac:dyDescent="0.2">
      <c r="A26" t="s">
        <v>758</v>
      </c>
      <c r="B26" t="s">
        <v>263</v>
      </c>
      <c r="C26">
        <v>-121.18231884020854</v>
      </c>
      <c r="D26">
        <v>-221.25366946641373</v>
      </c>
      <c r="E26">
        <v>-221.25366946641364</v>
      </c>
      <c r="F26">
        <v>-261.28221376620638</v>
      </c>
      <c r="G26">
        <v>-600.57813250840684</v>
      </c>
      <c r="H26">
        <v>-600.57813250840718</v>
      </c>
      <c r="I26">
        <v>-600.57813250840718</v>
      </c>
      <c r="J26">
        <v>-789.85484943025551</v>
      </c>
      <c r="K26">
        <v>-789.85484943025551</v>
      </c>
      <c r="L26">
        <v>-1029.4565875556166</v>
      </c>
      <c r="M26">
        <v>-1186.7264519144114</v>
      </c>
      <c r="N26">
        <v>-1324.2126787568175</v>
      </c>
      <c r="O26">
        <v>-1324.2126787568175</v>
      </c>
      <c r="P26">
        <v>-1324.2126787568175</v>
      </c>
      <c r="Q26">
        <v>-1444.9127830911173</v>
      </c>
      <c r="R26">
        <v>-1444.9127830911173</v>
      </c>
      <c r="S26">
        <v>-1578.1358732037754</v>
      </c>
      <c r="T26">
        <v>-1578.1358732037754</v>
      </c>
      <c r="U26">
        <v>-1704.8310460163689</v>
      </c>
      <c r="V26">
        <v>-1704.8310460163689</v>
      </c>
      <c r="W26">
        <v>-1812.7084323023469</v>
      </c>
      <c r="X26">
        <v>-1812.7084323023469</v>
      </c>
      <c r="Y26">
        <v>-1812.7084323023469</v>
      </c>
      <c r="Z26">
        <v>-1812.7084323023469</v>
      </c>
      <c r="AA26">
        <v>-1812.7084323023469</v>
      </c>
    </row>
    <row r="27" spans="1:27" x14ac:dyDescent="0.2">
      <c r="A27" t="s">
        <v>868</v>
      </c>
      <c r="B27" t="s">
        <v>869</v>
      </c>
      <c r="C27">
        <v>-43511.676387540792</v>
      </c>
      <c r="D27">
        <v>-79443.256718604825</v>
      </c>
      <c r="E27">
        <v>-79443.256718604796</v>
      </c>
      <c r="F27">
        <v>-93815.890304974324</v>
      </c>
      <c r="G27">
        <v>-215643.35125157455</v>
      </c>
      <c r="H27">
        <v>-215643.35125157467</v>
      </c>
      <c r="I27">
        <v>-215643.35125157467</v>
      </c>
      <c r="J27">
        <v>-283604.9757956579</v>
      </c>
      <c r="K27">
        <v>-283604.9757956579</v>
      </c>
      <c r="L27">
        <v>-369636.28292842594</v>
      </c>
      <c r="M27">
        <v>-426105.53940894949</v>
      </c>
      <c r="N27">
        <v>-475471.29067831597</v>
      </c>
      <c r="O27">
        <v>-475471.29067831597</v>
      </c>
      <c r="P27">
        <v>-475471.29067831597</v>
      </c>
      <c r="Q27">
        <v>-518809.82331245037</v>
      </c>
      <c r="R27">
        <v>-518809.82331245037</v>
      </c>
      <c r="S27">
        <v>-566644.85436160688</v>
      </c>
      <c r="T27">
        <v>-566644.85436160688</v>
      </c>
      <c r="U27">
        <v>-612135.97395764489</v>
      </c>
      <c r="V27">
        <v>-612135.97395764489</v>
      </c>
      <c r="W27">
        <v>-650870.38642419153</v>
      </c>
      <c r="X27">
        <v>-650870.38642419153</v>
      </c>
      <c r="Y27">
        <v>-650870.38642419153</v>
      </c>
      <c r="Z27">
        <v>-650870.38642419153</v>
      </c>
      <c r="AA27">
        <v>-650870.38642419153</v>
      </c>
    </row>
    <row r="28" spans="1:27" x14ac:dyDescent="0.2">
      <c r="A28" t="s">
        <v>1000</v>
      </c>
      <c r="B28" t="s">
        <v>1001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900</v>
      </c>
      <c r="B29" t="s">
        <v>901</v>
      </c>
      <c r="C29">
        <v>-23.762753105003863</v>
      </c>
      <c r="D29">
        <v>-43.385836906118357</v>
      </c>
      <c r="E29">
        <v>-43.385836906118335</v>
      </c>
      <c r="F29">
        <v>-51.235071220597213</v>
      </c>
      <c r="G29">
        <v>-117.76792208341774</v>
      </c>
      <c r="H29">
        <v>-117.76792208341782</v>
      </c>
      <c r="I29">
        <v>-117.76792208341782</v>
      </c>
      <c r="J29">
        <v>-154.88336875736965</v>
      </c>
      <c r="K29">
        <v>-154.88336875736965</v>
      </c>
      <c r="L29">
        <v>-201.86709543543685</v>
      </c>
      <c r="M29">
        <v>-232.70628875491215</v>
      </c>
      <c r="N29">
        <v>-259.66609027597889</v>
      </c>
      <c r="O29">
        <v>-259.66609027597889</v>
      </c>
      <c r="P29">
        <v>-259.66609027597889</v>
      </c>
      <c r="Q29">
        <v>-283.33428549203308</v>
      </c>
      <c r="R29">
        <v>-283.33428549203308</v>
      </c>
      <c r="S29">
        <v>-309.45812458449291</v>
      </c>
      <c r="T29">
        <v>-309.45812458449291</v>
      </c>
      <c r="U29">
        <v>-334.30189832933502</v>
      </c>
      <c r="V29">
        <v>-334.30189832933502</v>
      </c>
      <c r="W29">
        <v>-355.45567489064194</v>
      </c>
      <c r="X29">
        <v>-355.45567489064194</v>
      </c>
      <c r="Y29">
        <v>-355.45567489064194</v>
      </c>
      <c r="Z29">
        <v>-355.45567489064194</v>
      </c>
      <c r="AA29">
        <v>-355.45567489064194</v>
      </c>
    </row>
    <row r="30" spans="1:27" x14ac:dyDescent="0.2">
      <c r="A30" t="s">
        <v>902</v>
      </c>
      <c r="B30" t="s">
        <v>903</v>
      </c>
      <c r="C30">
        <v>-36.732184827032029</v>
      </c>
      <c r="D30">
        <v>-67.065317434763955</v>
      </c>
      <c r="E30">
        <v>-67.065317434763926</v>
      </c>
      <c r="F30">
        <v>-79.198571705263703</v>
      </c>
      <c r="G30">
        <v>-182.04427161904411</v>
      </c>
      <c r="H30">
        <v>-182.04427161904422</v>
      </c>
      <c r="I30">
        <v>-182.04427161904422</v>
      </c>
      <c r="J30">
        <v>-239.41689343357487</v>
      </c>
      <c r="K30">
        <v>-239.41689343357487</v>
      </c>
      <c r="L30">
        <v>-312.04378664647049</v>
      </c>
      <c r="M30">
        <v>-359.71464969512118</v>
      </c>
      <c r="N30">
        <v>-401.38879443735613</v>
      </c>
      <c r="O30">
        <v>-401.38879443735613</v>
      </c>
      <c r="P30">
        <v>-401.38879443735613</v>
      </c>
      <c r="Q30">
        <v>-437.97481278955223</v>
      </c>
      <c r="R30">
        <v>-437.97481278955223</v>
      </c>
      <c r="S30">
        <v>-478.35673662201481</v>
      </c>
      <c r="T30">
        <v>-478.35673662201481</v>
      </c>
      <c r="U30">
        <v>-516.75995046529385</v>
      </c>
      <c r="V30">
        <v>-516.75995046529385</v>
      </c>
      <c r="W30">
        <v>-549.45920997475025</v>
      </c>
      <c r="X30">
        <v>-549.45920997475025</v>
      </c>
      <c r="Y30">
        <v>-549.45920997475025</v>
      </c>
      <c r="Z30">
        <v>-549.45920997475025</v>
      </c>
      <c r="AA30">
        <v>-549.45920997475025</v>
      </c>
    </row>
    <row r="31" spans="1:27" x14ac:dyDescent="0.2">
      <c r="A31" t="s">
        <v>906</v>
      </c>
      <c r="B31" t="s">
        <v>907</v>
      </c>
      <c r="C31">
        <v>-15.869620398275302</v>
      </c>
      <c r="D31">
        <v>-28.974620883326697</v>
      </c>
      <c r="E31">
        <v>-28.974620883326686</v>
      </c>
      <c r="F31">
        <v>-34.216621607631062</v>
      </c>
      <c r="G31">
        <v>-78.649650160441666</v>
      </c>
      <c r="H31">
        <v>-78.649650160441709</v>
      </c>
      <c r="I31">
        <v>-78.649650160441709</v>
      </c>
      <c r="J31">
        <v>-103.43667913075132</v>
      </c>
      <c r="K31">
        <v>-103.43667913075132</v>
      </c>
      <c r="L31">
        <v>-134.81410008793148</v>
      </c>
      <c r="M31">
        <v>-155.40962154146388</v>
      </c>
      <c r="N31">
        <v>-173.41434575256892</v>
      </c>
      <c r="O31">
        <v>-173.41434575256892</v>
      </c>
      <c r="P31">
        <v>-173.41434575256892</v>
      </c>
      <c r="Q31">
        <v>-189.22081699482416</v>
      </c>
      <c r="R31">
        <v>-189.22081699482416</v>
      </c>
      <c r="S31">
        <v>-206.66725545719504</v>
      </c>
      <c r="T31">
        <v>-206.66725545719504</v>
      </c>
      <c r="U31">
        <v>-223.25882028342139</v>
      </c>
      <c r="V31">
        <v>-223.25882028342139</v>
      </c>
      <c r="W31">
        <v>-237.38607239661124</v>
      </c>
      <c r="X31">
        <v>-237.38607239661124</v>
      </c>
      <c r="Y31">
        <v>-237.38607239661124</v>
      </c>
      <c r="Z31">
        <v>-237.38607239661124</v>
      </c>
      <c r="AA31">
        <v>-237.38607239661124</v>
      </c>
    </row>
    <row r="32" spans="1:27" x14ac:dyDescent="0.2">
      <c r="A32" t="s">
        <v>940</v>
      </c>
      <c r="B32" t="s">
        <v>941</v>
      </c>
      <c r="C32">
        <v>-0.66994788340604505</v>
      </c>
      <c r="D32">
        <v>-1.2231852713620635</v>
      </c>
      <c r="E32">
        <v>-1.223185271362063</v>
      </c>
      <c r="F32">
        <v>-1.4444802489307982</v>
      </c>
      <c r="G32">
        <v>-3.3202537510815469</v>
      </c>
      <c r="H32">
        <v>-3.3202537510815491</v>
      </c>
      <c r="I32">
        <v>-3.3202537510815491</v>
      </c>
      <c r="J32">
        <v>-4.366656700731685</v>
      </c>
      <c r="K32">
        <v>-4.366656700731685</v>
      </c>
      <c r="L32">
        <v>-5.6912779726612843</v>
      </c>
      <c r="M32">
        <v>-6.5607333004608934</v>
      </c>
      <c r="N32">
        <v>-7.3208161867440662</v>
      </c>
      <c r="O32">
        <v>-7.3208161867440662</v>
      </c>
      <c r="P32">
        <v>-7.3208161867440662</v>
      </c>
      <c r="Q32">
        <v>-7.988098181341635</v>
      </c>
      <c r="R32">
        <v>-7.988098181341635</v>
      </c>
      <c r="S32">
        <v>-8.7246126175728538</v>
      </c>
      <c r="T32">
        <v>-8.7246126175728538</v>
      </c>
      <c r="U32">
        <v>-9.4250379244650428</v>
      </c>
      <c r="V32">
        <v>-9.4250379244650428</v>
      </c>
      <c r="W32">
        <v>-10.021430428762356</v>
      </c>
      <c r="X32">
        <v>-10.021430428762356</v>
      </c>
      <c r="Y32">
        <v>-10.021430428762356</v>
      </c>
      <c r="Z32">
        <v>-10.021430428762356</v>
      </c>
      <c r="AA32">
        <v>-10.021430428762356</v>
      </c>
    </row>
    <row r="33" spans="1:27" x14ac:dyDescent="0.2">
      <c r="A33" t="s">
        <v>835</v>
      </c>
      <c r="B33" t="s">
        <v>836</v>
      </c>
      <c r="C33">
        <v>-149.84145705414187</v>
      </c>
      <c r="D33">
        <v>-273.5792855650713</v>
      </c>
      <c r="E33">
        <v>-273.57928556507119</v>
      </c>
      <c r="F33">
        <v>-323.07442197639955</v>
      </c>
      <c r="G33">
        <v>-742.61248102190802</v>
      </c>
      <c r="H33">
        <v>-742.61248102190837</v>
      </c>
      <c r="I33">
        <v>-742.61248102190837</v>
      </c>
      <c r="J33">
        <v>-976.65239147610339</v>
      </c>
      <c r="K33">
        <v>-976.65239147610339</v>
      </c>
      <c r="L33">
        <v>-1272.9189912327058</v>
      </c>
      <c r="M33">
        <v>-1467.3825553216443</v>
      </c>
      <c r="N33">
        <v>-1637.3837300153482</v>
      </c>
      <c r="O33">
        <v>-1637.3837300153482</v>
      </c>
      <c r="P33">
        <v>-1637.3837300153482</v>
      </c>
      <c r="Q33">
        <v>-1786.628930743736</v>
      </c>
      <c r="R33">
        <v>-1786.628930743736</v>
      </c>
      <c r="S33">
        <v>-1951.358753764026</v>
      </c>
      <c r="T33">
        <v>-1951.358753764026</v>
      </c>
      <c r="U33">
        <v>-2108.016832910027</v>
      </c>
      <c r="V33">
        <v>-2108.016832910027</v>
      </c>
      <c r="W33">
        <v>-2241.4067935824091</v>
      </c>
      <c r="X33">
        <v>-2241.4067935824091</v>
      </c>
      <c r="Y33">
        <v>-2241.4067935824091</v>
      </c>
      <c r="Z33">
        <v>-2241.4067935824091</v>
      </c>
      <c r="AA33">
        <v>-2241.4067935824091</v>
      </c>
    </row>
    <row r="34" spans="1:27" x14ac:dyDescent="0.2">
      <c r="A34" t="s">
        <v>803</v>
      </c>
      <c r="B34" t="s">
        <v>804</v>
      </c>
      <c r="C34">
        <v>-217.43564166685579</v>
      </c>
      <c r="D34">
        <v>-396.99218542774418</v>
      </c>
      <c r="E34">
        <v>-396.992185427744</v>
      </c>
      <c r="F34">
        <v>-468.81481019771758</v>
      </c>
      <c r="G34">
        <v>-1077.6084569337215</v>
      </c>
      <c r="H34">
        <v>-1077.6084569337222</v>
      </c>
      <c r="I34">
        <v>-1077.6084569337222</v>
      </c>
      <c r="J34">
        <v>-1417.2248695455796</v>
      </c>
      <c r="K34">
        <v>-1417.2248695455796</v>
      </c>
      <c r="L34">
        <v>-1847.1387230878477</v>
      </c>
      <c r="M34">
        <v>-2129.3257137230489</v>
      </c>
      <c r="N34">
        <v>-2376.0152162836685</v>
      </c>
      <c r="O34">
        <v>-2376.0152162836685</v>
      </c>
      <c r="P34">
        <v>-2376.0152162836685</v>
      </c>
      <c r="Q34">
        <v>-2592.5856275974761</v>
      </c>
      <c r="R34">
        <v>-2592.5856275974761</v>
      </c>
      <c r="S34">
        <v>-2831.6258470017915</v>
      </c>
      <c r="T34">
        <v>-2831.6258470017915</v>
      </c>
      <c r="U34">
        <v>-3058.9531209824486</v>
      </c>
      <c r="V34">
        <v>-3058.9531209824486</v>
      </c>
      <c r="W34">
        <v>-3252.5159190286272</v>
      </c>
      <c r="X34">
        <v>-3252.5159190286272</v>
      </c>
      <c r="Y34">
        <v>-3252.5159190286272</v>
      </c>
      <c r="Z34">
        <v>-3252.5159190286272</v>
      </c>
      <c r="AA34">
        <v>-3252.5159190286272</v>
      </c>
    </row>
    <row r="35" spans="1:27" x14ac:dyDescent="0.2">
      <c r="A35" t="s">
        <v>859</v>
      </c>
      <c r="B35" t="s">
        <v>860</v>
      </c>
      <c r="C35">
        <v>-60.213893283171764</v>
      </c>
      <c r="D35">
        <v>-109.93802535935917</v>
      </c>
      <c r="E35">
        <v>-109.93802535935913</v>
      </c>
      <c r="F35">
        <v>-129.82768020188306</v>
      </c>
      <c r="G35">
        <v>-298.4193397615428</v>
      </c>
      <c r="H35">
        <v>-298.41933976154297</v>
      </c>
      <c r="I35">
        <v>-298.41933976154297</v>
      </c>
      <c r="J35">
        <v>-392.46843985137974</v>
      </c>
      <c r="K35">
        <v>-392.46843985137974</v>
      </c>
      <c r="L35">
        <v>-511.52337812968528</v>
      </c>
      <c r="M35">
        <v>-589.66869602582426</v>
      </c>
      <c r="N35">
        <v>-657.98378580316012</v>
      </c>
      <c r="O35">
        <v>-657.98378580316012</v>
      </c>
      <c r="P35">
        <v>-657.98378580316012</v>
      </c>
      <c r="Q35">
        <v>-717.95807306891709</v>
      </c>
      <c r="R35">
        <v>-717.95807306891709</v>
      </c>
      <c r="S35">
        <v>-784.15486652585412</v>
      </c>
      <c r="T35">
        <v>-784.15486652585412</v>
      </c>
      <c r="U35">
        <v>-847.10802411718464</v>
      </c>
      <c r="V35">
        <v>-847.10802411718464</v>
      </c>
      <c r="W35">
        <v>-900.71087218660182</v>
      </c>
      <c r="X35">
        <v>-900.71087218660182</v>
      </c>
      <c r="Y35">
        <v>-900.71087218660182</v>
      </c>
      <c r="Z35">
        <v>-900.71087218660182</v>
      </c>
      <c r="AA35">
        <v>-900.71087218660182</v>
      </c>
    </row>
    <row r="36" spans="1:27" x14ac:dyDescent="0.2">
      <c r="A36" t="s">
        <v>405</v>
      </c>
      <c r="B36" t="s">
        <v>406</v>
      </c>
      <c r="C36">
        <v>-1560.414300033015</v>
      </c>
      <c r="D36">
        <v>-2848.9914459007387</v>
      </c>
      <c r="E36">
        <v>-2848.9914459007377</v>
      </c>
      <c r="F36">
        <v>-3364.4223563891155</v>
      </c>
      <c r="G36">
        <v>-7733.3947330135798</v>
      </c>
      <c r="H36">
        <v>-7733.3947330135843</v>
      </c>
      <c r="I36">
        <v>-7733.3947330135843</v>
      </c>
      <c r="J36">
        <v>-10170.63226547575</v>
      </c>
      <c r="K36">
        <v>-10170.63226547575</v>
      </c>
      <c r="L36">
        <v>-13255.884157516008</v>
      </c>
      <c r="M36">
        <v>-15280.982766441864</v>
      </c>
      <c r="N36">
        <v>-17051.335706340305</v>
      </c>
      <c r="O36">
        <v>-17051.335706340305</v>
      </c>
      <c r="P36">
        <v>-17051.335706340305</v>
      </c>
      <c r="Q36">
        <v>-18605.540730813114</v>
      </c>
      <c r="R36">
        <v>-18605.540730813114</v>
      </c>
      <c r="S36">
        <v>-20320.999032782845</v>
      </c>
      <c r="T36">
        <v>-20320.999032782845</v>
      </c>
      <c r="U36">
        <v>-21952.40005971491</v>
      </c>
      <c r="V36">
        <v>-21952.40005971491</v>
      </c>
      <c r="W36">
        <v>-23341.492278958467</v>
      </c>
      <c r="X36">
        <v>-23341.492278958467</v>
      </c>
      <c r="Y36">
        <v>-23341.492278958467</v>
      </c>
      <c r="Z36">
        <v>-23341.492278958467</v>
      </c>
      <c r="AA36">
        <v>-23341.492278958467</v>
      </c>
    </row>
    <row r="37" spans="1:27" x14ac:dyDescent="0.2">
      <c r="A37" t="s">
        <v>683</v>
      </c>
      <c r="B37" t="s">
        <v>684</v>
      </c>
      <c r="C37">
        <v>-486.65474239623228</v>
      </c>
      <c r="D37">
        <v>-888.53017955844064</v>
      </c>
      <c r="E37">
        <v>-888.5301795584403</v>
      </c>
      <c r="F37">
        <v>-1049.2803706849058</v>
      </c>
      <c r="G37">
        <v>-2411.8551217862305</v>
      </c>
      <c r="H37">
        <v>-2411.8551217862318</v>
      </c>
      <c r="I37">
        <v>-2411.8551217862318</v>
      </c>
      <c r="J37">
        <v>-3171.9694090583416</v>
      </c>
      <c r="K37">
        <v>-3171.9694090583416</v>
      </c>
      <c r="L37">
        <v>-4134.1833958928464</v>
      </c>
      <c r="M37">
        <v>-4765.7617157229897</v>
      </c>
      <c r="N37">
        <v>-5317.8911430798526</v>
      </c>
      <c r="O37">
        <v>-5317.8911430798526</v>
      </c>
      <c r="P37">
        <v>-5317.8911430798526</v>
      </c>
      <c r="Q37">
        <v>-5802.6093655415043</v>
      </c>
      <c r="R37">
        <v>-5802.6093655415043</v>
      </c>
      <c r="S37">
        <v>-6337.6185089586679</v>
      </c>
      <c r="T37">
        <v>-6337.6185089586679</v>
      </c>
      <c r="U37">
        <v>-6846.4122610344948</v>
      </c>
      <c r="V37">
        <v>-6846.4122610344948</v>
      </c>
      <c r="W37">
        <v>-7279.6358710118457</v>
      </c>
      <c r="X37">
        <v>-7279.6358710118457</v>
      </c>
      <c r="Y37">
        <v>-7279.6358710118457</v>
      </c>
      <c r="Z37">
        <v>-7279.6358710118457</v>
      </c>
      <c r="AA37">
        <v>-7279.6358710118457</v>
      </c>
    </row>
    <row r="38" spans="1:27" x14ac:dyDescent="0.2">
      <c r="A38" t="s">
        <v>671</v>
      </c>
      <c r="B38" t="s">
        <v>672</v>
      </c>
      <c r="C38">
        <v>-592.31321866861833</v>
      </c>
      <c r="D38">
        <v>-1081.4405464273966</v>
      </c>
      <c r="E38">
        <v>-1081.4405464273962</v>
      </c>
      <c r="F38">
        <v>-1277.0914973230706</v>
      </c>
      <c r="G38">
        <v>-2935.4972749540289</v>
      </c>
      <c r="H38">
        <v>-2935.4972749540302</v>
      </c>
      <c r="I38">
        <v>-2935.4972749540302</v>
      </c>
      <c r="J38">
        <v>-3860.6413264293869</v>
      </c>
      <c r="K38">
        <v>-3860.6413264293869</v>
      </c>
      <c r="L38">
        <v>-5031.763302521983</v>
      </c>
      <c r="M38">
        <v>-5800.4647141591595</v>
      </c>
      <c r="N38">
        <v>-6472.4679430378692</v>
      </c>
      <c r="O38">
        <v>-6472.4679430378692</v>
      </c>
      <c r="P38">
        <v>-6472.4679430378692</v>
      </c>
      <c r="Q38">
        <v>-7062.4242004862608</v>
      </c>
      <c r="R38">
        <v>-7062.4242004862608</v>
      </c>
      <c r="S38">
        <v>-7713.5901301435288</v>
      </c>
      <c r="T38">
        <v>-7713.5901301435288</v>
      </c>
      <c r="U38">
        <v>-8332.8489982409155</v>
      </c>
      <c r="V38">
        <v>-8332.8489982409155</v>
      </c>
      <c r="W38">
        <v>-8860.1305563439637</v>
      </c>
      <c r="X38">
        <v>-8860.1305563439637</v>
      </c>
      <c r="Y38">
        <v>-8860.1305563439637</v>
      </c>
      <c r="Z38">
        <v>-8860.1305563439637</v>
      </c>
      <c r="AA38">
        <v>-8860.1305563439637</v>
      </c>
    </row>
    <row r="39" spans="1:27" x14ac:dyDescent="0.2">
      <c r="A39" t="s">
        <v>677</v>
      </c>
      <c r="B39" t="s">
        <v>678</v>
      </c>
      <c r="C39">
        <v>-540.0768702797784</v>
      </c>
      <c r="D39">
        <v>-986.0678561606212</v>
      </c>
      <c r="E39">
        <v>-986.06785616062075</v>
      </c>
      <c r="F39">
        <v>-1164.4642685596421</v>
      </c>
      <c r="G39">
        <v>-2676.6145529143942</v>
      </c>
      <c r="H39">
        <v>-2676.614552914396</v>
      </c>
      <c r="I39">
        <v>-2676.614552914396</v>
      </c>
      <c r="J39">
        <v>-3520.1697668295246</v>
      </c>
      <c r="K39">
        <v>-3520.1697668295246</v>
      </c>
      <c r="L39">
        <v>-4588.0100101819553</v>
      </c>
      <c r="M39">
        <v>-5288.9193255435666</v>
      </c>
      <c r="N39">
        <v>-5901.65831098527</v>
      </c>
      <c r="O39">
        <v>-5901.65831098527</v>
      </c>
      <c r="P39">
        <v>-5901.65831098527</v>
      </c>
      <c r="Q39">
        <v>-6439.5860814322741</v>
      </c>
      <c r="R39">
        <v>-6439.5860814322741</v>
      </c>
      <c r="S39">
        <v>-7033.3254177121789</v>
      </c>
      <c r="T39">
        <v>-7033.3254177121789</v>
      </c>
      <c r="U39">
        <v>-7597.9715894231431</v>
      </c>
      <c r="V39">
        <v>-7597.9715894231431</v>
      </c>
      <c r="W39">
        <v>-8078.7519682514958</v>
      </c>
      <c r="X39">
        <v>-8078.7519682514958</v>
      </c>
      <c r="Y39">
        <v>-8078.7519682514958</v>
      </c>
      <c r="Z39">
        <v>-8078.7519682514958</v>
      </c>
      <c r="AA39">
        <v>-8078.7519682514958</v>
      </c>
    </row>
    <row r="40" spans="1:27" x14ac:dyDescent="0.2">
      <c r="A40" t="s">
        <v>720</v>
      </c>
      <c r="B40" t="s">
        <v>721</v>
      </c>
      <c r="C40">
        <v>-429.59398228459679</v>
      </c>
      <c r="D40">
        <v>-784.34911850868991</v>
      </c>
      <c r="E40">
        <v>-784.34911850868957</v>
      </c>
      <c r="F40">
        <v>-926.25118735322201</v>
      </c>
      <c r="G40">
        <v>-2129.0626725631382</v>
      </c>
      <c r="H40">
        <v>-2129.0626725631396</v>
      </c>
      <c r="I40">
        <v>-2129.0626725631396</v>
      </c>
      <c r="J40">
        <v>-2800.0527918678349</v>
      </c>
      <c r="K40">
        <v>-2800.0527918678349</v>
      </c>
      <c r="L40">
        <v>-3649.4462168221044</v>
      </c>
      <c r="M40">
        <v>-4206.9713407004547</v>
      </c>
      <c r="N40">
        <v>-4694.3630349986443</v>
      </c>
      <c r="O40">
        <v>-4694.3630349986443</v>
      </c>
      <c r="P40">
        <v>-4694.3630349986443</v>
      </c>
      <c r="Q40">
        <v>-5122.2475562670516</v>
      </c>
      <c r="R40">
        <v>-5122.2475562670516</v>
      </c>
      <c r="S40">
        <v>-5594.526337210521</v>
      </c>
      <c r="T40">
        <v>-5594.526337210521</v>
      </c>
      <c r="U40">
        <v>-6043.6635079273601</v>
      </c>
      <c r="V40">
        <v>-6043.6635079273601</v>
      </c>
      <c r="W40">
        <v>-6426.0912120395069</v>
      </c>
      <c r="X40">
        <v>-6426.0912120395069</v>
      </c>
      <c r="Y40">
        <v>-6426.0912120395069</v>
      </c>
      <c r="Z40">
        <v>-6426.0912120395069</v>
      </c>
      <c r="AA40">
        <v>-6426.0912120395069</v>
      </c>
    </row>
    <row r="41" spans="1:27" x14ac:dyDescent="0.2">
      <c r="A41" t="s">
        <v>681</v>
      </c>
      <c r="B41" t="s">
        <v>682</v>
      </c>
      <c r="C41">
        <v>-419.7106086341102</v>
      </c>
      <c r="D41">
        <v>-766.30413713016674</v>
      </c>
      <c r="E41">
        <v>-766.30413713016651</v>
      </c>
      <c r="F41">
        <v>-904.94156255323105</v>
      </c>
      <c r="G41">
        <v>-2080.0807901672511</v>
      </c>
      <c r="H41">
        <v>-2080.0807901672524</v>
      </c>
      <c r="I41">
        <v>-2080.0807901672524</v>
      </c>
      <c r="J41">
        <v>-2735.633900718693</v>
      </c>
      <c r="K41">
        <v>-2735.633900718693</v>
      </c>
      <c r="L41">
        <v>-3565.485914616771</v>
      </c>
      <c r="M41">
        <v>-4110.1844409494106</v>
      </c>
      <c r="N41">
        <v>-4586.3630493396568</v>
      </c>
      <c r="O41">
        <v>-4586.3630493396568</v>
      </c>
      <c r="P41">
        <v>-4586.3630493396568</v>
      </c>
      <c r="Q41">
        <v>-5004.4035253529019</v>
      </c>
      <c r="R41">
        <v>-5004.4035253529019</v>
      </c>
      <c r="S41">
        <v>-5465.8169128045029</v>
      </c>
      <c r="T41">
        <v>-5465.8169128045029</v>
      </c>
      <c r="U41">
        <v>-5904.6210931593496</v>
      </c>
      <c r="V41">
        <v>-5904.6210931593496</v>
      </c>
      <c r="W41">
        <v>-6278.2505457831076</v>
      </c>
      <c r="X41">
        <v>-6278.2505457831076</v>
      </c>
      <c r="Y41">
        <v>-6278.2505457831076</v>
      </c>
      <c r="Z41">
        <v>-6278.2505457831076</v>
      </c>
      <c r="AA41">
        <v>-6278.2505457831076</v>
      </c>
    </row>
    <row r="42" spans="1:27" x14ac:dyDescent="0.2">
      <c r="A42" t="s">
        <v>571</v>
      </c>
      <c r="B42" t="s">
        <v>572</v>
      </c>
      <c r="C42">
        <v>-1138.5853126262268</v>
      </c>
      <c r="D42">
        <v>-2078.8195904329423</v>
      </c>
      <c r="E42">
        <v>-2078.8195904329414</v>
      </c>
      <c r="F42">
        <v>-2454.9133396014886</v>
      </c>
      <c r="G42">
        <v>-5642.8152828155862</v>
      </c>
      <c r="H42">
        <v>-5642.8152828155899</v>
      </c>
      <c r="I42">
        <v>-5642.8152828155899</v>
      </c>
      <c r="J42">
        <v>-7421.1909730307425</v>
      </c>
      <c r="K42">
        <v>-7421.1909730307425</v>
      </c>
      <c r="L42">
        <v>-9672.4023916616734</v>
      </c>
      <c r="M42">
        <v>-11150.053251881296</v>
      </c>
      <c r="N42">
        <v>-12441.824197258033</v>
      </c>
      <c r="O42">
        <v>-12441.824197258033</v>
      </c>
      <c r="P42">
        <v>-12441.824197258033</v>
      </c>
      <c r="Q42">
        <v>-13575.878796499521</v>
      </c>
      <c r="R42">
        <v>-13575.878796499521</v>
      </c>
      <c r="S42">
        <v>-14827.594848450683</v>
      </c>
      <c r="T42">
        <v>-14827.594848450683</v>
      </c>
      <c r="U42">
        <v>-16017.976946479963</v>
      </c>
      <c r="V42">
        <v>-16017.976946479963</v>
      </c>
      <c r="W42">
        <v>-17031.553916827273</v>
      </c>
      <c r="X42">
        <v>-17031.553916827273</v>
      </c>
      <c r="Y42">
        <v>-17031.553916827273</v>
      </c>
      <c r="Z42">
        <v>-17031.553916827273</v>
      </c>
      <c r="AA42">
        <v>-17031.553916827273</v>
      </c>
    </row>
    <row r="43" spans="1:27" x14ac:dyDescent="0.2">
      <c r="A43" t="s">
        <v>761</v>
      </c>
      <c r="B43" t="s">
        <v>762</v>
      </c>
      <c r="C43">
        <v>-268.21216265558371</v>
      </c>
      <c r="D43">
        <v>-489.69953497358239</v>
      </c>
      <c r="E43">
        <v>-489.69953497358222</v>
      </c>
      <c r="F43">
        <v>-578.29449286309875</v>
      </c>
      <c r="G43">
        <v>-1329.2562917213634</v>
      </c>
      <c r="H43">
        <v>-1329.2562917213643</v>
      </c>
      <c r="I43">
        <v>-1329.2562917213643</v>
      </c>
      <c r="J43">
        <v>-1748.1814127441623</v>
      </c>
      <c r="K43">
        <v>-1748.1814127441623</v>
      </c>
      <c r="L43">
        <v>-2278.4906276006532</v>
      </c>
      <c r="M43">
        <v>-2626.5751571254891</v>
      </c>
      <c r="N43">
        <v>-2930.8726700768798</v>
      </c>
      <c r="O43">
        <v>-2930.8726700768798</v>
      </c>
      <c r="P43">
        <v>-2930.8726700768798</v>
      </c>
      <c r="Q43">
        <v>-3198.0175500072978</v>
      </c>
      <c r="R43">
        <v>-3198.0175500072978</v>
      </c>
      <c r="S43">
        <v>-3492.8794857810485</v>
      </c>
      <c r="T43">
        <v>-3492.8794857810485</v>
      </c>
      <c r="U43">
        <v>-3773.2932179435461</v>
      </c>
      <c r="V43">
        <v>-3773.2932179435461</v>
      </c>
      <c r="W43">
        <v>-4012.0576462389517</v>
      </c>
      <c r="X43">
        <v>-4012.0576462389517</v>
      </c>
      <c r="Y43">
        <v>-4012.0576462389517</v>
      </c>
      <c r="Z43">
        <v>-4012.0576462389517</v>
      </c>
      <c r="AA43">
        <v>-4012.0576462389517</v>
      </c>
    </row>
    <row r="44" spans="1:27" x14ac:dyDescent="0.2">
      <c r="A44" t="s">
        <v>1002</v>
      </c>
      <c r="B44" t="s">
        <v>1003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843</v>
      </c>
      <c r="B45" t="s">
        <v>844</v>
      </c>
      <c r="C45">
        <v>-139.27518944153658</v>
      </c>
      <c r="D45">
        <v>-254.28748207238763</v>
      </c>
      <c r="E45">
        <v>-254.28748207238752</v>
      </c>
      <c r="F45">
        <v>-300.29240377861237</v>
      </c>
      <c r="G45">
        <v>-690.24618426264033</v>
      </c>
      <c r="H45">
        <v>-690.24618426264078</v>
      </c>
      <c r="I45">
        <v>-690.24618426264078</v>
      </c>
      <c r="J45">
        <v>-907.78246231425135</v>
      </c>
      <c r="K45">
        <v>-907.78246231425135</v>
      </c>
      <c r="L45">
        <v>-1183.157432749779</v>
      </c>
      <c r="M45">
        <v>-1363.9081426029079</v>
      </c>
      <c r="N45">
        <v>-1521.9214606540945</v>
      </c>
      <c r="O45">
        <v>-1521.9214606540945</v>
      </c>
      <c r="P45">
        <v>-1521.9214606540945</v>
      </c>
      <c r="Q45">
        <v>-1660.6424395696677</v>
      </c>
      <c r="R45">
        <v>-1660.6424395696677</v>
      </c>
      <c r="S45">
        <v>-1813.7561222505017</v>
      </c>
      <c r="T45">
        <v>-1813.7561222505017</v>
      </c>
      <c r="U45">
        <v>-1959.3672507029091</v>
      </c>
      <c r="V45">
        <v>-1959.3672507029091</v>
      </c>
      <c r="W45">
        <v>-2083.3510426886769</v>
      </c>
      <c r="X45">
        <v>-2083.3510426886769</v>
      </c>
      <c r="Y45">
        <v>-2083.3510426886769</v>
      </c>
      <c r="Z45">
        <v>-2083.3510426886769</v>
      </c>
      <c r="AA45">
        <v>-2083.3510426886769</v>
      </c>
    </row>
    <row r="46" spans="1:27" x14ac:dyDescent="0.2">
      <c r="A46" t="s">
        <v>797</v>
      </c>
      <c r="B46" t="s">
        <v>798</v>
      </c>
      <c r="C46">
        <v>-191.21400648049385</v>
      </c>
      <c r="D46">
        <v>-349.11694207609435</v>
      </c>
      <c r="E46">
        <v>-349.11694207609423</v>
      </c>
      <c r="F46">
        <v>-412.27812270375591</v>
      </c>
      <c r="G46">
        <v>-947.65434446697191</v>
      </c>
      <c r="H46">
        <v>-947.65434446697247</v>
      </c>
      <c r="I46">
        <v>-947.65434446697247</v>
      </c>
      <c r="J46">
        <v>-1246.3147408225193</v>
      </c>
      <c r="K46">
        <v>-1246.3147408225193</v>
      </c>
      <c r="L46">
        <v>-1624.3831648725038</v>
      </c>
      <c r="M46">
        <v>-1872.5398361633238</v>
      </c>
      <c r="N46">
        <v>-2089.4798363384948</v>
      </c>
      <c r="O46">
        <v>-2089.4798363384948</v>
      </c>
      <c r="P46">
        <v>-2089.4798363384948</v>
      </c>
      <c r="Q46">
        <v>-2279.932954856617</v>
      </c>
      <c r="R46">
        <v>-2279.932954856617</v>
      </c>
      <c r="S46">
        <v>-2490.1461366141261</v>
      </c>
      <c r="T46">
        <v>-2490.1461366141261</v>
      </c>
      <c r="U46">
        <v>-2690.0588947383449</v>
      </c>
      <c r="V46">
        <v>-2690.0588947383449</v>
      </c>
      <c r="W46">
        <v>-2860.2790014156685</v>
      </c>
      <c r="X46">
        <v>-2860.2790014156685</v>
      </c>
      <c r="Y46">
        <v>-2860.2790014156685</v>
      </c>
      <c r="Z46">
        <v>-2860.2790014156685</v>
      </c>
      <c r="AA46">
        <v>-2860.2790014156685</v>
      </c>
    </row>
    <row r="47" spans="1:27" x14ac:dyDescent="0.2">
      <c r="A47" t="s">
        <v>634</v>
      </c>
      <c r="B47" t="s">
        <v>635</v>
      </c>
      <c r="C47">
        <v>-1276.5930459697499</v>
      </c>
      <c r="D47">
        <v>-2330.7929617071795</v>
      </c>
      <c r="E47">
        <v>-2330.7929617071786</v>
      </c>
      <c r="F47">
        <v>-2752.4729706595435</v>
      </c>
      <c r="G47">
        <v>-6326.7799697140354</v>
      </c>
      <c r="H47">
        <v>-6326.7799697140399</v>
      </c>
      <c r="I47">
        <v>-6326.7799697140399</v>
      </c>
      <c r="J47">
        <v>-8320.7122768275058</v>
      </c>
      <c r="K47">
        <v>-8320.7122768275058</v>
      </c>
      <c r="L47">
        <v>-10844.792651097514</v>
      </c>
      <c r="M47">
        <v>-12501.549322388635</v>
      </c>
      <c r="N47">
        <v>-13949.895605769039</v>
      </c>
      <c r="O47">
        <v>-13949.895605769039</v>
      </c>
      <c r="P47">
        <v>-13949.895605769039</v>
      </c>
      <c r="Q47">
        <v>-15221.408771350294</v>
      </c>
      <c r="R47">
        <v>-15221.408771350294</v>
      </c>
      <c r="S47">
        <v>-16624.845114441549</v>
      </c>
      <c r="T47">
        <v>-16624.845114441549</v>
      </c>
      <c r="U47">
        <v>-17959.513225420356</v>
      </c>
      <c r="V47">
        <v>-17959.513225420356</v>
      </c>
      <c r="W47">
        <v>-19095.945689067667</v>
      </c>
      <c r="X47">
        <v>-19095.945689067667</v>
      </c>
      <c r="Y47">
        <v>-19095.945689067667</v>
      </c>
      <c r="Z47">
        <v>-19095.945689067667</v>
      </c>
      <c r="AA47">
        <v>-19095.945689067667</v>
      </c>
    </row>
    <row r="48" spans="1:27" x14ac:dyDescent="0.2">
      <c r="A48" t="s">
        <v>811</v>
      </c>
      <c r="B48" t="s">
        <v>812</v>
      </c>
      <c r="C48">
        <v>-183.73141429464499</v>
      </c>
      <c r="D48">
        <v>-335.45528752050865</v>
      </c>
      <c r="E48">
        <v>-335.45528752050853</v>
      </c>
      <c r="F48">
        <v>-396.14484295024442</v>
      </c>
      <c r="G48">
        <v>-910.57070648819422</v>
      </c>
      <c r="H48">
        <v>-910.57070648819467</v>
      </c>
      <c r="I48">
        <v>-910.57070648819467</v>
      </c>
      <c r="J48">
        <v>-1197.5439153352233</v>
      </c>
      <c r="K48">
        <v>-1197.5439153352233</v>
      </c>
      <c r="L48">
        <v>-1560.8177545763738</v>
      </c>
      <c r="M48">
        <v>-1799.2635516292421</v>
      </c>
      <c r="N48">
        <v>-2007.714249268543</v>
      </c>
      <c r="O48">
        <v>-2007.714249268543</v>
      </c>
      <c r="P48">
        <v>-2007.714249268543</v>
      </c>
      <c r="Q48">
        <v>-2190.7145506911788</v>
      </c>
      <c r="R48">
        <v>-2190.7145506911788</v>
      </c>
      <c r="S48">
        <v>-2392.7016639711069</v>
      </c>
      <c r="T48">
        <v>-2392.7016639711069</v>
      </c>
      <c r="U48">
        <v>-2584.7914301015653</v>
      </c>
      <c r="V48">
        <v>-2584.7914301015653</v>
      </c>
      <c r="W48">
        <v>-2748.3504785042269</v>
      </c>
      <c r="X48">
        <v>-2748.3504785042269</v>
      </c>
      <c r="Y48">
        <v>-2748.3504785042269</v>
      </c>
      <c r="Z48">
        <v>-2748.3504785042269</v>
      </c>
      <c r="AA48">
        <v>-2748.3504785042269</v>
      </c>
    </row>
    <row r="49" spans="1:27" x14ac:dyDescent="0.2">
      <c r="A49" t="s">
        <v>559</v>
      </c>
      <c r="B49" t="s">
        <v>560</v>
      </c>
      <c r="C49">
        <v>-878.36278514124831</v>
      </c>
      <c r="D49">
        <v>-1603.7074648777691</v>
      </c>
      <c r="E49">
        <v>-1603.7074648777684</v>
      </c>
      <c r="F49">
        <v>-1893.8453661228943</v>
      </c>
      <c r="G49">
        <v>-4353.1555280817083</v>
      </c>
      <c r="H49">
        <v>-4353.1555280817101</v>
      </c>
      <c r="I49">
        <v>-4353.1555280817101</v>
      </c>
      <c r="J49">
        <v>-5725.0852438110242</v>
      </c>
      <c r="K49">
        <v>-5725.0852438110242</v>
      </c>
      <c r="L49">
        <v>-7461.7845580235708</v>
      </c>
      <c r="M49">
        <v>-8601.7198010447009</v>
      </c>
      <c r="N49">
        <v>-9598.2577967162943</v>
      </c>
      <c r="O49">
        <v>-9598.2577967162943</v>
      </c>
      <c r="P49">
        <v>-9598.2577967162943</v>
      </c>
      <c r="Q49">
        <v>-10473.125358457799</v>
      </c>
      <c r="R49">
        <v>-10473.125358457799</v>
      </c>
      <c r="S49">
        <v>-11438.762966290493</v>
      </c>
      <c r="T49">
        <v>-11438.762966290493</v>
      </c>
      <c r="U49">
        <v>-12357.084433652091</v>
      </c>
      <c r="V49">
        <v>-12357.084433652091</v>
      </c>
      <c r="W49">
        <v>-13139.009407351059</v>
      </c>
      <c r="X49">
        <v>-13139.009407351059</v>
      </c>
      <c r="Y49">
        <v>-13139.009407351059</v>
      </c>
      <c r="Z49">
        <v>-13139.009407351059</v>
      </c>
      <c r="AA49">
        <v>-13139.009407351059</v>
      </c>
    </row>
    <row r="50" spans="1:27" x14ac:dyDescent="0.2">
      <c r="A50" t="s">
        <v>336</v>
      </c>
      <c r="B50" t="s">
        <v>337</v>
      </c>
      <c r="C50">
        <v>-652.4530271779654</v>
      </c>
      <c r="D50">
        <v>-1191.2433084231134</v>
      </c>
      <c r="E50">
        <v>-1191.2433084231129</v>
      </c>
      <c r="F50">
        <v>-1406.7594427229087</v>
      </c>
      <c r="G50">
        <v>-3233.549451456634</v>
      </c>
      <c r="H50">
        <v>-3233.5494514566358</v>
      </c>
      <c r="I50">
        <v>-3233.5494514566358</v>
      </c>
      <c r="J50">
        <v>-4252.6268887584147</v>
      </c>
      <c r="K50">
        <v>-4252.6268887584147</v>
      </c>
      <c r="L50">
        <v>-5542.6573226794708</v>
      </c>
      <c r="M50">
        <v>-6389.407905328967</v>
      </c>
      <c r="N50">
        <v>-7129.6421718219817</v>
      </c>
      <c r="O50">
        <v>-7129.6421718219817</v>
      </c>
      <c r="P50">
        <v>-7129.6421718219817</v>
      </c>
      <c r="Q50">
        <v>-7779.498926563997</v>
      </c>
      <c r="R50">
        <v>-7779.498926563997</v>
      </c>
      <c r="S50">
        <v>-8496.7802037825168</v>
      </c>
      <c r="T50">
        <v>-8496.7802037825168</v>
      </c>
      <c r="U50">
        <v>-9178.9147744158072</v>
      </c>
      <c r="V50">
        <v>-9178.9147744158072</v>
      </c>
      <c r="W50">
        <v>-9759.7332297809244</v>
      </c>
      <c r="X50">
        <v>-9759.7332297809244</v>
      </c>
      <c r="Y50">
        <v>-9759.7332297809244</v>
      </c>
      <c r="Z50">
        <v>-9759.7332297809244</v>
      </c>
      <c r="AA50">
        <v>-9759.7332297809244</v>
      </c>
    </row>
    <row r="51" spans="1:27" x14ac:dyDescent="0.2">
      <c r="A51" t="s">
        <v>575</v>
      </c>
      <c r="B51" t="s">
        <v>576</v>
      </c>
      <c r="C51">
        <v>-1402.4329507997463</v>
      </c>
      <c r="D51">
        <v>-2560.5504129212813</v>
      </c>
      <c r="E51">
        <v>-2560.5504129212804</v>
      </c>
      <c r="F51">
        <v>-3023.7974446322314</v>
      </c>
      <c r="G51">
        <v>-6950.4410430550288</v>
      </c>
      <c r="H51">
        <v>-6950.4410430550324</v>
      </c>
      <c r="I51">
        <v>-6950.4410430550324</v>
      </c>
      <c r="J51">
        <v>-9140.9248295587113</v>
      </c>
      <c r="K51">
        <v>-9140.9248295587113</v>
      </c>
      <c r="L51">
        <v>-11913.815923175947</v>
      </c>
      <c r="M51">
        <v>-13733.887052821619</v>
      </c>
      <c r="N51">
        <v>-15325.003782145521</v>
      </c>
      <c r="O51">
        <v>-15325.003782145521</v>
      </c>
      <c r="P51">
        <v>-15325.003782145521</v>
      </c>
      <c r="Q51">
        <v>-16721.856104360897</v>
      </c>
      <c r="R51">
        <v>-16721.856104360897</v>
      </c>
      <c r="S51">
        <v>-18263.635904991042</v>
      </c>
      <c r="T51">
        <v>-18263.635904991042</v>
      </c>
      <c r="U51">
        <v>-19729.868658747313</v>
      </c>
      <c r="V51">
        <v>-19729.868658747313</v>
      </c>
      <c r="W51">
        <v>-20978.324725783801</v>
      </c>
      <c r="X51">
        <v>-20978.324725783801</v>
      </c>
      <c r="Y51">
        <v>-20978.324725783801</v>
      </c>
      <c r="Z51">
        <v>-20978.324725783801</v>
      </c>
      <c r="AA51">
        <v>-20978.324725783801</v>
      </c>
    </row>
    <row r="52" spans="1:27" x14ac:dyDescent="0.2">
      <c r="A52" t="s">
        <v>706</v>
      </c>
      <c r="B52" t="s">
        <v>707</v>
      </c>
      <c r="C52">
        <v>-624.75927445825369</v>
      </c>
      <c r="D52">
        <v>-1140.6802851275186</v>
      </c>
      <c r="E52">
        <v>-1140.6802851275181</v>
      </c>
      <c r="F52">
        <v>-1347.0487102715729</v>
      </c>
      <c r="G52">
        <v>-3096.2995419835747</v>
      </c>
      <c r="H52">
        <v>-3096.2995419835765</v>
      </c>
      <c r="I52">
        <v>-3096.2995419835765</v>
      </c>
      <c r="J52">
        <v>-4072.1216377124288</v>
      </c>
      <c r="K52">
        <v>-4072.1216377124288</v>
      </c>
      <c r="L52">
        <v>-5307.3959706580081</v>
      </c>
      <c r="M52">
        <v>-6118.2057264979594</v>
      </c>
      <c r="N52">
        <v>-6827.0203139075884</v>
      </c>
      <c r="O52">
        <v>-6827.0203139075884</v>
      </c>
      <c r="P52">
        <v>-6827.0203139075884</v>
      </c>
      <c r="Q52">
        <v>-7449.2935162413924</v>
      </c>
      <c r="R52">
        <v>-7449.2935162413924</v>
      </c>
      <c r="S52">
        <v>-8136.129367514558</v>
      </c>
      <c r="T52">
        <v>-8136.129367514558</v>
      </c>
      <c r="U52">
        <v>-8789.3103348480163</v>
      </c>
      <c r="V52">
        <v>-8789.3103348480163</v>
      </c>
      <c r="W52">
        <v>-9345.4756090523406</v>
      </c>
      <c r="X52">
        <v>-9345.4756090523406</v>
      </c>
      <c r="Y52">
        <v>-9345.4756090523406</v>
      </c>
      <c r="Z52">
        <v>-9345.4756090523406</v>
      </c>
      <c r="AA52">
        <v>-9345.4756090523406</v>
      </c>
    </row>
    <row r="53" spans="1:27" x14ac:dyDescent="0.2">
      <c r="A53" t="s">
        <v>809</v>
      </c>
      <c r="B53" t="s">
        <v>810</v>
      </c>
      <c r="C53">
        <v>-312.41996422050784</v>
      </c>
      <c r="D53">
        <v>-570.41377124909036</v>
      </c>
      <c r="E53">
        <v>-570.41377124909013</v>
      </c>
      <c r="F53">
        <v>-673.61130450004521</v>
      </c>
      <c r="G53">
        <v>-1548.349631081981</v>
      </c>
      <c r="H53">
        <v>-1548.3496310819819</v>
      </c>
      <c r="I53">
        <v>-1548.3496310819819</v>
      </c>
      <c r="J53">
        <v>-2036.3236663574839</v>
      </c>
      <c r="K53">
        <v>-2036.3236663574839</v>
      </c>
      <c r="L53">
        <v>-2654.0405673767054</v>
      </c>
      <c r="M53">
        <v>-3059.4977814833883</v>
      </c>
      <c r="N53">
        <v>-3413.9508277859245</v>
      </c>
      <c r="O53">
        <v>-3413.9508277859245</v>
      </c>
      <c r="P53">
        <v>-3413.9508277859245</v>
      </c>
      <c r="Q53">
        <v>-3725.1275954731059</v>
      </c>
      <c r="R53">
        <v>-3725.1275954731059</v>
      </c>
      <c r="S53">
        <v>-4068.589855022904</v>
      </c>
      <c r="T53">
        <v>-4068.589855022904</v>
      </c>
      <c r="U53">
        <v>-4395.222500245799</v>
      </c>
      <c r="V53">
        <v>-4395.222500245799</v>
      </c>
      <c r="W53">
        <v>-4673.3410367305487</v>
      </c>
      <c r="X53">
        <v>-4673.3410367305487</v>
      </c>
      <c r="Y53">
        <v>-4673.3410367305487</v>
      </c>
      <c r="Z53">
        <v>-4673.3410367305487</v>
      </c>
      <c r="AA53">
        <v>-4673.3410367305487</v>
      </c>
    </row>
    <row r="54" spans="1:27" x14ac:dyDescent="0.2">
      <c r="A54" t="s">
        <v>636</v>
      </c>
      <c r="B54" t="s">
        <v>145</v>
      </c>
      <c r="C54">
        <v>-1042.1196079501626</v>
      </c>
      <c r="D54">
        <v>-1902.6933094580247</v>
      </c>
      <c r="E54">
        <v>-1902.693309458024</v>
      </c>
      <c r="F54">
        <v>-2246.9228248836253</v>
      </c>
      <c r="G54">
        <v>-5164.732396467688</v>
      </c>
      <c r="H54">
        <v>-5164.7323964676907</v>
      </c>
      <c r="I54">
        <v>-5164.7323964676907</v>
      </c>
      <c r="J54">
        <v>-6792.436668183962</v>
      </c>
      <c r="K54">
        <v>-6792.436668183962</v>
      </c>
      <c r="L54">
        <v>-8852.9160499048703</v>
      </c>
      <c r="M54">
        <v>-10205.374155646135</v>
      </c>
      <c r="N54">
        <v>-11387.700869533175</v>
      </c>
      <c r="O54">
        <v>-11387.700869533175</v>
      </c>
      <c r="P54">
        <v>-11387.700869533175</v>
      </c>
      <c r="Q54">
        <v>-12425.6736250658</v>
      </c>
      <c r="R54">
        <v>-12425.6736250658</v>
      </c>
      <c r="S54">
        <v>-13571.339063446954</v>
      </c>
      <c r="T54">
        <v>-13571.339063446954</v>
      </c>
      <c r="U54">
        <v>-14660.867016734721</v>
      </c>
      <c r="V54">
        <v>-14660.867016734721</v>
      </c>
      <c r="W54">
        <v>-15588.5695114466</v>
      </c>
      <c r="X54">
        <v>-15588.5695114466</v>
      </c>
      <c r="Y54">
        <v>-15588.5695114466</v>
      </c>
      <c r="Z54">
        <v>-15588.5695114466</v>
      </c>
      <c r="AA54">
        <v>-15588.5695114466</v>
      </c>
    </row>
    <row r="55" spans="1:27" x14ac:dyDescent="0.2">
      <c r="A55" t="s">
        <v>453</v>
      </c>
      <c r="B55" t="s">
        <v>269</v>
      </c>
      <c r="C55">
        <v>-1184.2142988816827</v>
      </c>
      <c r="D55">
        <v>-2162.128613891754</v>
      </c>
      <c r="E55">
        <v>-2162.128613891753</v>
      </c>
      <c r="F55">
        <v>-2553.2943794663365</v>
      </c>
      <c r="G55">
        <v>-5868.9519966185962</v>
      </c>
      <c r="H55">
        <v>-5868.9519966185999</v>
      </c>
      <c r="I55">
        <v>-5868.9519966185999</v>
      </c>
      <c r="J55">
        <v>-7718.5963735329478</v>
      </c>
      <c r="K55">
        <v>-7718.5963735329478</v>
      </c>
      <c r="L55">
        <v>-10060.025445368894</v>
      </c>
      <c r="M55">
        <v>-11596.893397222875</v>
      </c>
      <c r="N55">
        <v>-12940.432267284885</v>
      </c>
      <c r="O55">
        <v>-12940.432267284885</v>
      </c>
      <c r="P55">
        <v>-12940.432267284885</v>
      </c>
      <c r="Q55">
        <v>-14119.934283727258</v>
      </c>
      <c r="R55">
        <v>-14119.934283727258</v>
      </c>
      <c r="S55">
        <v>-15421.813054182556</v>
      </c>
      <c r="T55">
        <v>-15421.813054182556</v>
      </c>
      <c r="U55">
        <v>-16659.899902824185</v>
      </c>
      <c r="V55">
        <v>-16659.899902824185</v>
      </c>
      <c r="W55">
        <v>-17714.096130363698</v>
      </c>
      <c r="X55">
        <v>-17714.096130363698</v>
      </c>
      <c r="Y55">
        <v>-17714.096130363698</v>
      </c>
      <c r="Z55">
        <v>-17714.096130363698</v>
      </c>
      <c r="AA55">
        <v>-17714.096130363698</v>
      </c>
    </row>
    <row r="56" spans="1:27" x14ac:dyDescent="0.2">
      <c r="A56" t="s">
        <v>864</v>
      </c>
      <c r="B56" t="s">
        <v>865</v>
      </c>
      <c r="C56">
        <v>-85.88516986895246</v>
      </c>
      <c r="D56">
        <v>-156.80842855721099</v>
      </c>
      <c r="E56">
        <v>-156.80842855721093</v>
      </c>
      <c r="F56">
        <v>-185.17773490236974</v>
      </c>
      <c r="G56">
        <v>-425.64588154215249</v>
      </c>
      <c r="H56">
        <v>-425.64588154215278</v>
      </c>
      <c r="I56">
        <v>-425.64588154215278</v>
      </c>
      <c r="J56">
        <v>-559.79138346562956</v>
      </c>
      <c r="K56">
        <v>-559.79138346562956</v>
      </c>
      <c r="L56">
        <v>-729.60358195085121</v>
      </c>
      <c r="M56">
        <v>-841.06496629300739</v>
      </c>
      <c r="N56">
        <v>-938.50515443275981</v>
      </c>
      <c r="O56">
        <v>-938.50515443275981</v>
      </c>
      <c r="P56">
        <v>-938.50515443275981</v>
      </c>
      <c r="Q56">
        <v>-1024.0485659070091</v>
      </c>
      <c r="R56">
        <v>-1024.0485659070091</v>
      </c>
      <c r="S56">
        <v>-1118.4673543432966</v>
      </c>
      <c r="T56">
        <v>-1118.4673543432966</v>
      </c>
      <c r="U56">
        <v>-1208.2596321502094</v>
      </c>
      <c r="V56">
        <v>-1208.2596321502094</v>
      </c>
      <c r="W56">
        <v>-1284.7152383381615</v>
      </c>
      <c r="X56">
        <v>-1284.7152383381615</v>
      </c>
      <c r="Y56">
        <v>-1284.7152383381615</v>
      </c>
      <c r="Z56">
        <v>-1284.7152383381615</v>
      </c>
      <c r="AA56">
        <v>-1284.7152383381615</v>
      </c>
    </row>
    <row r="57" spans="1:27" x14ac:dyDescent="0.2">
      <c r="A57" t="s">
        <v>653</v>
      </c>
      <c r="B57" t="s">
        <v>654</v>
      </c>
      <c r="C57">
        <v>-616.43357274342009</v>
      </c>
      <c r="D57">
        <v>-1125.4792882088282</v>
      </c>
      <c r="E57">
        <v>-1125.4792882088277</v>
      </c>
      <c r="F57">
        <v>-1329.0975949931362</v>
      </c>
      <c r="G57">
        <v>-3055.0374631954128</v>
      </c>
      <c r="H57">
        <v>-3055.0374631954146</v>
      </c>
      <c r="I57">
        <v>-3055.0374631954146</v>
      </c>
      <c r="J57">
        <v>-4017.8555043580864</v>
      </c>
      <c r="K57">
        <v>-4017.8555043580864</v>
      </c>
      <c r="L57">
        <v>-5236.6682559353658</v>
      </c>
      <c r="M57">
        <v>-6036.6729538104637</v>
      </c>
      <c r="N57">
        <v>-6736.0416969290854</v>
      </c>
      <c r="O57">
        <v>-6736.0416969290854</v>
      </c>
      <c r="P57">
        <v>-6736.0416969290854</v>
      </c>
      <c r="Q57">
        <v>-7350.0223275803673</v>
      </c>
      <c r="R57">
        <v>-7350.0223275803673</v>
      </c>
      <c r="S57">
        <v>-8027.7052288157556</v>
      </c>
      <c r="T57">
        <v>-8027.7052288157556</v>
      </c>
      <c r="U57">
        <v>-8672.1817396935021</v>
      </c>
      <c r="V57">
        <v>-8672.1817396935021</v>
      </c>
      <c r="W57">
        <v>-9220.9354133558572</v>
      </c>
      <c r="X57">
        <v>-9220.9354133558572</v>
      </c>
      <c r="Y57">
        <v>-9220.9354133558572</v>
      </c>
      <c r="Z57">
        <v>-9220.9354133558572</v>
      </c>
      <c r="AA57">
        <v>-9220.9354133558572</v>
      </c>
    </row>
    <row r="58" spans="1:27" x14ac:dyDescent="0.2">
      <c r="A58" t="s">
        <v>667</v>
      </c>
      <c r="B58" t="s">
        <v>668</v>
      </c>
      <c r="C58">
        <v>-646.62212271233159</v>
      </c>
      <c r="D58">
        <v>-1180.5972915645755</v>
      </c>
      <c r="E58">
        <v>-1180.597291564575</v>
      </c>
      <c r="F58">
        <v>-1394.1873807123693</v>
      </c>
      <c r="G58">
        <v>-3204.6515581969506</v>
      </c>
      <c r="H58">
        <v>-3204.6515581969525</v>
      </c>
      <c r="I58">
        <v>-3204.6515581969525</v>
      </c>
      <c r="J58">
        <v>-4214.6216070240534</v>
      </c>
      <c r="K58">
        <v>-4214.6216070240534</v>
      </c>
      <c r="L58">
        <v>-5493.1231738778688</v>
      </c>
      <c r="M58">
        <v>-6332.3064351295252</v>
      </c>
      <c r="N58">
        <v>-7065.9253054019437</v>
      </c>
      <c r="O58">
        <v>-7065.9253054019437</v>
      </c>
      <c r="P58">
        <v>-7065.9253054019437</v>
      </c>
      <c r="Q58">
        <v>-7709.9743582935489</v>
      </c>
      <c r="R58">
        <v>-7709.9743582935489</v>
      </c>
      <c r="S58">
        <v>-8420.8453677560283</v>
      </c>
      <c r="T58">
        <v>-8420.8453677560283</v>
      </c>
      <c r="U58">
        <v>-9096.8837730741361</v>
      </c>
      <c r="V58">
        <v>-9096.8837730741361</v>
      </c>
      <c r="W58">
        <v>-9672.5115146498501</v>
      </c>
      <c r="X58">
        <v>-9672.5115146498501</v>
      </c>
      <c r="Y58">
        <v>-9672.5115146498501</v>
      </c>
      <c r="Z58">
        <v>-9672.5115146498501</v>
      </c>
      <c r="AA58">
        <v>-9672.5115146498501</v>
      </c>
    </row>
    <row r="59" spans="1:27" x14ac:dyDescent="0.2">
      <c r="A59" t="s">
        <v>799</v>
      </c>
      <c r="B59" t="s">
        <v>800</v>
      </c>
      <c r="C59">
        <v>-169.27048199777852</v>
      </c>
      <c r="D59">
        <v>-309.05263765204057</v>
      </c>
      <c r="E59">
        <v>-309.05263765204046</v>
      </c>
      <c r="F59">
        <v>-364.96550556992332</v>
      </c>
      <c r="G59">
        <v>-838.90249782291392</v>
      </c>
      <c r="H59">
        <v>-838.90249782291448</v>
      </c>
      <c r="I59">
        <v>-838.90249782291448</v>
      </c>
      <c r="J59">
        <v>-1103.2889315118509</v>
      </c>
      <c r="K59">
        <v>-1103.2889315118509</v>
      </c>
      <c r="L59">
        <v>-1437.9706085761813</v>
      </c>
      <c r="M59">
        <v>-1657.6490732112836</v>
      </c>
      <c r="N59">
        <v>-1849.6932600893792</v>
      </c>
      <c r="O59">
        <v>-1849.6932600893792</v>
      </c>
      <c r="P59">
        <v>-1849.6932600893792</v>
      </c>
      <c r="Q59">
        <v>-2018.2901728517884</v>
      </c>
      <c r="R59">
        <v>-2018.2901728517884</v>
      </c>
      <c r="S59">
        <v>-2204.3795041373087</v>
      </c>
      <c r="T59">
        <v>-2204.3795041373087</v>
      </c>
      <c r="U59">
        <v>-2381.3504779066584</v>
      </c>
      <c r="V59">
        <v>-2381.3504779066584</v>
      </c>
      <c r="W59">
        <v>-2532.0362986439754</v>
      </c>
      <c r="X59">
        <v>-2532.0362986439754</v>
      </c>
      <c r="Y59">
        <v>-2532.0362986439754</v>
      </c>
      <c r="Z59">
        <v>-2532.0362986439754</v>
      </c>
      <c r="AA59">
        <v>-2532.0362986439754</v>
      </c>
    </row>
    <row r="60" spans="1:27" x14ac:dyDescent="0.2">
      <c r="A60" t="s">
        <v>583</v>
      </c>
      <c r="B60" t="s">
        <v>243</v>
      </c>
      <c r="C60">
        <v>-1300.099873329001</v>
      </c>
      <c r="D60">
        <v>-2373.7115315160786</v>
      </c>
      <c r="E60">
        <v>-2373.7115315160777</v>
      </c>
      <c r="F60">
        <v>-2803.1562382337834</v>
      </c>
      <c r="G60">
        <v>-6443.2795268419377</v>
      </c>
      <c r="H60">
        <v>-6443.2795268419413</v>
      </c>
      <c r="I60">
        <v>-6443.2795268419413</v>
      </c>
      <c r="J60">
        <v>-8473.9275458710581</v>
      </c>
      <c r="K60">
        <v>-8473.9275458710581</v>
      </c>
      <c r="L60">
        <v>-11044.485630313589</v>
      </c>
      <c r="M60">
        <v>-12731.749355650853</v>
      </c>
      <c r="N60">
        <v>-14206.765082474742</v>
      </c>
      <c r="O60">
        <v>-14206.765082474742</v>
      </c>
      <c r="P60">
        <v>-14206.765082474742</v>
      </c>
      <c r="Q60">
        <v>-15501.691535918322</v>
      </c>
      <c r="R60">
        <v>-15501.691535918322</v>
      </c>
      <c r="S60">
        <v>-16930.970363371289</v>
      </c>
      <c r="T60">
        <v>-16930.970363371289</v>
      </c>
      <c r="U60">
        <v>-18290.214679716188</v>
      </c>
      <c r="V60">
        <v>-18290.214679716188</v>
      </c>
      <c r="W60">
        <v>-19447.57309295467</v>
      </c>
      <c r="X60">
        <v>-19447.57309295467</v>
      </c>
      <c r="Y60">
        <v>-19447.57309295467</v>
      </c>
      <c r="Z60">
        <v>-19447.57309295467</v>
      </c>
      <c r="AA60">
        <v>-19447.57309295467</v>
      </c>
    </row>
    <row r="61" spans="1:27" x14ac:dyDescent="0.2">
      <c r="A61" t="s">
        <v>1004</v>
      </c>
      <c r="B61" t="s">
        <v>313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837</v>
      </c>
      <c r="B62" t="s">
        <v>838</v>
      </c>
      <c r="C62">
        <v>-265.78614801515323</v>
      </c>
      <c r="D62">
        <v>-485.27013762822986</v>
      </c>
      <c r="E62">
        <v>-485.27013762822969</v>
      </c>
      <c r="F62">
        <v>-573.06374235471208</v>
      </c>
      <c r="G62">
        <v>-1317.2329919847987</v>
      </c>
      <c r="H62">
        <v>-1317.2329919847996</v>
      </c>
      <c r="I62">
        <v>-1317.2329919847996</v>
      </c>
      <c r="J62">
        <v>-1732.3688796380786</v>
      </c>
      <c r="K62">
        <v>-1732.3688796380786</v>
      </c>
      <c r="L62">
        <v>-2257.8813772001004</v>
      </c>
      <c r="M62">
        <v>-2602.8174359159557</v>
      </c>
      <c r="N62">
        <v>-2904.3625374399248</v>
      </c>
      <c r="O62">
        <v>-2904.3625374399248</v>
      </c>
      <c r="P62">
        <v>-2904.3625374399248</v>
      </c>
      <c r="Q62">
        <v>-3169.0910564439391</v>
      </c>
      <c r="R62">
        <v>-3169.0910564439391</v>
      </c>
      <c r="S62">
        <v>-3461.2859268392585</v>
      </c>
      <c r="T62">
        <v>-3461.2859268392585</v>
      </c>
      <c r="U62">
        <v>-3739.1632795442833</v>
      </c>
      <c r="V62">
        <v>-3739.1632795442833</v>
      </c>
      <c r="W62">
        <v>-3975.7680518683737</v>
      </c>
      <c r="X62">
        <v>-3975.7680518683737</v>
      </c>
      <c r="Y62">
        <v>-3975.7680518683737</v>
      </c>
      <c r="Z62">
        <v>-3975.7680518683737</v>
      </c>
      <c r="AA62">
        <v>-3975.7680518683737</v>
      </c>
    </row>
    <row r="63" spans="1:27" x14ac:dyDescent="0.2">
      <c r="A63" t="s">
        <v>841</v>
      </c>
      <c r="B63" t="s">
        <v>842</v>
      </c>
      <c r="C63">
        <v>-299.78682742096549</v>
      </c>
      <c r="D63">
        <v>-547.34829519184814</v>
      </c>
      <c r="E63">
        <v>-547.34829519184791</v>
      </c>
      <c r="F63">
        <v>-646.37289231758632</v>
      </c>
      <c r="G63">
        <v>-1485.7399551869614</v>
      </c>
      <c r="H63">
        <v>-1485.7399551869623</v>
      </c>
      <c r="I63">
        <v>-1485.7399551869623</v>
      </c>
      <c r="J63">
        <v>-1953.982080058976</v>
      </c>
      <c r="K63">
        <v>-1953.982080058976</v>
      </c>
      <c r="L63">
        <v>-2546.7207370231622</v>
      </c>
      <c r="M63">
        <v>-2935.7827234274446</v>
      </c>
      <c r="N63">
        <v>-3275.9029666579149</v>
      </c>
      <c r="O63">
        <v>-3275.9029666579149</v>
      </c>
      <c r="P63">
        <v>-3275.9029666579149</v>
      </c>
      <c r="Q63">
        <v>-3574.4968679305257</v>
      </c>
      <c r="R63">
        <v>-3574.4968679305257</v>
      </c>
      <c r="S63">
        <v>-3904.0707521929176</v>
      </c>
      <c r="T63">
        <v>-3904.0707521929176</v>
      </c>
      <c r="U63">
        <v>-4217.4955510459658</v>
      </c>
      <c r="V63">
        <v>-4217.4955510459658</v>
      </c>
      <c r="W63">
        <v>-4484.3679767814674</v>
      </c>
      <c r="X63">
        <v>-4484.3679767814674</v>
      </c>
      <c r="Y63">
        <v>-4484.3679767814674</v>
      </c>
      <c r="Z63">
        <v>-4484.3679767814674</v>
      </c>
      <c r="AA63">
        <v>-4484.3679767814674</v>
      </c>
    </row>
    <row r="64" spans="1:27" x14ac:dyDescent="0.2">
      <c r="A64" t="s">
        <v>710</v>
      </c>
      <c r="B64" t="s">
        <v>711</v>
      </c>
      <c r="C64">
        <v>-1343.1312080729672</v>
      </c>
      <c r="D64">
        <v>-2452.2777844584266</v>
      </c>
      <c r="E64">
        <v>-2452.2777844584257</v>
      </c>
      <c r="F64">
        <v>-2895.9364598933771</v>
      </c>
      <c r="G64">
        <v>-6656.5423106144844</v>
      </c>
      <c r="H64">
        <v>-6656.542310614489</v>
      </c>
      <c r="I64">
        <v>-6656.542310614489</v>
      </c>
      <c r="J64">
        <v>-8754.401700436425</v>
      </c>
      <c r="K64">
        <v>-8754.401700436425</v>
      </c>
      <c r="L64">
        <v>-11410.041360286865</v>
      </c>
      <c r="M64">
        <v>-13153.15095689587</v>
      </c>
      <c r="N64">
        <v>-14676.987468026928</v>
      </c>
      <c r="O64">
        <v>-14676.987468026928</v>
      </c>
      <c r="P64">
        <v>-14676.987468026928</v>
      </c>
      <c r="Q64">
        <v>-16014.774023859616</v>
      </c>
      <c r="R64">
        <v>-16014.774023859616</v>
      </c>
      <c r="S64">
        <v>-17491.359813591647</v>
      </c>
      <c r="T64">
        <v>-17491.359813591647</v>
      </c>
      <c r="U64">
        <v>-18895.593056076275</v>
      </c>
      <c r="V64">
        <v>-18895.593056076275</v>
      </c>
      <c r="W64">
        <v>-20091.258278138059</v>
      </c>
      <c r="X64">
        <v>-20091.258278138059</v>
      </c>
      <c r="Y64">
        <v>-20091.258278138059</v>
      </c>
      <c r="Z64">
        <v>-20091.258278138059</v>
      </c>
      <c r="AA64">
        <v>-20091.258278138059</v>
      </c>
    </row>
    <row r="65" spans="1:27" x14ac:dyDescent="0.2">
      <c r="A65" t="s">
        <v>724</v>
      </c>
      <c r="B65" t="s">
        <v>725</v>
      </c>
      <c r="C65">
        <v>-166.89560322799755</v>
      </c>
      <c r="D65">
        <v>-304.71660375385466</v>
      </c>
      <c r="E65">
        <v>-304.71660375385454</v>
      </c>
      <c r="F65">
        <v>-359.84500954101873</v>
      </c>
      <c r="G65">
        <v>-827.13262685378652</v>
      </c>
      <c r="H65">
        <v>-827.13262685378709</v>
      </c>
      <c r="I65">
        <v>-827.13262685378709</v>
      </c>
      <c r="J65">
        <v>-1087.8096971559389</v>
      </c>
      <c r="K65">
        <v>-1087.8096971559389</v>
      </c>
      <c r="L65">
        <v>-1417.7957627934334</v>
      </c>
      <c r="M65">
        <v>-1634.3921205208067</v>
      </c>
      <c r="N65">
        <v>-1823.7419116785509</v>
      </c>
      <c r="O65">
        <v>-1823.7419116785509</v>
      </c>
      <c r="P65">
        <v>-1823.7419116785509</v>
      </c>
      <c r="Q65">
        <v>-1989.973395902892</v>
      </c>
      <c r="R65">
        <v>-1989.973395902892</v>
      </c>
      <c r="S65">
        <v>-2173.4518785812788</v>
      </c>
      <c r="T65">
        <v>-2173.4518785812788</v>
      </c>
      <c r="U65">
        <v>-2347.939935048616</v>
      </c>
      <c r="V65">
        <v>-2347.939935048616</v>
      </c>
      <c r="W65">
        <v>-2496.5116213405622</v>
      </c>
      <c r="X65">
        <v>-2496.5116213405622</v>
      </c>
      <c r="Y65">
        <v>-2496.5116213405622</v>
      </c>
      <c r="Z65">
        <v>-2496.5116213405622</v>
      </c>
      <c r="AA65">
        <v>-2496.5116213405622</v>
      </c>
    </row>
    <row r="66" spans="1:27" x14ac:dyDescent="0.2">
      <c r="A66" t="s">
        <v>866</v>
      </c>
      <c r="B66" t="s">
        <v>867</v>
      </c>
      <c r="C66">
        <v>-280.86628161792402</v>
      </c>
      <c r="D66">
        <v>-512.80332008908351</v>
      </c>
      <c r="E66">
        <v>-512.80332008908329</v>
      </c>
      <c r="F66">
        <v>-605.57814486270195</v>
      </c>
      <c r="G66">
        <v>-1391.9699549659385</v>
      </c>
      <c r="H66">
        <v>-1391.9699549659392</v>
      </c>
      <c r="I66">
        <v>-1391.9699549659392</v>
      </c>
      <c r="J66">
        <v>-1830.6597587877891</v>
      </c>
      <c r="K66">
        <v>-1830.6597587877891</v>
      </c>
      <c r="L66">
        <v>-2385.988703641523</v>
      </c>
      <c r="M66">
        <v>-2750.4956914245763</v>
      </c>
      <c r="N66">
        <v>-3069.1498125577364</v>
      </c>
      <c r="O66">
        <v>-3069.1498125577364</v>
      </c>
      <c r="P66">
        <v>-3069.1498125577364</v>
      </c>
      <c r="Q66">
        <v>-3348.8984575722925</v>
      </c>
      <c r="R66">
        <v>-3348.8984575722925</v>
      </c>
      <c r="S66">
        <v>-3657.6718356005772</v>
      </c>
      <c r="T66">
        <v>-3657.6718356005772</v>
      </c>
      <c r="U66">
        <v>-3951.3153508211035</v>
      </c>
      <c r="V66">
        <v>-3951.3153508211035</v>
      </c>
      <c r="W66">
        <v>-4201.344568340498</v>
      </c>
      <c r="X66">
        <v>-4201.344568340498</v>
      </c>
      <c r="Y66">
        <v>-4201.344568340498</v>
      </c>
      <c r="Z66">
        <v>-4201.344568340498</v>
      </c>
      <c r="AA66">
        <v>-4201.344568340498</v>
      </c>
    </row>
    <row r="67" spans="1:27" x14ac:dyDescent="0.2">
      <c r="A67" t="s">
        <v>736</v>
      </c>
      <c r="B67" t="s">
        <v>233</v>
      </c>
      <c r="C67">
        <v>-937.57801376041436</v>
      </c>
      <c r="D67">
        <v>-1711.822136602766</v>
      </c>
      <c r="E67">
        <v>-1711.8221366027653</v>
      </c>
      <c r="F67">
        <v>-2021.5198170689023</v>
      </c>
      <c r="G67">
        <v>-4646.62549763272</v>
      </c>
      <c r="H67">
        <v>-4646.6254976327227</v>
      </c>
      <c r="I67">
        <v>-4646.6254976327227</v>
      </c>
      <c r="J67">
        <v>-6111.0444821933379</v>
      </c>
      <c r="K67">
        <v>-6111.0444821933379</v>
      </c>
      <c r="L67">
        <v>-7964.8241744381876</v>
      </c>
      <c r="M67">
        <v>-9181.6086728790888</v>
      </c>
      <c r="N67">
        <v>-10245.328733000155</v>
      </c>
      <c r="O67">
        <v>-10245.328733000155</v>
      </c>
      <c r="P67">
        <v>-10245.328733000155</v>
      </c>
      <c r="Q67">
        <v>-11179.175891277828</v>
      </c>
      <c r="R67">
        <v>-11179.175891277828</v>
      </c>
      <c r="S67">
        <v>-12209.912399790703</v>
      </c>
      <c r="T67">
        <v>-12209.912399790703</v>
      </c>
      <c r="U67">
        <v>-13190.142928596611</v>
      </c>
      <c r="V67">
        <v>-13190.142928596611</v>
      </c>
      <c r="W67">
        <v>-14024.781731779116</v>
      </c>
      <c r="X67">
        <v>-14024.781731779116</v>
      </c>
      <c r="Y67">
        <v>-14024.781731779116</v>
      </c>
      <c r="Z67">
        <v>-14024.781731779116</v>
      </c>
      <c r="AA67">
        <v>-14024.781731779116</v>
      </c>
    </row>
    <row r="68" spans="1:27" x14ac:dyDescent="0.2">
      <c r="A68" t="s">
        <v>537</v>
      </c>
      <c r="B68" t="s">
        <v>137</v>
      </c>
      <c r="C68">
        <v>-8008.1710208630557</v>
      </c>
      <c r="D68">
        <v>-14621.25201958628</v>
      </c>
      <c r="E68">
        <v>-14621.252019586274</v>
      </c>
      <c r="F68">
        <v>-17266.484686668828</v>
      </c>
      <c r="G68">
        <v>-39688.400441154648</v>
      </c>
      <c r="H68">
        <v>-39688.40044115467</v>
      </c>
      <c r="I68">
        <v>-39688.40044115467</v>
      </c>
      <c r="J68">
        <v>-52196.49843667441</v>
      </c>
      <c r="K68">
        <v>-52196.49843667441</v>
      </c>
      <c r="L68">
        <v>-68030.257966676771</v>
      </c>
      <c r="M68">
        <v>-78423.2260355076</v>
      </c>
      <c r="N68">
        <v>-87508.818951244437</v>
      </c>
      <c r="O68">
        <v>-87508.818951244437</v>
      </c>
      <c r="P68">
        <v>-87508.818951244437</v>
      </c>
      <c r="Q68">
        <v>-95485.123473190673</v>
      </c>
      <c r="R68">
        <v>-95485.123473190673</v>
      </c>
      <c r="S68">
        <v>-104288.99271550809</v>
      </c>
      <c r="T68">
        <v>-104288.99271550809</v>
      </c>
      <c r="U68">
        <v>-112661.47329775293</v>
      </c>
      <c r="V68">
        <v>-112661.47329775293</v>
      </c>
      <c r="W68">
        <v>-119790.40569424357</v>
      </c>
      <c r="X68">
        <v>-119790.40569424357</v>
      </c>
      <c r="Y68">
        <v>-119790.40569424357</v>
      </c>
      <c r="Z68">
        <v>-119790.40569424357</v>
      </c>
      <c r="AA68">
        <v>-119790.40569424357</v>
      </c>
    </row>
    <row r="69" spans="1:27" x14ac:dyDescent="0.2">
      <c r="A69" t="s">
        <v>595</v>
      </c>
      <c r="B69" t="s">
        <v>596</v>
      </c>
      <c r="C69">
        <v>-1334.0529709004761</v>
      </c>
      <c r="D69">
        <v>-2435.7028145624586</v>
      </c>
      <c r="E69">
        <v>-2435.7028145624577</v>
      </c>
      <c r="F69">
        <v>-2876.3627966046688</v>
      </c>
      <c r="G69">
        <v>-6611.5506750384047</v>
      </c>
      <c r="H69">
        <v>-6611.5506750384084</v>
      </c>
      <c r="I69">
        <v>-6611.5506750384084</v>
      </c>
      <c r="J69">
        <v>-8695.2306124130555</v>
      </c>
      <c r="K69">
        <v>-8695.2306124130555</v>
      </c>
      <c r="L69">
        <v>-11332.920777432395</v>
      </c>
      <c r="M69">
        <v>-13064.248678969057</v>
      </c>
      <c r="N69">
        <v>-14577.785563989875</v>
      </c>
      <c r="O69">
        <v>-14577.785563989875</v>
      </c>
      <c r="P69">
        <v>-14577.785563989875</v>
      </c>
      <c r="Q69">
        <v>-15906.530007207635</v>
      </c>
      <c r="R69">
        <v>-15906.530007207635</v>
      </c>
      <c r="S69">
        <v>-17373.135538924555</v>
      </c>
      <c r="T69">
        <v>-17373.135538924555</v>
      </c>
      <c r="U69">
        <v>-18767.877554979368</v>
      </c>
      <c r="V69">
        <v>-18767.877554979368</v>
      </c>
      <c r="W69">
        <v>-19955.46126393243</v>
      </c>
      <c r="X69">
        <v>-19955.46126393243</v>
      </c>
      <c r="Y69">
        <v>-19955.46126393243</v>
      </c>
      <c r="Z69">
        <v>-19955.46126393243</v>
      </c>
      <c r="AA69">
        <v>-19955.46126393243</v>
      </c>
    </row>
    <row r="70" spans="1:27" x14ac:dyDescent="0.2">
      <c r="A70" t="s">
        <v>731</v>
      </c>
      <c r="B70" t="s">
        <v>732</v>
      </c>
      <c r="C70">
        <v>-824.9321002178076</v>
      </c>
      <c r="D70">
        <v>-1506.1541649033459</v>
      </c>
      <c r="E70">
        <v>-1506.1541649033452</v>
      </c>
      <c r="F70">
        <v>-1778.6430183426903</v>
      </c>
      <c r="G70">
        <v>-4088.3536883654851</v>
      </c>
      <c r="H70">
        <v>-4088.3536883654874</v>
      </c>
      <c r="I70">
        <v>-4088.3536883654874</v>
      </c>
      <c r="J70">
        <v>-5376.8291120661943</v>
      </c>
      <c r="K70">
        <v>-5376.8291120661943</v>
      </c>
      <c r="L70">
        <v>-7007.8852507774873</v>
      </c>
      <c r="M70">
        <v>-8078.4783929795431</v>
      </c>
      <c r="N70">
        <v>-9014.3971222595119</v>
      </c>
      <c r="O70">
        <v>-9014.3971222595119</v>
      </c>
      <c r="P70">
        <v>-9014.3971222595119</v>
      </c>
      <c r="Q70">
        <v>-9836.046613026354</v>
      </c>
      <c r="R70">
        <v>-9836.046613026354</v>
      </c>
      <c r="S70">
        <v>-10742.944620722144</v>
      </c>
      <c r="T70">
        <v>-10742.944620722144</v>
      </c>
      <c r="U70">
        <v>-11605.404722129881</v>
      </c>
      <c r="V70">
        <v>-11605.404722129881</v>
      </c>
      <c r="W70">
        <v>-12339.765309438366</v>
      </c>
      <c r="X70">
        <v>-12339.765309438366</v>
      </c>
      <c r="Y70">
        <v>-12339.765309438366</v>
      </c>
      <c r="Z70">
        <v>-12339.765309438366</v>
      </c>
      <c r="AA70">
        <v>-12339.765309438366</v>
      </c>
    </row>
    <row r="71" spans="1:27" x14ac:dyDescent="0.2">
      <c r="A71" t="s">
        <v>548</v>
      </c>
      <c r="B71" t="s">
        <v>549</v>
      </c>
      <c r="C71">
        <v>-8569.714579473839</v>
      </c>
      <c r="D71">
        <v>-15646.513576692576</v>
      </c>
      <c r="E71">
        <v>-15646.513576692569</v>
      </c>
      <c r="F71">
        <v>-18477.233461937321</v>
      </c>
      <c r="G71">
        <v>-42471.403646410101</v>
      </c>
      <c r="H71">
        <v>-42471.40364641013</v>
      </c>
      <c r="I71">
        <v>-42471.40364641013</v>
      </c>
      <c r="J71">
        <v>-55856.586040047478</v>
      </c>
      <c r="K71">
        <v>-55856.586040047478</v>
      </c>
      <c r="L71">
        <v>-72800.629759723233</v>
      </c>
      <c r="M71">
        <v>-83922.366514774068</v>
      </c>
      <c r="N71">
        <v>-93645.053239409346</v>
      </c>
      <c r="O71">
        <v>-93645.053239409346</v>
      </c>
      <c r="P71">
        <v>-93645.053239409346</v>
      </c>
      <c r="Q71">
        <v>-102180.66679885592</v>
      </c>
      <c r="R71">
        <v>-102180.66679885592</v>
      </c>
      <c r="S71">
        <v>-111601.87501295545</v>
      </c>
      <c r="T71">
        <v>-111601.87501295545</v>
      </c>
      <c r="U71">
        <v>-120561.44502277432</v>
      </c>
      <c r="V71">
        <v>-120561.44502277432</v>
      </c>
      <c r="W71">
        <v>-128190.26760100455</v>
      </c>
      <c r="X71">
        <v>-128190.26760100455</v>
      </c>
      <c r="Y71">
        <v>-128190.26760100455</v>
      </c>
      <c r="Z71">
        <v>-128190.26760100455</v>
      </c>
      <c r="AA71">
        <v>-128190.26760100455</v>
      </c>
    </row>
    <row r="72" spans="1:27" x14ac:dyDescent="0.2">
      <c r="A72" t="s">
        <v>769</v>
      </c>
      <c r="B72" t="s">
        <v>770</v>
      </c>
      <c r="C72">
        <v>-393.93087693957415</v>
      </c>
      <c r="D72">
        <v>-719.23571749712744</v>
      </c>
      <c r="E72">
        <v>-719.2357174971271</v>
      </c>
      <c r="F72">
        <v>-849.35766688335991</v>
      </c>
      <c r="G72">
        <v>-1952.3167461561122</v>
      </c>
      <c r="H72">
        <v>-1952.3167461561134</v>
      </c>
      <c r="I72">
        <v>-1952.3167461561134</v>
      </c>
      <c r="J72">
        <v>-2567.6040570020541</v>
      </c>
      <c r="K72">
        <v>-2567.6040570020541</v>
      </c>
      <c r="L72">
        <v>-3346.4843732008894</v>
      </c>
      <c r="M72">
        <v>-3857.7260805387391</v>
      </c>
      <c r="N72">
        <v>-4304.6565438727339</v>
      </c>
      <c r="O72">
        <v>-4304.6565438727339</v>
      </c>
      <c r="P72">
        <v>-4304.6565438727339</v>
      </c>
      <c r="Q72">
        <v>-4697.0198721385113</v>
      </c>
      <c r="R72">
        <v>-4697.0198721385113</v>
      </c>
      <c r="S72">
        <v>-5130.0920333164177</v>
      </c>
      <c r="T72">
        <v>-5130.0920333164177</v>
      </c>
      <c r="U72">
        <v>-5541.9437044821289</v>
      </c>
      <c r="V72">
        <v>-5541.9437044821289</v>
      </c>
      <c r="W72">
        <v>-5892.6238514565421</v>
      </c>
      <c r="X72">
        <v>-5892.6238514565421</v>
      </c>
      <c r="Y72">
        <v>-5892.6238514565421</v>
      </c>
      <c r="Z72">
        <v>-5892.6238514565421</v>
      </c>
      <c r="AA72">
        <v>-5892.6238514565421</v>
      </c>
    </row>
    <row r="73" spans="1:27" x14ac:dyDescent="0.2">
      <c r="A73" t="s">
        <v>922</v>
      </c>
      <c r="B73" t="s">
        <v>923</v>
      </c>
      <c r="C73">
        <v>-16.462626748326304</v>
      </c>
      <c r="D73">
        <v>-30.057326943264993</v>
      </c>
      <c r="E73">
        <v>-30.057326943264982</v>
      </c>
      <c r="F73">
        <v>-35.495207571339606</v>
      </c>
      <c r="G73">
        <v>-81.588582586292276</v>
      </c>
      <c r="H73">
        <v>-81.588582586292318</v>
      </c>
      <c r="I73">
        <v>-81.588582586292318</v>
      </c>
      <c r="J73">
        <v>-107.30183822172678</v>
      </c>
      <c r="K73">
        <v>-107.30183822172678</v>
      </c>
      <c r="L73">
        <v>-139.85175161469661</v>
      </c>
      <c r="M73">
        <v>-161.21687402263393</v>
      </c>
      <c r="N73">
        <v>-179.89438784811833</v>
      </c>
      <c r="O73">
        <v>-179.89438784811833</v>
      </c>
      <c r="P73">
        <v>-179.89438784811833</v>
      </c>
      <c r="Q73">
        <v>-196.29150572106263</v>
      </c>
      <c r="R73">
        <v>-196.29150572106263</v>
      </c>
      <c r="S73">
        <v>-214.38987211455682</v>
      </c>
      <c r="T73">
        <v>-214.38987211455682</v>
      </c>
      <c r="U73">
        <v>-231.6014204723555</v>
      </c>
      <c r="V73">
        <v>-231.6014204723555</v>
      </c>
      <c r="W73">
        <v>-246.25657117427298</v>
      </c>
      <c r="X73">
        <v>-246.25657117427298</v>
      </c>
      <c r="Y73">
        <v>-246.25657117427298</v>
      </c>
      <c r="Z73">
        <v>-246.25657117427298</v>
      </c>
      <c r="AA73">
        <v>-246.25657117427298</v>
      </c>
    </row>
    <row r="74" spans="1:27" x14ac:dyDescent="0.2">
      <c r="A74" t="s">
        <v>944</v>
      </c>
      <c r="B74" t="s">
        <v>945</v>
      </c>
      <c r="C74">
        <v>-0.5510842665523723</v>
      </c>
      <c r="D74">
        <v>-1.0061650686903938</v>
      </c>
      <c r="E74">
        <v>-1.0061650686903933</v>
      </c>
      <c r="F74">
        <v>-1.1881974079600985</v>
      </c>
      <c r="G74">
        <v>-2.7311670780718926</v>
      </c>
      <c r="H74">
        <v>-2.7311670780718944</v>
      </c>
      <c r="I74">
        <v>-2.7311670780718944</v>
      </c>
      <c r="J74">
        <v>-3.5919149307174441</v>
      </c>
      <c r="K74">
        <v>-3.5919149307174441</v>
      </c>
      <c r="L74">
        <v>-4.6815190031861151</v>
      </c>
      <c r="M74">
        <v>-5.3967136675598795</v>
      </c>
      <c r="N74">
        <v>-6.0219409878953361</v>
      </c>
      <c r="O74">
        <v>-6.0219409878953361</v>
      </c>
      <c r="P74">
        <v>-6.0219409878953361</v>
      </c>
      <c r="Q74">
        <v>-6.5708323534547839</v>
      </c>
      <c r="R74">
        <v>-6.5708323534547839</v>
      </c>
      <c r="S74">
        <v>-7.1766727896275135</v>
      </c>
      <c r="T74">
        <v>-7.1766727896275135</v>
      </c>
      <c r="U74">
        <v>-7.7528271086187077</v>
      </c>
      <c r="V74">
        <v>-7.7528271086187077</v>
      </c>
      <c r="W74">
        <v>-8.2434063520922169</v>
      </c>
      <c r="X74">
        <v>-8.2434063520922169</v>
      </c>
      <c r="Y74">
        <v>-8.2434063520922169</v>
      </c>
      <c r="Z74">
        <v>-8.2434063520922169</v>
      </c>
      <c r="AA74">
        <v>-8.2434063520922169</v>
      </c>
    </row>
    <row r="75" spans="1:27" x14ac:dyDescent="0.2">
      <c r="A75" t="s">
        <v>746</v>
      </c>
      <c r="B75" t="s">
        <v>747</v>
      </c>
      <c r="C75">
        <v>-675.67908179270216</v>
      </c>
      <c r="D75">
        <v>-1233.6492456911892</v>
      </c>
      <c r="E75">
        <v>-1233.6492456911888</v>
      </c>
      <c r="F75">
        <v>-1456.8373338284196</v>
      </c>
      <c r="G75">
        <v>-3348.6575021983449</v>
      </c>
      <c r="H75">
        <v>-3348.6575021983467</v>
      </c>
      <c r="I75">
        <v>-3348.6575021983467</v>
      </c>
      <c r="J75">
        <v>-4404.0121077091426</v>
      </c>
      <c r="K75">
        <v>-4404.0121077091426</v>
      </c>
      <c r="L75">
        <v>-5739.9651077994722</v>
      </c>
      <c r="M75">
        <v>-6616.858358899357</v>
      </c>
      <c r="N75">
        <v>-7383.4435208363384</v>
      </c>
      <c r="O75">
        <v>-7383.4435208363384</v>
      </c>
      <c r="P75">
        <v>-7383.4435208363384</v>
      </c>
      <c r="Q75">
        <v>-8056.4339079605616</v>
      </c>
      <c r="R75">
        <v>-8056.4339079605616</v>
      </c>
      <c r="S75">
        <v>-8799.2489989937894</v>
      </c>
      <c r="T75">
        <v>-8799.2489989937894</v>
      </c>
      <c r="U75">
        <v>-9505.6662292702658</v>
      </c>
      <c r="V75">
        <v>-9505.6662292702658</v>
      </c>
      <c r="W75">
        <v>-10107.160688276452</v>
      </c>
      <c r="X75">
        <v>-10107.160688276452</v>
      </c>
      <c r="Y75">
        <v>-10107.160688276452</v>
      </c>
      <c r="Z75">
        <v>-10107.160688276452</v>
      </c>
      <c r="AA75">
        <v>-10107.160688276452</v>
      </c>
    </row>
    <row r="76" spans="1:27" x14ac:dyDescent="0.2">
      <c r="A76" t="s">
        <v>820</v>
      </c>
      <c r="B76" t="s">
        <v>821</v>
      </c>
      <c r="C76">
        <v>-252.32226007278402</v>
      </c>
      <c r="D76">
        <v>-460.68788304650474</v>
      </c>
      <c r="E76">
        <v>-460.68788304650451</v>
      </c>
      <c r="F76">
        <v>-544.03414066734831</v>
      </c>
      <c r="G76">
        <v>-1250.5061232953742</v>
      </c>
      <c r="H76">
        <v>-1250.5061232953749</v>
      </c>
      <c r="I76">
        <v>-1250.5061232953749</v>
      </c>
      <c r="J76">
        <v>-1644.6125362602249</v>
      </c>
      <c r="K76">
        <v>-1644.6125362602249</v>
      </c>
      <c r="L76">
        <v>-2143.5042282147015</v>
      </c>
      <c r="M76">
        <v>-2470.9669141588201</v>
      </c>
      <c r="N76">
        <v>-2757.2366919429774</v>
      </c>
      <c r="O76">
        <v>-2757.2366919429774</v>
      </c>
      <c r="P76">
        <v>-2757.2366919429774</v>
      </c>
      <c r="Q76">
        <v>-3008.5548991544588</v>
      </c>
      <c r="R76">
        <v>-3008.5548991544588</v>
      </c>
      <c r="S76">
        <v>-3285.9480990273801</v>
      </c>
      <c r="T76">
        <v>-3285.9480990273801</v>
      </c>
      <c r="U76">
        <v>-3549.7490614973149</v>
      </c>
      <c r="V76">
        <v>-3549.7490614973149</v>
      </c>
      <c r="W76">
        <v>-3774.3681823305692</v>
      </c>
      <c r="X76">
        <v>-3774.3681823305692</v>
      </c>
      <c r="Y76">
        <v>-3774.3681823305692</v>
      </c>
      <c r="Z76">
        <v>-3774.3681823305692</v>
      </c>
      <c r="AA76">
        <v>-3774.3681823305692</v>
      </c>
    </row>
    <row r="77" spans="1:27" x14ac:dyDescent="0.2">
      <c r="A77" t="s">
        <v>928</v>
      </c>
      <c r="B77" t="s">
        <v>929</v>
      </c>
      <c r="C77">
        <v>-11.360838648072114</v>
      </c>
      <c r="D77">
        <v>-20.742524678177553</v>
      </c>
      <c r="E77">
        <v>-20.742524678177542</v>
      </c>
      <c r="F77">
        <v>-24.495199469842468</v>
      </c>
      <c r="G77">
        <v>-56.304181371421109</v>
      </c>
      <c r="H77">
        <v>-56.304181371421144</v>
      </c>
      <c r="I77">
        <v>-56.304181371421144</v>
      </c>
      <c r="J77">
        <v>-74.04886773628094</v>
      </c>
      <c r="K77">
        <v>-74.04886773628094</v>
      </c>
      <c r="L77">
        <v>-96.511523284481797</v>
      </c>
      <c r="M77">
        <v>-111.25556821021414</v>
      </c>
      <c r="N77">
        <v>-124.14489772988129</v>
      </c>
      <c r="O77">
        <v>-124.14489772988129</v>
      </c>
      <c r="P77">
        <v>-124.14489772988129</v>
      </c>
      <c r="Q77">
        <v>-135.46052878291957</v>
      </c>
      <c r="R77">
        <v>-135.46052878291957</v>
      </c>
      <c r="S77">
        <v>-147.95018936585674</v>
      </c>
      <c r="T77">
        <v>-147.95018936585674</v>
      </c>
      <c r="U77">
        <v>-159.82785790355356</v>
      </c>
      <c r="V77">
        <v>-159.82785790355356</v>
      </c>
      <c r="W77">
        <v>-169.94135953564228</v>
      </c>
      <c r="X77">
        <v>-169.94135953564228</v>
      </c>
      <c r="Y77">
        <v>-169.94135953564228</v>
      </c>
      <c r="Z77">
        <v>-169.94135953564228</v>
      </c>
      <c r="AA77">
        <v>-169.94135953564228</v>
      </c>
    </row>
    <row r="78" spans="1:27" x14ac:dyDescent="0.2">
      <c r="A78" t="s">
        <v>659</v>
      </c>
      <c r="B78" t="s">
        <v>660</v>
      </c>
      <c r="C78">
        <v>-2373.2676269156827</v>
      </c>
      <c r="D78">
        <v>-4333.0922869476835</v>
      </c>
      <c r="E78">
        <v>-4333.0922869476817</v>
      </c>
      <c r="F78">
        <v>-5117.0222302632874</v>
      </c>
      <c r="G78">
        <v>-11761.886164227704</v>
      </c>
      <c r="H78">
        <v>-11761.886164227712</v>
      </c>
      <c r="I78">
        <v>-11761.886164227712</v>
      </c>
      <c r="J78">
        <v>-15468.733079674419</v>
      </c>
      <c r="K78">
        <v>-15468.733079674419</v>
      </c>
      <c r="L78">
        <v>-20161.158954074945</v>
      </c>
      <c r="M78">
        <v>-23241.174927892942</v>
      </c>
      <c r="N78">
        <v>-25933.742741701801</v>
      </c>
      <c r="O78">
        <v>-25933.742741701801</v>
      </c>
      <c r="P78">
        <v>-25933.742741701801</v>
      </c>
      <c r="Q78">
        <v>-28297.566548041552</v>
      </c>
      <c r="R78">
        <v>-28297.566548041552</v>
      </c>
      <c r="S78">
        <v>-30906.643927877387</v>
      </c>
      <c r="T78">
        <v>-30906.643927877387</v>
      </c>
      <c r="U78">
        <v>-33387.876792542207</v>
      </c>
      <c r="V78">
        <v>-33387.876792542207</v>
      </c>
      <c r="W78">
        <v>-35500.576986754379</v>
      </c>
      <c r="X78">
        <v>-35500.576986754379</v>
      </c>
      <c r="Y78">
        <v>-35500.576986754379</v>
      </c>
      <c r="Z78">
        <v>-35500.576986754379</v>
      </c>
      <c r="AA78">
        <v>-35500.576986754379</v>
      </c>
    </row>
    <row r="79" spans="1:27" x14ac:dyDescent="0.2">
      <c r="A79" t="s">
        <v>475</v>
      </c>
      <c r="B79" t="s">
        <v>476</v>
      </c>
      <c r="C79">
        <v>-893.84699383210466</v>
      </c>
      <c r="D79">
        <v>-1631.9784042724273</v>
      </c>
      <c r="E79">
        <v>-1631.9784042724266</v>
      </c>
      <c r="F79">
        <v>-1927.2309983164787</v>
      </c>
      <c r="G79">
        <v>-4429.895082398928</v>
      </c>
      <c r="H79">
        <v>-4429.8950823989308</v>
      </c>
      <c r="I79">
        <v>-4429.8950823989308</v>
      </c>
      <c r="J79">
        <v>-5826.0098460229183</v>
      </c>
      <c r="K79">
        <v>-5826.0098460229183</v>
      </c>
      <c r="L79">
        <v>-7593.3245449824517</v>
      </c>
      <c r="M79">
        <v>-8753.3551238893833</v>
      </c>
      <c r="N79">
        <v>-9767.4605786500651</v>
      </c>
      <c r="O79">
        <v>-9767.4605786500651</v>
      </c>
      <c r="P79">
        <v>-9767.4605786500651</v>
      </c>
      <c r="Q79">
        <v>-10657.750733575191</v>
      </c>
      <c r="R79">
        <v>-10657.750733575191</v>
      </c>
      <c r="S79">
        <v>-11640.411073350035</v>
      </c>
      <c r="T79">
        <v>-11640.411073350035</v>
      </c>
      <c r="U79">
        <v>-12574.921160592239</v>
      </c>
      <c r="V79">
        <v>-12574.921160592239</v>
      </c>
      <c r="W79">
        <v>-13370.630290084418</v>
      </c>
      <c r="X79">
        <v>-13370.630290084418</v>
      </c>
      <c r="Y79">
        <v>-13370.630290084418</v>
      </c>
      <c r="Z79">
        <v>-13370.630290084418</v>
      </c>
      <c r="AA79">
        <v>-13370.630290084418</v>
      </c>
    </row>
    <row r="80" spans="1:27" x14ac:dyDescent="0.2">
      <c r="A80" t="s">
        <v>892</v>
      </c>
      <c r="B80" t="s">
        <v>893</v>
      </c>
      <c r="C80">
        <v>-53.915014189339061</v>
      </c>
      <c r="D80">
        <v>-98.437584318340342</v>
      </c>
      <c r="E80">
        <v>-98.437584318340299</v>
      </c>
      <c r="F80">
        <v>-116.24661417151256</v>
      </c>
      <c r="G80">
        <v>-267.20216980411254</v>
      </c>
      <c r="H80">
        <v>-267.20216980411271</v>
      </c>
      <c r="I80">
        <v>-267.20216980411271</v>
      </c>
      <c r="J80">
        <v>-351.41294391885077</v>
      </c>
      <c r="K80">
        <v>-351.41294391885077</v>
      </c>
      <c r="L80">
        <v>-458.01373547370662</v>
      </c>
      <c r="M80">
        <v>-527.98439661974862</v>
      </c>
      <c r="N80">
        <v>-589.15315409187838</v>
      </c>
      <c r="O80">
        <v>-589.15315409187838</v>
      </c>
      <c r="P80">
        <v>-589.15315409187838</v>
      </c>
      <c r="Q80">
        <v>-642.8536270661524</v>
      </c>
      <c r="R80">
        <v>-642.8536270661524</v>
      </c>
      <c r="S80">
        <v>-702.12567980878657</v>
      </c>
      <c r="T80">
        <v>-702.12567980878657</v>
      </c>
      <c r="U80">
        <v>-758.49340824711453</v>
      </c>
      <c r="V80">
        <v>-758.49340824711453</v>
      </c>
      <c r="W80">
        <v>-806.48894809139324</v>
      </c>
      <c r="X80">
        <v>-806.48894809139324</v>
      </c>
      <c r="Y80">
        <v>-806.48894809139324</v>
      </c>
      <c r="Z80">
        <v>-806.48894809139324</v>
      </c>
      <c r="AA80">
        <v>-806.48894809139324</v>
      </c>
    </row>
    <row r="81" spans="1:27" x14ac:dyDescent="0.2">
      <c r="A81" t="s">
        <v>625</v>
      </c>
      <c r="B81" t="s">
        <v>626</v>
      </c>
      <c r="C81">
        <v>-628.48112300275318</v>
      </c>
      <c r="D81">
        <v>-1147.4756052332064</v>
      </c>
      <c r="E81">
        <v>-1147.4756052332059</v>
      </c>
      <c r="F81">
        <v>-1355.0734191261017</v>
      </c>
      <c r="G81">
        <v>-3114.7449791540093</v>
      </c>
      <c r="H81">
        <v>-3114.7449791540112</v>
      </c>
      <c r="I81">
        <v>-3114.7449791540112</v>
      </c>
      <c r="J81">
        <v>-4096.3802931817481</v>
      </c>
      <c r="K81">
        <v>-4096.3802931817481</v>
      </c>
      <c r="L81">
        <v>-5339.0134668298015</v>
      </c>
      <c r="M81">
        <v>-6154.6534208484918</v>
      </c>
      <c r="N81">
        <v>-6867.6905954982358</v>
      </c>
      <c r="O81">
        <v>-6867.6905954982358</v>
      </c>
      <c r="P81">
        <v>-6867.6905954982358</v>
      </c>
      <c r="Q81">
        <v>-7493.670836217977</v>
      </c>
      <c r="R81">
        <v>-7493.670836217977</v>
      </c>
      <c r="S81">
        <v>-8184.5983418576789</v>
      </c>
      <c r="T81">
        <v>-8184.5983418576789</v>
      </c>
      <c r="U81">
        <v>-8841.6704729272387</v>
      </c>
      <c r="V81">
        <v>-8841.6704729272387</v>
      </c>
      <c r="W81">
        <v>-9401.1489639190895</v>
      </c>
      <c r="X81">
        <v>-9401.1489639190895</v>
      </c>
      <c r="Y81">
        <v>-9401.1489639190895</v>
      </c>
      <c r="Z81">
        <v>-9401.1489639190895</v>
      </c>
      <c r="AA81">
        <v>-9401.1489639190895</v>
      </c>
    </row>
    <row r="82" spans="1:27" x14ac:dyDescent="0.2">
      <c r="A82" t="s">
        <v>645</v>
      </c>
      <c r="B82" t="s">
        <v>646</v>
      </c>
      <c r="C82">
        <v>-163.84530336175317</v>
      </c>
      <c r="D82">
        <v>-299.1473916374452</v>
      </c>
      <c r="E82">
        <v>-299.14739163744508</v>
      </c>
      <c r="F82">
        <v>-353.26823242261742</v>
      </c>
      <c r="G82">
        <v>-812.01537695468778</v>
      </c>
      <c r="H82">
        <v>-812.01537695468824</v>
      </c>
      <c r="I82">
        <v>-812.01537695468824</v>
      </c>
      <c r="J82">
        <v>-1067.9281322162012</v>
      </c>
      <c r="K82">
        <v>-1067.9281322162012</v>
      </c>
      <c r="L82">
        <v>-1391.8831435154848</v>
      </c>
      <c r="M82">
        <v>-1604.5208358962204</v>
      </c>
      <c r="N82">
        <v>-1790.4099388664347</v>
      </c>
      <c r="O82">
        <v>-1790.4099388664347</v>
      </c>
      <c r="P82">
        <v>-1790.4099388664347</v>
      </c>
      <c r="Q82">
        <v>-1953.6032611243252</v>
      </c>
      <c r="R82">
        <v>-1953.6032611243252</v>
      </c>
      <c r="S82">
        <v>-2133.7283637235014</v>
      </c>
      <c r="T82">
        <v>-2133.7283637235014</v>
      </c>
      <c r="U82">
        <v>-2305.0273553802072</v>
      </c>
      <c r="V82">
        <v>-2305.0273553802072</v>
      </c>
      <c r="W82">
        <v>-2450.8836424282022</v>
      </c>
      <c r="X82">
        <v>-2450.8836424282022</v>
      </c>
      <c r="Y82">
        <v>-2450.8836424282022</v>
      </c>
      <c r="Z82">
        <v>-2450.8836424282022</v>
      </c>
      <c r="AA82">
        <v>-2450.8836424282022</v>
      </c>
    </row>
    <row r="83" spans="1:27" x14ac:dyDescent="0.2">
      <c r="A83" t="s">
        <v>848</v>
      </c>
      <c r="B83" t="s">
        <v>849</v>
      </c>
      <c r="C83">
        <v>-157.30460263771096</v>
      </c>
      <c r="D83">
        <v>-287.20543467601601</v>
      </c>
      <c r="E83">
        <v>-287.2054346760159</v>
      </c>
      <c r="F83">
        <v>-339.1657727476757</v>
      </c>
      <c r="G83">
        <v>-779.59974187081559</v>
      </c>
      <c r="H83">
        <v>-779.59974187081605</v>
      </c>
      <c r="I83">
        <v>-779.59974187081605</v>
      </c>
      <c r="J83">
        <v>-1025.2964658559554</v>
      </c>
      <c r="K83">
        <v>-1025.2964658559554</v>
      </c>
      <c r="L83">
        <v>-1336.3192005901669</v>
      </c>
      <c r="M83">
        <v>-1540.4684012047235</v>
      </c>
      <c r="N83">
        <v>-1718.9368154799167</v>
      </c>
      <c r="O83">
        <v>-1718.9368154799167</v>
      </c>
      <c r="P83">
        <v>-1718.9368154799167</v>
      </c>
      <c r="Q83">
        <v>-1875.6154640843654</v>
      </c>
      <c r="R83">
        <v>-1875.6154640843654</v>
      </c>
      <c r="S83">
        <v>-2048.5499767501369</v>
      </c>
      <c r="T83">
        <v>-2048.5499767501369</v>
      </c>
      <c r="U83">
        <v>-2213.010716618307</v>
      </c>
      <c r="V83">
        <v>-2213.010716618307</v>
      </c>
      <c r="W83">
        <v>-2353.0444240578122</v>
      </c>
      <c r="X83">
        <v>-2353.0444240578122</v>
      </c>
      <c r="Y83">
        <v>-2353.0444240578122</v>
      </c>
      <c r="Z83">
        <v>-2353.0444240578122</v>
      </c>
      <c r="AA83">
        <v>-2353.0444240578122</v>
      </c>
    </row>
    <row r="84" spans="1:27" x14ac:dyDescent="0.2">
      <c r="A84" t="s">
        <v>824</v>
      </c>
      <c r="B84" t="s">
        <v>825</v>
      </c>
      <c r="C84">
        <v>-184.01461199027074</v>
      </c>
      <c r="D84">
        <v>-335.97234751689513</v>
      </c>
      <c r="E84">
        <v>-335.97234751689501</v>
      </c>
      <c r="F84">
        <v>-396.75544787639831</v>
      </c>
      <c r="G84">
        <v>-911.97423090328527</v>
      </c>
      <c r="H84">
        <v>-911.97423090328584</v>
      </c>
      <c r="I84">
        <v>-911.97423090328584</v>
      </c>
      <c r="J84">
        <v>-1199.3897710291749</v>
      </c>
      <c r="K84">
        <v>-1199.3897710291749</v>
      </c>
      <c r="L84">
        <v>-1563.2235488880581</v>
      </c>
      <c r="M84">
        <v>-1802.0368786272459</v>
      </c>
      <c r="N84">
        <v>-2010.8088754708754</v>
      </c>
      <c r="O84">
        <v>-2010.8088754708754</v>
      </c>
      <c r="P84">
        <v>-2010.8088754708754</v>
      </c>
      <c r="Q84">
        <v>-2194.0912476752587</v>
      </c>
      <c r="R84">
        <v>-2194.0912476752587</v>
      </c>
      <c r="S84">
        <v>-2396.3896973983674</v>
      </c>
      <c r="T84">
        <v>-2396.3896973983674</v>
      </c>
      <c r="U84">
        <v>-2588.775544519277</v>
      </c>
      <c r="V84">
        <v>-2588.775544519277</v>
      </c>
      <c r="W84">
        <v>-2752.5866975812551</v>
      </c>
      <c r="X84">
        <v>-2752.5866975812551</v>
      </c>
      <c r="Y84">
        <v>-2752.5866975812551</v>
      </c>
      <c r="Z84">
        <v>-2752.5866975812551</v>
      </c>
      <c r="AA84">
        <v>-2752.5866975812551</v>
      </c>
    </row>
    <row r="85" spans="1:27" x14ac:dyDescent="0.2">
      <c r="A85" t="s">
        <v>621</v>
      </c>
      <c r="B85" t="s">
        <v>622</v>
      </c>
      <c r="C85">
        <v>-1134.7729675466953</v>
      </c>
      <c r="D85">
        <v>-2071.8590425065504</v>
      </c>
      <c r="E85">
        <v>-2071.8590425065495</v>
      </c>
      <c r="F85">
        <v>-2446.6935104089625</v>
      </c>
      <c r="G85">
        <v>-5623.9213458926451</v>
      </c>
      <c r="H85">
        <v>-5623.9213458926479</v>
      </c>
      <c r="I85">
        <v>-5623.9213458926479</v>
      </c>
      <c r="J85">
        <v>-7396.3424697376167</v>
      </c>
      <c r="K85">
        <v>-7396.3424697376167</v>
      </c>
      <c r="L85">
        <v>-9640.0161178742073</v>
      </c>
      <c r="M85">
        <v>-11112.71933392193</v>
      </c>
      <c r="N85">
        <v>-12400.165020090704</v>
      </c>
      <c r="O85">
        <v>-12400.165020090704</v>
      </c>
      <c r="P85">
        <v>-12400.165020090704</v>
      </c>
      <c r="Q85">
        <v>-13530.422444519383</v>
      </c>
      <c r="R85">
        <v>-13530.422444519383</v>
      </c>
      <c r="S85">
        <v>-14777.94735376151</v>
      </c>
      <c r="T85">
        <v>-14777.94735376151</v>
      </c>
      <c r="U85">
        <v>-15964.343674630434</v>
      </c>
      <c r="V85">
        <v>-15964.343674630434</v>
      </c>
      <c r="W85">
        <v>-16974.526867513046</v>
      </c>
      <c r="X85">
        <v>-16974.526867513046</v>
      </c>
      <c r="Y85">
        <v>-16974.526867513046</v>
      </c>
      <c r="Z85">
        <v>-16974.526867513046</v>
      </c>
      <c r="AA85">
        <v>-16974.526867513046</v>
      </c>
    </row>
    <row r="86" spans="1:27" x14ac:dyDescent="0.2">
      <c r="A86" t="s">
        <v>340</v>
      </c>
      <c r="B86" t="s">
        <v>341</v>
      </c>
      <c r="C86">
        <v>-209.43863203254918</v>
      </c>
      <c r="D86">
        <v>-382.39131177486672</v>
      </c>
      <c r="E86">
        <v>-382.39131177486655</v>
      </c>
      <c r="F86">
        <v>-451.57239067019145</v>
      </c>
      <c r="G86">
        <v>-1037.9753721917418</v>
      </c>
      <c r="H86">
        <v>-1037.9753721917423</v>
      </c>
      <c r="I86">
        <v>-1037.9753721917423</v>
      </c>
      <c r="J86">
        <v>-1365.1011199668437</v>
      </c>
      <c r="K86">
        <v>-1365.1011199668437</v>
      </c>
      <c r="L86">
        <v>-1779.2032822778879</v>
      </c>
      <c r="M86">
        <v>-2051.0117900411633</v>
      </c>
      <c r="N86">
        <v>-2288.6283627291259</v>
      </c>
      <c r="O86">
        <v>-2288.6283627291259</v>
      </c>
      <c r="P86">
        <v>-2288.6283627291259</v>
      </c>
      <c r="Q86">
        <v>-2497.2335864936176</v>
      </c>
      <c r="R86">
        <v>-2497.2335864936176</v>
      </c>
      <c r="S86">
        <v>-2727.4822070463892</v>
      </c>
      <c r="T86">
        <v>-2727.4822070463892</v>
      </c>
      <c r="U86">
        <v>-2946.4486695877272</v>
      </c>
      <c r="V86">
        <v>-2946.4486695877272</v>
      </c>
      <c r="W86">
        <v>-3132.8924711853369</v>
      </c>
      <c r="X86">
        <v>-3132.8924711853369</v>
      </c>
      <c r="Y86">
        <v>-3132.8924711853369</v>
      </c>
      <c r="Z86">
        <v>-3132.8924711853369</v>
      </c>
      <c r="AA86">
        <v>-3132.8924711853369</v>
      </c>
    </row>
    <row r="87" spans="1:27" x14ac:dyDescent="0.2">
      <c r="A87" t="s">
        <v>689</v>
      </c>
      <c r="B87" t="s">
        <v>305</v>
      </c>
      <c r="C87">
        <v>-75.210597295151203</v>
      </c>
      <c r="D87">
        <v>-137.31888276750439</v>
      </c>
      <c r="E87">
        <v>-137.31888276750433</v>
      </c>
      <c r="F87">
        <v>-162.16219946960987</v>
      </c>
      <c r="G87">
        <v>-372.74282668187647</v>
      </c>
      <c r="H87">
        <v>-372.74282668187669</v>
      </c>
      <c r="I87">
        <v>-372.74282668187669</v>
      </c>
      <c r="J87">
        <v>-490.21553284892576</v>
      </c>
      <c r="K87">
        <v>-490.21553284892576</v>
      </c>
      <c r="L87">
        <v>-638.92196139257192</v>
      </c>
      <c r="M87">
        <v>-736.52993381096803</v>
      </c>
      <c r="N87">
        <v>-821.85938896282835</v>
      </c>
      <c r="O87">
        <v>-821.85938896282835</v>
      </c>
      <c r="P87">
        <v>-821.85938896282835</v>
      </c>
      <c r="Q87">
        <v>-896.77070463537257</v>
      </c>
      <c r="R87">
        <v>-896.77070463537257</v>
      </c>
      <c r="S87">
        <v>-979.45428650420024</v>
      </c>
      <c r="T87">
        <v>-979.45428650420024</v>
      </c>
      <c r="U87">
        <v>-1058.0863816220722</v>
      </c>
      <c r="V87">
        <v>-1058.0863816220722</v>
      </c>
      <c r="W87">
        <v>-1125.0394052550553</v>
      </c>
      <c r="X87">
        <v>-1125.0394052550553</v>
      </c>
      <c r="Y87">
        <v>-1125.0394052550553</v>
      </c>
      <c r="Z87">
        <v>-1125.0394052550553</v>
      </c>
      <c r="AA87">
        <v>-1125.0394052550553</v>
      </c>
    </row>
    <row r="88" spans="1:27" x14ac:dyDescent="0.2">
      <c r="A88" t="s">
        <v>632</v>
      </c>
      <c r="B88" t="s">
        <v>633</v>
      </c>
      <c r="C88">
        <v>-732.87967999779073</v>
      </c>
      <c r="D88">
        <v>-1338.0856219684731</v>
      </c>
      <c r="E88">
        <v>-1338.0856219684727</v>
      </c>
      <c r="F88">
        <v>-1580.168023245941</v>
      </c>
      <c r="G88">
        <v>-3632.1429873512934</v>
      </c>
      <c r="H88">
        <v>-3632.1429873512957</v>
      </c>
      <c r="I88">
        <v>-3632.1429873512957</v>
      </c>
      <c r="J88">
        <v>-4776.8401763168704</v>
      </c>
      <c r="K88">
        <v>-4776.8401763168704</v>
      </c>
      <c r="L88">
        <v>-6225.8902262319489</v>
      </c>
      <c r="M88">
        <v>-7177.0181545277555</v>
      </c>
      <c r="N88">
        <v>-8008.4997014787587</v>
      </c>
      <c r="O88">
        <v>-8008.4997014787587</v>
      </c>
      <c r="P88">
        <v>-8008.4997014787587</v>
      </c>
      <c r="Q88">
        <v>-8738.4630714392188</v>
      </c>
      <c r="R88">
        <v>-8738.4630714392188</v>
      </c>
      <c r="S88">
        <v>-9544.1622574634221</v>
      </c>
      <c r="T88">
        <v>-9544.1622574634221</v>
      </c>
      <c r="U88">
        <v>-10310.382268739109</v>
      </c>
      <c r="V88">
        <v>-10310.382268739109</v>
      </c>
      <c r="W88">
        <v>-10962.797118503751</v>
      </c>
      <c r="X88">
        <v>-10962.797118503751</v>
      </c>
      <c r="Y88">
        <v>-10962.797118503751</v>
      </c>
      <c r="Z88">
        <v>-10962.797118503751</v>
      </c>
      <c r="AA88">
        <v>-10962.797118503751</v>
      </c>
    </row>
    <row r="89" spans="1:27" x14ac:dyDescent="0.2">
      <c r="A89" t="s">
        <v>501</v>
      </c>
      <c r="B89" t="s">
        <v>502</v>
      </c>
      <c r="C89">
        <v>-1307.1254148479932</v>
      </c>
      <c r="D89">
        <v>-2386.5387067669112</v>
      </c>
      <c r="E89">
        <v>-2386.5387067669103</v>
      </c>
      <c r="F89">
        <v>-2818.3040672121106</v>
      </c>
      <c r="G89">
        <v>-6478.0980271456019</v>
      </c>
      <c r="H89">
        <v>-6478.0980271456056</v>
      </c>
      <c r="I89">
        <v>-6478.0980271456056</v>
      </c>
      <c r="J89">
        <v>-8519.7193585031182</v>
      </c>
      <c r="K89">
        <v>-8519.7193585031182</v>
      </c>
      <c r="L89">
        <v>-11104.168346959808</v>
      </c>
      <c r="M89">
        <v>-12800.549788250302</v>
      </c>
      <c r="N89">
        <v>-14283.536275200053</v>
      </c>
      <c r="O89">
        <v>-14283.536275200053</v>
      </c>
      <c r="P89">
        <v>-14283.536275200053</v>
      </c>
      <c r="Q89">
        <v>-15585.460313790236</v>
      </c>
      <c r="R89">
        <v>-15585.460313790236</v>
      </c>
      <c r="S89">
        <v>-17022.46274613732</v>
      </c>
      <c r="T89">
        <v>-17022.46274613732</v>
      </c>
      <c r="U89">
        <v>-18389.05221155487</v>
      </c>
      <c r="V89">
        <v>-18389.05221155487</v>
      </c>
      <c r="W89">
        <v>-19552.664813222542</v>
      </c>
      <c r="X89">
        <v>-19552.664813222542</v>
      </c>
      <c r="Y89">
        <v>-19552.664813222542</v>
      </c>
      <c r="Z89">
        <v>-19552.664813222542</v>
      </c>
      <c r="AA89">
        <v>-19552.664813222542</v>
      </c>
    </row>
    <row r="90" spans="1:27" x14ac:dyDescent="0.2">
      <c r="A90" t="s">
        <v>432</v>
      </c>
      <c r="B90" t="s">
        <v>433</v>
      </c>
      <c r="C90">
        <v>-1400.5980075712948</v>
      </c>
      <c r="D90">
        <v>-2557.2001888420341</v>
      </c>
      <c r="E90">
        <v>-2557.2001888420332</v>
      </c>
      <c r="F90">
        <v>-3019.8411081513514</v>
      </c>
      <c r="G90">
        <v>-6941.3470862142158</v>
      </c>
      <c r="H90">
        <v>-6941.3470862142203</v>
      </c>
      <c r="I90">
        <v>-6941.3470862142203</v>
      </c>
      <c r="J90">
        <v>-9128.9648438009481</v>
      </c>
      <c r="K90">
        <v>-9128.9648438009481</v>
      </c>
      <c r="L90">
        <v>-11898.227886799032</v>
      </c>
      <c r="M90">
        <v>-13715.917635436264</v>
      </c>
      <c r="N90">
        <v>-15304.952547681865</v>
      </c>
      <c r="O90">
        <v>-15304.952547681865</v>
      </c>
      <c r="P90">
        <v>-15304.952547681865</v>
      </c>
      <c r="Q90">
        <v>-16699.977228363052</v>
      </c>
      <c r="R90">
        <v>-16699.977228363052</v>
      </c>
      <c r="S90">
        <v>-18239.739764350838</v>
      </c>
      <c r="T90">
        <v>-18239.739764350838</v>
      </c>
      <c r="U90">
        <v>-19704.054099218487</v>
      </c>
      <c r="V90">
        <v>-19704.054099218487</v>
      </c>
      <c r="W90">
        <v>-20950.876686376367</v>
      </c>
      <c r="X90">
        <v>-20950.876686376367</v>
      </c>
      <c r="Y90">
        <v>-20950.876686376367</v>
      </c>
      <c r="Z90">
        <v>-20950.876686376367</v>
      </c>
      <c r="AA90">
        <v>-20950.876686376367</v>
      </c>
    </row>
    <row r="91" spans="1:27" x14ac:dyDescent="0.2">
      <c r="A91" t="s">
        <v>555</v>
      </c>
      <c r="B91" t="s">
        <v>556</v>
      </c>
      <c r="C91">
        <v>-598.92787444952751</v>
      </c>
      <c r="D91">
        <v>-1093.5175299163259</v>
      </c>
      <c r="E91">
        <v>-1093.5175299163254</v>
      </c>
      <c r="F91">
        <v>-1291.353412116237</v>
      </c>
      <c r="G91">
        <v>-2968.2794304211366</v>
      </c>
      <c r="H91">
        <v>-2968.2794304211379</v>
      </c>
      <c r="I91">
        <v>-2968.2794304211379</v>
      </c>
      <c r="J91">
        <v>-3903.7550248291686</v>
      </c>
      <c r="K91">
        <v>-3903.7550248291686</v>
      </c>
      <c r="L91">
        <v>-5087.955501460252</v>
      </c>
      <c r="M91">
        <v>-5865.2413834013469</v>
      </c>
      <c r="N91">
        <v>-6544.7492059689894</v>
      </c>
      <c r="O91">
        <v>-6544.7492059689894</v>
      </c>
      <c r="P91">
        <v>-6544.7492059689894</v>
      </c>
      <c r="Q91">
        <v>-7141.2937978421742</v>
      </c>
      <c r="R91">
        <v>-7141.2937978421742</v>
      </c>
      <c r="S91">
        <v>-7799.7316207227941</v>
      </c>
      <c r="T91">
        <v>-7799.7316207227941</v>
      </c>
      <c r="U91">
        <v>-8425.9060600460725</v>
      </c>
      <c r="V91">
        <v>-8425.9060600460725</v>
      </c>
      <c r="W91">
        <v>-8959.0760330899739</v>
      </c>
      <c r="X91">
        <v>-8959.0760330899739</v>
      </c>
      <c r="Y91">
        <v>-8959.0760330899739</v>
      </c>
      <c r="Z91">
        <v>-8959.0760330899739</v>
      </c>
      <c r="AA91">
        <v>-8959.0760330899739</v>
      </c>
    </row>
    <row r="92" spans="1:27" x14ac:dyDescent="0.2">
      <c r="A92" t="s">
        <v>756</v>
      </c>
      <c r="B92" t="s">
        <v>757</v>
      </c>
      <c r="C92">
        <v>-1189.2191232760283</v>
      </c>
      <c r="D92">
        <v>-2171.2663806293599</v>
      </c>
      <c r="E92">
        <v>-2171.266380629359</v>
      </c>
      <c r="F92">
        <v>-2564.0853233084827</v>
      </c>
      <c r="G92">
        <v>-5893.7558468589277</v>
      </c>
      <c r="H92">
        <v>-5893.7558468589314</v>
      </c>
      <c r="I92">
        <v>-5893.7558468589314</v>
      </c>
      <c r="J92">
        <v>-7751.2173437887932</v>
      </c>
      <c r="K92">
        <v>-7751.2173437887932</v>
      </c>
      <c r="L92">
        <v>-10102.541956784326</v>
      </c>
      <c r="M92">
        <v>-11645.905147062289</v>
      </c>
      <c r="N92">
        <v>-12995.12219219615</v>
      </c>
      <c r="O92">
        <v>-12995.12219219615</v>
      </c>
      <c r="P92">
        <v>-12995.12219219615</v>
      </c>
      <c r="Q92">
        <v>-14179.609117595159</v>
      </c>
      <c r="R92">
        <v>-14179.609117595159</v>
      </c>
      <c r="S92">
        <v>-15486.989995764414</v>
      </c>
      <c r="T92">
        <v>-15486.989995764414</v>
      </c>
      <c r="U92">
        <v>-16730.309349424984</v>
      </c>
      <c r="V92">
        <v>-16730.309349424984</v>
      </c>
      <c r="W92">
        <v>-17788.960908234349</v>
      </c>
      <c r="X92">
        <v>-17788.960908234349</v>
      </c>
      <c r="Y92">
        <v>-17788.960908234349</v>
      </c>
      <c r="Z92">
        <v>-17788.960908234349</v>
      </c>
      <c r="AA92">
        <v>-17788.960908234349</v>
      </c>
    </row>
    <row r="93" spans="1:27" x14ac:dyDescent="0.2">
      <c r="A93" t="s">
        <v>651</v>
      </c>
      <c r="B93" t="s">
        <v>652</v>
      </c>
      <c r="C93">
        <v>-1625.0394196832522</v>
      </c>
      <c r="D93">
        <v>-2966.9834516584028</v>
      </c>
      <c r="E93">
        <v>-2966.9834516584019</v>
      </c>
      <c r="F93">
        <v>-3503.7611187492007</v>
      </c>
      <c r="G93">
        <v>-8053.6760582442839</v>
      </c>
      <c r="H93">
        <v>-8053.6760582442885</v>
      </c>
      <c r="I93">
        <v>-8053.6760582442885</v>
      </c>
      <c r="J93">
        <v>-10591.85265999599</v>
      </c>
      <c r="K93">
        <v>-10591.85265999599</v>
      </c>
      <c r="L93">
        <v>-13804.881369173852</v>
      </c>
      <c r="M93">
        <v>-15913.850165589398</v>
      </c>
      <c r="N93">
        <v>-17757.522909440973</v>
      </c>
      <c r="O93">
        <v>-17757.522909440973</v>
      </c>
      <c r="P93">
        <v>-17757.522909440973</v>
      </c>
      <c r="Q93">
        <v>-19376.095894182687</v>
      </c>
      <c r="R93">
        <v>-19376.095894182687</v>
      </c>
      <c r="S93">
        <v>-21162.600518925439</v>
      </c>
      <c r="T93">
        <v>-21162.600518925439</v>
      </c>
      <c r="U93">
        <v>-22861.566606342258</v>
      </c>
      <c r="V93">
        <v>-22861.566606342258</v>
      </c>
      <c r="W93">
        <v>-24308.188579620964</v>
      </c>
      <c r="X93">
        <v>-24308.188579620964</v>
      </c>
      <c r="Y93">
        <v>-24308.188579620964</v>
      </c>
      <c r="Z93">
        <v>-24308.188579620964</v>
      </c>
      <c r="AA93">
        <v>-24308.188579620964</v>
      </c>
    </row>
    <row r="94" spans="1:27" x14ac:dyDescent="0.2">
      <c r="A94" t="s">
        <v>619</v>
      </c>
      <c r="B94" t="s">
        <v>620</v>
      </c>
      <c r="C94">
        <v>-517.73988571350867</v>
      </c>
      <c r="D94">
        <v>-945.28517558971589</v>
      </c>
      <c r="E94">
        <v>-945.28517558971555</v>
      </c>
      <c r="F94">
        <v>-1116.3033088404916</v>
      </c>
      <c r="G94">
        <v>-2565.9127227706044</v>
      </c>
      <c r="H94">
        <v>-2565.9127227706058</v>
      </c>
      <c r="I94">
        <v>-2565.9127227706058</v>
      </c>
      <c r="J94">
        <v>-3374.5794220484431</v>
      </c>
      <c r="K94">
        <v>-3374.5794220484431</v>
      </c>
      <c r="L94">
        <v>-4398.2549689519246</v>
      </c>
      <c r="M94">
        <v>-5070.1754469440029</v>
      </c>
      <c r="N94">
        <v>-5657.5722227593751</v>
      </c>
      <c r="O94">
        <v>-5657.5722227593751</v>
      </c>
      <c r="P94">
        <v>-5657.5722227593751</v>
      </c>
      <c r="Q94">
        <v>-6173.2518930423812</v>
      </c>
      <c r="R94">
        <v>-6173.2518930423812</v>
      </c>
      <c r="S94">
        <v>-6742.4348242609085</v>
      </c>
      <c r="T94">
        <v>-6742.4348242609085</v>
      </c>
      <c r="U94">
        <v>-7283.727852156665</v>
      </c>
      <c r="V94">
        <v>-7283.727852156665</v>
      </c>
      <c r="W94">
        <v>-7744.62368400175</v>
      </c>
      <c r="X94">
        <v>-7744.62368400175</v>
      </c>
      <c r="Y94">
        <v>-7744.62368400175</v>
      </c>
      <c r="Z94">
        <v>-7744.62368400175</v>
      </c>
      <c r="AA94">
        <v>-7744.62368400175</v>
      </c>
    </row>
    <row r="95" spans="1:27" x14ac:dyDescent="0.2">
      <c r="A95" t="s">
        <v>481</v>
      </c>
      <c r="B95" t="s">
        <v>85</v>
      </c>
      <c r="C95">
        <v>-2785.608327046134</v>
      </c>
      <c r="D95">
        <v>-5085.9405064516459</v>
      </c>
      <c r="E95">
        <v>-5085.9405064516441</v>
      </c>
      <c r="F95">
        <v>-6006.0734712950307</v>
      </c>
      <c r="G95">
        <v>-13805.441775406412</v>
      </c>
      <c r="H95">
        <v>-13805.44177540642</v>
      </c>
      <c r="I95">
        <v>-13805.44177540642</v>
      </c>
      <c r="J95">
        <v>-18156.330616448402</v>
      </c>
      <c r="K95">
        <v>-18156.330616448402</v>
      </c>
      <c r="L95">
        <v>-23664.036718167892</v>
      </c>
      <c r="M95">
        <v>-27279.186584452797</v>
      </c>
      <c r="N95">
        <v>-30439.571548296924</v>
      </c>
      <c r="O95">
        <v>-30439.571548296924</v>
      </c>
      <c r="P95">
        <v>-30439.571548296924</v>
      </c>
      <c r="Q95">
        <v>-33214.095248840298</v>
      </c>
      <c r="R95">
        <v>-33214.095248840298</v>
      </c>
      <c r="S95">
        <v>-36276.483827672346</v>
      </c>
      <c r="T95">
        <v>-36276.483827672346</v>
      </c>
      <c r="U95">
        <v>-39188.815690612471</v>
      </c>
      <c r="V95">
        <v>-39188.815690612471</v>
      </c>
      <c r="W95">
        <v>-41668.584591011539</v>
      </c>
      <c r="X95">
        <v>-41668.584591011539</v>
      </c>
      <c r="Y95">
        <v>-41668.584591011539</v>
      </c>
      <c r="Z95">
        <v>-41668.584591011539</v>
      </c>
      <c r="AA95">
        <v>-41668.584591011539</v>
      </c>
    </row>
    <row r="96" spans="1:27" x14ac:dyDescent="0.2">
      <c r="A96" t="s">
        <v>877</v>
      </c>
      <c r="B96" t="s">
        <v>303</v>
      </c>
      <c r="C96">
        <v>-636168.6938071741</v>
      </c>
      <c r="D96">
        <v>-1161511.5080450992</v>
      </c>
      <c r="E96">
        <v>-1161511.5080450987</v>
      </c>
      <c r="F96">
        <v>-1371648.654997864</v>
      </c>
      <c r="G96">
        <v>-3152844.4887312539</v>
      </c>
      <c r="H96">
        <v>-3152844.4887312558</v>
      </c>
      <c r="I96">
        <v>-3152844.4887312558</v>
      </c>
      <c r="J96">
        <v>-4146487.1498446991</v>
      </c>
      <c r="K96">
        <v>-4146487.1498446991</v>
      </c>
      <c r="L96">
        <v>-5404320.1921231737</v>
      </c>
      <c r="M96">
        <v>-6229937.040702316</v>
      </c>
      <c r="N96">
        <v>-6951696.0743955178</v>
      </c>
      <c r="O96">
        <v>-6951696.0743955178</v>
      </c>
      <c r="P96">
        <v>-6951696.0743955178</v>
      </c>
      <c r="Q96">
        <v>-7585333.2951685488</v>
      </c>
      <c r="R96">
        <v>-7585333.2951685488</v>
      </c>
      <c r="S96">
        <v>-8284712.214742451</v>
      </c>
      <c r="T96">
        <v>-8284712.214742451</v>
      </c>
      <c r="U96">
        <v>-8949821.6413588915</v>
      </c>
      <c r="V96">
        <v>-8949821.6413588915</v>
      </c>
      <c r="W96">
        <v>-9516143.6640904099</v>
      </c>
      <c r="X96">
        <v>-9516143.6640904099</v>
      </c>
      <c r="Y96">
        <v>-9516143.6640904099</v>
      </c>
      <c r="Z96">
        <v>-9516143.6640904099</v>
      </c>
      <c r="AA96">
        <v>-9516143.6640904099</v>
      </c>
    </row>
    <row r="97" spans="1:27" x14ac:dyDescent="0.2">
      <c r="A97" t="s">
        <v>527</v>
      </c>
      <c r="B97" t="s">
        <v>528</v>
      </c>
      <c r="C97">
        <v>-1011.6846691112489</v>
      </c>
      <c r="D97">
        <v>-1847.1254513534545</v>
      </c>
      <c r="E97">
        <v>-1847.1254513534536</v>
      </c>
      <c r="F97">
        <v>-2181.3017980558079</v>
      </c>
      <c r="G97">
        <v>-5013.8972011535552</v>
      </c>
      <c r="H97">
        <v>-5013.8972011535589</v>
      </c>
      <c r="I97">
        <v>-5013.8972011535589</v>
      </c>
      <c r="J97">
        <v>-6594.0646262549135</v>
      </c>
      <c r="K97">
        <v>-6594.0646262549135</v>
      </c>
      <c r="L97">
        <v>-8594.3680325089845</v>
      </c>
      <c r="M97">
        <v>-9907.3278125144989</v>
      </c>
      <c r="N97">
        <v>-11055.124861140232</v>
      </c>
      <c r="O97">
        <v>-11055.124861140232</v>
      </c>
      <c r="P97">
        <v>-11055.124861140232</v>
      </c>
      <c r="Q97">
        <v>-12062.78378600496</v>
      </c>
      <c r="R97">
        <v>-12062.78378600496</v>
      </c>
      <c r="S97">
        <v>-13174.990245895562</v>
      </c>
      <c r="T97">
        <v>-13174.990245895562</v>
      </c>
      <c r="U97">
        <v>-14232.698707093718</v>
      </c>
      <c r="V97">
        <v>-14232.698707093718</v>
      </c>
      <c r="W97">
        <v>-15133.307796718629</v>
      </c>
      <c r="X97">
        <v>-15133.307796718629</v>
      </c>
      <c r="Y97">
        <v>-15133.307796718629</v>
      </c>
      <c r="Z97">
        <v>-15133.307796718629</v>
      </c>
      <c r="AA97">
        <v>-15133.307796718629</v>
      </c>
    </row>
    <row r="98" spans="1:27" x14ac:dyDescent="0.2">
      <c r="A98" t="s">
        <v>505</v>
      </c>
      <c r="B98" t="s">
        <v>506</v>
      </c>
      <c r="C98">
        <v>-1644.1025869622495</v>
      </c>
      <c r="D98">
        <v>-3001.7888238653159</v>
      </c>
      <c r="E98">
        <v>-3001.788823865315</v>
      </c>
      <c r="F98">
        <v>-3544.8633735642761</v>
      </c>
      <c r="G98">
        <v>-8148.1528888057801</v>
      </c>
      <c r="H98">
        <v>-8148.1528888057856</v>
      </c>
      <c r="I98">
        <v>-8148.1528888057856</v>
      </c>
      <c r="J98">
        <v>-10716.104574507302</v>
      </c>
      <c r="K98">
        <v>-10716.104574507302</v>
      </c>
      <c r="L98">
        <v>-13966.824987045333</v>
      </c>
      <c r="M98">
        <v>-16100.53387558744</v>
      </c>
      <c r="N98">
        <v>-17965.834551351349</v>
      </c>
      <c r="O98">
        <v>-17965.834551351349</v>
      </c>
      <c r="P98">
        <v>-17965.834551351349</v>
      </c>
      <c r="Q98">
        <v>-19603.394846300846</v>
      </c>
      <c r="R98">
        <v>-19603.394846300846</v>
      </c>
      <c r="S98">
        <v>-21410.85676973658</v>
      </c>
      <c r="T98">
        <v>-21410.85676973658</v>
      </c>
      <c r="U98">
        <v>-23129.753250430924</v>
      </c>
      <c r="V98">
        <v>-23129.753250430924</v>
      </c>
      <c r="W98">
        <v>-24593.345394606444</v>
      </c>
      <c r="X98">
        <v>-24593.345394606444</v>
      </c>
      <c r="Y98">
        <v>-24593.345394606444</v>
      </c>
      <c r="Z98">
        <v>-24593.345394606444</v>
      </c>
      <c r="AA98">
        <v>-24593.345394606444</v>
      </c>
    </row>
    <row r="99" spans="1:27" x14ac:dyDescent="0.2">
      <c r="A99" t="s">
        <v>801</v>
      </c>
      <c r="B99" t="s">
        <v>802</v>
      </c>
      <c r="C99">
        <v>-138.96697245521301</v>
      </c>
      <c r="D99">
        <v>-253.7247420632128</v>
      </c>
      <c r="E99">
        <v>-253.72474206321269</v>
      </c>
      <c r="F99">
        <v>-299.62785454999795</v>
      </c>
      <c r="G99">
        <v>-688.71866454008364</v>
      </c>
      <c r="H99">
        <v>-688.71866454008409</v>
      </c>
      <c r="I99">
        <v>-688.71866454008409</v>
      </c>
      <c r="J99">
        <v>-905.77353325880506</v>
      </c>
      <c r="K99">
        <v>-905.77353325880506</v>
      </c>
      <c r="L99">
        <v>-1180.5390969231992</v>
      </c>
      <c r="M99">
        <v>-1360.889804167894</v>
      </c>
      <c r="N99">
        <v>-1518.5534376206681</v>
      </c>
      <c r="O99">
        <v>-1518.5534376206681</v>
      </c>
      <c r="P99">
        <v>-1518.5534376206681</v>
      </c>
      <c r="Q99">
        <v>-1656.9674260217594</v>
      </c>
      <c r="R99">
        <v>-1656.9674260217594</v>
      </c>
      <c r="S99">
        <v>-1809.7422670321564</v>
      </c>
      <c r="T99">
        <v>-1809.7422670321564</v>
      </c>
      <c r="U99">
        <v>-1955.0311570200768</v>
      </c>
      <c r="V99">
        <v>-1955.0311570200768</v>
      </c>
      <c r="W99">
        <v>-2078.7405719910148</v>
      </c>
      <c r="X99">
        <v>-2078.7405719910148</v>
      </c>
      <c r="Y99">
        <v>-2078.7405719910148</v>
      </c>
      <c r="Z99">
        <v>-2078.7405719910148</v>
      </c>
      <c r="AA99">
        <v>-2078.7405719910148</v>
      </c>
    </row>
    <row r="100" spans="1:27" x14ac:dyDescent="0.2">
      <c r="A100" t="s">
        <v>726</v>
      </c>
      <c r="B100" t="s">
        <v>727</v>
      </c>
      <c r="C100">
        <v>-255.78507527874029</v>
      </c>
      <c r="D100">
        <v>-467.01026223791291</v>
      </c>
      <c r="E100">
        <v>-467.01026223791268</v>
      </c>
      <c r="F100">
        <v>-551.50034556864739</v>
      </c>
      <c r="G100">
        <v>-1267.6677943173427</v>
      </c>
      <c r="H100">
        <v>-1267.6677943173434</v>
      </c>
      <c r="I100">
        <v>-1267.6677943173434</v>
      </c>
      <c r="J100">
        <v>-1667.1828370209485</v>
      </c>
      <c r="K100">
        <v>-1667.1828370209485</v>
      </c>
      <c r="L100">
        <v>-2172.9212088384179</v>
      </c>
      <c r="M100">
        <v>-2504.8779206680988</v>
      </c>
      <c r="N100">
        <v>-2795.076401925468</v>
      </c>
      <c r="O100">
        <v>-2795.076401925468</v>
      </c>
      <c r="P100">
        <v>-2795.076401925468</v>
      </c>
      <c r="Q100">
        <v>-3049.8436449422506</v>
      </c>
      <c r="R100">
        <v>-3049.8436449422506</v>
      </c>
      <c r="S100">
        <v>-3331.0437280852875</v>
      </c>
      <c r="T100">
        <v>-3331.0437280852875</v>
      </c>
      <c r="U100">
        <v>-3598.4650369484552</v>
      </c>
      <c r="V100">
        <v>-3598.4650369484552</v>
      </c>
      <c r="W100">
        <v>-3826.1667811972793</v>
      </c>
      <c r="X100">
        <v>-3826.1667811972793</v>
      </c>
      <c r="Y100">
        <v>-3826.1667811972793</v>
      </c>
      <c r="Z100">
        <v>-3826.1667811972793</v>
      </c>
      <c r="AA100">
        <v>-3826.1667811972793</v>
      </c>
    </row>
    <row r="101" spans="1:27" x14ac:dyDescent="0.2">
      <c r="A101" t="s">
        <v>413</v>
      </c>
      <c r="B101" t="s">
        <v>414</v>
      </c>
      <c r="C101">
        <v>-7020.4901558942247</v>
      </c>
      <c r="D101">
        <v>-12817.95251411744</v>
      </c>
      <c r="E101">
        <v>-12817.952514117434</v>
      </c>
      <c r="F101">
        <v>-15136.9376919966</v>
      </c>
      <c r="G101">
        <v>-34793.465808162211</v>
      </c>
      <c r="H101">
        <v>-34793.465808162233</v>
      </c>
      <c r="I101">
        <v>-34793.465808162233</v>
      </c>
      <c r="J101">
        <v>-45758.8883269539</v>
      </c>
      <c r="K101">
        <v>-45758.8883269539</v>
      </c>
      <c r="L101">
        <v>-59639.804783605432</v>
      </c>
      <c r="M101">
        <v>-68750.965100694462</v>
      </c>
      <c r="N101">
        <v>-76715.994251447861</v>
      </c>
      <c r="O101">
        <v>-76715.994251447861</v>
      </c>
      <c r="P101">
        <v>-76715.994251447861</v>
      </c>
      <c r="Q101">
        <v>-83708.548135580961</v>
      </c>
      <c r="R101">
        <v>-83708.548135580961</v>
      </c>
      <c r="S101">
        <v>-91426.599759159843</v>
      </c>
      <c r="T101">
        <v>-91426.599759159843</v>
      </c>
      <c r="U101">
        <v>-98766.467670938116</v>
      </c>
      <c r="V101">
        <v>-98766.467670938116</v>
      </c>
      <c r="W101">
        <v>-105016.15933976116</v>
      </c>
      <c r="X101">
        <v>-105016.15933976116</v>
      </c>
      <c r="Y101">
        <v>-105016.15933976116</v>
      </c>
      <c r="Z101">
        <v>-105016.15933976116</v>
      </c>
      <c r="AA101">
        <v>-105016.15933976116</v>
      </c>
    </row>
    <row r="102" spans="1:27" x14ac:dyDescent="0.2">
      <c r="A102" t="s">
        <v>456</v>
      </c>
      <c r="B102" t="s">
        <v>457</v>
      </c>
      <c r="C102">
        <v>-2321.2597909844285</v>
      </c>
      <c r="D102">
        <v>-4238.1368128246786</v>
      </c>
      <c r="E102">
        <v>-4238.1368128246768</v>
      </c>
      <c r="F102">
        <v>-5004.8876991257393</v>
      </c>
      <c r="G102">
        <v>-11504.135947213104</v>
      </c>
      <c r="H102">
        <v>-11504.135947213112</v>
      </c>
      <c r="I102">
        <v>-11504.135947213112</v>
      </c>
      <c r="J102">
        <v>-15129.750942578656</v>
      </c>
      <c r="K102">
        <v>-15129.750942578656</v>
      </c>
      <c r="L102">
        <v>-19719.346899178232</v>
      </c>
      <c r="M102">
        <v>-22731.867339152817</v>
      </c>
      <c r="N102">
        <v>-25365.43016612151</v>
      </c>
      <c r="O102">
        <v>-25365.43016612151</v>
      </c>
      <c r="P102">
        <v>-25365.43016612151</v>
      </c>
      <c r="Q102">
        <v>-27677.453088609709</v>
      </c>
      <c r="R102">
        <v>-27677.453088609709</v>
      </c>
      <c r="S102">
        <v>-30229.355092704714</v>
      </c>
      <c r="T102">
        <v>-30229.355092704714</v>
      </c>
      <c r="U102">
        <v>-32656.214168982075</v>
      </c>
      <c r="V102">
        <v>-32656.214168982075</v>
      </c>
      <c r="W102">
        <v>-34722.616607380114</v>
      </c>
      <c r="X102">
        <v>-34722.616607380114</v>
      </c>
      <c r="Y102">
        <v>-34722.616607380114</v>
      </c>
      <c r="Z102">
        <v>-34722.616607380114</v>
      </c>
      <c r="AA102">
        <v>-34722.616607380114</v>
      </c>
    </row>
    <row r="103" spans="1:27" x14ac:dyDescent="0.2">
      <c r="A103" t="s">
        <v>533</v>
      </c>
      <c r="B103" t="s">
        <v>534</v>
      </c>
      <c r="C103">
        <v>-1009.6483520615417</v>
      </c>
      <c r="D103">
        <v>-1843.4075606268475</v>
      </c>
      <c r="E103">
        <v>-1843.4075606268466</v>
      </c>
      <c r="F103">
        <v>-2176.9112777903974</v>
      </c>
      <c r="G103">
        <v>-5003.8052380469508</v>
      </c>
      <c r="H103">
        <v>-5003.8052380469535</v>
      </c>
      <c r="I103">
        <v>-5003.8052380469535</v>
      </c>
      <c r="J103">
        <v>-6580.7921050481718</v>
      </c>
      <c r="K103">
        <v>-6580.7921050481718</v>
      </c>
      <c r="L103">
        <v>-8577.0693042684634</v>
      </c>
      <c r="M103">
        <v>-9887.3863612326641</v>
      </c>
      <c r="N103">
        <v>-11032.873126060407</v>
      </c>
      <c r="O103">
        <v>-11032.873126060407</v>
      </c>
      <c r="P103">
        <v>-11032.873126060407</v>
      </c>
      <c r="Q103">
        <v>-12038.503836886077</v>
      </c>
      <c r="R103">
        <v>-12038.503836886077</v>
      </c>
      <c r="S103">
        <v>-13148.471649650535</v>
      </c>
      <c r="T103">
        <v>-13148.471649650535</v>
      </c>
      <c r="U103">
        <v>-14204.051157194535</v>
      </c>
      <c r="V103">
        <v>-14204.051157194535</v>
      </c>
      <c r="W103">
        <v>-15102.847502492765</v>
      </c>
      <c r="X103">
        <v>-15102.847502492765</v>
      </c>
      <c r="Y103">
        <v>-15102.847502492765</v>
      </c>
      <c r="Z103">
        <v>-15102.847502492765</v>
      </c>
      <c r="AA103">
        <v>-15102.847502492765</v>
      </c>
    </row>
    <row r="104" spans="1:27" x14ac:dyDescent="0.2">
      <c r="A104" t="s">
        <v>716</v>
      </c>
      <c r="B104" t="s">
        <v>717</v>
      </c>
      <c r="C104">
        <v>-2220.4733787401092</v>
      </c>
      <c r="D104">
        <v>-4054.1218199211808</v>
      </c>
      <c r="E104">
        <v>-4054.1218199211789</v>
      </c>
      <c r="F104">
        <v>-4787.5812705907892</v>
      </c>
      <c r="G104">
        <v>-11004.639685487571</v>
      </c>
      <c r="H104">
        <v>-11004.639685487577</v>
      </c>
      <c r="I104">
        <v>-11004.639685487577</v>
      </c>
      <c r="J104">
        <v>-14472.834676000011</v>
      </c>
      <c r="K104">
        <v>-14472.834676000011</v>
      </c>
      <c r="L104">
        <v>-18863.155690642085</v>
      </c>
      <c r="M104">
        <v>-21744.875981431749</v>
      </c>
      <c r="N104">
        <v>-24264.092559961955</v>
      </c>
      <c r="O104">
        <v>-24264.092559961955</v>
      </c>
      <c r="P104">
        <v>-24264.092559961955</v>
      </c>
      <c r="Q104">
        <v>-26475.730124340196</v>
      </c>
      <c r="R104">
        <v>-26475.730124340196</v>
      </c>
      <c r="S104">
        <v>-28916.831498367534</v>
      </c>
      <c r="T104">
        <v>-28916.831498367534</v>
      </c>
      <c r="U104">
        <v>-31238.319163710821</v>
      </c>
      <c r="V104">
        <v>-31238.319163710821</v>
      </c>
      <c r="W104">
        <v>-33215.000801004251</v>
      </c>
      <c r="X104">
        <v>-33215.000801004251</v>
      </c>
      <c r="Y104">
        <v>-33215.000801004251</v>
      </c>
      <c r="Z104">
        <v>-33215.000801004251</v>
      </c>
      <c r="AA104">
        <v>-33215.000801004251</v>
      </c>
    </row>
    <row r="105" spans="1:27" x14ac:dyDescent="0.2">
      <c r="A105" t="s">
        <v>637</v>
      </c>
      <c r="B105" t="s">
        <v>638</v>
      </c>
      <c r="C105">
        <v>-6947.4593802093932</v>
      </c>
      <c r="D105">
        <v>-12684.613531509309</v>
      </c>
      <c r="E105">
        <v>-12684.613531509303</v>
      </c>
      <c r="F105">
        <v>-14979.475424178823</v>
      </c>
      <c r="G105">
        <v>-34431.526151484482</v>
      </c>
      <c r="H105">
        <v>-34431.526151484497</v>
      </c>
      <c r="I105">
        <v>-34431.526151484497</v>
      </c>
      <c r="J105">
        <v>-45282.880664413795</v>
      </c>
      <c r="K105">
        <v>-45282.880664413795</v>
      </c>
      <c r="L105">
        <v>-59019.400636840575</v>
      </c>
      <c r="M105">
        <v>-68035.781944121118</v>
      </c>
      <c r="N105">
        <v>-75917.954735230815</v>
      </c>
      <c r="O105">
        <v>-75917.954735230815</v>
      </c>
      <c r="P105">
        <v>-75917.954735230815</v>
      </c>
      <c r="Q105">
        <v>-82837.768451250813</v>
      </c>
      <c r="R105">
        <v>-82837.768451250813</v>
      </c>
      <c r="S105">
        <v>-90475.532903374522</v>
      </c>
      <c r="T105">
        <v>-90475.532903374522</v>
      </c>
      <c r="U105">
        <v>-97739.047706592231</v>
      </c>
      <c r="V105">
        <v>-97739.047706592231</v>
      </c>
      <c r="W105">
        <v>-103923.7268449181</v>
      </c>
      <c r="X105">
        <v>-103923.7268449181</v>
      </c>
      <c r="Y105">
        <v>-103923.7268449181</v>
      </c>
      <c r="Z105">
        <v>-103923.7268449181</v>
      </c>
      <c r="AA105">
        <v>-103923.7268449181</v>
      </c>
    </row>
    <row r="106" spans="1:27" x14ac:dyDescent="0.2">
      <c r="A106" t="s">
        <v>569</v>
      </c>
      <c r="B106" t="s">
        <v>570</v>
      </c>
      <c r="C106">
        <v>-1605.4445257002681</v>
      </c>
      <c r="D106">
        <v>-2931.207257259472</v>
      </c>
      <c r="E106">
        <v>-2931.2072572594707</v>
      </c>
      <c r="F106">
        <v>-3461.5124035291269</v>
      </c>
      <c r="G106">
        <v>-7956.5639964548209</v>
      </c>
      <c r="H106">
        <v>-7956.5639964548254</v>
      </c>
      <c r="I106">
        <v>-7956.5639964548254</v>
      </c>
      <c r="J106">
        <v>-10464.135001309001</v>
      </c>
      <c r="K106">
        <v>-10464.135001309001</v>
      </c>
      <c r="L106">
        <v>-13638.420676836089</v>
      </c>
      <c r="M106">
        <v>-15721.959308617697</v>
      </c>
      <c r="N106">
        <v>-17543.400855171836</v>
      </c>
      <c r="O106">
        <v>-17543.400855171836</v>
      </c>
      <c r="P106">
        <v>-17543.400855171836</v>
      </c>
      <c r="Q106">
        <v>-19142.456918874235</v>
      </c>
      <c r="R106">
        <v>-19142.456918874235</v>
      </c>
      <c r="S106">
        <v>-20907.41968543316</v>
      </c>
      <c r="T106">
        <v>-20907.41968543316</v>
      </c>
      <c r="U106">
        <v>-22585.899463434722</v>
      </c>
      <c r="V106">
        <v>-22585.899463434722</v>
      </c>
      <c r="W106">
        <v>-24015.077918816874</v>
      </c>
      <c r="X106">
        <v>-24015.077918816874</v>
      </c>
      <c r="Y106">
        <v>-24015.077918816874</v>
      </c>
      <c r="Z106">
        <v>-24015.077918816874</v>
      </c>
      <c r="AA106">
        <v>-24015.077918816874</v>
      </c>
    </row>
    <row r="107" spans="1:27" x14ac:dyDescent="0.2">
      <c r="A107" t="s">
        <v>551</v>
      </c>
      <c r="B107" t="s">
        <v>552</v>
      </c>
      <c r="C107">
        <v>-889.11932848768424</v>
      </c>
      <c r="D107">
        <v>-1623.3466722221312</v>
      </c>
      <c r="E107">
        <v>-1623.3466722221308</v>
      </c>
      <c r="F107">
        <v>-1917.0376394258574</v>
      </c>
      <c r="G107">
        <v>-4406.4648291173362</v>
      </c>
      <c r="H107">
        <v>-4406.4648291173389</v>
      </c>
      <c r="I107">
        <v>-4406.4648291173389</v>
      </c>
      <c r="J107">
        <v>-5795.1953721416448</v>
      </c>
      <c r="K107">
        <v>-5795.1953721416448</v>
      </c>
      <c r="L107">
        <v>-7553.1625289461881</v>
      </c>
      <c r="M107">
        <v>-8707.0575651884246</v>
      </c>
      <c r="N107">
        <v>-9715.7992929945576</v>
      </c>
      <c r="O107">
        <v>-9715.7992929945576</v>
      </c>
      <c r="P107">
        <v>-9715.7992929945576</v>
      </c>
      <c r="Q107">
        <v>-10601.380595128365</v>
      </c>
      <c r="R107">
        <v>-10601.380595128365</v>
      </c>
      <c r="S107">
        <v>-11578.843524982109</v>
      </c>
      <c r="T107">
        <v>-11578.843524982109</v>
      </c>
      <c r="U107">
        <v>-12508.410874838659</v>
      </c>
      <c r="V107">
        <v>-12508.410874838659</v>
      </c>
      <c r="W107">
        <v>-13299.911402073745</v>
      </c>
      <c r="X107">
        <v>-13299.911402073745</v>
      </c>
      <c r="Y107">
        <v>-13299.911402073745</v>
      </c>
      <c r="Z107">
        <v>-13299.911402073745</v>
      </c>
      <c r="AA107">
        <v>-13299.911402073745</v>
      </c>
    </row>
    <row r="108" spans="1:27" x14ac:dyDescent="0.2">
      <c r="A108" t="s">
        <v>482</v>
      </c>
      <c r="B108" t="s">
        <v>483</v>
      </c>
      <c r="C108">
        <v>-1174.5006506436796</v>
      </c>
      <c r="D108">
        <v>-2144.3935157591786</v>
      </c>
      <c r="E108">
        <v>-2144.3935157591777</v>
      </c>
      <c r="F108">
        <v>-2532.3507010513504</v>
      </c>
      <c r="G108">
        <v>-5820.8112713506143</v>
      </c>
      <c r="H108">
        <v>-5820.811271350618</v>
      </c>
      <c r="I108">
        <v>-5820.811271350618</v>
      </c>
      <c r="J108">
        <v>-7655.2837365090336</v>
      </c>
      <c r="K108">
        <v>-7655.2837365090336</v>
      </c>
      <c r="L108">
        <v>-9977.5069784546231</v>
      </c>
      <c r="M108">
        <v>-11501.768601634252</v>
      </c>
      <c r="N108">
        <v>-12834.286946112175</v>
      </c>
      <c r="O108">
        <v>-12834.286946112175</v>
      </c>
      <c r="P108">
        <v>-12834.286946112175</v>
      </c>
      <c r="Q108">
        <v>-14004.113967332354</v>
      </c>
      <c r="R108">
        <v>-14004.113967332354</v>
      </c>
      <c r="S108">
        <v>-15295.31393375981</v>
      </c>
      <c r="T108">
        <v>-15295.31393375981</v>
      </c>
      <c r="U108">
        <v>-16523.245238639505</v>
      </c>
      <c r="V108">
        <v>-16523.245238639505</v>
      </c>
      <c r="W108">
        <v>-17568.794305493808</v>
      </c>
      <c r="X108">
        <v>-17568.794305493808</v>
      </c>
      <c r="Y108">
        <v>-17568.794305493808</v>
      </c>
      <c r="Z108">
        <v>-17568.794305493808</v>
      </c>
      <c r="AA108">
        <v>-17568.794305493808</v>
      </c>
    </row>
    <row r="109" spans="1:27" x14ac:dyDescent="0.2">
      <c r="A109" t="s">
        <v>573</v>
      </c>
      <c r="B109" t="s">
        <v>574</v>
      </c>
      <c r="C109">
        <v>-809.81216269933157</v>
      </c>
      <c r="D109">
        <v>-1478.5483087843777</v>
      </c>
      <c r="E109">
        <v>-1478.5483087843772</v>
      </c>
      <c r="F109">
        <v>-1746.0427942782921</v>
      </c>
      <c r="G109">
        <v>-4013.4194576509863</v>
      </c>
      <c r="H109">
        <v>-4013.419457650989</v>
      </c>
      <c r="I109">
        <v>-4013.419457650989</v>
      </c>
      <c r="J109">
        <v>-5278.2787947728084</v>
      </c>
      <c r="K109">
        <v>-5278.2787947728084</v>
      </c>
      <c r="L109">
        <v>-6879.4397858714319</v>
      </c>
      <c r="M109">
        <v>-7930.410341664824</v>
      </c>
      <c r="N109">
        <v>-8849.1748921883263</v>
      </c>
      <c r="O109">
        <v>-8849.1748921883263</v>
      </c>
      <c r="P109">
        <v>-8849.1748921883263</v>
      </c>
      <c r="Q109">
        <v>-9655.7646114185736</v>
      </c>
      <c r="R109">
        <v>-9655.7646114185736</v>
      </c>
      <c r="S109">
        <v>-10546.040352617074</v>
      </c>
      <c r="T109">
        <v>-10546.040352617074</v>
      </c>
      <c r="U109">
        <v>-11392.692676824698</v>
      </c>
      <c r="V109">
        <v>-11392.692676824698</v>
      </c>
      <c r="W109">
        <v>-12113.59338520108</v>
      </c>
      <c r="X109">
        <v>-12113.59338520108</v>
      </c>
      <c r="Y109">
        <v>-12113.59338520108</v>
      </c>
      <c r="Z109">
        <v>-12113.59338520108</v>
      </c>
      <c r="AA109">
        <v>-12113.59338520108</v>
      </c>
    </row>
    <row r="110" spans="1:27" x14ac:dyDescent="0.2">
      <c r="A110" t="s">
        <v>376</v>
      </c>
      <c r="B110" t="s">
        <v>377</v>
      </c>
      <c r="C110">
        <v>-1832.156631179467</v>
      </c>
      <c r="D110">
        <v>-3345.136333132923</v>
      </c>
      <c r="E110">
        <v>-3345.1363331329217</v>
      </c>
      <c r="F110">
        <v>-3950.3282751358702</v>
      </c>
      <c r="G110">
        <v>-9080.1464978367694</v>
      </c>
      <c r="H110">
        <v>-9080.1464978367749</v>
      </c>
      <c r="I110">
        <v>-9080.1464978367749</v>
      </c>
      <c r="J110">
        <v>-11941.822981297326</v>
      </c>
      <c r="K110">
        <v>-11941.822981297326</v>
      </c>
      <c r="L110">
        <v>-15564.363939003852</v>
      </c>
      <c r="M110">
        <v>-17942.128514128111</v>
      </c>
      <c r="N110">
        <v>-20020.7840854686</v>
      </c>
      <c r="O110">
        <v>-20020.7840854686</v>
      </c>
      <c r="P110">
        <v>-20020.7840854686</v>
      </c>
      <c r="Q110">
        <v>-21845.650110946615</v>
      </c>
      <c r="R110">
        <v>-21845.650110946615</v>
      </c>
      <c r="S110">
        <v>-23859.851277520909</v>
      </c>
      <c r="T110">
        <v>-23859.851277520909</v>
      </c>
      <c r="U110">
        <v>-25775.356800344773</v>
      </c>
      <c r="V110">
        <v>-25775.356800344773</v>
      </c>
      <c r="W110">
        <v>-27406.356029686005</v>
      </c>
      <c r="X110">
        <v>-27406.356029686005</v>
      </c>
      <c r="Y110">
        <v>-27406.356029686005</v>
      </c>
      <c r="Z110">
        <v>-27406.356029686005</v>
      </c>
      <c r="AA110">
        <v>-27406.356029686005</v>
      </c>
    </row>
    <row r="111" spans="1:27" x14ac:dyDescent="0.2">
      <c r="A111" t="s">
        <v>360</v>
      </c>
      <c r="B111" t="s">
        <v>361</v>
      </c>
      <c r="C111">
        <v>-1264.7095046591153</v>
      </c>
      <c r="D111">
        <v>-2309.0960908567326</v>
      </c>
      <c r="E111">
        <v>-2309.0960908567317</v>
      </c>
      <c r="F111">
        <v>-2726.8507675960832</v>
      </c>
      <c r="G111">
        <v>-6267.8852801567382</v>
      </c>
      <c r="H111">
        <v>-6267.8852801567418</v>
      </c>
      <c r="I111">
        <v>-6267.8852801567418</v>
      </c>
      <c r="J111">
        <v>-8243.2564827608276</v>
      </c>
      <c r="K111">
        <v>-8243.2564827608276</v>
      </c>
      <c r="L111">
        <v>-10743.840713530999</v>
      </c>
      <c r="M111">
        <v>-12385.174978749084</v>
      </c>
      <c r="N111">
        <v>-13820.038905363572</v>
      </c>
      <c r="O111">
        <v>-13820.038905363572</v>
      </c>
      <c r="P111">
        <v>-13820.038905363572</v>
      </c>
      <c r="Q111">
        <v>-15079.715817192775</v>
      </c>
      <c r="R111">
        <v>-15079.715817192775</v>
      </c>
      <c r="S111">
        <v>-16470.087860887583</v>
      </c>
      <c r="T111">
        <v>-16470.087860887583</v>
      </c>
      <c r="U111">
        <v>-17792.331821756157</v>
      </c>
      <c r="V111">
        <v>-17792.331821756157</v>
      </c>
      <c r="W111">
        <v>-18918.185470039298</v>
      </c>
      <c r="X111">
        <v>-18918.185470039298</v>
      </c>
      <c r="Y111">
        <v>-18918.185470039298</v>
      </c>
      <c r="Z111">
        <v>-18918.185470039298</v>
      </c>
      <c r="AA111">
        <v>-18918.185470039298</v>
      </c>
    </row>
    <row r="112" spans="1:27" x14ac:dyDescent="0.2">
      <c r="A112" t="s">
        <v>378</v>
      </c>
      <c r="B112" t="s">
        <v>379</v>
      </c>
      <c r="C112">
        <v>-2887.8182662226804</v>
      </c>
      <c r="D112">
        <v>-5272.5545629838471</v>
      </c>
      <c r="E112">
        <v>-5272.5545629838443</v>
      </c>
      <c r="F112">
        <v>-6226.449178184841</v>
      </c>
      <c r="G112">
        <v>-14311.993019696354</v>
      </c>
      <c r="H112">
        <v>-14311.993019696363</v>
      </c>
      <c r="I112">
        <v>-14311.993019696363</v>
      </c>
      <c r="J112">
        <v>-18822.525296424934</v>
      </c>
      <c r="K112">
        <v>-18822.525296424934</v>
      </c>
      <c r="L112">
        <v>-24532.320938225595</v>
      </c>
      <c r="M112">
        <v>-28280.118400498592</v>
      </c>
      <c r="N112">
        <v>-31556.464661482984</v>
      </c>
      <c r="O112">
        <v>-31556.464661482984</v>
      </c>
      <c r="P112">
        <v>-31556.464661482984</v>
      </c>
      <c r="Q112">
        <v>-34432.79158250177</v>
      </c>
      <c r="R112">
        <v>-34432.79158250177</v>
      </c>
      <c r="S112">
        <v>-37607.545761098263</v>
      </c>
      <c r="T112">
        <v>-37607.545761098263</v>
      </c>
      <c r="U112">
        <v>-40626.73732131991</v>
      </c>
      <c r="V112">
        <v>-40626.73732131991</v>
      </c>
      <c r="W112">
        <v>-43197.494256907128</v>
      </c>
      <c r="X112">
        <v>-43197.494256907128</v>
      </c>
      <c r="Y112">
        <v>-43197.494256907128</v>
      </c>
      <c r="Z112">
        <v>-43197.494256907128</v>
      </c>
      <c r="AA112">
        <v>-43197.494256907128</v>
      </c>
    </row>
    <row r="113" spans="1:27" x14ac:dyDescent="0.2">
      <c r="A113" t="s">
        <v>789</v>
      </c>
      <c r="B113" t="s">
        <v>790</v>
      </c>
      <c r="C113">
        <v>-284.15404484367264</v>
      </c>
      <c r="D113">
        <v>-518.80609083151182</v>
      </c>
      <c r="E113">
        <v>-518.8060908315116</v>
      </c>
      <c r="F113">
        <v>-612.6669187216628</v>
      </c>
      <c r="G113">
        <v>-1408.2640704536409</v>
      </c>
      <c r="H113">
        <v>-1408.2640704536418</v>
      </c>
      <c r="I113">
        <v>-1408.2640704536418</v>
      </c>
      <c r="J113">
        <v>-1852.0890873605513</v>
      </c>
      <c r="K113">
        <v>-1852.0890873605513</v>
      </c>
      <c r="L113">
        <v>-2413.9185992192188</v>
      </c>
      <c r="M113">
        <v>-2782.6924312210158</v>
      </c>
      <c r="N113">
        <v>-3105.0766522976787</v>
      </c>
      <c r="O113">
        <v>-3105.0766522976787</v>
      </c>
      <c r="P113">
        <v>-3105.0766522976787</v>
      </c>
      <c r="Q113">
        <v>-3388.0999777125794</v>
      </c>
      <c r="R113">
        <v>-3388.0999777125794</v>
      </c>
      <c r="S113">
        <v>-3700.487793727239</v>
      </c>
      <c r="T113">
        <v>-3700.487793727239</v>
      </c>
      <c r="U113">
        <v>-3997.5686398557696</v>
      </c>
      <c r="V113">
        <v>-3997.5686398557696</v>
      </c>
      <c r="W113">
        <v>-4250.5246482380171</v>
      </c>
      <c r="X113">
        <v>-4250.5246482380171</v>
      </c>
      <c r="Y113">
        <v>-4250.5246482380171</v>
      </c>
      <c r="Z113">
        <v>-4250.5246482380171</v>
      </c>
      <c r="AA113">
        <v>-4250.5246482380171</v>
      </c>
    </row>
    <row r="114" spans="1:27" x14ac:dyDescent="0.2">
      <c r="A114" t="s">
        <v>415</v>
      </c>
      <c r="B114" t="s">
        <v>416</v>
      </c>
      <c r="C114">
        <v>-4664.2224422272975</v>
      </c>
      <c r="D114">
        <v>-8515.8985273351245</v>
      </c>
      <c r="E114">
        <v>-8515.8985273351209</v>
      </c>
      <c r="F114">
        <v>-10056.569117233379</v>
      </c>
      <c r="G114">
        <v>-23115.831012033887</v>
      </c>
      <c r="H114">
        <v>-23115.831012033897</v>
      </c>
      <c r="I114">
        <v>-23115.831012033897</v>
      </c>
      <c r="J114">
        <v>-30400.959067902262</v>
      </c>
      <c r="K114">
        <v>-30400.959067902262</v>
      </c>
      <c r="L114">
        <v>-39623.061886669006</v>
      </c>
      <c r="M114">
        <v>-45676.268640333983</v>
      </c>
      <c r="N114">
        <v>-50968.017064302338</v>
      </c>
      <c r="O114">
        <v>-50968.017064302338</v>
      </c>
      <c r="P114">
        <v>-50968.017064302338</v>
      </c>
      <c r="Q114">
        <v>-55613.67940847281</v>
      </c>
      <c r="R114">
        <v>-55613.67940847281</v>
      </c>
      <c r="S114">
        <v>-60741.342690322417</v>
      </c>
      <c r="T114">
        <v>-60741.342690322417</v>
      </c>
      <c r="U114">
        <v>-65617.751014655383</v>
      </c>
      <c r="V114">
        <v>-65617.751014655383</v>
      </c>
      <c r="W114">
        <v>-69769.875936339347</v>
      </c>
      <c r="X114">
        <v>-69769.875936339347</v>
      </c>
      <c r="Y114">
        <v>-69769.875936339347</v>
      </c>
      <c r="Z114">
        <v>-69769.875936339347</v>
      </c>
      <c r="AA114">
        <v>-69769.875936339347</v>
      </c>
    </row>
    <row r="115" spans="1:27" x14ac:dyDescent="0.2">
      <c r="A115" t="s">
        <v>759</v>
      </c>
      <c r="B115" t="s">
        <v>760</v>
      </c>
      <c r="C115">
        <v>-926.30869481221839</v>
      </c>
      <c r="D115">
        <v>-1691.2467078311522</v>
      </c>
      <c r="E115">
        <v>-1691.2467078311515</v>
      </c>
      <c r="F115">
        <v>-1997.2219439913565</v>
      </c>
      <c r="G115">
        <v>-4590.7748868066183</v>
      </c>
      <c r="H115">
        <v>-4590.774886806621</v>
      </c>
      <c r="I115">
        <v>-4590.774886806621</v>
      </c>
      <c r="J115">
        <v>-6037.5921311721804</v>
      </c>
      <c r="K115">
        <v>-6037.5921311721804</v>
      </c>
      <c r="L115">
        <v>-7869.0901206627095</v>
      </c>
      <c r="M115">
        <v>-9071.2493480297362</v>
      </c>
      <c r="N115">
        <v>-10122.183911420756</v>
      </c>
      <c r="O115">
        <v>-10122.183911420756</v>
      </c>
      <c r="P115">
        <v>-10122.183911420756</v>
      </c>
      <c r="Q115">
        <v>-11044.806594165679</v>
      </c>
      <c r="R115">
        <v>-11044.806594165679</v>
      </c>
      <c r="S115">
        <v>-12063.15405526543</v>
      </c>
      <c r="T115">
        <v>-12063.15405526543</v>
      </c>
      <c r="U115">
        <v>-13031.602598668793</v>
      </c>
      <c r="V115">
        <v>-13031.602598668793</v>
      </c>
      <c r="W115">
        <v>-13856.209371725206</v>
      </c>
      <c r="X115">
        <v>-13856.209371725206</v>
      </c>
      <c r="Y115">
        <v>-13856.209371725206</v>
      </c>
      <c r="Z115">
        <v>-13856.209371725206</v>
      </c>
      <c r="AA115">
        <v>-13856.209371725206</v>
      </c>
    </row>
    <row r="116" spans="1:27" x14ac:dyDescent="0.2">
      <c r="A116" t="s">
        <v>735</v>
      </c>
      <c r="B116" t="s">
        <v>275</v>
      </c>
      <c r="C116">
        <v>-542.16529298098988</v>
      </c>
      <c r="D116">
        <v>-989.88088095221053</v>
      </c>
      <c r="E116">
        <v>-989.88088095221019</v>
      </c>
      <c r="F116">
        <v>-1168.9671342571671</v>
      </c>
      <c r="G116">
        <v>-2686.9647510108316</v>
      </c>
      <c r="H116">
        <v>-2686.964751010833</v>
      </c>
      <c r="I116">
        <v>-2686.964751010833</v>
      </c>
      <c r="J116">
        <v>-3533.7819077259805</v>
      </c>
      <c r="K116">
        <v>-3533.7819077259805</v>
      </c>
      <c r="L116">
        <v>-4605.7513814309887</v>
      </c>
      <c r="M116">
        <v>-5309.3710423123657</v>
      </c>
      <c r="N116">
        <v>-5924.4794275146087</v>
      </c>
      <c r="O116">
        <v>-5924.4794275146087</v>
      </c>
      <c r="P116">
        <v>-5924.4794275146087</v>
      </c>
      <c r="Q116">
        <v>-6464.487310310863</v>
      </c>
      <c r="R116">
        <v>-6464.487310310863</v>
      </c>
      <c r="S116">
        <v>-7060.5225766272588</v>
      </c>
      <c r="T116">
        <v>-7060.5225766272588</v>
      </c>
      <c r="U116">
        <v>-7627.352178046187</v>
      </c>
      <c r="V116">
        <v>-7627.352178046187</v>
      </c>
      <c r="W116">
        <v>-8109.9916860331759</v>
      </c>
      <c r="X116">
        <v>-8109.9916860331759</v>
      </c>
      <c r="Y116">
        <v>-8109.9916860331759</v>
      </c>
      <c r="Z116">
        <v>-8109.9916860331759</v>
      </c>
      <c r="AA116">
        <v>-8109.9916860331759</v>
      </c>
    </row>
    <row r="117" spans="1:27" x14ac:dyDescent="0.2">
      <c r="A117" t="s">
        <v>612</v>
      </c>
      <c r="B117" t="s">
        <v>225</v>
      </c>
      <c r="C117">
        <v>-2471.8062813431156</v>
      </c>
      <c r="D117">
        <v>-4513.003342331107</v>
      </c>
      <c r="E117">
        <v>-4513.0033423311052</v>
      </c>
      <c r="F117">
        <v>-5329.4822493217789</v>
      </c>
      <c r="G117">
        <v>-12250.24256491644</v>
      </c>
      <c r="H117">
        <v>-12250.242564916447</v>
      </c>
      <c r="I117">
        <v>-12250.242564916447</v>
      </c>
      <c r="J117">
        <v>-16110.998674199547</v>
      </c>
      <c r="K117">
        <v>-16110.998674199547</v>
      </c>
      <c r="L117">
        <v>-20998.255222738924</v>
      </c>
      <c r="M117">
        <v>-24206.154215830844</v>
      </c>
      <c r="N117">
        <v>-27010.518106204465</v>
      </c>
      <c r="O117">
        <v>-27010.518106204465</v>
      </c>
      <c r="P117">
        <v>-27010.518106204465</v>
      </c>
      <c r="Q117">
        <v>-29472.488457223193</v>
      </c>
      <c r="R117">
        <v>-29472.488457223193</v>
      </c>
      <c r="S117">
        <v>-32189.895370311122</v>
      </c>
      <c r="T117">
        <v>-32189.895370311122</v>
      </c>
      <c r="U117">
        <v>-34774.149632576577</v>
      </c>
      <c r="V117">
        <v>-34774.149632576577</v>
      </c>
      <c r="W117">
        <v>-36974.569657449727</v>
      </c>
      <c r="X117">
        <v>-36974.569657449727</v>
      </c>
      <c r="Y117">
        <v>-36974.569657449727</v>
      </c>
      <c r="Z117">
        <v>-36974.569657449727</v>
      </c>
      <c r="AA117">
        <v>-36974.569657449727</v>
      </c>
    </row>
    <row r="118" spans="1:27" x14ac:dyDescent="0.2">
      <c r="A118" t="s">
        <v>647</v>
      </c>
      <c r="B118" t="s">
        <v>648</v>
      </c>
      <c r="C118">
        <v>-408.33165098371944</v>
      </c>
      <c r="D118">
        <v>-745.52853092831117</v>
      </c>
      <c r="E118">
        <v>-745.52853092831083</v>
      </c>
      <c r="F118">
        <v>-880.40729655056134</v>
      </c>
      <c r="G118">
        <v>-2023.6868112355949</v>
      </c>
      <c r="H118">
        <v>-2023.686811235596</v>
      </c>
      <c r="I118">
        <v>-2023.686811235596</v>
      </c>
      <c r="J118">
        <v>-2661.4669350454751</v>
      </c>
      <c r="K118">
        <v>-2661.4669350454751</v>
      </c>
      <c r="L118">
        <v>-3468.820468495398</v>
      </c>
      <c r="M118">
        <v>-3998.7514351431869</v>
      </c>
      <c r="N118">
        <v>-4462.0201572750702</v>
      </c>
      <c r="O118">
        <v>-4462.0201572750702</v>
      </c>
      <c r="P118">
        <v>-4462.0201572750702</v>
      </c>
      <c r="Q118">
        <v>-4868.7269553329625</v>
      </c>
      <c r="R118">
        <v>-4868.7269553329625</v>
      </c>
      <c r="S118">
        <v>-5317.6307628808727</v>
      </c>
      <c r="T118">
        <v>-5317.6307628808727</v>
      </c>
      <c r="U118">
        <v>-5744.5383314218752</v>
      </c>
      <c r="V118">
        <v>-5744.5383314218752</v>
      </c>
      <c r="W118">
        <v>-6108.0381527451991</v>
      </c>
      <c r="X118">
        <v>-6108.0381527451991</v>
      </c>
      <c r="Y118">
        <v>-6108.0381527451991</v>
      </c>
      <c r="Z118">
        <v>-6108.0381527451991</v>
      </c>
      <c r="AA118">
        <v>-6108.0381527451991</v>
      </c>
    </row>
    <row r="119" spans="1:27" x14ac:dyDescent="0.2">
      <c r="A119" t="s">
        <v>750</v>
      </c>
      <c r="B119" t="s">
        <v>751</v>
      </c>
      <c r="C119">
        <v>-181.21212851009005</v>
      </c>
      <c r="D119">
        <v>-330.85559649625662</v>
      </c>
      <c r="E119">
        <v>-330.85559649625651</v>
      </c>
      <c r="F119">
        <v>-390.71298974593157</v>
      </c>
      <c r="G119">
        <v>-898.08515606942331</v>
      </c>
      <c r="H119">
        <v>-898.08515606942387</v>
      </c>
      <c r="I119">
        <v>-898.08515606942387</v>
      </c>
      <c r="J119">
        <v>-1181.1234497666837</v>
      </c>
      <c r="K119">
        <v>-1181.1234497666837</v>
      </c>
      <c r="L119">
        <v>-1539.4161559630886</v>
      </c>
      <c r="M119">
        <v>-1774.5924353387086</v>
      </c>
      <c r="N119">
        <v>-1980.1849016768499</v>
      </c>
      <c r="O119">
        <v>-1980.1849016768499</v>
      </c>
      <c r="P119">
        <v>-1980.1849016768499</v>
      </c>
      <c r="Q119">
        <v>-2160.6759421779757</v>
      </c>
      <c r="R119">
        <v>-2160.6759421779757</v>
      </c>
      <c r="S119">
        <v>-2359.8934514405237</v>
      </c>
      <c r="T119">
        <v>-2359.8934514405237</v>
      </c>
      <c r="U119">
        <v>-2549.349323857004</v>
      </c>
      <c r="V119">
        <v>-2549.349323857004</v>
      </c>
      <c r="W119">
        <v>-2710.6656856338755</v>
      </c>
      <c r="X119">
        <v>-2710.6656856338755</v>
      </c>
      <c r="Y119">
        <v>-2710.6656856338755</v>
      </c>
      <c r="Z119">
        <v>-2710.6656856338755</v>
      </c>
      <c r="AA119">
        <v>-2710.6656856338755</v>
      </c>
    </row>
    <row r="120" spans="1:27" x14ac:dyDescent="0.2">
      <c r="A120" t="s">
        <v>608</v>
      </c>
      <c r="B120" t="s">
        <v>609</v>
      </c>
      <c r="C120">
        <v>-490.74748325274078</v>
      </c>
      <c r="D120">
        <v>-896.00267176146292</v>
      </c>
      <c r="E120">
        <v>-896.00267176146258</v>
      </c>
      <c r="F120">
        <v>-1058.1047635632926</v>
      </c>
      <c r="G120">
        <v>-2432.1386968487268</v>
      </c>
      <c r="H120">
        <v>-2432.1386968487282</v>
      </c>
      <c r="I120">
        <v>-2432.1386968487282</v>
      </c>
      <c r="J120">
        <v>-3198.6455054056746</v>
      </c>
      <c r="K120">
        <v>-3198.6455054056746</v>
      </c>
      <c r="L120">
        <v>-4168.9516613973738</v>
      </c>
      <c r="M120">
        <v>-4805.8415217684069</v>
      </c>
      <c r="N120">
        <v>-5362.6143286478809</v>
      </c>
      <c r="O120">
        <v>-5362.6143286478809</v>
      </c>
      <c r="P120">
        <v>-5362.6143286478809</v>
      </c>
      <c r="Q120">
        <v>-5851.4090059349692</v>
      </c>
      <c r="R120">
        <v>-5851.4090059349692</v>
      </c>
      <c r="S120">
        <v>-6390.9175481848406</v>
      </c>
      <c r="T120">
        <v>-6390.9175481848406</v>
      </c>
      <c r="U120">
        <v>-6903.9902290272994</v>
      </c>
      <c r="V120">
        <v>-6903.9902290272994</v>
      </c>
      <c r="W120">
        <v>-7340.8572268401986</v>
      </c>
      <c r="X120">
        <v>-7340.8572268401986</v>
      </c>
      <c r="Y120">
        <v>-7340.8572268401986</v>
      </c>
      <c r="Z120">
        <v>-7340.8572268401986</v>
      </c>
      <c r="AA120">
        <v>-7340.8572268401986</v>
      </c>
    </row>
    <row r="121" spans="1:27" x14ac:dyDescent="0.2">
      <c r="A121" t="s">
        <v>787</v>
      </c>
      <c r="B121" t="s">
        <v>788</v>
      </c>
      <c r="C121">
        <v>-200.57694950022912</v>
      </c>
      <c r="D121">
        <v>-366.21172553912555</v>
      </c>
      <c r="E121">
        <v>-366.21172553912544</v>
      </c>
      <c r="F121">
        <v>-432.4656426569685</v>
      </c>
      <c r="G121">
        <v>-994.05697883964774</v>
      </c>
      <c r="H121">
        <v>-994.05697883964842</v>
      </c>
      <c r="I121">
        <v>-994.05697883964842</v>
      </c>
      <c r="J121">
        <v>-1307.3415145289096</v>
      </c>
      <c r="K121">
        <v>-1307.3415145289096</v>
      </c>
      <c r="L121">
        <v>-1703.922353945821</v>
      </c>
      <c r="M121">
        <v>-1964.2302102676399</v>
      </c>
      <c r="N121">
        <v>-2191.7928468162017</v>
      </c>
      <c r="O121">
        <v>-2191.7928468162017</v>
      </c>
      <c r="P121">
        <v>-2191.7928468162017</v>
      </c>
      <c r="Q121">
        <v>-2391.571650881308</v>
      </c>
      <c r="R121">
        <v>-2391.571650881308</v>
      </c>
      <c r="S121">
        <v>-2612.0780850998685</v>
      </c>
      <c r="T121">
        <v>-2612.0780850998685</v>
      </c>
      <c r="U121">
        <v>-2821.7797274051532</v>
      </c>
      <c r="V121">
        <v>-2821.7797274051532</v>
      </c>
      <c r="W121">
        <v>-3000.3347944181132</v>
      </c>
      <c r="X121">
        <v>-3000.3347944181132</v>
      </c>
      <c r="Y121">
        <v>-3000.3347944181132</v>
      </c>
      <c r="Z121">
        <v>-3000.3347944181132</v>
      </c>
      <c r="AA121">
        <v>-3000.3347944181132</v>
      </c>
    </row>
    <row r="122" spans="1:27" x14ac:dyDescent="0.2">
      <c r="A122" t="s">
        <v>639</v>
      </c>
      <c r="B122" t="s">
        <v>640</v>
      </c>
      <c r="C122">
        <v>-1130.9349079656579</v>
      </c>
      <c r="D122">
        <v>-2064.851545257261</v>
      </c>
      <c r="E122">
        <v>-2064.8515452572606</v>
      </c>
      <c r="F122">
        <v>-2438.4182379641238</v>
      </c>
      <c r="G122">
        <v>-5604.8999682057329</v>
      </c>
      <c r="H122">
        <v>-5604.8999682057356</v>
      </c>
      <c r="I122">
        <v>-5604.8999682057356</v>
      </c>
      <c r="J122">
        <v>-7371.3263617649509</v>
      </c>
      <c r="K122">
        <v>-7371.3263617649509</v>
      </c>
      <c r="L122">
        <v>-9607.4113966826626</v>
      </c>
      <c r="M122">
        <v>-11075.133596394937</v>
      </c>
      <c r="N122">
        <v>-12358.224849216969</v>
      </c>
      <c r="O122">
        <v>-12358.224849216969</v>
      </c>
      <c r="P122">
        <v>-12358.224849216969</v>
      </c>
      <c r="Q122">
        <v>-13484.659486655713</v>
      </c>
      <c r="R122">
        <v>-13484.659486655713</v>
      </c>
      <c r="S122">
        <v>-14727.964983674046</v>
      </c>
      <c r="T122">
        <v>-14727.964983674046</v>
      </c>
      <c r="U122">
        <v>-15910.348643071076</v>
      </c>
      <c r="V122">
        <v>-15910.348643071076</v>
      </c>
      <c r="W122">
        <v>-16917.11516725173</v>
      </c>
      <c r="X122">
        <v>-16917.11516725173</v>
      </c>
      <c r="Y122">
        <v>-16917.11516725173</v>
      </c>
      <c r="Z122">
        <v>-16917.11516725173</v>
      </c>
      <c r="AA122">
        <v>-16917.11516725173</v>
      </c>
    </row>
    <row r="123" spans="1:27" x14ac:dyDescent="0.2">
      <c r="A123" t="s">
        <v>564</v>
      </c>
      <c r="B123" t="s">
        <v>565</v>
      </c>
      <c r="C123">
        <v>-3001.6351845283016</v>
      </c>
      <c r="D123">
        <v>-5480.3605454364797</v>
      </c>
      <c r="E123">
        <v>-5480.360545436477</v>
      </c>
      <c r="F123">
        <v>-6471.8507900994746</v>
      </c>
      <c r="G123">
        <v>-14876.068314657381</v>
      </c>
      <c r="H123">
        <v>-14876.06831465739</v>
      </c>
      <c r="I123">
        <v>-14876.06831465739</v>
      </c>
      <c r="J123">
        <v>-19564.373164424909</v>
      </c>
      <c r="K123">
        <v>-19564.373164424909</v>
      </c>
      <c r="L123">
        <v>-25499.207670930402</v>
      </c>
      <c r="M123">
        <v>-29394.716214118296</v>
      </c>
      <c r="N123">
        <v>-32800.192358062792</v>
      </c>
      <c r="O123">
        <v>-32800.192358062792</v>
      </c>
      <c r="P123">
        <v>-32800.192358062792</v>
      </c>
      <c r="Q123">
        <v>-35789.883291637008</v>
      </c>
      <c r="R123">
        <v>-35789.883291637008</v>
      </c>
      <c r="S123">
        <v>-39089.76332777521</v>
      </c>
      <c r="T123">
        <v>-39089.76332777521</v>
      </c>
      <c r="U123">
        <v>-42227.94959177656</v>
      </c>
      <c r="V123">
        <v>-42227.94959177656</v>
      </c>
      <c r="W123">
        <v>-44900.027180239922</v>
      </c>
      <c r="X123">
        <v>-44900.027180239922</v>
      </c>
      <c r="Y123">
        <v>-44900.027180239922</v>
      </c>
      <c r="Z123">
        <v>-44900.027180239922</v>
      </c>
      <c r="AA123">
        <v>-44900.027180239922</v>
      </c>
    </row>
    <row r="124" spans="1:27" x14ac:dyDescent="0.2">
      <c r="A124" t="s">
        <v>544</v>
      </c>
      <c r="B124" t="s">
        <v>545</v>
      </c>
      <c r="C124">
        <v>-549.23906806197249</v>
      </c>
      <c r="D124">
        <v>-1002.7961206392083</v>
      </c>
      <c r="E124">
        <v>-1002.796120639208</v>
      </c>
      <c r="F124">
        <v>-1184.2189600229415</v>
      </c>
      <c r="G124">
        <v>-2722.0222962746989</v>
      </c>
      <c r="H124">
        <v>-2722.0222962747007</v>
      </c>
      <c r="I124">
        <v>-2722.0222962747007</v>
      </c>
      <c r="J124">
        <v>-3579.8881021359125</v>
      </c>
      <c r="K124">
        <v>-3579.8881021359125</v>
      </c>
      <c r="L124">
        <v>-4665.8438472766584</v>
      </c>
      <c r="M124">
        <v>-5378.6438214094906</v>
      </c>
      <c r="N124">
        <v>-6001.7776896584683</v>
      </c>
      <c r="O124">
        <v>-6001.7776896584683</v>
      </c>
      <c r="P124">
        <v>-6001.7776896584683</v>
      </c>
      <c r="Q124">
        <v>-6548.8311992300096</v>
      </c>
      <c r="R124">
        <v>-6548.8311992300096</v>
      </c>
      <c r="S124">
        <v>-7152.6430965274731</v>
      </c>
      <c r="T124">
        <v>-7152.6430965274731</v>
      </c>
      <c r="U124">
        <v>-7726.8682748333586</v>
      </c>
      <c r="V124">
        <v>-7726.8682748333586</v>
      </c>
      <c r="W124">
        <v>-8215.8049091190915</v>
      </c>
      <c r="X124">
        <v>-8215.8049091190915</v>
      </c>
      <c r="Y124">
        <v>-8215.8049091190915</v>
      </c>
      <c r="Z124">
        <v>-8215.8049091190915</v>
      </c>
      <c r="AA124">
        <v>-8215.8049091190915</v>
      </c>
    </row>
    <row r="125" spans="1:27" x14ac:dyDescent="0.2">
      <c r="A125" t="s">
        <v>807</v>
      </c>
      <c r="B125" t="s">
        <v>808</v>
      </c>
      <c r="C125">
        <v>-259.60468281154607</v>
      </c>
      <c r="D125">
        <v>-473.98406989106724</v>
      </c>
      <c r="E125">
        <v>-473.98406989106707</v>
      </c>
      <c r="F125">
        <v>-559.7358333975734</v>
      </c>
      <c r="G125">
        <v>-1286.5977238724322</v>
      </c>
      <c r="H125">
        <v>-1286.5977238724329</v>
      </c>
      <c r="I125">
        <v>-1286.5977238724329</v>
      </c>
      <c r="J125">
        <v>-1692.0786762950354</v>
      </c>
      <c r="K125">
        <v>-1692.0786762950354</v>
      </c>
      <c r="L125">
        <v>-2205.3691779328938</v>
      </c>
      <c r="M125">
        <v>-2542.2829591134282</v>
      </c>
      <c r="N125">
        <v>-2836.8149391248257</v>
      </c>
      <c r="O125">
        <v>-2836.8149391248257</v>
      </c>
      <c r="P125">
        <v>-2836.8149391248257</v>
      </c>
      <c r="Q125">
        <v>-3095.3865905085886</v>
      </c>
      <c r="R125">
        <v>-3095.3865905085886</v>
      </c>
      <c r="S125">
        <v>-3380.7858004170489</v>
      </c>
      <c r="T125">
        <v>-3380.7858004170489</v>
      </c>
      <c r="U125">
        <v>-3652.2004792790462</v>
      </c>
      <c r="V125">
        <v>-3652.2004792790462</v>
      </c>
      <c r="W125">
        <v>-3883.3024660815772</v>
      </c>
      <c r="X125">
        <v>-3883.3024660815772</v>
      </c>
      <c r="Y125">
        <v>-3883.3024660815772</v>
      </c>
      <c r="Z125">
        <v>-3883.3024660815772</v>
      </c>
      <c r="AA125">
        <v>-3883.3024660815772</v>
      </c>
    </row>
    <row r="126" spans="1:27" x14ac:dyDescent="0.2">
      <c r="A126" t="s">
        <v>364</v>
      </c>
      <c r="B126" t="s">
        <v>125</v>
      </c>
      <c r="C126">
        <v>-14678.990366391681</v>
      </c>
      <c r="D126">
        <v>-26800.778477500764</v>
      </c>
      <c r="E126">
        <v>-26800.778477500753</v>
      </c>
      <c r="F126">
        <v>-31649.494212443271</v>
      </c>
      <c r="G126">
        <v>-72748.901867285298</v>
      </c>
      <c r="H126">
        <v>-72748.901867285342</v>
      </c>
      <c r="I126">
        <v>-72748.901867285342</v>
      </c>
      <c r="J126">
        <v>-95676.265618606645</v>
      </c>
      <c r="K126">
        <v>-95676.265618606645</v>
      </c>
      <c r="L126">
        <v>-124699.57231362505</v>
      </c>
      <c r="M126">
        <v>-143749.89950608087</v>
      </c>
      <c r="N126">
        <v>-160403.80593934836</v>
      </c>
      <c r="O126">
        <v>-160403.80593934836</v>
      </c>
      <c r="P126">
        <v>-160403.80593934836</v>
      </c>
      <c r="Q126">
        <v>-175024.38496195231</v>
      </c>
      <c r="R126">
        <v>-175024.38496195231</v>
      </c>
      <c r="S126">
        <v>-191161.89144854853</v>
      </c>
      <c r="T126">
        <v>-191161.89144854853</v>
      </c>
      <c r="U126">
        <v>-206508.66182712722</v>
      </c>
      <c r="V126">
        <v>-206508.66182712722</v>
      </c>
      <c r="W126">
        <v>-219576.00638034902</v>
      </c>
      <c r="X126">
        <v>-219576.00638034902</v>
      </c>
      <c r="Y126">
        <v>-219576.00638034902</v>
      </c>
      <c r="Z126">
        <v>-219576.00638034902</v>
      </c>
      <c r="AA126">
        <v>-219576.00638034902</v>
      </c>
    </row>
    <row r="127" spans="1:27" x14ac:dyDescent="0.2">
      <c r="A127" t="s">
        <v>422</v>
      </c>
      <c r="B127" t="s">
        <v>167</v>
      </c>
      <c r="C127">
        <v>-1584.4133563691048</v>
      </c>
      <c r="D127">
        <v>-2892.8087232800622</v>
      </c>
      <c r="E127">
        <v>-2892.8087232800608</v>
      </c>
      <c r="F127">
        <v>-3416.1669229876616</v>
      </c>
      <c r="G127">
        <v>-7852.3337711029417</v>
      </c>
      <c r="H127">
        <v>-7852.3337711029462</v>
      </c>
      <c r="I127">
        <v>-7852.3337711029462</v>
      </c>
      <c r="J127">
        <v>-10327.055836259251</v>
      </c>
      <c r="K127">
        <v>-10327.055836259251</v>
      </c>
      <c r="L127">
        <v>-13459.758673837841</v>
      </c>
      <c r="M127">
        <v>-15516.003149345875</v>
      </c>
      <c r="N127">
        <v>-17313.583986308888</v>
      </c>
      <c r="O127">
        <v>-17313.583986308888</v>
      </c>
      <c r="P127">
        <v>-17313.583986308888</v>
      </c>
      <c r="Q127">
        <v>-18891.692568919669</v>
      </c>
      <c r="R127">
        <v>-18891.692568919669</v>
      </c>
      <c r="S127">
        <v>-20633.534492489325</v>
      </c>
      <c r="T127">
        <v>-20633.534492489325</v>
      </c>
      <c r="U127">
        <v>-22290.026346358354</v>
      </c>
      <c r="V127">
        <v>-22290.026346358354</v>
      </c>
      <c r="W127">
        <v>-23700.482701027322</v>
      </c>
      <c r="X127">
        <v>-23700.482701027322</v>
      </c>
      <c r="Y127">
        <v>-23700.482701027322</v>
      </c>
      <c r="Z127">
        <v>-23700.482701027322</v>
      </c>
      <c r="AA127">
        <v>-23700.482701027322</v>
      </c>
    </row>
    <row r="128" spans="1:27" x14ac:dyDescent="0.2">
      <c r="A128" t="s">
        <v>610</v>
      </c>
      <c r="B128" t="s">
        <v>611</v>
      </c>
      <c r="C128">
        <v>-1062.5394991898227</v>
      </c>
      <c r="D128">
        <v>-1939.9757769839787</v>
      </c>
      <c r="E128">
        <v>-1939.975776983978</v>
      </c>
      <c r="F128">
        <v>-2290.9503236064284</v>
      </c>
      <c r="G128">
        <v>-5265.9331348601499</v>
      </c>
      <c r="H128">
        <v>-5265.9331348601527</v>
      </c>
      <c r="I128">
        <v>-5265.9331348601527</v>
      </c>
      <c r="J128">
        <v>-6925.5315806666267</v>
      </c>
      <c r="K128">
        <v>-6925.5315806666267</v>
      </c>
      <c r="L128">
        <v>-9026.3851810044016</v>
      </c>
      <c r="M128">
        <v>-10405.344129081563</v>
      </c>
      <c r="N128">
        <v>-11610.838032917947</v>
      </c>
      <c r="O128">
        <v>-11610.838032917947</v>
      </c>
      <c r="P128">
        <v>-11610.838032917947</v>
      </c>
      <c r="Q128">
        <v>-12669.14942387784</v>
      </c>
      <c r="R128">
        <v>-12669.14942387784</v>
      </c>
      <c r="S128">
        <v>-13837.263690080972</v>
      </c>
      <c r="T128">
        <v>-13837.263690080972</v>
      </c>
      <c r="U128">
        <v>-14948.140481005974</v>
      </c>
      <c r="V128">
        <v>-14948.140481005974</v>
      </c>
      <c r="W128">
        <v>-15894.020912204471</v>
      </c>
      <c r="X128">
        <v>-15894.020912204471</v>
      </c>
      <c r="Y128">
        <v>-15894.020912204471</v>
      </c>
      <c r="Z128">
        <v>-15894.020912204471</v>
      </c>
      <c r="AA128">
        <v>-15894.020912204471</v>
      </c>
    </row>
    <row r="129" spans="1:27" x14ac:dyDescent="0.2">
      <c r="A129" t="s">
        <v>460</v>
      </c>
      <c r="B129" t="s">
        <v>461</v>
      </c>
      <c r="C129">
        <v>-2395.8571777746829</v>
      </c>
      <c r="D129">
        <v>-4374.3361009544315</v>
      </c>
      <c r="E129">
        <v>-4374.3361009544296</v>
      </c>
      <c r="F129">
        <v>-5165.7277502839652</v>
      </c>
      <c r="G129">
        <v>-11873.839709917744</v>
      </c>
      <c r="H129">
        <v>-11873.839709917751</v>
      </c>
      <c r="I129">
        <v>-11873.839709917751</v>
      </c>
      <c r="J129">
        <v>-15615.969627573459</v>
      </c>
      <c r="K129">
        <v>-15615.969627573459</v>
      </c>
      <c r="L129">
        <v>-20353.059572616374</v>
      </c>
      <c r="M129">
        <v>-23462.392163194327</v>
      </c>
      <c r="N129">
        <v>-26180.58873327219</v>
      </c>
      <c r="O129">
        <v>-26180.58873327219</v>
      </c>
      <c r="P129">
        <v>-26180.58873327219</v>
      </c>
      <c r="Q129">
        <v>-28566.912201044743</v>
      </c>
      <c r="R129">
        <v>-28566.912201044743</v>
      </c>
      <c r="S129">
        <v>-31200.823647421763</v>
      </c>
      <c r="T129">
        <v>-31200.823647421763</v>
      </c>
      <c r="U129">
        <v>-33705.673711998512</v>
      </c>
      <c r="V129">
        <v>-33705.673711998512</v>
      </c>
      <c r="W129">
        <v>-35838.483289554431</v>
      </c>
      <c r="X129">
        <v>-35838.483289554431</v>
      </c>
      <c r="Y129">
        <v>-35838.483289554431</v>
      </c>
      <c r="Z129">
        <v>-35838.483289554431</v>
      </c>
      <c r="AA129">
        <v>-35838.483289554431</v>
      </c>
    </row>
    <row r="130" spans="1:27" x14ac:dyDescent="0.2">
      <c r="A130" t="s">
        <v>439</v>
      </c>
      <c r="B130" t="s">
        <v>440</v>
      </c>
      <c r="C130">
        <v>-2609.071250398963</v>
      </c>
      <c r="D130">
        <v>-4763.6205807489196</v>
      </c>
      <c r="E130">
        <v>-4763.6205807489177</v>
      </c>
      <c r="F130">
        <v>-5625.4404000710902</v>
      </c>
      <c r="G130">
        <v>-12930.526120829316</v>
      </c>
      <c r="H130">
        <v>-12930.526120829323</v>
      </c>
      <c r="I130">
        <v>-12930.526120829323</v>
      </c>
      <c r="J130">
        <v>-17005.678710885568</v>
      </c>
      <c r="K130">
        <v>-17005.678710885568</v>
      </c>
      <c r="L130">
        <v>-22164.335621163133</v>
      </c>
      <c r="M130">
        <v>-25550.376469199193</v>
      </c>
      <c r="N130">
        <v>-28510.473001543571</v>
      </c>
      <c r="O130">
        <v>-28510.473001543571</v>
      </c>
      <c r="P130">
        <v>-28510.473001543571</v>
      </c>
      <c r="Q130">
        <v>-31109.16211025773</v>
      </c>
      <c r="R130">
        <v>-31109.16211025773</v>
      </c>
      <c r="S130">
        <v>-33977.47274854959</v>
      </c>
      <c r="T130">
        <v>-33977.47274854959</v>
      </c>
      <c r="U130">
        <v>-36705.236469472766</v>
      </c>
      <c r="V130">
        <v>-36705.236469472766</v>
      </c>
      <c r="W130">
        <v>-39027.850773446131</v>
      </c>
      <c r="X130">
        <v>-39027.850773446131</v>
      </c>
      <c r="Y130">
        <v>-39027.850773446131</v>
      </c>
      <c r="Z130">
        <v>-39027.850773446131</v>
      </c>
      <c r="AA130">
        <v>-39027.850773446131</v>
      </c>
    </row>
    <row r="131" spans="1:27" x14ac:dyDescent="0.2">
      <c r="A131" t="s">
        <v>441</v>
      </c>
      <c r="B131" t="s">
        <v>45</v>
      </c>
      <c r="C131">
        <v>-3905.1417965599185</v>
      </c>
      <c r="D131">
        <v>-7129.9754002467507</v>
      </c>
      <c r="E131">
        <v>-7129.975400246748</v>
      </c>
      <c r="F131">
        <v>-8419.9089722119061</v>
      </c>
      <c r="G131">
        <v>-19353.836350095415</v>
      </c>
      <c r="H131">
        <v>-19353.836350095426</v>
      </c>
      <c r="I131">
        <v>-19353.836350095426</v>
      </c>
      <c r="J131">
        <v>-25453.343484810346</v>
      </c>
      <c r="K131">
        <v>-25453.343484810346</v>
      </c>
      <c r="L131">
        <v>-33174.591691948066</v>
      </c>
      <c r="M131">
        <v>-38242.667022778085</v>
      </c>
      <c r="N131">
        <v>-42673.207847810168</v>
      </c>
      <c r="O131">
        <v>-42673.207847810168</v>
      </c>
      <c r="P131">
        <v>-42673.207847810168</v>
      </c>
      <c r="Q131">
        <v>-46562.810116492132</v>
      </c>
      <c r="R131">
        <v>-46562.810116492132</v>
      </c>
      <c r="S131">
        <v>-50855.969897927076</v>
      </c>
      <c r="T131">
        <v>-50855.969897927076</v>
      </c>
      <c r="U131">
        <v>-54938.765304947112</v>
      </c>
      <c r="V131">
        <v>-54938.765304947112</v>
      </c>
      <c r="W131">
        <v>-58415.151085652542</v>
      </c>
      <c r="X131">
        <v>-58415.151085652542</v>
      </c>
      <c r="Y131">
        <v>-58415.151085652542</v>
      </c>
      <c r="Z131">
        <v>-58415.151085652542</v>
      </c>
      <c r="AA131">
        <v>-58415.151085652542</v>
      </c>
    </row>
    <row r="132" spans="1:27" x14ac:dyDescent="0.2">
      <c r="A132" t="s">
        <v>631</v>
      </c>
      <c r="B132" t="s">
        <v>241</v>
      </c>
      <c r="C132">
        <v>-1560.4262396584932</v>
      </c>
      <c r="D132">
        <v>-2849.0132451695954</v>
      </c>
      <c r="E132">
        <v>-2849.0132451695945</v>
      </c>
      <c r="F132">
        <v>-3364.4480995157228</v>
      </c>
      <c r="G132">
        <v>-7733.4539056556041</v>
      </c>
      <c r="H132">
        <v>-7733.4539056556087</v>
      </c>
      <c r="I132">
        <v>-7733.4539056556087</v>
      </c>
      <c r="J132">
        <v>-10170.710086821095</v>
      </c>
      <c r="K132">
        <v>-10170.710086821095</v>
      </c>
      <c r="L132">
        <v>-13255.985585894496</v>
      </c>
      <c r="M132">
        <v>-15281.099690012203</v>
      </c>
      <c r="N132">
        <v>-17051.46617589716</v>
      </c>
      <c r="O132">
        <v>-17051.46617589716</v>
      </c>
      <c r="P132">
        <v>-17051.46617589716</v>
      </c>
      <c r="Q132">
        <v>-18605.683092484716</v>
      </c>
      <c r="R132">
        <v>-18605.683092484716</v>
      </c>
      <c r="S132">
        <v>-20321.154520410579</v>
      </c>
      <c r="T132">
        <v>-20321.154520410579</v>
      </c>
      <c r="U132">
        <v>-21952.568030128314</v>
      </c>
      <c r="V132">
        <v>-21952.568030128314</v>
      </c>
      <c r="W132">
        <v>-23341.670878113771</v>
      </c>
      <c r="X132">
        <v>-23341.670878113771</v>
      </c>
      <c r="Y132">
        <v>-23341.670878113771</v>
      </c>
      <c r="Z132">
        <v>-23341.670878113771</v>
      </c>
      <c r="AA132">
        <v>-23341.670878113771</v>
      </c>
    </row>
    <row r="133" spans="1:27" x14ac:dyDescent="0.2">
      <c r="A133" t="s">
        <v>490</v>
      </c>
      <c r="B133" t="s">
        <v>491</v>
      </c>
      <c r="C133">
        <v>-13650.657048765943</v>
      </c>
      <c r="D133">
        <v>-24923.256062211138</v>
      </c>
      <c r="E133">
        <v>-24923.25606221113</v>
      </c>
      <c r="F133">
        <v>-29432.296123726304</v>
      </c>
      <c r="G133">
        <v>-67652.494161882321</v>
      </c>
      <c r="H133">
        <v>-67652.49416188235</v>
      </c>
      <c r="I133">
        <v>-67652.49416188235</v>
      </c>
      <c r="J133">
        <v>-88973.68668191864</v>
      </c>
      <c r="K133">
        <v>-88973.68668191864</v>
      </c>
      <c r="L133">
        <v>-115963.77225496595</v>
      </c>
      <c r="M133">
        <v>-133679.53312680297</v>
      </c>
      <c r="N133">
        <v>-149166.75394842506</v>
      </c>
      <c r="O133">
        <v>-149166.75394842506</v>
      </c>
      <c r="P133">
        <v>-149166.75394842506</v>
      </c>
      <c r="Q133">
        <v>-162763.09164675194</v>
      </c>
      <c r="R133">
        <v>-162763.09164675194</v>
      </c>
      <c r="S133">
        <v>-177770.08880202775</v>
      </c>
      <c r="T133">
        <v>-177770.08880202775</v>
      </c>
      <c r="U133">
        <v>-192041.74468673926</v>
      </c>
      <c r="V133">
        <v>-192041.74468673926</v>
      </c>
      <c r="W133">
        <v>-204193.65940169783</v>
      </c>
      <c r="X133">
        <v>-204193.65940169783</v>
      </c>
      <c r="Y133">
        <v>-204193.65940169783</v>
      </c>
      <c r="Z133">
        <v>-204193.65940169783</v>
      </c>
      <c r="AA133">
        <v>-204193.65940169783</v>
      </c>
    </row>
    <row r="134" spans="1:27" x14ac:dyDescent="0.2">
      <c r="A134" t="s">
        <v>815</v>
      </c>
      <c r="B134" t="s">
        <v>107</v>
      </c>
      <c r="C134">
        <v>-1336.1563678362375</v>
      </c>
      <c r="D134">
        <v>-2439.5431791868991</v>
      </c>
      <c r="E134">
        <v>-2439.5431791868982</v>
      </c>
      <c r="F134">
        <v>-2880.8979483748658</v>
      </c>
      <c r="G134">
        <v>-6621.9750852633742</v>
      </c>
      <c r="H134">
        <v>-6621.9750852633779</v>
      </c>
      <c r="I134">
        <v>-6621.9750852633779</v>
      </c>
      <c r="J134">
        <v>-8708.9403539486866</v>
      </c>
      <c r="K134">
        <v>-8708.9403539486866</v>
      </c>
      <c r="L134">
        <v>-11350.789356384239</v>
      </c>
      <c r="M134">
        <v>-13084.847036934423</v>
      </c>
      <c r="N134">
        <v>-14600.770310588643</v>
      </c>
      <c r="O134">
        <v>-14600.770310588643</v>
      </c>
      <c r="P134">
        <v>-14600.770310588643</v>
      </c>
      <c r="Q134">
        <v>-15931.60978080401</v>
      </c>
      <c r="R134">
        <v>-15931.60978080401</v>
      </c>
      <c r="S134">
        <v>-17400.527704643788</v>
      </c>
      <c r="T134">
        <v>-17400.527704643788</v>
      </c>
      <c r="U134">
        <v>-18797.468805852444</v>
      </c>
      <c r="V134">
        <v>-18797.468805852444</v>
      </c>
      <c r="W134">
        <v>-19986.924974137226</v>
      </c>
      <c r="X134">
        <v>-19986.924974137226</v>
      </c>
      <c r="Y134">
        <v>-19986.924974137226</v>
      </c>
      <c r="Z134">
        <v>-19986.924974137226</v>
      </c>
      <c r="AA134">
        <v>-19986.924974137226</v>
      </c>
    </row>
    <row r="135" spans="1:27" x14ac:dyDescent="0.2">
      <c r="A135" t="s">
        <v>542</v>
      </c>
      <c r="B135" t="s">
        <v>543</v>
      </c>
      <c r="C135">
        <v>-121.91251566009528</v>
      </c>
      <c r="D135">
        <v>-222.58685674471363</v>
      </c>
      <c r="E135">
        <v>-222.58685674471351</v>
      </c>
      <c r="F135">
        <v>-262.85659725227106</v>
      </c>
      <c r="G135">
        <v>-604.19697927292054</v>
      </c>
      <c r="H135">
        <v>-604.19697927292088</v>
      </c>
      <c r="I135">
        <v>-604.19697927292088</v>
      </c>
      <c r="J135">
        <v>-794.61420297907318</v>
      </c>
      <c r="K135">
        <v>-794.61420297907318</v>
      </c>
      <c r="L135">
        <v>-1035.6596866020689</v>
      </c>
      <c r="M135">
        <v>-1193.8771970854623</v>
      </c>
      <c r="N135">
        <v>-1332.1918616618495</v>
      </c>
      <c r="O135">
        <v>-1332.1918616618495</v>
      </c>
      <c r="P135">
        <v>-1332.1918616618495</v>
      </c>
      <c r="Q135">
        <v>-1453.6192571817646</v>
      </c>
      <c r="R135">
        <v>-1453.6192571817646</v>
      </c>
      <c r="S135">
        <v>-1587.6450970492283</v>
      </c>
      <c r="T135">
        <v>-1587.6450970492283</v>
      </c>
      <c r="U135">
        <v>-1715.103684963696</v>
      </c>
      <c r="V135">
        <v>-1715.103684963696</v>
      </c>
      <c r="W135">
        <v>-1823.6310977977514</v>
      </c>
      <c r="X135">
        <v>-1823.6310977977514</v>
      </c>
      <c r="Y135">
        <v>-1823.6310977977514</v>
      </c>
      <c r="Z135">
        <v>-1823.6310977977514</v>
      </c>
      <c r="AA135">
        <v>-1823.6310977977514</v>
      </c>
    </row>
    <row r="136" spans="1:27" x14ac:dyDescent="0.2">
      <c r="A136" t="s">
        <v>816</v>
      </c>
      <c r="B136" t="s">
        <v>817</v>
      </c>
      <c r="C136">
        <v>-88.814983424602545</v>
      </c>
      <c r="D136">
        <v>-162.15765777021841</v>
      </c>
      <c r="E136">
        <v>-162.15765777021835</v>
      </c>
      <c r="F136">
        <v>-191.4947304762199</v>
      </c>
      <c r="G136">
        <v>-440.16600271734092</v>
      </c>
      <c r="H136">
        <v>-440.1660027173412</v>
      </c>
      <c r="I136">
        <v>-440.1660027173412</v>
      </c>
      <c r="J136">
        <v>-578.8876300716064</v>
      </c>
      <c r="K136">
        <v>-578.8876300716064</v>
      </c>
      <c r="L136">
        <v>-754.49265730474667</v>
      </c>
      <c r="M136">
        <v>-869.75634040552973</v>
      </c>
      <c r="N136">
        <v>-970.52052015538823</v>
      </c>
      <c r="O136">
        <v>-970.52052015538823</v>
      </c>
      <c r="P136">
        <v>-970.52052015538823</v>
      </c>
      <c r="Q136">
        <v>-1058.9820867304102</v>
      </c>
      <c r="R136">
        <v>-1058.9820867304102</v>
      </c>
      <c r="S136">
        <v>-1156.6217973199728</v>
      </c>
      <c r="T136">
        <v>-1156.6217973199728</v>
      </c>
      <c r="U136">
        <v>-1249.477172435918</v>
      </c>
      <c r="V136">
        <v>-1249.477172435918</v>
      </c>
      <c r="W136">
        <v>-1328.5409200731644</v>
      </c>
      <c r="X136">
        <v>-1328.5409200731644</v>
      </c>
      <c r="Y136">
        <v>-1328.5409200731644</v>
      </c>
      <c r="Z136">
        <v>-1328.5409200731644</v>
      </c>
      <c r="AA136">
        <v>-1328.5409200731644</v>
      </c>
    </row>
    <row r="137" spans="1:27" x14ac:dyDescent="0.2">
      <c r="A137" t="s">
        <v>657</v>
      </c>
      <c r="B137" t="s">
        <v>658</v>
      </c>
      <c r="C137">
        <v>-455.62673050732371</v>
      </c>
      <c r="D137">
        <v>-831.87949361372921</v>
      </c>
      <c r="E137">
        <v>-831.87949361372898</v>
      </c>
      <c r="F137">
        <v>-982.38061408107137</v>
      </c>
      <c r="G137">
        <v>-2258.0806634821174</v>
      </c>
      <c r="H137">
        <v>-2258.0806634821188</v>
      </c>
      <c r="I137">
        <v>-2258.0806634821188</v>
      </c>
      <c r="J137">
        <v>-2969.7317732944157</v>
      </c>
      <c r="K137">
        <v>-2969.7317732944157</v>
      </c>
      <c r="L137">
        <v>-3870.597160347133</v>
      </c>
      <c r="M137">
        <v>-4461.9074669242355</v>
      </c>
      <c r="N137">
        <v>-4978.8343637316348</v>
      </c>
      <c r="O137">
        <v>-4978.8343637316348</v>
      </c>
      <c r="P137">
        <v>-4978.8343637316348</v>
      </c>
      <c r="Q137">
        <v>-5432.6480424601741</v>
      </c>
      <c r="R137">
        <v>-5432.6480424601741</v>
      </c>
      <c r="S137">
        <v>-5933.5462061283588</v>
      </c>
      <c r="T137">
        <v>-5933.5462061283588</v>
      </c>
      <c r="U137">
        <v>-6409.9004128487277</v>
      </c>
      <c r="V137">
        <v>-6409.9004128487277</v>
      </c>
      <c r="W137">
        <v>-6815.5026597736078</v>
      </c>
      <c r="X137">
        <v>-6815.5026597736078</v>
      </c>
      <c r="Y137">
        <v>-6815.5026597736078</v>
      </c>
      <c r="Z137">
        <v>-6815.5026597736078</v>
      </c>
      <c r="AA137">
        <v>-6815.5026597736078</v>
      </c>
    </row>
    <row r="138" spans="1:27" x14ac:dyDescent="0.2">
      <c r="A138" t="s">
        <v>822</v>
      </c>
      <c r="B138" t="s">
        <v>823</v>
      </c>
      <c r="C138">
        <v>-227.0112090033227</v>
      </c>
      <c r="D138">
        <v>-414.47517659916809</v>
      </c>
      <c r="E138">
        <v>-414.47517659916792</v>
      </c>
      <c r="F138">
        <v>-489.46077122309214</v>
      </c>
      <c r="G138">
        <v>-1125.0648548941117</v>
      </c>
      <c r="H138">
        <v>-1125.0648548941122</v>
      </c>
      <c r="I138">
        <v>-1125.0648548941122</v>
      </c>
      <c r="J138">
        <v>-1479.6375083623641</v>
      </c>
      <c r="K138">
        <v>-1479.6375083623641</v>
      </c>
      <c r="L138">
        <v>-1928.4841781711639</v>
      </c>
      <c r="M138">
        <v>-2223.0982967122968</v>
      </c>
      <c r="N138">
        <v>-2480.6516665067347</v>
      </c>
      <c r="O138">
        <v>-2480.6516665067347</v>
      </c>
      <c r="P138">
        <v>-2480.6516665067347</v>
      </c>
      <c r="Q138">
        <v>-2706.7595415993601</v>
      </c>
      <c r="R138">
        <v>-2706.7595415993601</v>
      </c>
      <c r="S138">
        <v>-2956.3267643021359</v>
      </c>
      <c r="T138">
        <v>-2956.3267643021359</v>
      </c>
      <c r="U138">
        <v>-3193.6652195350021</v>
      </c>
      <c r="V138">
        <v>-3193.6652195350021</v>
      </c>
      <c r="W138">
        <v>-3395.7522576382266</v>
      </c>
      <c r="X138">
        <v>-3395.7522576382266</v>
      </c>
      <c r="Y138">
        <v>-3395.7522576382266</v>
      </c>
      <c r="Z138">
        <v>-3395.7522576382266</v>
      </c>
      <c r="AA138">
        <v>-3395.7522576382266</v>
      </c>
    </row>
    <row r="139" spans="1:27" x14ac:dyDescent="0.2">
      <c r="A139" t="s">
        <v>872</v>
      </c>
      <c r="B139" t="s">
        <v>873</v>
      </c>
      <c r="C139">
        <v>-114.70608762047165</v>
      </c>
      <c r="D139">
        <v>-209.42942038954016</v>
      </c>
      <c r="E139">
        <v>-209.42942038954007</v>
      </c>
      <c r="F139">
        <v>-247.31875733007467</v>
      </c>
      <c r="G139">
        <v>-568.48200752196465</v>
      </c>
      <c r="H139">
        <v>-568.48200752196499</v>
      </c>
      <c r="I139">
        <v>-568.48200752196499</v>
      </c>
      <c r="J139">
        <v>-747.64338917848545</v>
      </c>
      <c r="K139">
        <v>-747.64338917848545</v>
      </c>
      <c r="L139">
        <v>-974.44031987317851</v>
      </c>
      <c r="M139">
        <v>-1123.3053606963942</v>
      </c>
      <c r="N139">
        <v>-1253.4440420958495</v>
      </c>
      <c r="O139">
        <v>-1253.4440420958495</v>
      </c>
      <c r="P139">
        <v>-1253.4440420958495</v>
      </c>
      <c r="Q139">
        <v>-1367.6936857408632</v>
      </c>
      <c r="R139">
        <v>-1367.6936857408632</v>
      </c>
      <c r="S139">
        <v>-1493.797061165481</v>
      </c>
      <c r="T139">
        <v>-1493.797061165481</v>
      </c>
      <c r="U139">
        <v>-1613.7213845553892</v>
      </c>
      <c r="V139">
        <v>-1613.7213845553892</v>
      </c>
      <c r="W139">
        <v>-1715.8335824569949</v>
      </c>
      <c r="X139">
        <v>-1715.8335824569949</v>
      </c>
      <c r="Y139">
        <v>-1715.8335824569949</v>
      </c>
      <c r="Z139">
        <v>-1715.8335824569949</v>
      </c>
      <c r="AA139">
        <v>-1715.8335824569949</v>
      </c>
    </row>
    <row r="140" spans="1:27" x14ac:dyDescent="0.2">
      <c r="A140" t="s">
        <v>765</v>
      </c>
      <c r="B140" t="s">
        <v>766</v>
      </c>
      <c r="C140">
        <v>-91.527208010328877</v>
      </c>
      <c r="D140">
        <v>-167.10961485234236</v>
      </c>
      <c r="E140">
        <v>-167.1096148523423</v>
      </c>
      <c r="F140">
        <v>-197.34258064753195</v>
      </c>
      <c r="G140">
        <v>-453.60775554257594</v>
      </c>
      <c r="H140">
        <v>-453.60775554257617</v>
      </c>
      <c r="I140">
        <v>-453.60775554257617</v>
      </c>
      <c r="J140">
        <v>-596.56565242901559</v>
      </c>
      <c r="K140">
        <v>-596.56565242901559</v>
      </c>
      <c r="L140">
        <v>-777.53329139583025</v>
      </c>
      <c r="M140">
        <v>-896.31688727588778</v>
      </c>
      <c r="N140">
        <v>-1000.1581951762022</v>
      </c>
      <c r="O140">
        <v>-1000.1581951762022</v>
      </c>
      <c r="P140">
        <v>-1000.1581951762022</v>
      </c>
      <c r="Q140">
        <v>-1091.3211937225572</v>
      </c>
      <c r="R140">
        <v>-1091.3211937225572</v>
      </c>
      <c r="S140">
        <v>-1191.9426176829163</v>
      </c>
      <c r="T140">
        <v>-1191.9426176829163</v>
      </c>
      <c r="U140">
        <v>-1287.6336025304122</v>
      </c>
      <c r="V140">
        <v>-1287.6336025304122</v>
      </c>
      <c r="W140">
        <v>-1369.1117923249715</v>
      </c>
      <c r="X140">
        <v>-1369.1117923249715</v>
      </c>
      <c r="Y140">
        <v>-1369.1117923249715</v>
      </c>
      <c r="Z140">
        <v>-1369.1117923249715</v>
      </c>
      <c r="AA140">
        <v>-1369.1117923249715</v>
      </c>
    </row>
    <row r="141" spans="1:27" x14ac:dyDescent="0.2">
      <c r="A141" t="s">
        <v>700</v>
      </c>
      <c r="B141" t="s">
        <v>701</v>
      </c>
      <c r="C141">
        <v>-478.47978590751268</v>
      </c>
      <c r="D141">
        <v>-873.60441201934543</v>
      </c>
      <c r="E141">
        <v>-873.60441201934509</v>
      </c>
      <c r="F141">
        <v>-1031.6542784524938</v>
      </c>
      <c r="G141">
        <v>-2371.3401345478146</v>
      </c>
      <c r="H141">
        <v>-2371.340134547816</v>
      </c>
      <c r="I141">
        <v>-2371.340134547816</v>
      </c>
      <c r="J141">
        <v>-3118.6858187764069</v>
      </c>
      <c r="K141">
        <v>-3118.6858187764069</v>
      </c>
      <c r="L141">
        <v>-4064.73627777498</v>
      </c>
      <c r="M141">
        <v>-4685.7051761117518</v>
      </c>
      <c r="N141">
        <v>-5228.5597857147395</v>
      </c>
      <c r="O141">
        <v>-5228.5597857147395</v>
      </c>
      <c r="P141">
        <v>-5228.5597857147395</v>
      </c>
      <c r="Q141">
        <v>-5705.1355818673355</v>
      </c>
      <c r="R141">
        <v>-5705.1355818673355</v>
      </c>
      <c r="S141">
        <v>-6231.1574986380137</v>
      </c>
      <c r="T141">
        <v>-6231.1574986380137</v>
      </c>
      <c r="U141">
        <v>-6731.4043972208028</v>
      </c>
      <c r="V141">
        <v>-6731.4043972208028</v>
      </c>
      <c r="W141">
        <v>-7157.3506011586842</v>
      </c>
      <c r="X141">
        <v>-7157.3506011586842</v>
      </c>
      <c r="Y141">
        <v>-7157.3506011586842</v>
      </c>
      <c r="Z141">
        <v>-7157.3506011586842</v>
      </c>
      <c r="AA141">
        <v>-7157.3506011586842</v>
      </c>
    </row>
    <row r="142" spans="1:27" x14ac:dyDescent="0.2">
      <c r="A142" t="s">
        <v>862</v>
      </c>
      <c r="B142" t="s">
        <v>863</v>
      </c>
      <c r="C142">
        <v>-96.100122355942005</v>
      </c>
      <c r="D142">
        <v>-175.45880381658918</v>
      </c>
      <c r="E142">
        <v>-175.4588038165891</v>
      </c>
      <c r="F142">
        <v>-207.20227961203631</v>
      </c>
      <c r="G142">
        <v>-476.27106471254353</v>
      </c>
      <c r="H142">
        <v>-476.27106471254382</v>
      </c>
      <c r="I142">
        <v>-476.27106471254382</v>
      </c>
      <c r="J142">
        <v>-626.37147399176706</v>
      </c>
      <c r="K142">
        <v>-626.37147399176706</v>
      </c>
      <c r="L142">
        <v>-816.38068136553773</v>
      </c>
      <c r="M142">
        <v>-941.09898476515741</v>
      </c>
      <c r="N142">
        <v>-1050.1284483722534</v>
      </c>
      <c r="O142">
        <v>-1050.1284483722534</v>
      </c>
      <c r="P142">
        <v>-1050.1284483722534</v>
      </c>
      <c r="Q142">
        <v>-1145.8461645037301</v>
      </c>
      <c r="R142">
        <v>-1145.8461645037301</v>
      </c>
      <c r="S142">
        <v>-1251.4948712044568</v>
      </c>
      <c r="T142">
        <v>-1251.4948712044568</v>
      </c>
      <c r="U142">
        <v>-1351.9668024707003</v>
      </c>
      <c r="V142">
        <v>-1351.9668024707003</v>
      </c>
      <c r="W142">
        <v>-1437.515834051716</v>
      </c>
      <c r="X142">
        <v>-1437.515834051716</v>
      </c>
      <c r="Y142">
        <v>-1437.515834051716</v>
      </c>
      <c r="Z142">
        <v>-1437.515834051716</v>
      </c>
      <c r="AA142">
        <v>-1437.515834051716</v>
      </c>
    </row>
    <row r="143" spans="1:27" x14ac:dyDescent="0.2">
      <c r="A143" t="s">
        <v>834</v>
      </c>
      <c r="B143" t="s">
        <v>287</v>
      </c>
      <c r="C143">
        <v>-189.75262710085295</v>
      </c>
      <c r="D143">
        <v>-346.44876776384626</v>
      </c>
      <c r="E143">
        <v>-346.44876776384615</v>
      </c>
      <c r="F143">
        <v>-409.12723036963291</v>
      </c>
      <c r="G143">
        <v>-940.41176562287228</v>
      </c>
      <c r="H143">
        <v>-940.41176562287285</v>
      </c>
      <c r="I143">
        <v>-940.41176562287285</v>
      </c>
      <c r="J143">
        <v>-1236.789608766012</v>
      </c>
      <c r="K143">
        <v>-1236.789608766012</v>
      </c>
      <c r="L143">
        <v>-1611.9685928153954</v>
      </c>
      <c r="M143">
        <v>-1858.2286925682838</v>
      </c>
      <c r="N143">
        <v>-2073.5106989138681</v>
      </c>
      <c r="O143">
        <v>-2073.5106989138681</v>
      </c>
      <c r="P143">
        <v>-2073.5106989138681</v>
      </c>
      <c r="Q143">
        <v>-2262.5082532433953</v>
      </c>
      <c r="R143">
        <v>-2262.5082532433953</v>
      </c>
      <c r="S143">
        <v>-2471.1148518075315</v>
      </c>
      <c r="T143">
        <v>-2471.1148518075315</v>
      </c>
      <c r="U143">
        <v>-2669.4997491446288</v>
      </c>
      <c r="V143">
        <v>-2669.4997491446288</v>
      </c>
      <c r="W143">
        <v>-2838.4189252129604</v>
      </c>
      <c r="X143">
        <v>-2838.4189252129604</v>
      </c>
      <c r="Y143">
        <v>-2838.4189252129604</v>
      </c>
      <c r="Z143">
        <v>-2838.4189252129604</v>
      </c>
      <c r="AA143">
        <v>-2838.4189252129604</v>
      </c>
    </row>
    <row r="144" spans="1:27" x14ac:dyDescent="0.2">
      <c r="A144" t="s">
        <v>742</v>
      </c>
      <c r="B144" t="s">
        <v>743</v>
      </c>
      <c r="C144">
        <v>-461.09579422398207</v>
      </c>
      <c r="D144">
        <v>-841.86486464340783</v>
      </c>
      <c r="E144">
        <v>-841.86486464340749</v>
      </c>
      <c r="F144">
        <v>-994.17250821870698</v>
      </c>
      <c r="G144">
        <v>-2285.1852782885999</v>
      </c>
      <c r="H144">
        <v>-2285.1852782886012</v>
      </c>
      <c r="I144">
        <v>-2285.1852782886012</v>
      </c>
      <c r="J144">
        <v>-3005.378611379283</v>
      </c>
      <c r="K144">
        <v>-3005.378611379283</v>
      </c>
      <c r="L144">
        <v>-3917.0574337992307</v>
      </c>
      <c r="M144">
        <v>-4515.4654664895188</v>
      </c>
      <c r="N144">
        <v>-5038.5972365982407</v>
      </c>
      <c r="O144">
        <v>-5038.5972365982407</v>
      </c>
      <c r="P144">
        <v>-5038.5972365982407</v>
      </c>
      <c r="Q144">
        <v>-5497.8582162823104</v>
      </c>
      <c r="R144">
        <v>-5497.8582162823104</v>
      </c>
      <c r="S144">
        <v>-6004.7688541738753</v>
      </c>
      <c r="T144">
        <v>-6004.7688541738753</v>
      </c>
      <c r="U144">
        <v>-6486.8409245177227</v>
      </c>
      <c r="V144">
        <v>-6486.8409245177227</v>
      </c>
      <c r="W144">
        <v>-6897.3117719515803</v>
      </c>
      <c r="X144">
        <v>-6897.3117719515803</v>
      </c>
      <c r="Y144">
        <v>-6897.3117719515803</v>
      </c>
      <c r="Z144">
        <v>-6897.3117719515803</v>
      </c>
      <c r="AA144">
        <v>-6897.3117719515803</v>
      </c>
    </row>
    <row r="145" spans="1:27" x14ac:dyDescent="0.2">
      <c r="A145" t="s">
        <v>845</v>
      </c>
      <c r="B145" t="s">
        <v>221</v>
      </c>
      <c r="C145">
        <v>-165.98196765913275</v>
      </c>
      <c r="D145">
        <v>-303.04849553393422</v>
      </c>
      <c r="E145">
        <v>-303.0484955339341</v>
      </c>
      <c r="F145">
        <v>-357.8751122301469</v>
      </c>
      <c r="G145">
        <v>-822.60465982861672</v>
      </c>
      <c r="H145">
        <v>-822.60465982861729</v>
      </c>
      <c r="I145">
        <v>-822.60465982861729</v>
      </c>
      <c r="J145">
        <v>-1081.8547072565345</v>
      </c>
      <c r="K145">
        <v>-1081.8547072565345</v>
      </c>
      <c r="L145">
        <v>-1410.0343322151557</v>
      </c>
      <c r="M145">
        <v>-1625.4449778405992</v>
      </c>
      <c r="N145">
        <v>-1813.7582126073253</v>
      </c>
      <c r="O145">
        <v>-1813.7582126073253</v>
      </c>
      <c r="P145">
        <v>-1813.7582126073253</v>
      </c>
      <c r="Q145">
        <v>-1979.0796968453571</v>
      </c>
      <c r="R145">
        <v>-1979.0796968453571</v>
      </c>
      <c r="S145">
        <v>-2161.553764400433</v>
      </c>
      <c r="T145">
        <v>-2161.553764400433</v>
      </c>
      <c r="U145">
        <v>-2335.0866219790801</v>
      </c>
      <c r="V145">
        <v>-2335.0866219790801</v>
      </c>
      <c r="W145">
        <v>-2482.8449832073507</v>
      </c>
      <c r="X145">
        <v>-2482.8449832073507</v>
      </c>
      <c r="Y145">
        <v>-2482.8449832073507</v>
      </c>
      <c r="Z145">
        <v>-2482.8449832073507</v>
      </c>
      <c r="AA145">
        <v>-2482.8449832073507</v>
      </c>
    </row>
    <row r="146" spans="1:27" x14ac:dyDescent="0.2">
      <c r="A146" t="s">
        <v>781</v>
      </c>
      <c r="B146" t="s">
        <v>782</v>
      </c>
      <c r="C146">
        <v>-472.88229241669825</v>
      </c>
      <c r="D146">
        <v>-863.38455497658572</v>
      </c>
      <c r="E146">
        <v>-863.38455497658538</v>
      </c>
      <c r="F146">
        <v>-1019.5854758019157</v>
      </c>
      <c r="G146">
        <v>-2343.5990233063794</v>
      </c>
      <c r="H146">
        <v>-2343.5990233063808</v>
      </c>
      <c r="I146">
        <v>-2343.5990233063808</v>
      </c>
      <c r="J146">
        <v>-3082.2018876164175</v>
      </c>
      <c r="K146">
        <v>-3082.2018876164175</v>
      </c>
      <c r="L146">
        <v>-4017.1849798375565</v>
      </c>
      <c r="M146">
        <v>-4630.8894764821107</v>
      </c>
      <c r="N146">
        <v>-5167.393504026657</v>
      </c>
      <c r="O146">
        <v>-5167.393504026657</v>
      </c>
      <c r="P146">
        <v>-5167.393504026657</v>
      </c>
      <c r="Q146">
        <v>-5638.3940805034954</v>
      </c>
      <c r="R146">
        <v>-5638.3940805034954</v>
      </c>
      <c r="S146">
        <v>-6158.2623323924581</v>
      </c>
      <c r="T146">
        <v>-6158.2623323924581</v>
      </c>
      <c r="U146">
        <v>-6652.6570950207342</v>
      </c>
      <c r="V146">
        <v>-6652.6570950207342</v>
      </c>
      <c r="W146">
        <v>-7073.6203693256384</v>
      </c>
      <c r="X146">
        <v>-7073.6203693256384</v>
      </c>
      <c r="Y146">
        <v>-7073.6203693256384</v>
      </c>
      <c r="Z146">
        <v>-7073.6203693256384</v>
      </c>
      <c r="AA146">
        <v>-7073.6203693256384</v>
      </c>
    </row>
    <row r="147" spans="1:27" x14ac:dyDescent="0.2">
      <c r="A147" t="s">
        <v>728</v>
      </c>
      <c r="B147" t="s">
        <v>729</v>
      </c>
      <c r="C147">
        <v>-191.17996022921034</v>
      </c>
      <c r="D147">
        <v>-349.05478071377559</v>
      </c>
      <c r="E147">
        <v>-349.05478071377547</v>
      </c>
      <c r="F147">
        <v>-412.20471529588542</v>
      </c>
      <c r="G147">
        <v>-947.48561165008527</v>
      </c>
      <c r="H147">
        <v>-947.48561165008584</v>
      </c>
      <c r="I147">
        <v>-947.48561165008584</v>
      </c>
      <c r="J147">
        <v>-1246.0928305889258</v>
      </c>
      <c r="K147">
        <v>-1246.0928305889258</v>
      </c>
      <c r="L147">
        <v>-1624.0939383747702</v>
      </c>
      <c r="M147">
        <v>-1872.2064245949252</v>
      </c>
      <c r="N147">
        <v>-2089.1077979252573</v>
      </c>
      <c r="O147">
        <v>-2089.1077979252573</v>
      </c>
      <c r="P147">
        <v>-2089.1077979252573</v>
      </c>
      <c r="Q147">
        <v>-2279.5270056705749</v>
      </c>
      <c r="R147">
        <v>-2279.5270056705749</v>
      </c>
      <c r="S147">
        <v>-2489.7027583142817</v>
      </c>
      <c r="T147">
        <v>-2489.7027583142817</v>
      </c>
      <c r="U147">
        <v>-2689.5799213473078</v>
      </c>
      <c r="V147">
        <v>-2689.5799213473078</v>
      </c>
      <c r="W147">
        <v>-2859.7697198028018</v>
      </c>
      <c r="X147">
        <v>-2859.7697198028018</v>
      </c>
      <c r="Y147">
        <v>-2859.7697198028018</v>
      </c>
      <c r="Z147">
        <v>-2859.7697198028018</v>
      </c>
      <c r="AA147">
        <v>-2859.7697198028018</v>
      </c>
    </row>
    <row r="148" spans="1:27" x14ac:dyDescent="0.2">
      <c r="A148" t="s">
        <v>752</v>
      </c>
      <c r="B148" t="s">
        <v>753</v>
      </c>
      <c r="C148">
        <v>-516.64886619456979</v>
      </c>
      <c r="D148">
        <v>-943.29320122963622</v>
      </c>
      <c r="E148">
        <v>-943.29320122963588</v>
      </c>
      <c r="F148">
        <v>-1113.9509525074991</v>
      </c>
      <c r="G148">
        <v>-2560.5056429962151</v>
      </c>
      <c r="H148">
        <v>-2560.5056429962165</v>
      </c>
      <c r="I148">
        <v>-2560.5056429962165</v>
      </c>
      <c r="J148">
        <v>-3367.4682604028803</v>
      </c>
      <c r="K148">
        <v>-3367.4682604028803</v>
      </c>
      <c r="L148">
        <v>-4388.9866429975064</v>
      </c>
      <c r="M148">
        <v>-5059.4912008009096</v>
      </c>
      <c r="N148">
        <v>-5645.6501709817139</v>
      </c>
      <c r="O148">
        <v>-5645.6501709817139</v>
      </c>
      <c r="P148">
        <v>-5645.6501709817139</v>
      </c>
      <c r="Q148">
        <v>-6160.243163183075</v>
      </c>
      <c r="R148">
        <v>-6160.243163183075</v>
      </c>
      <c r="S148">
        <v>-6728.2266703183086</v>
      </c>
      <c r="T148">
        <v>-6728.2266703183086</v>
      </c>
      <c r="U148">
        <v>-7268.3790457837704</v>
      </c>
      <c r="V148">
        <v>-7268.3790457837704</v>
      </c>
      <c r="W148">
        <v>-7728.3036440758378</v>
      </c>
      <c r="X148">
        <v>-7728.3036440758378</v>
      </c>
      <c r="Y148">
        <v>-7728.3036440758378</v>
      </c>
      <c r="Z148">
        <v>-7728.3036440758378</v>
      </c>
      <c r="AA148">
        <v>-7728.3036440758378</v>
      </c>
    </row>
    <row r="149" spans="1:27" x14ac:dyDescent="0.2">
      <c r="A149" t="s">
        <v>828</v>
      </c>
      <c r="B149" t="s">
        <v>829</v>
      </c>
      <c r="C149">
        <v>-60.402700028000915</v>
      </c>
      <c r="D149">
        <v>-110.28274714314136</v>
      </c>
      <c r="E149">
        <v>-110.28274714314131</v>
      </c>
      <c r="F149">
        <v>-130.23476800755543</v>
      </c>
      <c r="G149">
        <v>-299.3550637458643</v>
      </c>
      <c r="H149">
        <v>-299.35506374586447</v>
      </c>
      <c r="I149">
        <v>-299.35506374586447</v>
      </c>
      <c r="J149">
        <v>-393.69906428929869</v>
      </c>
      <c r="K149">
        <v>-393.69906428929869</v>
      </c>
      <c r="L149">
        <v>-513.12731135277863</v>
      </c>
      <c r="M149">
        <v>-591.51766178694368</v>
      </c>
      <c r="N149">
        <v>-660.04696042904959</v>
      </c>
      <c r="O149">
        <v>-660.04696042904959</v>
      </c>
      <c r="P149">
        <v>-660.04696042904959</v>
      </c>
      <c r="Q149">
        <v>-720.20930313076451</v>
      </c>
      <c r="R149">
        <v>-720.20930313076451</v>
      </c>
      <c r="S149">
        <v>-786.61366332038153</v>
      </c>
      <c r="T149">
        <v>-786.61366332038153</v>
      </c>
      <c r="U149">
        <v>-849.76421689648328</v>
      </c>
      <c r="V149">
        <v>-849.76421689648328</v>
      </c>
      <c r="W149">
        <v>-903.53514211065453</v>
      </c>
      <c r="X149">
        <v>-903.53514211065453</v>
      </c>
      <c r="Y149">
        <v>-903.53514211065453</v>
      </c>
      <c r="Z149">
        <v>-903.53514211065453</v>
      </c>
      <c r="AA149">
        <v>-903.53514211065453</v>
      </c>
    </row>
    <row r="150" spans="1:27" x14ac:dyDescent="0.2">
      <c r="A150" t="s">
        <v>737</v>
      </c>
      <c r="B150" t="s">
        <v>155</v>
      </c>
      <c r="C150">
        <v>-2391.6983849765134</v>
      </c>
      <c r="D150">
        <v>-4366.7430116658961</v>
      </c>
      <c r="E150">
        <v>-4366.7430116658943</v>
      </c>
      <c r="F150">
        <v>-5156.7609422603173</v>
      </c>
      <c r="G150">
        <v>-11853.22878221708</v>
      </c>
      <c r="H150">
        <v>-11853.228782217087</v>
      </c>
      <c r="I150">
        <v>-11853.228782217087</v>
      </c>
      <c r="J150">
        <v>-15588.863010941197</v>
      </c>
      <c r="K150">
        <v>-15588.863010941197</v>
      </c>
      <c r="L150">
        <v>-20317.730188896625</v>
      </c>
      <c r="M150">
        <v>-23421.665517023059</v>
      </c>
      <c r="N150">
        <v>-26135.143768987258</v>
      </c>
      <c r="O150">
        <v>-26135.143768987258</v>
      </c>
      <c r="P150">
        <v>-26135.143768987258</v>
      </c>
      <c r="Q150">
        <v>-28517.32499282977</v>
      </c>
      <c r="R150">
        <v>-28517.32499282977</v>
      </c>
      <c r="S150">
        <v>-31146.664425459134</v>
      </c>
      <c r="T150">
        <v>-31146.664425459134</v>
      </c>
      <c r="U150">
        <v>-33647.166504477435</v>
      </c>
      <c r="V150">
        <v>-33647.166504477435</v>
      </c>
      <c r="W150">
        <v>-35776.27389427639</v>
      </c>
      <c r="X150">
        <v>-35776.27389427639</v>
      </c>
      <c r="Y150">
        <v>-35776.27389427639</v>
      </c>
      <c r="Z150">
        <v>-35776.27389427639</v>
      </c>
      <c r="AA150">
        <v>-35776.27389427639</v>
      </c>
    </row>
    <row r="151" spans="1:27" x14ac:dyDescent="0.2">
      <c r="A151" t="s">
        <v>818</v>
      </c>
      <c r="B151" t="s">
        <v>819</v>
      </c>
      <c r="C151">
        <v>130.39855524364484</v>
      </c>
      <c r="D151">
        <v>238.08059721004787</v>
      </c>
      <c r="E151">
        <v>238.08059721004778</v>
      </c>
      <c r="F151">
        <v>281.15341835388045</v>
      </c>
      <c r="G151">
        <v>646.25369063360108</v>
      </c>
      <c r="H151">
        <v>646.25369063360142</v>
      </c>
      <c r="I151">
        <v>646.25369063360142</v>
      </c>
      <c r="J151">
        <v>849.92540333959755</v>
      </c>
      <c r="K151">
        <v>849.92540333959755</v>
      </c>
      <c r="L151">
        <v>1107.7494884407527</v>
      </c>
      <c r="M151">
        <v>1276.9801426485867</v>
      </c>
      <c r="N151">
        <v>1424.9225612929247</v>
      </c>
      <c r="O151">
        <v>1424.9225612929247</v>
      </c>
      <c r="P151">
        <v>1424.9225612929247</v>
      </c>
      <c r="Q151">
        <v>1554.8022283399264</v>
      </c>
      <c r="R151">
        <v>1554.8022283399264</v>
      </c>
      <c r="S151">
        <v>1698.1572874116332</v>
      </c>
      <c r="T151">
        <v>1698.1572874116332</v>
      </c>
      <c r="U151">
        <v>1834.4879637777999</v>
      </c>
      <c r="V151">
        <v>1834.4879637777999</v>
      </c>
      <c r="W151">
        <v>1950.5697110969036</v>
      </c>
      <c r="X151">
        <v>1950.5697110969036</v>
      </c>
      <c r="Y151">
        <v>1950.5697110969036</v>
      </c>
      <c r="Z151">
        <v>1950.5697110969036</v>
      </c>
      <c r="AA151">
        <v>1950.5697110969036</v>
      </c>
    </row>
    <row r="152" spans="1:27" x14ac:dyDescent="0.2">
      <c r="A152" t="s">
        <v>718</v>
      </c>
      <c r="B152" t="s">
        <v>719</v>
      </c>
      <c r="C152">
        <v>-143.51687274881618</v>
      </c>
      <c r="D152">
        <v>-262.03191216278339</v>
      </c>
      <c r="E152">
        <v>-262.03191216278333</v>
      </c>
      <c r="F152">
        <v>-309.43793272399063</v>
      </c>
      <c r="G152">
        <v>-711.26791634170024</v>
      </c>
      <c r="H152">
        <v>-711.26791634170058</v>
      </c>
      <c r="I152">
        <v>-711.26791634170058</v>
      </c>
      <c r="J152">
        <v>-935.42935141545672</v>
      </c>
      <c r="K152">
        <v>-935.42935141545672</v>
      </c>
      <c r="L152">
        <v>-1219.1909800922881</v>
      </c>
      <c r="M152">
        <v>-1405.4465273241146</v>
      </c>
      <c r="N152">
        <v>-1568.2722061137295</v>
      </c>
      <c r="O152">
        <v>-1568.2722061137295</v>
      </c>
      <c r="P152">
        <v>-1568.2722061137295</v>
      </c>
      <c r="Q152">
        <v>-1711.2179896265541</v>
      </c>
      <c r="R152">
        <v>-1711.2179896265541</v>
      </c>
      <c r="S152">
        <v>-1868.9948126308554</v>
      </c>
      <c r="T152">
        <v>-1868.9948126308554</v>
      </c>
      <c r="U152">
        <v>-2019.0405880249566</v>
      </c>
      <c r="V152">
        <v>-2019.0405880249566</v>
      </c>
      <c r="W152">
        <v>-2146.8003575049788</v>
      </c>
      <c r="X152">
        <v>-2146.8003575049788</v>
      </c>
      <c r="Y152">
        <v>-2146.8003575049788</v>
      </c>
      <c r="Z152">
        <v>-2146.8003575049788</v>
      </c>
      <c r="AA152">
        <v>-2146.8003575049788</v>
      </c>
    </row>
    <row r="153" spans="1:27" x14ac:dyDescent="0.2">
      <c r="A153" t="s">
        <v>740</v>
      </c>
      <c r="B153" t="s">
        <v>741</v>
      </c>
      <c r="C153">
        <v>-144.71306006314416</v>
      </c>
      <c r="D153">
        <v>-264.21590100865802</v>
      </c>
      <c r="E153">
        <v>-264.21590100865791</v>
      </c>
      <c r="F153">
        <v>-312.01704222245451</v>
      </c>
      <c r="G153">
        <v>-717.19620646062936</v>
      </c>
      <c r="H153">
        <v>-717.19620646062981</v>
      </c>
      <c r="I153">
        <v>-717.19620646062981</v>
      </c>
      <c r="J153">
        <v>-943.22598676697805</v>
      </c>
      <c r="K153">
        <v>-943.22598676697805</v>
      </c>
      <c r="L153">
        <v>-1229.3527175674485</v>
      </c>
      <c r="M153">
        <v>-1417.1606712763298</v>
      </c>
      <c r="N153">
        <v>-1581.3434728047871</v>
      </c>
      <c r="O153">
        <v>-1581.3434728047871</v>
      </c>
      <c r="P153">
        <v>-1581.3434728047871</v>
      </c>
      <c r="Q153">
        <v>-1725.480683705902</v>
      </c>
      <c r="R153">
        <v>-1725.480683705902</v>
      </c>
      <c r="S153">
        <v>-1884.5725481444119</v>
      </c>
      <c r="T153">
        <v>-1884.5725481444119</v>
      </c>
      <c r="U153">
        <v>-2035.8689280817784</v>
      </c>
      <c r="V153">
        <v>-2035.8689280817784</v>
      </c>
      <c r="W153">
        <v>-2164.693552255234</v>
      </c>
      <c r="X153">
        <v>-2164.693552255234</v>
      </c>
      <c r="Y153">
        <v>-2164.693552255234</v>
      </c>
      <c r="Z153">
        <v>-2164.693552255234</v>
      </c>
      <c r="AA153">
        <v>-2164.693552255234</v>
      </c>
    </row>
    <row r="154" spans="1:27" x14ac:dyDescent="0.2">
      <c r="A154" t="s">
        <v>420</v>
      </c>
      <c r="B154" t="s">
        <v>421</v>
      </c>
      <c r="C154">
        <v>-892.0097935488933</v>
      </c>
      <c r="D154">
        <v>-1628.6240592813792</v>
      </c>
      <c r="E154">
        <v>-1628.6240592813785</v>
      </c>
      <c r="F154">
        <v>-1923.2697953809056</v>
      </c>
      <c r="G154">
        <v>-4420.7899396215407</v>
      </c>
      <c r="H154">
        <v>-4420.7899396215435</v>
      </c>
      <c r="I154">
        <v>-4420.7899396215435</v>
      </c>
      <c r="J154">
        <v>-5814.0351489965105</v>
      </c>
      <c r="K154">
        <v>-5814.0351489965105</v>
      </c>
      <c r="L154">
        <v>-7577.7173346871532</v>
      </c>
      <c r="M154">
        <v>-8735.3636033902058</v>
      </c>
      <c r="N154">
        <v>-9747.3846803529541</v>
      </c>
      <c r="O154">
        <v>-9747.3846803529541</v>
      </c>
      <c r="P154">
        <v>-9747.3846803529541</v>
      </c>
      <c r="Q154">
        <v>-10635.844945670511</v>
      </c>
      <c r="R154">
        <v>-10635.844945670511</v>
      </c>
      <c r="S154">
        <v>-11616.485539485486</v>
      </c>
      <c r="T154">
        <v>-11616.485539485486</v>
      </c>
      <c r="U154">
        <v>-12549.074848105853</v>
      </c>
      <c r="V154">
        <v>-12549.074848105853</v>
      </c>
      <c r="W154">
        <v>-13343.148488472776</v>
      </c>
      <c r="X154">
        <v>-13343.148488472776</v>
      </c>
      <c r="Y154">
        <v>-13343.148488472776</v>
      </c>
      <c r="Z154">
        <v>-13343.148488472776</v>
      </c>
      <c r="AA154">
        <v>-13343.148488472776</v>
      </c>
    </row>
    <row r="155" spans="1:27" x14ac:dyDescent="0.2">
      <c r="A155" t="s">
        <v>584</v>
      </c>
      <c r="B155" t="s">
        <v>585</v>
      </c>
      <c r="C155">
        <v>-243.58042020953155</v>
      </c>
      <c r="D155">
        <v>-444.7271045588214</v>
      </c>
      <c r="E155">
        <v>-444.72710455882122</v>
      </c>
      <c r="F155">
        <v>-525.18578643778392</v>
      </c>
      <c r="G155">
        <v>-1207.1816687874307</v>
      </c>
      <c r="H155">
        <v>-1207.1816687874314</v>
      </c>
      <c r="I155">
        <v>-1207.1816687874314</v>
      </c>
      <c r="J155">
        <v>-1587.6340539616863</v>
      </c>
      <c r="K155">
        <v>-1587.6340539616863</v>
      </c>
      <c r="L155">
        <v>-2069.2413760039913</v>
      </c>
      <c r="M155">
        <v>-2385.358941779607</v>
      </c>
      <c r="N155">
        <v>-2661.7107497645238</v>
      </c>
      <c r="O155">
        <v>-2661.7107497645238</v>
      </c>
      <c r="P155">
        <v>-2661.7107497645238</v>
      </c>
      <c r="Q155">
        <v>-2904.3219030619798</v>
      </c>
      <c r="R155">
        <v>-2904.3219030619798</v>
      </c>
      <c r="S155">
        <v>-3172.1046669323669</v>
      </c>
      <c r="T155">
        <v>-3172.1046669323669</v>
      </c>
      <c r="U155">
        <v>-3426.7661037456323</v>
      </c>
      <c r="V155">
        <v>-3426.7661037456323</v>
      </c>
      <c r="W155">
        <v>-3643.6031748145001</v>
      </c>
      <c r="X155">
        <v>-3643.6031748145001</v>
      </c>
      <c r="Y155">
        <v>-3643.6031748145001</v>
      </c>
      <c r="Z155">
        <v>-3643.6031748145001</v>
      </c>
      <c r="AA155">
        <v>-3643.6031748145001</v>
      </c>
    </row>
    <row r="156" spans="1:27" x14ac:dyDescent="0.2">
      <c r="A156" t="s">
        <v>577</v>
      </c>
      <c r="B156" t="s">
        <v>578</v>
      </c>
      <c r="C156">
        <v>-1040.6065159428815</v>
      </c>
      <c r="D156">
        <v>-1899.9307186604954</v>
      </c>
      <c r="E156">
        <v>-1899.9307186604947</v>
      </c>
      <c r="F156">
        <v>-2243.6604345194369</v>
      </c>
      <c r="G156">
        <v>-5157.2335304553571</v>
      </c>
      <c r="H156">
        <v>-5157.2335304553608</v>
      </c>
      <c r="I156">
        <v>-5157.2335304553608</v>
      </c>
      <c r="J156">
        <v>-6782.5744781299736</v>
      </c>
      <c r="K156">
        <v>-6782.5744781299736</v>
      </c>
      <c r="L156">
        <v>-8840.062173618453</v>
      </c>
      <c r="M156">
        <v>-10190.556595407925</v>
      </c>
      <c r="N156">
        <v>-11371.166645404248</v>
      </c>
      <c r="O156">
        <v>-11371.166645404248</v>
      </c>
      <c r="P156">
        <v>-11371.166645404248</v>
      </c>
      <c r="Q156">
        <v>-12407.63232989801</v>
      </c>
      <c r="R156">
        <v>-12407.63232989801</v>
      </c>
      <c r="S156">
        <v>-13551.634334250472</v>
      </c>
      <c r="T156">
        <v>-13551.634334250472</v>
      </c>
      <c r="U156">
        <v>-14639.580361600705</v>
      </c>
      <c r="V156">
        <v>-14639.580361600705</v>
      </c>
      <c r="W156">
        <v>-15565.935890744355</v>
      </c>
      <c r="X156">
        <v>-15565.935890744355</v>
      </c>
      <c r="Y156">
        <v>-15565.935890744355</v>
      </c>
      <c r="Z156">
        <v>-15565.935890744355</v>
      </c>
      <c r="AA156">
        <v>-15565.935890744355</v>
      </c>
    </row>
    <row r="157" spans="1:27" x14ac:dyDescent="0.2">
      <c r="A157" t="s">
        <v>522</v>
      </c>
      <c r="B157" t="s">
        <v>523</v>
      </c>
      <c r="C157">
        <v>-493.0020756102727</v>
      </c>
      <c r="D157">
        <v>-900.11908772898244</v>
      </c>
      <c r="E157">
        <v>-900.11908772898209</v>
      </c>
      <c r="F157">
        <v>-1062.9659090501445</v>
      </c>
      <c r="G157">
        <v>-2443.3124297877685</v>
      </c>
      <c r="H157">
        <v>-2443.3124297877698</v>
      </c>
      <c r="I157">
        <v>-2443.3124297877698</v>
      </c>
      <c r="J157">
        <v>-3213.3407243462625</v>
      </c>
      <c r="K157">
        <v>-3213.3407243462625</v>
      </c>
      <c r="L157">
        <v>-4188.1046614136085</v>
      </c>
      <c r="M157">
        <v>-4827.9205215315269</v>
      </c>
      <c r="N157">
        <v>-5387.2512543466601</v>
      </c>
      <c r="O157">
        <v>-5387.2512543466601</v>
      </c>
      <c r="P157">
        <v>-5387.2512543466601</v>
      </c>
      <c r="Q157">
        <v>-5878.2915524090395</v>
      </c>
      <c r="R157">
        <v>-5878.2915524090395</v>
      </c>
      <c r="S157">
        <v>-6420.2787051005116</v>
      </c>
      <c r="T157">
        <v>-6420.2787051005116</v>
      </c>
      <c r="U157">
        <v>-6935.7085447355503</v>
      </c>
      <c r="V157">
        <v>-6935.7085447355503</v>
      </c>
      <c r="W157">
        <v>-7374.5825971501336</v>
      </c>
      <c r="X157">
        <v>-7374.5825971501336</v>
      </c>
      <c r="Y157">
        <v>-7374.5825971501336</v>
      </c>
      <c r="Z157">
        <v>-7374.5825971501336</v>
      </c>
      <c r="AA157">
        <v>-7374.5825971501336</v>
      </c>
    </row>
    <row r="158" spans="1:27" x14ac:dyDescent="0.2">
      <c r="A158" t="s">
        <v>520</v>
      </c>
      <c r="B158" t="s">
        <v>521</v>
      </c>
      <c r="C158">
        <v>-1439.3472778665475</v>
      </c>
      <c r="D158">
        <v>-2627.9482841419394</v>
      </c>
      <c r="E158">
        <v>-2627.9482841419385</v>
      </c>
      <c r="F158">
        <v>-3103.3887347479258</v>
      </c>
      <c r="G158">
        <v>-7133.3880094504912</v>
      </c>
      <c r="H158">
        <v>-7133.3880094504957</v>
      </c>
      <c r="I158">
        <v>-7133.3880094504957</v>
      </c>
      <c r="J158">
        <v>-9381.5289088189365</v>
      </c>
      <c r="K158">
        <v>-9381.5289088189365</v>
      </c>
      <c r="L158">
        <v>-12227.407027371684</v>
      </c>
      <c r="M158">
        <v>-14095.385403439561</v>
      </c>
      <c r="N158">
        <v>-15728.382925220762</v>
      </c>
      <c r="O158">
        <v>-15728.382925220762</v>
      </c>
      <c r="P158">
        <v>-15728.382925220762</v>
      </c>
      <c r="Q158">
        <v>-17162.002683238949</v>
      </c>
      <c r="R158">
        <v>-17162.002683238949</v>
      </c>
      <c r="S158">
        <v>-18744.364647738672</v>
      </c>
      <c r="T158">
        <v>-18744.364647738672</v>
      </c>
      <c r="U158">
        <v>-20249.191043634732</v>
      </c>
      <c r="V158">
        <v>-20249.191043634732</v>
      </c>
      <c r="W158">
        <v>-21530.508514534296</v>
      </c>
      <c r="X158">
        <v>-21530.508514534296</v>
      </c>
      <c r="Y158">
        <v>-21530.508514534296</v>
      </c>
      <c r="Z158">
        <v>-21530.508514534296</v>
      </c>
      <c r="AA158">
        <v>-21530.508514534296</v>
      </c>
    </row>
    <row r="159" spans="1:27" x14ac:dyDescent="0.2">
      <c r="A159" t="s">
        <v>661</v>
      </c>
      <c r="B159" t="s">
        <v>662</v>
      </c>
      <c r="C159">
        <v>-311.87576070992031</v>
      </c>
      <c r="D159">
        <v>-569.42016900739065</v>
      </c>
      <c r="E159">
        <v>-569.42016900739043</v>
      </c>
      <c r="F159">
        <v>-672.43794274771608</v>
      </c>
      <c r="G159">
        <v>-1545.6525649487262</v>
      </c>
      <c r="H159">
        <v>-1545.6525649487271</v>
      </c>
      <c r="I159">
        <v>-1545.6525649487271</v>
      </c>
      <c r="J159">
        <v>-2032.776599540902</v>
      </c>
      <c r="K159">
        <v>-2032.776599540902</v>
      </c>
      <c r="L159">
        <v>-2649.4175011216025</v>
      </c>
      <c r="M159">
        <v>-3054.1684503778292</v>
      </c>
      <c r="N159">
        <v>-3408.0040758551067</v>
      </c>
      <c r="O159">
        <v>-3408.0040758551067</v>
      </c>
      <c r="P159">
        <v>-3408.0040758551067</v>
      </c>
      <c r="Q159">
        <v>-3718.6388055524585</v>
      </c>
      <c r="R159">
        <v>-3718.6388055524585</v>
      </c>
      <c r="S159">
        <v>-4061.5027890994165</v>
      </c>
      <c r="T159">
        <v>-4061.5027890994165</v>
      </c>
      <c r="U159">
        <v>-4387.5664737802208</v>
      </c>
      <c r="V159">
        <v>-4387.5664737802208</v>
      </c>
      <c r="W159">
        <v>-4665.2005563207676</v>
      </c>
      <c r="X159">
        <v>-4665.2005563207676</v>
      </c>
      <c r="Y159">
        <v>-4665.2005563207676</v>
      </c>
      <c r="Z159">
        <v>-4665.2005563207676</v>
      </c>
      <c r="AA159">
        <v>-4665.2005563207676</v>
      </c>
    </row>
    <row r="160" spans="1:27" x14ac:dyDescent="0.2">
      <c r="A160" t="s">
        <v>525</v>
      </c>
      <c r="B160" t="s">
        <v>526</v>
      </c>
      <c r="C160">
        <v>-4630.0506703957681</v>
      </c>
      <c r="D160">
        <v>-8453.5079906441715</v>
      </c>
      <c r="E160">
        <v>-8453.5079906441679</v>
      </c>
      <c r="F160">
        <v>-9982.8910734568053</v>
      </c>
      <c r="G160">
        <v>-22946.476116802474</v>
      </c>
      <c r="H160">
        <v>-22946.476116802485</v>
      </c>
      <c r="I160">
        <v>-22946.476116802485</v>
      </c>
      <c r="J160">
        <v>-30178.230703293662</v>
      </c>
      <c r="K160">
        <v>-30178.230703293662</v>
      </c>
      <c r="L160">
        <v>-39332.769078633195</v>
      </c>
      <c r="M160">
        <v>-45341.627861634814</v>
      </c>
      <c r="N160">
        <v>-50594.607032641172</v>
      </c>
      <c r="O160">
        <v>-50594.607032641172</v>
      </c>
      <c r="P160">
        <v>-50594.607032641172</v>
      </c>
      <c r="Q160">
        <v>-55206.233582936533</v>
      </c>
      <c r="R160">
        <v>-55206.233582936533</v>
      </c>
      <c r="S160">
        <v>-60296.329758614294</v>
      </c>
      <c r="T160">
        <v>-60296.329758614294</v>
      </c>
      <c r="U160">
        <v>-65137.011760997462</v>
      </c>
      <c r="V160">
        <v>-65137.011760997462</v>
      </c>
      <c r="W160">
        <v>-69258.716721541656</v>
      </c>
      <c r="X160">
        <v>-69258.716721541656</v>
      </c>
      <c r="Y160">
        <v>-69258.716721541656</v>
      </c>
      <c r="Z160">
        <v>-69258.716721541656</v>
      </c>
      <c r="AA160">
        <v>-69258.716721541656</v>
      </c>
    </row>
    <row r="161" spans="1:27" x14ac:dyDescent="0.2">
      <c r="A161" t="s">
        <v>519</v>
      </c>
      <c r="B161" t="s">
        <v>267</v>
      </c>
      <c r="C161">
        <v>-935.78526024944154</v>
      </c>
      <c r="D161">
        <v>-1708.548942158661</v>
      </c>
      <c r="E161">
        <v>-1708.5489421586603</v>
      </c>
      <c r="F161">
        <v>-2017.6544461916394</v>
      </c>
      <c r="G161">
        <v>-4637.7406325305128</v>
      </c>
      <c r="H161">
        <v>-4637.7406325305155</v>
      </c>
      <c r="I161">
        <v>-4637.7406325305155</v>
      </c>
      <c r="J161">
        <v>-6099.3594850087056</v>
      </c>
      <c r="K161">
        <v>-6099.3594850087056</v>
      </c>
      <c r="L161">
        <v>-7949.5945441637577</v>
      </c>
      <c r="M161">
        <v>-9164.052415220418</v>
      </c>
      <c r="N161">
        <v>-10225.738524198769</v>
      </c>
      <c r="O161">
        <v>-10225.738524198769</v>
      </c>
      <c r="P161">
        <v>-10225.738524198769</v>
      </c>
      <c r="Q161">
        <v>-11157.800062776379</v>
      </c>
      <c r="R161">
        <v>-11157.800062776379</v>
      </c>
      <c r="S161">
        <v>-12186.565688368149</v>
      </c>
      <c r="T161">
        <v>-12186.565688368149</v>
      </c>
      <c r="U161">
        <v>-13164.921907307265</v>
      </c>
      <c r="V161">
        <v>-13164.921907307265</v>
      </c>
      <c r="W161">
        <v>-13997.964788206142</v>
      </c>
      <c r="X161">
        <v>-13997.964788206142</v>
      </c>
      <c r="Y161">
        <v>-13997.964788206142</v>
      </c>
      <c r="Z161">
        <v>-13997.964788206142</v>
      </c>
      <c r="AA161">
        <v>-13997.964788206142</v>
      </c>
    </row>
    <row r="162" spans="1:27" x14ac:dyDescent="0.2">
      <c r="A162" t="s">
        <v>462</v>
      </c>
      <c r="B162" t="s">
        <v>463</v>
      </c>
      <c r="C162">
        <v>-1467.1366238760534</v>
      </c>
      <c r="D162">
        <v>-2678.6858408706767</v>
      </c>
      <c r="E162">
        <v>-2678.6858408706757</v>
      </c>
      <c r="F162">
        <v>-3163.3055766929374</v>
      </c>
      <c r="G162">
        <v>-7271.1116781321089</v>
      </c>
      <c r="H162">
        <v>-7271.1116781321134</v>
      </c>
      <c r="I162">
        <v>-7271.1116781321134</v>
      </c>
      <c r="J162">
        <v>-9562.6572278523945</v>
      </c>
      <c r="K162">
        <v>-9562.6572278523945</v>
      </c>
      <c r="L162">
        <v>-12463.480454478413</v>
      </c>
      <c r="M162">
        <v>-14367.523717894232</v>
      </c>
      <c r="N162">
        <v>-16032.049373200447</v>
      </c>
      <c r="O162">
        <v>-16032.049373200447</v>
      </c>
      <c r="P162">
        <v>-16032.049373200447</v>
      </c>
      <c r="Q162">
        <v>-17493.34789652723</v>
      </c>
      <c r="R162">
        <v>-17493.34789652723</v>
      </c>
      <c r="S162">
        <v>-19106.260378487161</v>
      </c>
      <c r="T162">
        <v>-19106.260378487161</v>
      </c>
      <c r="U162">
        <v>-20640.140319724811</v>
      </c>
      <c r="V162">
        <v>-20640.140319724811</v>
      </c>
      <c r="W162">
        <v>-21946.1960696307</v>
      </c>
      <c r="X162">
        <v>-21946.1960696307</v>
      </c>
      <c r="Y162">
        <v>-21946.1960696307</v>
      </c>
      <c r="Z162">
        <v>-21946.1960696307</v>
      </c>
      <c r="AA162">
        <v>-21946.1960696307</v>
      </c>
    </row>
    <row r="163" spans="1:27" x14ac:dyDescent="0.2">
      <c r="A163" t="s">
        <v>450</v>
      </c>
      <c r="B163" t="s">
        <v>185</v>
      </c>
      <c r="C163">
        <v>-2097.5572695676974</v>
      </c>
      <c r="D163">
        <v>-3829.7026104918687</v>
      </c>
      <c r="E163">
        <v>-3829.7026104918668</v>
      </c>
      <c r="F163">
        <v>-4522.5608169514717</v>
      </c>
      <c r="G163">
        <v>-10395.468908690447</v>
      </c>
      <c r="H163">
        <v>-10395.468908690453</v>
      </c>
      <c r="I163">
        <v>-10395.468908690453</v>
      </c>
      <c r="J163">
        <v>-13671.679145786517</v>
      </c>
      <c r="K163">
        <v>-13671.679145786517</v>
      </c>
      <c r="L163">
        <v>-17818.970371238382</v>
      </c>
      <c r="M163">
        <v>-20541.170692431275</v>
      </c>
      <c r="N163">
        <v>-22920.933989080091</v>
      </c>
      <c r="O163">
        <v>-22920.933989080091</v>
      </c>
      <c r="P163">
        <v>-22920.933989080091</v>
      </c>
      <c r="Q163">
        <v>-25010.144557973628</v>
      </c>
      <c r="R163">
        <v>-25010.144557973628</v>
      </c>
      <c r="S163">
        <v>-27316.116780774159</v>
      </c>
      <c r="T163">
        <v>-27316.116780774159</v>
      </c>
      <c r="U163">
        <v>-29509.096608983342</v>
      </c>
      <c r="V163">
        <v>-29509.096608983342</v>
      </c>
      <c r="W163">
        <v>-31376.35742716003</v>
      </c>
      <c r="X163">
        <v>-31376.35742716003</v>
      </c>
      <c r="Y163">
        <v>-31376.35742716003</v>
      </c>
      <c r="Z163">
        <v>-31376.35742716003</v>
      </c>
      <c r="AA163">
        <v>-31376.35742716003</v>
      </c>
    </row>
    <row r="164" spans="1:27" x14ac:dyDescent="0.2">
      <c r="A164" t="s">
        <v>444</v>
      </c>
      <c r="B164" t="s">
        <v>445</v>
      </c>
      <c r="C164">
        <v>-596.91730719944064</v>
      </c>
      <c r="D164">
        <v>-1089.8466529596201</v>
      </c>
      <c r="E164">
        <v>-1089.8466529596196</v>
      </c>
      <c r="F164">
        <v>-1287.0184112097004</v>
      </c>
      <c r="G164">
        <v>-2958.3150830155391</v>
      </c>
      <c r="H164">
        <v>-2958.3150830155405</v>
      </c>
      <c r="I164">
        <v>-2958.3150830155405</v>
      </c>
      <c r="J164">
        <v>-3890.6503383717263</v>
      </c>
      <c r="K164">
        <v>-3890.6503383717263</v>
      </c>
      <c r="L164">
        <v>-5070.8755204850186</v>
      </c>
      <c r="M164">
        <v>-5845.5520973580833</v>
      </c>
      <c r="N164">
        <v>-6522.7788503136489</v>
      </c>
      <c r="O164">
        <v>-6522.7788503136489</v>
      </c>
      <c r="P164">
        <v>-6522.7788503136489</v>
      </c>
      <c r="Q164">
        <v>-7117.3208754825555</v>
      </c>
      <c r="R164">
        <v>-7117.3208754825555</v>
      </c>
      <c r="S164">
        <v>-7773.5483595571577</v>
      </c>
      <c r="T164">
        <v>-7773.5483595571577</v>
      </c>
      <c r="U164">
        <v>-8397.6207664417179</v>
      </c>
      <c r="V164">
        <v>-8397.6207664417179</v>
      </c>
      <c r="W164">
        <v>-8929.000917818832</v>
      </c>
      <c r="X164">
        <v>-8929.000917818832</v>
      </c>
      <c r="Y164">
        <v>-8929.000917818832</v>
      </c>
      <c r="Z164">
        <v>-8929.000917818832</v>
      </c>
      <c r="AA164">
        <v>-8929.000917818832</v>
      </c>
    </row>
    <row r="165" spans="1:27" x14ac:dyDescent="0.2">
      <c r="A165" t="s">
        <v>599</v>
      </c>
      <c r="B165" t="s">
        <v>600</v>
      </c>
      <c r="C165">
        <v>-575.39648653641291</v>
      </c>
      <c r="D165">
        <v>-1050.5541176525337</v>
      </c>
      <c r="E165">
        <v>-1050.5541176525333</v>
      </c>
      <c r="F165">
        <v>-1240.6171893258715</v>
      </c>
      <c r="G165">
        <v>-2851.6581514800696</v>
      </c>
      <c r="H165">
        <v>-2851.6581514800714</v>
      </c>
      <c r="I165">
        <v>-2851.6581514800714</v>
      </c>
      <c r="J165">
        <v>-3750.3796724272552</v>
      </c>
      <c r="K165">
        <v>-3750.3796724272552</v>
      </c>
      <c r="L165">
        <v>-4888.053877747102</v>
      </c>
      <c r="M165">
        <v>-5634.8008310665255</v>
      </c>
      <c r="N165">
        <v>-6287.611345252034</v>
      </c>
      <c r="O165">
        <v>-6287.611345252034</v>
      </c>
      <c r="P165">
        <v>-6287.611345252034</v>
      </c>
      <c r="Q165">
        <v>-6860.7181864415652</v>
      </c>
      <c r="R165">
        <v>-6860.7181864415652</v>
      </c>
      <c r="S165">
        <v>-7493.2865240505062</v>
      </c>
      <c r="T165">
        <v>-7493.2865240505062</v>
      </c>
      <c r="U165">
        <v>-8094.859080139453</v>
      </c>
      <c r="V165">
        <v>-8094.859080139453</v>
      </c>
      <c r="W165">
        <v>-8607.0812396075507</v>
      </c>
      <c r="X165">
        <v>-8607.0812396075507</v>
      </c>
      <c r="Y165">
        <v>-8607.0812396075507</v>
      </c>
      <c r="Z165">
        <v>-8607.0812396075507</v>
      </c>
      <c r="AA165">
        <v>-8607.0812396075507</v>
      </c>
    </row>
    <row r="166" spans="1:27" x14ac:dyDescent="0.2">
      <c r="A166" t="s">
        <v>679</v>
      </c>
      <c r="B166" t="s">
        <v>680</v>
      </c>
      <c r="C166">
        <v>-816.10137105506874</v>
      </c>
      <c r="D166">
        <v>-1490.0310930722451</v>
      </c>
      <c r="E166">
        <v>-1490.0310930722446</v>
      </c>
      <c r="F166">
        <v>-1759.6030091491657</v>
      </c>
      <c r="G166">
        <v>-4044.5886995453052</v>
      </c>
      <c r="H166">
        <v>-4044.5886995453075</v>
      </c>
      <c r="I166">
        <v>-4044.5886995453075</v>
      </c>
      <c r="J166">
        <v>-5319.271257752549</v>
      </c>
      <c r="K166">
        <v>-5319.271257752549</v>
      </c>
      <c r="L166">
        <v>-6932.8672745866852</v>
      </c>
      <c r="M166">
        <v>-7991.9999364900887</v>
      </c>
      <c r="N166">
        <v>-8917.8998474764994</v>
      </c>
      <c r="O166">
        <v>-8917.8998474764994</v>
      </c>
      <c r="P166">
        <v>-8917.8998474764994</v>
      </c>
      <c r="Q166">
        <v>-9730.7537487423997</v>
      </c>
      <c r="R166">
        <v>-9730.7537487423997</v>
      </c>
      <c r="S166">
        <v>-10627.943599024904</v>
      </c>
      <c r="T166">
        <v>-10627.943599024904</v>
      </c>
      <c r="U166">
        <v>-11481.171241703989</v>
      </c>
      <c r="V166">
        <v>-11481.171241703989</v>
      </c>
      <c r="W166">
        <v>-12207.670649343749</v>
      </c>
      <c r="X166">
        <v>-12207.670649343749</v>
      </c>
      <c r="Y166">
        <v>-12207.670649343749</v>
      </c>
      <c r="Z166">
        <v>-12207.670649343749</v>
      </c>
      <c r="AA166">
        <v>-12207.670649343749</v>
      </c>
    </row>
    <row r="167" spans="1:27" x14ac:dyDescent="0.2">
      <c r="A167" t="s">
        <v>773</v>
      </c>
      <c r="B167" t="s">
        <v>774</v>
      </c>
      <c r="C167">
        <v>-173.31585849025933</v>
      </c>
      <c r="D167">
        <v>-316.43865239330637</v>
      </c>
      <c r="E167">
        <v>-316.43865239330626</v>
      </c>
      <c r="F167">
        <v>-373.68777574587943</v>
      </c>
      <c r="G167">
        <v>-858.95133565998469</v>
      </c>
      <c r="H167">
        <v>-858.95133565998515</v>
      </c>
      <c r="I167">
        <v>-858.95133565998515</v>
      </c>
      <c r="J167">
        <v>-1129.6563114311148</v>
      </c>
      <c r="K167">
        <v>-1129.6563114311148</v>
      </c>
      <c r="L167">
        <v>-1472.3365088096832</v>
      </c>
      <c r="M167">
        <v>-1697.2650447286303</v>
      </c>
      <c r="N167">
        <v>-1893.8988743485977</v>
      </c>
      <c r="O167">
        <v>-1893.8988743485977</v>
      </c>
      <c r="P167">
        <v>-1893.8988743485977</v>
      </c>
      <c r="Q167">
        <v>-2066.5250660469696</v>
      </c>
      <c r="R167">
        <v>-2066.5250660469696</v>
      </c>
      <c r="S167">
        <v>-2257.0617256404093</v>
      </c>
      <c r="T167">
        <v>-2257.0617256404093</v>
      </c>
      <c r="U167">
        <v>-2438.2621091018009</v>
      </c>
      <c r="V167">
        <v>-2438.2621091018009</v>
      </c>
      <c r="W167">
        <v>-2592.5491535714928</v>
      </c>
      <c r="X167">
        <v>-2592.5491535714928</v>
      </c>
      <c r="Y167">
        <v>-2592.5491535714928</v>
      </c>
      <c r="Z167">
        <v>-2592.5491535714928</v>
      </c>
      <c r="AA167">
        <v>-2592.5491535714928</v>
      </c>
    </row>
    <row r="168" spans="1:27" x14ac:dyDescent="0.2">
      <c r="A168" t="s">
        <v>777</v>
      </c>
      <c r="B168" t="s">
        <v>778</v>
      </c>
      <c r="C168">
        <v>-695.22008712619163</v>
      </c>
      <c r="D168">
        <v>-1269.3270506422425</v>
      </c>
      <c r="E168">
        <v>-1269.3270506422421</v>
      </c>
      <c r="F168">
        <v>-1498.9698592794616</v>
      </c>
      <c r="G168">
        <v>-3445.5024924811182</v>
      </c>
      <c r="H168">
        <v>-3445.50249248112</v>
      </c>
      <c r="I168">
        <v>-3445.50249248112</v>
      </c>
      <c r="J168">
        <v>-4531.378525294791</v>
      </c>
      <c r="K168">
        <v>-4531.378525294791</v>
      </c>
      <c r="L168">
        <v>-5905.9680103726278</v>
      </c>
      <c r="M168">
        <v>-6808.2214896612859</v>
      </c>
      <c r="N168">
        <v>-7596.9767100500394</v>
      </c>
      <c r="O168">
        <v>-7596.9767100500394</v>
      </c>
      <c r="P168">
        <v>-7596.9767100500394</v>
      </c>
      <c r="Q168">
        <v>-8289.4303440003896</v>
      </c>
      <c r="R168">
        <v>-8289.4303440003896</v>
      </c>
      <c r="S168">
        <v>-9053.7280501490131</v>
      </c>
      <c r="T168">
        <v>-9053.7280501490131</v>
      </c>
      <c r="U168">
        <v>-9780.5752496763907</v>
      </c>
      <c r="V168">
        <v>-9780.5752496763907</v>
      </c>
      <c r="W168">
        <v>-10399.465254509329</v>
      </c>
      <c r="X168">
        <v>-10399.465254509329</v>
      </c>
      <c r="Y168">
        <v>-10399.465254509329</v>
      </c>
      <c r="Z168">
        <v>-10399.465254509329</v>
      </c>
      <c r="AA168">
        <v>-10399.465254509329</v>
      </c>
    </row>
    <row r="169" spans="1:27" x14ac:dyDescent="0.2">
      <c r="A169" t="s">
        <v>418</v>
      </c>
      <c r="B169" t="s">
        <v>419</v>
      </c>
      <c r="C169">
        <v>-1035.6116623123889</v>
      </c>
      <c r="D169">
        <v>-1890.8111564605729</v>
      </c>
      <c r="E169">
        <v>-1890.8111564605722</v>
      </c>
      <c r="F169">
        <v>-2232.8909887248392</v>
      </c>
      <c r="G169">
        <v>-5132.4790952022277</v>
      </c>
      <c r="H169">
        <v>-5132.4790952022304</v>
      </c>
      <c r="I169">
        <v>-5132.4790952022304</v>
      </c>
      <c r="J169">
        <v>-6750.0184963663214</v>
      </c>
      <c r="K169">
        <v>-6750.0184963663214</v>
      </c>
      <c r="L169">
        <v>-8797.6303648942194</v>
      </c>
      <c r="M169">
        <v>-10141.642488271864</v>
      </c>
      <c r="N169">
        <v>-11316.585675429953</v>
      </c>
      <c r="O169">
        <v>-11316.585675429953</v>
      </c>
      <c r="P169">
        <v>-11316.585675429953</v>
      </c>
      <c r="Q169">
        <v>-12348.076382054791</v>
      </c>
      <c r="R169">
        <v>-12348.076382054791</v>
      </c>
      <c r="S169">
        <v>-13486.587240160148</v>
      </c>
      <c r="T169">
        <v>-13486.587240160148</v>
      </c>
      <c r="U169">
        <v>-14569.311186847581</v>
      </c>
      <c r="V169">
        <v>-14569.311186847581</v>
      </c>
      <c r="W169">
        <v>-15491.220260768263</v>
      </c>
      <c r="X169">
        <v>-15491.220260768263</v>
      </c>
      <c r="Y169">
        <v>-15491.220260768263</v>
      </c>
      <c r="Z169">
        <v>-15491.220260768263</v>
      </c>
      <c r="AA169">
        <v>-15491.220260768263</v>
      </c>
    </row>
    <row r="170" spans="1:27" x14ac:dyDescent="0.2">
      <c r="A170" t="s">
        <v>509</v>
      </c>
      <c r="B170" t="s">
        <v>510</v>
      </c>
      <c r="C170">
        <v>-992.09506517114926</v>
      </c>
      <c r="D170">
        <v>-1811.3589154708066</v>
      </c>
      <c r="E170">
        <v>-1811.3589154708059</v>
      </c>
      <c r="F170">
        <v>-2139.0644887415538</v>
      </c>
      <c r="G170">
        <v>-4916.8113567537803</v>
      </c>
      <c r="H170">
        <v>-4916.811356753783</v>
      </c>
      <c r="I170">
        <v>-4916.811356753783</v>
      </c>
      <c r="J170">
        <v>-6466.3814475652198</v>
      </c>
      <c r="K170">
        <v>-6466.3814475652198</v>
      </c>
      <c r="L170">
        <v>-8427.9522796438087</v>
      </c>
      <c r="M170">
        <v>-9715.4887604090727</v>
      </c>
      <c r="N170">
        <v>-10841.060613504318</v>
      </c>
      <c r="O170">
        <v>-10841.060613504318</v>
      </c>
      <c r="P170">
        <v>-10841.060613504318</v>
      </c>
      <c r="Q170">
        <v>-11829.207886322221</v>
      </c>
      <c r="R170">
        <v>-11829.207886322221</v>
      </c>
      <c r="S170">
        <v>-12919.878303694735</v>
      </c>
      <c r="T170">
        <v>-12919.878303694735</v>
      </c>
      <c r="U170">
        <v>-13957.10598617637</v>
      </c>
      <c r="V170">
        <v>-13957.10598617637</v>
      </c>
      <c r="W170">
        <v>-14840.276267139583</v>
      </c>
      <c r="X170">
        <v>-14840.276267139583</v>
      </c>
      <c r="Y170">
        <v>-14840.276267139583</v>
      </c>
      <c r="Z170">
        <v>-14840.276267139583</v>
      </c>
      <c r="AA170">
        <v>-14840.276267139583</v>
      </c>
    </row>
    <row r="171" spans="1:27" x14ac:dyDescent="0.2">
      <c r="A171" t="s">
        <v>702</v>
      </c>
      <c r="B171" t="s">
        <v>703</v>
      </c>
      <c r="C171">
        <v>-4217.8092524440408</v>
      </c>
      <c r="D171">
        <v>-7700.8410397160669</v>
      </c>
      <c r="E171">
        <v>-7700.8410397160633</v>
      </c>
      <c r="F171">
        <v>-9094.0538955630909</v>
      </c>
      <c r="G171">
        <v>-20903.412546922034</v>
      </c>
      <c r="H171">
        <v>-20903.412546922045</v>
      </c>
      <c r="I171">
        <v>-20903.412546922045</v>
      </c>
      <c r="J171">
        <v>-27491.28027833498</v>
      </c>
      <c r="K171">
        <v>-27491.28027833498</v>
      </c>
      <c r="L171">
        <v>-35830.734727126277</v>
      </c>
      <c r="M171">
        <v>-41304.588465622721</v>
      </c>
      <c r="N171">
        <v>-46089.863126228673</v>
      </c>
      <c r="O171">
        <v>-46089.863126228673</v>
      </c>
      <c r="P171">
        <v>-46089.863126228673</v>
      </c>
      <c r="Q171">
        <v>-50290.888669430715</v>
      </c>
      <c r="R171">
        <v>-50290.888669430715</v>
      </c>
      <c r="S171">
        <v>-54927.782793046979</v>
      </c>
      <c r="T171">
        <v>-54927.782793046979</v>
      </c>
      <c r="U171">
        <v>-59337.469595901312</v>
      </c>
      <c r="V171">
        <v>-59337.469595901312</v>
      </c>
      <c r="W171">
        <v>-63092.194231980044</v>
      </c>
      <c r="X171">
        <v>-63092.194231980044</v>
      </c>
      <c r="Y171">
        <v>-63092.194231980044</v>
      </c>
      <c r="Z171">
        <v>-63092.194231980044</v>
      </c>
      <c r="AA171">
        <v>-63092.194231980044</v>
      </c>
    </row>
    <row r="172" spans="1:27" x14ac:dyDescent="0.2">
      <c r="A172" t="s">
        <v>498</v>
      </c>
      <c r="B172" t="s">
        <v>201</v>
      </c>
      <c r="C172">
        <v>-1036.9131161228916</v>
      </c>
      <c r="D172">
        <v>-1893.1873399993153</v>
      </c>
      <c r="E172">
        <v>-1893.1873399993144</v>
      </c>
      <c r="F172">
        <v>-2235.6970641983653</v>
      </c>
      <c r="G172">
        <v>-5138.9290848256169</v>
      </c>
      <c r="H172">
        <v>-5138.9290848256196</v>
      </c>
      <c r="I172">
        <v>-5138.9290848256196</v>
      </c>
      <c r="J172">
        <v>-6758.5012487461499</v>
      </c>
      <c r="K172">
        <v>-6758.5012487461499</v>
      </c>
      <c r="L172">
        <v>-8808.6863523637112</v>
      </c>
      <c r="M172">
        <v>-10154.387496600222</v>
      </c>
      <c r="N172">
        <v>-11330.807235581449</v>
      </c>
      <c r="O172">
        <v>-11330.807235581449</v>
      </c>
      <c r="P172">
        <v>-11330.807235581449</v>
      </c>
      <c r="Q172">
        <v>-12363.594217209251</v>
      </c>
      <c r="R172">
        <v>-12363.594217209251</v>
      </c>
      <c r="S172">
        <v>-13503.535842607507</v>
      </c>
      <c r="T172">
        <v>-13503.535842607507</v>
      </c>
      <c r="U172">
        <v>-14587.620449142081</v>
      </c>
      <c r="V172">
        <v>-14587.620449142081</v>
      </c>
      <c r="W172">
        <v>-15510.688086760772</v>
      </c>
      <c r="X172">
        <v>-15510.688086760772</v>
      </c>
      <c r="Y172">
        <v>-15510.688086760772</v>
      </c>
      <c r="Z172">
        <v>-15510.688086760772</v>
      </c>
      <c r="AA172">
        <v>-15510.688086760772</v>
      </c>
    </row>
    <row r="173" spans="1:27" x14ac:dyDescent="0.2">
      <c r="A173" t="s">
        <v>513</v>
      </c>
      <c r="B173" t="s">
        <v>514</v>
      </c>
      <c r="C173">
        <v>-2458.3029360782375</v>
      </c>
      <c r="D173">
        <v>-4488.3490468982418</v>
      </c>
      <c r="E173">
        <v>-4488.34904689824</v>
      </c>
      <c r="F173">
        <v>-5300.367573370504</v>
      </c>
      <c r="G173">
        <v>-12183.32014620542</v>
      </c>
      <c r="H173">
        <v>-12183.320146205428</v>
      </c>
      <c r="I173">
        <v>-12183.320146205428</v>
      </c>
      <c r="J173">
        <v>-16022.985151739569</v>
      </c>
      <c r="K173">
        <v>-16022.985151739569</v>
      </c>
      <c r="L173">
        <v>-20883.542879634675</v>
      </c>
      <c r="M173">
        <v>-24073.917292420469</v>
      </c>
      <c r="N173">
        <v>-26862.961093130962</v>
      </c>
      <c r="O173">
        <v>-26862.961093130962</v>
      </c>
      <c r="P173">
        <v>-26862.961093130962</v>
      </c>
      <c r="Q173">
        <v>-29311.48183204512</v>
      </c>
      <c r="R173">
        <v>-29311.48183204512</v>
      </c>
      <c r="S173">
        <v>-32014.043696777295</v>
      </c>
      <c r="T173">
        <v>-32014.043696777295</v>
      </c>
      <c r="U173">
        <v>-34584.180316483544</v>
      </c>
      <c r="V173">
        <v>-34584.180316483544</v>
      </c>
      <c r="W173">
        <v>-36772.579564668864</v>
      </c>
      <c r="X173">
        <v>-36772.579564668864</v>
      </c>
      <c r="Y173">
        <v>-36772.579564668864</v>
      </c>
      <c r="Z173">
        <v>-36772.579564668864</v>
      </c>
      <c r="AA173">
        <v>-36772.579564668864</v>
      </c>
    </row>
    <row r="174" spans="1:27" x14ac:dyDescent="0.2">
      <c r="A174" t="s">
        <v>437</v>
      </c>
      <c r="B174" t="s">
        <v>438</v>
      </c>
      <c r="C174">
        <v>-2191.1088643314138</v>
      </c>
      <c r="D174">
        <v>-4000.5083338350614</v>
      </c>
      <c r="E174">
        <v>-4000.5083338350601</v>
      </c>
      <c r="F174">
        <v>-4724.2681948524842</v>
      </c>
      <c r="G174">
        <v>-10859.109500932802</v>
      </c>
      <c r="H174">
        <v>-10859.109500932809</v>
      </c>
      <c r="I174">
        <v>-10859.109500932809</v>
      </c>
      <c r="J174">
        <v>-14281.439558883498</v>
      </c>
      <c r="K174">
        <v>-14281.439558883498</v>
      </c>
      <c r="L174">
        <v>-18613.701041748431</v>
      </c>
      <c r="M174">
        <v>-21457.312198778189</v>
      </c>
      <c r="N174">
        <v>-23943.213551723096</v>
      </c>
      <c r="O174">
        <v>-23943.213551723096</v>
      </c>
      <c r="P174">
        <v>-23943.213551723096</v>
      </c>
      <c r="Q174">
        <v>-26125.603450379334</v>
      </c>
      <c r="R174">
        <v>-26125.603450379334</v>
      </c>
      <c r="S174">
        <v>-28534.42262856635</v>
      </c>
      <c r="T174">
        <v>-28534.42262856635</v>
      </c>
      <c r="U174">
        <v>-30825.209922245078</v>
      </c>
      <c r="V174">
        <v>-30825.209922245078</v>
      </c>
      <c r="W174">
        <v>-32775.751054105989</v>
      </c>
      <c r="X174">
        <v>-32775.751054105989</v>
      </c>
      <c r="Y174">
        <v>-32775.751054105989</v>
      </c>
      <c r="Z174">
        <v>-32775.751054105989</v>
      </c>
      <c r="AA174">
        <v>-32775.751054105989</v>
      </c>
    </row>
    <row r="175" spans="1:27" x14ac:dyDescent="0.2">
      <c r="A175" t="s">
        <v>694</v>
      </c>
      <c r="B175" t="s">
        <v>695</v>
      </c>
      <c r="C175">
        <v>-282.40929323779659</v>
      </c>
      <c r="D175">
        <v>-515.62053786634272</v>
      </c>
      <c r="E175">
        <v>-515.62053786634249</v>
      </c>
      <c r="F175">
        <v>-608.90504515447549</v>
      </c>
      <c r="G175">
        <v>-1399.6171022228234</v>
      </c>
      <c r="H175">
        <v>-1399.6171022228241</v>
      </c>
      <c r="I175">
        <v>-1399.6171022228241</v>
      </c>
      <c r="J175">
        <v>-1840.7169620361497</v>
      </c>
      <c r="K175">
        <v>-1840.7169620361497</v>
      </c>
      <c r="L175">
        <v>-2399.0967501944797</v>
      </c>
      <c r="M175">
        <v>-2765.6062514669916</v>
      </c>
      <c r="N175">
        <v>-3086.0109814977254</v>
      </c>
      <c r="O175">
        <v>-3086.0109814977254</v>
      </c>
      <c r="P175">
        <v>-3086.0109814977254</v>
      </c>
      <c r="Q175">
        <v>-3367.296498106175</v>
      </c>
      <c r="R175">
        <v>-3367.296498106175</v>
      </c>
      <c r="S175">
        <v>-3677.7662026121716</v>
      </c>
      <c r="T175">
        <v>-3677.7662026121716</v>
      </c>
      <c r="U175">
        <v>-3973.0229244927336</v>
      </c>
      <c r="V175">
        <v>-3973.0229244927336</v>
      </c>
      <c r="W175">
        <v>-4224.4257422382489</v>
      </c>
      <c r="X175">
        <v>-4224.4257422382489</v>
      </c>
      <c r="Y175">
        <v>-4224.4257422382489</v>
      </c>
      <c r="Z175">
        <v>-4224.4257422382489</v>
      </c>
      <c r="AA175">
        <v>-4224.4257422382489</v>
      </c>
    </row>
    <row r="176" spans="1:27" x14ac:dyDescent="0.2">
      <c r="A176" t="s">
        <v>368</v>
      </c>
      <c r="B176" t="s">
        <v>369</v>
      </c>
      <c r="C176">
        <v>-294.34384676270935</v>
      </c>
      <c r="D176">
        <v>-537.41054639318168</v>
      </c>
      <c r="E176">
        <v>-537.41054639318145</v>
      </c>
      <c r="F176">
        <v>-634.63723608087844</v>
      </c>
      <c r="G176">
        <v>-1458.7646077080499</v>
      </c>
      <c r="H176">
        <v>-1458.7646077080508</v>
      </c>
      <c r="I176">
        <v>-1458.7646077080508</v>
      </c>
      <c r="J176">
        <v>-1918.5052488725087</v>
      </c>
      <c r="K176">
        <v>-1918.5052488725087</v>
      </c>
      <c r="L176">
        <v>-2500.4820419048738</v>
      </c>
      <c r="M176">
        <v>-2882.480152670993</v>
      </c>
      <c r="N176">
        <v>-3216.4251148815761</v>
      </c>
      <c r="O176">
        <v>-3216.4251148815761</v>
      </c>
      <c r="P176">
        <v>-3216.4251148815761</v>
      </c>
      <c r="Q176">
        <v>-3509.5976944660997</v>
      </c>
      <c r="R176">
        <v>-3509.5976944660997</v>
      </c>
      <c r="S176">
        <v>-3833.1877791968745</v>
      </c>
      <c r="T176">
        <v>-3833.1877791968745</v>
      </c>
      <c r="U176">
        <v>-4140.9219840613505</v>
      </c>
      <c r="V176">
        <v>-4140.9219840613505</v>
      </c>
      <c r="W176">
        <v>-4402.9490286171758</v>
      </c>
      <c r="X176">
        <v>-4402.9490286171758</v>
      </c>
      <c r="Y176">
        <v>-4402.9490286171758</v>
      </c>
      <c r="Z176">
        <v>-4402.9490286171758</v>
      </c>
      <c r="AA176">
        <v>-4402.9490286171758</v>
      </c>
    </row>
    <row r="177" spans="1:27" x14ac:dyDescent="0.2">
      <c r="A177" t="s">
        <v>623</v>
      </c>
      <c r="B177" t="s">
        <v>624</v>
      </c>
      <c r="C177">
        <v>-469.45298515973633</v>
      </c>
      <c r="D177">
        <v>-857.12335431965562</v>
      </c>
      <c r="E177">
        <v>-857.12335431965528</v>
      </c>
      <c r="F177">
        <v>-1012.1915176704078</v>
      </c>
      <c r="G177">
        <v>-2326.603417281548</v>
      </c>
      <c r="H177">
        <v>-2326.6034172815494</v>
      </c>
      <c r="I177">
        <v>-2326.6034172815494</v>
      </c>
      <c r="J177">
        <v>-3059.8499884860717</v>
      </c>
      <c r="K177">
        <v>-3059.8499884860717</v>
      </c>
      <c r="L177">
        <v>-3988.0526527768175</v>
      </c>
      <c r="M177">
        <v>-4597.3066100002025</v>
      </c>
      <c r="N177">
        <v>-5129.9199501907242</v>
      </c>
      <c r="O177">
        <v>-5129.9199501907242</v>
      </c>
      <c r="P177">
        <v>-5129.9199501907242</v>
      </c>
      <c r="Q177">
        <v>-5597.5048654748152</v>
      </c>
      <c r="R177">
        <v>-5597.5048654748152</v>
      </c>
      <c r="S177">
        <v>-6113.6030714190338</v>
      </c>
      <c r="T177">
        <v>-6113.6030714190338</v>
      </c>
      <c r="U177">
        <v>-6604.4125199544087</v>
      </c>
      <c r="V177">
        <v>-6604.4125199544087</v>
      </c>
      <c r="W177">
        <v>-7022.3229998649385</v>
      </c>
      <c r="X177">
        <v>-7022.3229998649385</v>
      </c>
      <c r="Y177">
        <v>-7022.3229998649385</v>
      </c>
      <c r="Z177">
        <v>-7022.3229998649385</v>
      </c>
      <c r="AA177">
        <v>-7022.3229998649385</v>
      </c>
    </row>
    <row r="178" spans="1:27" x14ac:dyDescent="0.2">
      <c r="A178" t="s">
        <v>352</v>
      </c>
      <c r="B178" t="s">
        <v>353</v>
      </c>
      <c r="C178">
        <v>-2458.4153169562442</v>
      </c>
      <c r="D178">
        <v>-4488.5542309702641</v>
      </c>
      <c r="E178">
        <v>-4488.5542309702623</v>
      </c>
      <c r="F178">
        <v>-5300.609878723888</v>
      </c>
      <c r="G178">
        <v>-12183.877104501718</v>
      </c>
      <c r="H178">
        <v>-12183.877104501726</v>
      </c>
      <c r="I178">
        <v>-12183.877104501726</v>
      </c>
      <c r="J178">
        <v>-16023.717639633232</v>
      </c>
      <c r="K178">
        <v>-16023.717639633232</v>
      </c>
      <c r="L178">
        <v>-20884.497567053484</v>
      </c>
      <c r="M178">
        <v>-24075.017827233602</v>
      </c>
      <c r="N178">
        <v>-26864.189128581427</v>
      </c>
      <c r="O178">
        <v>-26864.189128581427</v>
      </c>
      <c r="P178">
        <v>-26864.189128581427</v>
      </c>
      <c r="Q178">
        <v>-29312.821801182206</v>
      </c>
      <c r="R178">
        <v>-29312.821801182206</v>
      </c>
      <c r="S178">
        <v>-32015.507213045519</v>
      </c>
      <c r="T178">
        <v>-32015.507213045519</v>
      </c>
      <c r="U178">
        <v>-34585.761326086569</v>
      </c>
      <c r="V178">
        <v>-34585.761326086569</v>
      </c>
      <c r="W178">
        <v>-36774.260616551197</v>
      </c>
      <c r="X178">
        <v>-36774.260616551197</v>
      </c>
      <c r="Y178">
        <v>-36774.260616551197</v>
      </c>
      <c r="Z178">
        <v>-36774.260616551197</v>
      </c>
      <c r="AA178">
        <v>-36774.260616551197</v>
      </c>
    </row>
    <row r="179" spans="1:27" x14ac:dyDescent="0.2">
      <c r="A179" t="s">
        <v>425</v>
      </c>
      <c r="B179" t="s">
        <v>426</v>
      </c>
      <c r="C179">
        <v>-2165.820089172717</v>
      </c>
      <c r="D179">
        <v>-3954.3362985602566</v>
      </c>
      <c r="E179">
        <v>-3954.3362985602548</v>
      </c>
      <c r="F179">
        <v>-4669.7428546862111</v>
      </c>
      <c r="G179">
        <v>-10733.778631680647</v>
      </c>
      <c r="H179">
        <v>-10733.778631680654</v>
      </c>
      <c r="I179">
        <v>-10733.778631680654</v>
      </c>
      <c r="J179">
        <v>-14116.609723257176</v>
      </c>
      <c r="K179">
        <v>-14116.609723257176</v>
      </c>
      <c r="L179">
        <v>-18398.870227917731</v>
      </c>
      <c r="M179">
        <v>-21209.661727120569</v>
      </c>
      <c r="N179">
        <v>-23666.871944994695</v>
      </c>
      <c r="O179">
        <v>-23666.871944994695</v>
      </c>
      <c r="P179">
        <v>-23666.871944994695</v>
      </c>
      <c r="Q179">
        <v>-25824.073698801465</v>
      </c>
      <c r="R179">
        <v>-25824.073698801465</v>
      </c>
      <c r="S179">
        <v>-28205.091389081252</v>
      </c>
      <c r="T179">
        <v>-28205.091389081252</v>
      </c>
      <c r="U179">
        <v>-30469.439464814543</v>
      </c>
      <c r="V179">
        <v>-30469.439464814543</v>
      </c>
      <c r="W179">
        <v>-32397.468344124067</v>
      </c>
      <c r="X179">
        <v>-32397.468344124067</v>
      </c>
      <c r="Y179">
        <v>-32397.468344124067</v>
      </c>
      <c r="Z179">
        <v>-32397.468344124067</v>
      </c>
      <c r="AA179">
        <v>-32397.468344124067</v>
      </c>
    </row>
    <row r="180" spans="1:27" x14ac:dyDescent="0.2">
      <c r="A180" t="s">
        <v>394</v>
      </c>
      <c r="B180" t="s">
        <v>395</v>
      </c>
      <c r="C180">
        <v>-2919.3236453478144</v>
      </c>
      <c r="D180">
        <v>-5330.0768220566242</v>
      </c>
      <c r="E180">
        <v>-5330.0768220566224</v>
      </c>
      <c r="F180">
        <v>-6294.3781902894289</v>
      </c>
      <c r="G180">
        <v>-14468.133304352006</v>
      </c>
      <c r="H180">
        <v>-14468.133304352015</v>
      </c>
      <c r="I180">
        <v>-14468.133304352015</v>
      </c>
      <c r="J180">
        <v>-19027.874366514428</v>
      </c>
      <c r="K180">
        <v>-19027.874366514428</v>
      </c>
      <c r="L180">
        <v>-24799.96245882212</v>
      </c>
      <c r="M180">
        <v>-28588.647459384556</v>
      </c>
      <c r="N180">
        <v>-31900.737843295541</v>
      </c>
      <c r="O180">
        <v>-31900.737843295541</v>
      </c>
      <c r="P180">
        <v>-31900.737843295541</v>
      </c>
      <c r="Q180">
        <v>-34808.444775721022</v>
      </c>
      <c r="R180">
        <v>-34808.444775721022</v>
      </c>
      <c r="S180">
        <v>-38017.834732889758</v>
      </c>
      <c r="T180">
        <v>-38017.834732889758</v>
      </c>
      <c r="U180">
        <v>-41069.964922203406</v>
      </c>
      <c r="V180">
        <v>-41069.964922203406</v>
      </c>
      <c r="W180">
        <v>-43668.768176647165</v>
      </c>
      <c r="X180">
        <v>-43668.768176647165</v>
      </c>
      <c r="Y180">
        <v>-43668.768176647165</v>
      </c>
      <c r="Z180">
        <v>-43668.768176647165</v>
      </c>
      <c r="AA180">
        <v>-43668.768176647165</v>
      </c>
    </row>
    <row r="181" spans="1:27" x14ac:dyDescent="0.2">
      <c r="A181" t="s">
        <v>712</v>
      </c>
      <c r="B181" t="s">
        <v>713</v>
      </c>
      <c r="C181">
        <v>-578.72060889605257</v>
      </c>
      <c r="D181">
        <v>-1056.6232725991015</v>
      </c>
      <c r="E181">
        <v>-1056.6232725991013</v>
      </c>
      <c r="F181">
        <v>-1247.7843574182864</v>
      </c>
      <c r="G181">
        <v>-2868.1324624033841</v>
      </c>
      <c r="H181">
        <v>-2868.1324624033859</v>
      </c>
      <c r="I181">
        <v>-2868.1324624033859</v>
      </c>
      <c r="J181">
        <v>-3772.0459863828664</v>
      </c>
      <c r="K181">
        <v>-3772.0459863828664</v>
      </c>
      <c r="L181">
        <v>-4916.2926480043725</v>
      </c>
      <c r="M181">
        <v>-5667.3536322617738</v>
      </c>
      <c r="N181">
        <v>-6323.9354972941992</v>
      </c>
      <c r="O181">
        <v>-6323.9354972941992</v>
      </c>
      <c r="P181">
        <v>-6323.9354972941992</v>
      </c>
      <c r="Q181">
        <v>-6900.3532333359535</v>
      </c>
      <c r="R181">
        <v>-6900.3532333359535</v>
      </c>
      <c r="S181">
        <v>-7536.575980737528</v>
      </c>
      <c r="T181">
        <v>-7536.575980737528</v>
      </c>
      <c r="U181">
        <v>-8141.6238809264678</v>
      </c>
      <c r="V181">
        <v>-8141.6238809264678</v>
      </c>
      <c r="W181">
        <v>-8656.8051984242575</v>
      </c>
      <c r="X181">
        <v>-8656.8051984242575</v>
      </c>
      <c r="Y181">
        <v>-8656.8051984242575</v>
      </c>
      <c r="Z181">
        <v>-8656.8051984242575</v>
      </c>
      <c r="AA181">
        <v>-8656.8051984242575</v>
      </c>
    </row>
    <row r="182" spans="1:27" x14ac:dyDescent="0.2">
      <c r="A182" t="s">
        <v>601</v>
      </c>
      <c r="B182" t="s">
        <v>602</v>
      </c>
      <c r="C182">
        <v>-609.69544268264917</v>
      </c>
      <c r="D182">
        <v>-1113.1768664070692</v>
      </c>
      <c r="E182">
        <v>-1113.1768664070687</v>
      </c>
      <c r="F182">
        <v>-1314.5694562698272</v>
      </c>
      <c r="G182">
        <v>-3021.6433706642028</v>
      </c>
      <c r="H182">
        <v>-3021.6433706642047</v>
      </c>
      <c r="I182">
        <v>-3021.6433706642047</v>
      </c>
      <c r="J182">
        <v>-3973.9370123245299</v>
      </c>
      <c r="K182">
        <v>-3973.9370123245299</v>
      </c>
      <c r="L182">
        <v>-5179.4271299587808</v>
      </c>
      <c r="M182">
        <v>-5970.6871131689732</v>
      </c>
      <c r="N182">
        <v>-6662.4111760496271</v>
      </c>
      <c r="O182">
        <v>-6662.4111760496271</v>
      </c>
      <c r="P182">
        <v>-6662.4111760496271</v>
      </c>
      <c r="Q182">
        <v>-7269.6804893310418</v>
      </c>
      <c r="R182">
        <v>-7269.6804893310418</v>
      </c>
      <c r="S182">
        <v>-7939.9557545608795</v>
      </c>
      <c r="T182">
        <v>-7939.9557545608795</v>
      </c>
      <c r="U182">
        <v>-8577.3876028124796</v>
      </c>
      <c r="V182">
        <v>-8577.3876028124796</v>
      </c>
      <c r="W182">
        <v>-9120.1429438272389</v>
      </c>
      <c r="X182">
        <v>-9120.1429438272389</v>
      </c>
      <c r="Y182">
        <v>-9120.1429438272389</v>
      </c>
      <c r="Z182">
        <v>-9120.1429438272389</v>
      </c>
      <c r="AA182">
        <v>-9120.1429438272389</v>
      </c>
    </row>
    <row r="183" spans="1:27" x14ac:dyDescent="0.2">
      <c r="A183" t="s">
        <v>535</v>
      </c>
      <c r="B183" t="s">
        <v>536</v>
      </c>
      <c r="C183">
        <v>-868.11620958243111</v>
      </c>
      <c r="D183">
        <v>-1584.9993524769609</v>
      </c>
      <c r="E183">
        <v>-1584.9993524769602</v>
      </c>
      <c r="F183">
        <v>-1871.7526386429001</v>
      </c>
      <c r="G183">
        <v>-4302.3736213430257</v>
      </c>
      <c r="H183">
        <v>-4302.3736213430284</v>
      </c>
      <c r="I183">
        <v>-4302.3736213430284</v>
      </c>
      <c r="J183">
        <v>-5658.2990371049355</v>
      </c>
      <c r="K183">
        <v>-5658.2990371049355</v>
      </c>
      <c r="L183">
        <v>-7374.7388172763585</v>
      </c>
      <c r="M183">
        <v>-8501.3761009606806</v>
      </c>
      <c r="N183">
        <v>-9486.2889435148863</v>
      </c>
      <c r="O183">
        <v>-9486.2889435148863</v>
      </c>
      <c r="P183">
        <v>-9486.2889435148863</v>
      </c>
      <c r="Q183">
        <v>-10350.950703363382</v>
      </c>
      <c r="R183">
        <v>-10350.950703363382</v>
      </c>
      <c r="S183">
        <v>-11305.323627766322</v>
      </c>
      <c r="T183">
        <v>-11305.323627766322</v>
      </c>
      <c r="U183">
        <v>-12212.932379992693</v>
      </c>
      <c r="V183">
        <v>-12212.932379992693</v>
      </c>
      <c r="W183">
        <v>-12985.735777208836</v>
      </c>
      <c r="X183">
        <v>-12985.735777208836</v>
      </c>
      <c r="Y183">
        <v>-12985.735777208836</v>
      </c>
      <c r="Z183">
        <v>-12985.735777208836</v>
      </c>
      <c r="AA183">
        <v>-12985.735777208836</v>
      </c>
    </row>
    <row r="184" spans="1:27" x14ac:dyDescent="0.2">
      <c r="A184" t="s">
        <v>402</v>
      </c>
      <c r="B184" t="s">
        <v>403</v>
      </c>
      <c r="C184">
        <v>-3070.0374151005476</v>
      </c>
      <c r="D184">
        <v>-5605.2487688888896</v>
      </c>
      <c r="E184">
        <v>-5605.2487688888878</v>
      </c>
      <c r="F184">
        <v>-6619.333412989612</v>
      </c>
      <c r="G184">
        <v>-15215.068956744932</v>
      </c>
      <c r="H184">
        <v>-15215.068956744941</v>
      </c>
      <c r="I184">
        <v>-15215.068956744941</v>
      </c>
      <c r="J184">
        <v>-20010.212409344593</v>
      </c>
      <c r="K184">
        <v>-20010.212409344593</v>
      </c>
      <c r="L184">
        <v>-26080.291838489113</v>
      </c>
      <c r="M184">
        <v>-30064.572486608595</v>
      </c>
      <c r="N184">
        <v>-33547.653719141825</v>
      </c>
      <c r="O184">
        <v>-33547.653719141825</v>
      </c>
      <c r="P184">
        <v>-33547.653719141825</v>
      </c>
      <c r="Q184">
        <v>-36605.474693845681</v>
      </c>
      <c r="R184">
        <v>-36605.474693845681</v>
      </c>
      <c r="S184">
        <v>-39980.553460414594</v>
      </c>
      <c r="T184">
        <v>-39980.553460414594</v>
      </c>
      <c r="U184">
        <v>-43190.253725023118</v>
      </c>
      <c r="V184">
        <v>-43190.253725023118</v>
      </c>
      <c r="W184">
        <v>-45923.223479281682</v>
      </c>
      <c r="X184">
        <v>-45923.223479281682</v>
      </c>
      <c r="Y184">
        <v>-45923.223479281682</v>
      </c>
      <c r="Z184">
        <v>-45923.223479281682</v>
      </c>
      <c r="AA184">
        <v>-45923.223479281682</v>
      </c>
    </row>
    <row r="185" spans="1:27" x14ac:dyDescent="0.2">
      <c r="A185" t="s">
        <v>613</v>
      </c>
      <c r="B185" t="s">
        <v>614</v>
      </c>
      <c r="C185">
        <v>-1055.5680931884372</v>
      </c>
      <c r="D185">
        <v>-1927.2474419107691</v>
      </c>
      <c r="E185">
        <v>-1927.2474419107684</v>
      </c>
      <c r="F185">
        <v>-2275.9192166715393</v>
      </c>
      <c r="G185">
        <v>-5231.3829295386058</v>
      </c>
      <c r="H185">
        <v>-5231.3829295386095</v>
      </c>
      <c r="I185">
        <v>-5231.3829295386095</v>
      </c>
      <c r="J185">
        <v>-6880.0926181988243</v>
      </c>
      <c r="K185">
        <v>-6880.0926181988243</v>
      </c>
      <c r="L185">
        <v>-8967.1623512934566</v>
      </c>
      <c r="M185">
        <v>-10337.073840246869</v>
      </c>
      <c r="N185">
        <v>-11534.658402884883</v>
      </c>
      <c r="O185">
        <v>-11534.658402884883</v>
      </c>
      <c r="P185">
        <v>-11534.658402884883</v>
      </c>
      <c r="Q185">
        <v>-12586.026128797124</v>
      </c>
      <c r="R185">
        <v>-12586.026128797124</v>
      </c>
      <c r="S185">
        <v>-13746.476304571694</v>
      </c>
      <c r="T185">
        <v>-13746.476304571694</v>
      </c>
      <c r="U185">
        <v>-14850.064544687093</v>
      </c>
      <c r="V185">
        <v>-14850.064544687093</v>
      </c>
      <c r="W185">
        <v>-15789.738979290001</v>
      </c>
      <c r="X185">
        <v>-15789.738979290001</v>
      </c>
      <c r="Y185">
        <v>-15789.738979290001</v>
      </c>
      <c r="Z185">
        <v>-15789.738979290001</v>
      </c>
      <c r="AA185">
        <v>-15789.738979290001</v>
      </c>
    </row>
    <row r="186" spans="1:27" x14ac:dyDescent="0.2">
      <c r="A186" t="s">
        <v>388</v>
      </c>
      <c r="B186" t="s">
        <v>389</v>
      </c>
      <c r="C186">
        <v>-5232.6951382917923</v>
      </c>
      <c r="D186">
        <v>-9553.8112459519743</v>
      </c>
      <c r="E186">
        <v>-9553.8112459519707</v>
      </c>
      <c r="F186">
        <v>-11282.257863866702</v>
      </c>
      <c r="G186">
        <v>-25933.174940190773</v>
      </c>
      <c r="H186">
        <v>-25933.174940190787</v>
      </c>
      <c r="I186">
        <v>-25933.174940190787</v>
      </c>
      <c r="J186">
        <v>-34106.21013136227</v>
      </c>
      <c r="K186">
        <v>-34106.21013136227</v>
      </c>
      <c r="L186">
        <v>-44452.297433653104</v>
      </c>
      <c r="M186">
        <v>-51243.265476732173</v>
      </c>
      <c r="N186">
        <v>-57179.969095425717</v>
      </c>
      <c r="O186">
        <v>-57179.969095425717</v>
      </c>
      <c r="P186">
        <v>-57179.969095425717</v>
      </c>
      <c r="Q186">
        <v>-62391.842041793541</v>
      </c>
      <c r="R186">
        <v>-62391.842041793541</v>
      </c>
      <c r="S186">
        <v>-68144.461917469744</v>
      </c>
      <c r="T186">
        <v>-68144.461917469744</v>
      </c>
      <c r="U186">
        <v>-73615.204028748165</v>
      </c>
      <c r="V186">
        <v>-73615.204028748165</v>
      </c>
      <c r="W186">
        <v>-78273.387500997123</v>
      </c>
      <c r="X186">
        <v>-78273.387500997123</v>
      </c>
      <c r="Y186">
        <v>-78273.387500997123</v>
      </c>
      <c r="Z186">
        <v>-78273.387500997123</v>
      </c>
      <c r="AA186">
        <v>-78273.387500997123</v>
      </c>
    </row>
    <row r="187" spans="1:27" x14ac:dyDescent="0.2">
      <c r="A187" t="s">
        <v>428</v>
      </c>
      <c r="B187" t="s">
        <v>429</v>
      </c>
      <c r="C187">
        <v>-1348.2589223470177</v>
      </c>
      <c r="D187">
        <v>-2461.6399225159184</v>
      </c>
      <c r="E187">
        <v>-2461.6399225159175</v>
      </c>
      <c r="F187">
        <v>-2906.9923676355879</v>
      </c>
      <c r="G187">
        <v>-6681.9552016386842</v>
      </c>
      <c r="H187">
        <v>-6681.9552016386888</v>
      </c>
      <c r="I187">
        <v>-6681.9552016386888</v>
      </c>
      <c r="J187">
        <v>-8787.8236552613052</v>
      </c>
      <c r="K187">
        <v>-8787.8236552613052</v>
      </c>
      <c r="L187">
        <v>-11453.601834199608</v>
      </c>
      <c r="M187">
        <v>-13203.366155161708</v>
      </c>
      <c r="N187">
        <v>-14733.02026488811</v>
      </c>
      <c r="O187">
        <v>-14733.02026488811</v>
      </c>
      <c r="P187">
        <v>-14733.02026488811</v>
      </c>
      <c r="Q187">
        <v>-16075.914130547822</v>
      </c>
      <c r="R187">
        <v>-16075.914130547822</v>
      </c>
      <c r="S187">
        <v>-17558.13712830939</v>
      </c>
      <c r="T187">
        <v>-17558.13712830939</v>
      </c>
      <c r="U187">
        <v>-18967.731356227388</v>
      </c>
      <c r="V187">
        <v>-18967.731356227388</v>
      </c>
      <c r="W187">
        <v>-20167.961307028483</v>
      </c>
      <c r="X187">
        <v>-20167.961307028483</v>
      </c>
      <c r="Y187">
        <v>-20167.961307028483</v>
      </c>
      <c r="Z187">
        <v>-20167.961307028483</v>
      </c>
      <c r="AA187">
        <v>-20167.961307028483</v>
      </c>
    </row>
    <row r="188" spans="1:27" x14ac:dyDescent="0.2">
      <c r="A188" t="s">
        <v>479</v>
      </c>
      <c r="B188" t="s">
        <v>480</v>
      </c>
      <c r="C188">
        <v>-1617.3934229229751</v>
      </c>
      <c r="D188">
        <v>-2953.0234543903998</v>
      </c>
      <c r="E188">
        <v>-2953.0234543903985</v>
      </c>
      <c r="F188">
        <v>-3487.275521022616</v>
      </c>
      <c r="G188">
        <v>-8015.7825891359098</v>
      </c>
      <c r="H188">
        <v>-8015.7825891359143</v>
      </c>
      <c r="I188">
        <v>-8015.7825891359143</v>
      </c>
      <c r="J188">
        <v>-10542.016779005824</v>
      </c>
      <c r="K188">
        <v>-10542.016779005824</v>
      </c>
      <c r="L188">
        <v>-13739.927819773009</v>
      </c>
      <c r="M188">
        <v>-15838.973676234236</v>
      </c>
      <c r="N188">
        <v>-17673.971728471715</v>
      </c>
      <c r="O188">
        <v>-17673.971728471715</v>
      </c>
      <c r="P188">
        <v>-17673.971728471715</v>
      </c>
      <c r="Q188">
        <v>-19284.929141770852</v>
      </c>
      <c r="R188">
        <v>-19284.929141770852</v>
      </c>
      <c r="S188">
        <v>-21063.028057453532</v>
      </c>
      <c r="T188">
        <v>-21063.028057453532</v>
      </c>
      <c r="U188">
        <v>-22754.000314663608</v>
      </c>
      <c r="V188">
        <v>-22754.000314663608</v>
      </c>
      <c r="W188">
        <v>-24193.815765720723</v>
      </c>
      <c r="X188">
        <v>-24193.815765720723</v>
      </c>
      <c r="Y188">
        <v>-24193.815765720723</v>
      </c>
      <c r="Z188">
        <v>-24193.815765720723</v>
      </c>
      <c r="AA188">
        <v>-24193.815765720723</v>
      </c>
    </row>
    <row r="189" spans="1:27" x14ac:dyDescent="0.2">
      <c r="A189" t="s">
        <v>484</v>
      </c>
      <c r="B189" t="s">
        <v>485</v>
      </c>
      <c r="C189">
        <v>-1232.6177888068464</v>
      </c>
      <c r="D189">
        <v>-2250.5033030660438</v>
      </c>
      <c r="E189">
        <v>-2250.5033030660429</v>
      </c>
      <c r="F189">
        <v>-2657.6575499576807</v>
      </c>
      <c r="G189">
        <v>-6108.8391176471705</v>
      </c>
      <c r="H189">
        <v>-6108.8391176471741</v>
      </c>
      <c r="I189">
        <v>-6108.8391176471741</v>
      </c>
      <c r="J189">
        <v>-8034.0857255493238</v>
      </c>
      <c r="K189">
        <v>-8034.0857255493238</v>
      </c>
      <c r="L189">
        <v>-10471.218200558262</v>
      </c>
      <c r="M189">
        <v>-12070.903982338907</v>
      </c>
      <c r="N189">
        <v>-13469.358563368538</v>
      </c>
      <c r="O189">
        <v>-13469.358563368538</v>
      </c>
      <c r="P189">
        <v>-13469.358563368538</v>
      </c>
      <c r="Q189">
        <v>-14697.071460243191</v>
      </c>
      <c r="R189">
        <v>-14697.071460243191</v>
      </c>
      <c r="S189">
        <v>-16052.163129756562</v>
      </c>
      <c r="T189">
        <v>-16052.163129756562</v>
      </c>
      <c r="U189">
        <v>-17340.855451040516</v>
      </c>
      <c r="V189">
        <v>-17340.855451040516</v>
      </c>
      <c r="W189">
        <v>-18438.140819225464</v>
      </c>
      <c r="X189">
        <v>-18438.140819225464</v>
      </c>
      <c r="Y189">
        <v>-18438.140819225464</v>
      </c>
      <c r="Z189">
        <v>-18438.140819225464</v>
      </c>
      <c r="AA189">
        <v>-18438.140819225464</v>
      </c>
    </row>
    <row r="190" spans="1:27" x14ac:dyDescent="0.2">
      <c r="A190" t="s">
        <v>496</v>
      </c>
      <c r="B190" t="s">
        <v>497</v>
      </c>
      <c r="C190">
        <v>-1934.8332261834159</v>
      </c>
      <c r="D190">
        <v>-3532.6024059920833</v>
      </c>
      <c r="E190">
        <v>-3532.6024059920815</v>
      </c>
      <c r="F190">
        <v>-4171.7101425680557</v>
      </c>
      <c r="G190">
        <v>-9589.0104828633775</v>
      </c>
      <c r="H190">
        <v>-9589.010482863383</v>
      </c>
      <c r="I190">
        <v>-9589.010482863383</v>
      </c>
      <c r="J190">
        <v>-12611.059279653637</v>
      </c>
      <c r="K190">
        <v>-12611.059279653637</v>
      </c>
      <c r="L190">
        <v>-16436.612449563985</v>
      </c>
      <c r="M190">
        <v>-18947.630244494896</v>
      </c>
      <c r="N190">
        <v>-21142.776552827578</v>
      </c>
      <c r="O190">
        <v>-21142.776552827578</v>
      </c>
      <c r="P190">
        <v>-21142.776552827578</v>
      </c>
      <c r="Q190">
        <v>-23069.910597669117</v>
      </c>
      <c r="R190">
        <v>-23069.910597669117</v>
      </c>
      <c r="S190">
        <v>-25196.990387128233</v>
      </c>
      <c r="T190">
        <v>-25196.990387128233</v>
      </c>
      <c r="U190">
        <v>-27219.843492275446</v>
      </c>
      <c r="V190">
        <v>-27219.843492275446</v>
      </c>
      <c r="W190">
        <v>-28942.246177234454</v>
      </c>
      <c r="X190">
        <v>-28942.246177234454</v>
      </c>
      <c r="Y190">
        <v>-28942.246177234454</v>
      </c>
      <c r="Z190">
        <v>-28942.246177234454</v>
      </c>
      <c r="AA190">
        <v>-28942.246177234454</v>
      </c>
    </row>
    <row r="191" spans="1:27" x14ac:dyDescent="0.2">
      <c r="A191" t="s">
        <v>515</v>
      </c>
      <c r="B191" t="s">
        <v>516</v>
      </c>
      <c r="C191">
        <v>-2192.491126348209</v>
      </c>
      <c r="D191">
        <v>-4003.032056324505</v>
      </c>
      <c r="E191">
        <v>-4003.0320563245032</v>
      </c>
      <c r="F191">
        <v>-4727.2485015771754</v>
      </c>
      <c r="G191">
        <v>-10865.959975066564</v>
      </c>
      <c r="H191">
        <v>-10865.959975066569</v>
      </c>
      <c r="I191">
        <v>-10865.959975066569</v>
      </c>
      <c r="J191">
        <v>-14290.449011480196</v>
      </c>
      <c r="K191">
        <v>-14290.449011480196</v>
      </c>
      <c r="L191">
        <v>-18625.443503458493</v>
      </c>
      <c r="M191">
        <v>-21470.848553871128</v>
      </c>
      <c r="N191">
        <v>-23958.318138807434</v>
      </c>
      <c r="O191">
        <v>-23958.318138807434</v>
      </c>
      <c r="P191">
        <v>-23958.318138807434</v>
      </c>
      <c r="Q191">
        <v>-26142.08479911703</v>
      </c>
      <c r="R191">
        <v>-26142.08479911703</v>
      </c>
      <c r="S191">
        <v>-28552.423581970677</v>
      </c>
      <c r="T191">
        <v>-28552.423581970677</v>
      </c>
      <c r="U191">
        <v>-30844.656019848378</v>
      </c>
      <c r="V191">
        <v>-30844.656019848378</v>
      </c>
      <c r="W191">
        <v>-32796.427651463397</v>
      </c>
      <c r="X191">
        <v>-32796.427651463397</v>
      </c>
      <c r="Y191">
        <v>-32796.427651463397</v>
      </c>
      <c r="Z191">
        <v>-32796.427651463397</v>
      </c>
      <c r="AA191">
        <v>-32796.427651463397</v>
      </c>
    </row>
    <row r="192" spans="1:27" x14ac:dyDescent="0.2">
      <c r="A192" t="s">
        <v>511</v>
      </c>
      <c r="B192" t="s">
        <v>512</v>
      </c>
      <c r="C192">
        <v>-2163.4569127648688</v>
      </c>
      <c r="D192">
        <v>-3950.0216307371202</v>
      </c>
      <c r="E192">
        <v>-3950.0216307371188</v>
      </c>
      <c r="F192">
        <v>-4664.6475902179936</v>
      </c>
      <c r="G192">
        <v>-10722.066757478233</v>
      </c>
      <c r="H192">
        <v>-10722.06675747824</v>
      </c>
      <c r="I192">
        <v>-10722.06675747824</v>
      </c>
      <c r="J192">
        <v>-14101.206763785347</v>
      </c>
      <c r="K192">
        <v>-14101.206763785347</v>
      </c>
      <c r="L192">
        <v>-18378.794794934616</v>
      </c>
      <c r="M192">
        <v>-21186.519374502019</v>
      </c>
      <c r="N192">
        <v>-23641.048473457249</v>
      </c>
      <c r="O192">
        <v>-23641.048473457249</v>
      </c>
      <c r="P192">
        <v>-23641.048473457249</v>
      </c>
      <c r="Q192">
        <v>-25795.896454521288</v>
      </c>
      <c r="R192">
        <v>-25795.896454521288</v>
      </c>
      <c r="S192">
        <v>-28174.316161311832</v>
      </c>
      <c r="T192">
        <v>-28174.316161311832</v>
      </c>
      <c r="U192">
        <v>-30436.193554471585</v>
      </c>
      <c r="V192">
        <v>-30436.193554471585</v>
      </c>
      <c r="W192">
        <v>-32362.118716863897</v>
      </c>
      <c r="X192">
        <v>-32362.118716863897</v>
      </c>
      <c r="Y192">
        <v>-32362.118716863897</v>
      </c>
      <c r="Z192">
        <v>-32362.118716863897</v>
      </c>
      <c r="AA192">
        <v>-32362.118716863897</v>
      </c>
    </row>
    <row r="193" spans="1:27" x14ac:dyDescent="0.2">
      <c r="A193" t="s">
        <v>530</v>
      </c>
      <c r="B193" t="s">
        <v>119</v>
      </c>
      <c r="C193">
        <v>-1834.8907628631484</v>
      </c>
      <c r="D193">
        <v>-3350.1282880122199</v>
      </c>
      <c r="E193">
        <v>-3350.1282880122185</v>
      </c>
      <c r="F193">
        <v>-3956.2233593847741</v>
      </c>
      <c r="G193">
        <v>-9093.6968219792088</v>
      </c>
      <c r="H193">
        <v>-9093.6968219792143</v>
      </c>
      <c r="I193">
        <v>-9093.6968219792143</v>
      </c>
      <c r="J193">
        <v>-11959.643792039396</v>
      </c>
      <c r="K193">
        <v>-11959.643792039396</v>
      </c>
      <c r="L193">
        <v>-15587.590676204034</v>
      </c>
      <c r="M193">
        <v>-17968.903595040043</v>
      </c>
      <c r="N193">
        <v>-20050.66114901692</v>
      </c>
      <c r="O193">
        <v>-20050.66114901692</v>
      </c>
      <c r="P193">
        <v>-20050.66114901692</v>
      </c>
      <c r="Q193">
        <v>-21878.250426390445</v>
      </c>
      <c r="R193">
        <v>-21878.250426390445</v>
      </c>
      <c r="S193">
        <v>-23895.457390140113</v>
      </c>
      <c r="T193">
        <v>-23895.457390140113</v>
      </c>
      <c r="U193">
        <v>-25813.821426396229</v>
      </c>
      <c r="V193">
        <v>-25813.821426396229</v>
      </c>
      <c r="W193">
        <v>-27447.254599753553</v>
      </c>
      <c r="X193">
        <v>-27447.254599753553</v>
      </c>
      <c r="Y193">
        <v>-27447.254599753553</v>
      </c>
      <c r="Z193">
        <v>-27447.254599753553</v>
      </c>
      <c r="AA193">
        <v>-27447.254599753553</v>
      </c>
    </row>
    <row r="194" spans="1:27" x14ac:dyDescent="0.2">
      <c r="A194" t="s">
        <v>952</v>
      </c>
      <c r="B194" t="s">
        <v>953</v>
      </c>
      <c r="C194">
        <v>-3.7834161313984771E-5</v>
      </c>
      <c r="D194">
        <v>-6.90772969358783E-5</v>
      </c>
      <c r="E194">
        <v>-6.9077296935878273E-5</v>
      </c>
      <c r="F194">
        <v>-8.1574552448865261E-5</v>
      </c>
      <c r="G194">
        <v>-1.8750565399674015E-4</v>
      </c>
      <c r="H194">
        <v>-1.8750565399674025E-4</v>
      </c>
      <c r="I194">
        <v>-1.8750565399674025E-4</v>
      </c>
      <c r="J194">
        <v>-2.4659947155642343E-4</v>
      </c>
      <c r="K194">
        <v>-2.4659947155642343E-4</v>
      </c>
      <c r="L194">
        <v>-3.2140519320051383E-4</v>
      </c>
      <c r="M194">
        <v>-3.705061963412861E-4</v>
      </c>
      <c r="N194">
        <v>-4.134305778400891E-4</v>
      </c>
      <c r="O194">
        <v>-4.134305778400891E-4</v>
      </c>
      <c r="P194">
        <v>-4.134305778400891E-4</v>
      </c>
      <c r="Q194">
        <v>-4.5111418764145139E-4</v>
      </c>
      <c r="R194">
        <v>-4.5111418764145139E-4</v>
      </c>
      <c r="S194">
        <v>-4.9270758121824952E-4</v>
      </c>
      <c r="T194">
        <v>-4.9270758121824952E-4</v>
      </c>
      <c r="U194">
        <v>-5.3226290291675117E-4</v>
      </c>
      <c r="V194">
        <v>-5.3226290291675117E-4</v>
      </c>
      <c r="W194">
        <v>-5.6594314995226595E-4</v>
      </c>
      <c r="X194">
        <v>-5.6594314995226595E-4</v>
      </c>
      <c r="Y194">
        <v>-5.6594314995226595E-4</v>
      </c>
      <c r="Z194">
        <v>-5.6594314995226595E-4</v>
      </c>
      <c r="AA194">
        <v>-5.6594314995226595E-4</v>
      </c>
    </row>
    <row r="195" spans="1:27" x14ac:dyDescent="0.2">
      <c r="A195" t="s">
        <v>738</v>
      </c>
      <c r="B195" t="s">
        <v>739</v>
      </c>
      <c r="C195">
        <v>-394.94944609735921</v>
      </c>
      <c r="D195">
        <v>-721.09541259062053</v>
      </c>
      <c r="E195">
        <v>-721.0954125906203</v>
      </c>
      <c r="F195">
        <v>-851.5538123851718</v>
      </c>
      <c r="G195">
        <v>-1957.3647628013446</v>
      </c>
      <c r="H195">
        <v>-1957.3647628013457</v>
      </c>
      <c r="I195">
        <v>-1957.3647628013457</v>
      </c>
      <c r="J195">
        <v>-2574.2429940718871</v>
      </c>
      <c r="K195">
        <v>-2574.2429940718871</v>
      </c>
      <c r="L195">
        <v>-3355.1372256912387</v>
      </c>
      <c r="M195">
        <v>-3867.700827467304</v>
      </c>
      <c r="N195">
        <v>-4315.7868985799096</v>
      </c>
      <c r="O195">
        <v>-4315.7868985799096</v>
      </c>
      <c r="P195">
        <v>-4315.7868985799096</v>
      </c>
      <c r="Q195">
        <v>-4709.1647428641372</v>
      </c>
      <c r="R195">
        <v>-4709.1647428641372</v>
      </c>
      <c r="S195">
        <v>-5143.3566790388613</v>
      </c>
      <c r="T195">
        <v>-5143.3566790388613</v>
      </c>
      <c r="U195">
        <v>-5556.2732563451891</v>
      </c>
      <c r="V195">
        <v>-5556.2732563451891</v>
      </c>
      <c r="W195">
        <v>-5907.8601410313822</v>
      </c>
      <c r="X195">
        <v>-5907.8601410313822</v>
      </c>
      <c r="Y195">
        <v>-5907.8601410313822</v>
      </c>
      <c r="Z195">
        <v>-5907.8601410313822</v>
      </c>
      <c r="AA195">
        <v>-5907.8601410313822</v>
      </c>
    </row>
    <row r="196" spans="1:27" x14ac:dyDescent="0.2">
      <c r="A196" t="s">
        <v>763</v>
      </c>
      <c r="B196" t="s">
        <v>764</v>
      </c>
      <c r="C196">
        <v>-227.42442780136892</v>
      </c>
      <c r="D196">
        <v>-415.22962804254064</v>
      </c>
      <c r="E196">
        <v>-415.22962804254047</v>
      </c>
      <c r="F196">
        <v>-490.3517157384029</v>
      </c>
      <c r="G196">
        <v>-1127.1127623481289</v>
      </c>
      <c r="H196">
        <v>-1127.1127623481295</v>
      </c>
      <c r="I196">
        <v>-1127.1127623481295</v>
      </c>
      <c r="J196">
        <v>-1482.3308292579884</v>
      </c>
      <c r="K196">
        <v>-1482.3308292579884</v>
      </c>
      <c r="L196">
        <v>-1931.9945154697214</v>
      </c>
      <c r="M196">
        <v>-2227.1449074948177</v>
      </c>
      <c r="N196">
        <v>-2485.1670906767818</v>
      </c>
      <c r="O196">
        <v>-2485.1670906767818</v>
      </c>
      <c r="P196">
        <v>-2485.1670906767818</v>
      </c>
      <c r="Q196">
        <v>-2711.686540267357</v>
      </c>
      <c r="R196">
        <v>-2711.686540267357</v>
      </c>
      <c r="S196">
        <v>-2961.7080395155499</v>
      </c>
      <c r="T196">
        <v>-2961.7080395155499</v>
      </c>
      <c r="U196">
        <v>-3199.4785117912402</v>
      </c>
      <c r="V196">
        <v>-3199.4785117912402</v>
      </c>
      <c r="W196">
        <v>-3401.9334002898368</v>
      </c>
      <c r="X196">
        <v>-3401.9334002898368</v>
      </c>
      <c r="Y196">
        <v>-3401.9334002898368</v>
      </c>
      <c r="Z196">
        <v>-3401.9334002898368</v>
      </c>
      <c r="AA196">
        <v>-3401.9334002898368</v>
      </c>
    </row>
    <row r="197" spans="1:27" x14ac:dyDescent="0.2">
      <c r="A197" t="s">
        <v>795</v>
      </c>
      <c r="B197" t="s">
        <v>796</v>
      </c>
      <c r="C197">
        <v>-196.03818747347361</v>
      </c>
      <c r="D197">
        <v>-357.92489159449178</v>
      </c>
      <c r="E197">
        <v>-357.92489159449167</v>
      </c>
      <c r="F197">
        <v>-422.67957979352053</v>
      </c>
      <c r="G197">
        <v>-971.56292815620407</v>
      </c>
      <c r="H197">
        <v>-971.56292815620463</v>
      </c>
      <c r="I197">
        <v>-971.56292815620463</v>
      </c>
      <c r="J197">
        <v>-1277.7582945381296</v>
      </c>
      <c r="K197">
        <v>-1277.7582945381296</v>
      </c>
      <c r="L197">
        <v>-1665.365091529083</v>
      </c>
      <c r="M197">
        <v>-1919.7825630560217</v>
      </c>
      <c r="N197">
        <v>-2142.1957910805809</v>
      </c>
      <c r="O197">
        <v>-2142.1957910805809</v>
      </c>
      <c r="P197">
        <v>-2142.1957910805809</v>
      </c>
      <c r="Q197">
        <v>-2337.4538939788745</v>
      </c>
      <c r="R197">
        <v>-2337.4538939788745</v>
      </c>
      <c r="S197">
        <v>-2552.9705911774026</v>
      </c>
      <c r="T197">
        <v>-2552.9705911774026</v>
      </c>
      <c r="U197">
        <v>-2757.9269930479563</v>
      </c>
      <c r="V197">
        <v>-2757.9269930479563</v>
      </c>
      <c r="W197">
        <v>-2932.4416209184205</v>
      </c>
      <c r="X197">
        <v>-2932.4416209184205</v>
      </c>
      <c r="Y197">
        <v>-2932.4416209184205</v>
      </c>
      <c r="Z197">
        <v>-2932.4416209184205</v>
      </c>
      <c r="AA197">
        <v>-2932.4416209184205</v>
      </c>
    </row>
    <row r="198" spans="1:27" x14ac:dyDescent="0.2">
      <c r="A198" t="s">
        <v>488</v>
      </c>
      <c r="B198" t="s">
        <v>489</v>
      </c>
      <c r="C198">
        <v>-4278.6252664170352</v>
      </c>
      <c r="D198">
        <v>-7811.8784120210848</v>
      </c>
      <c r="E198">
        <v>-7811.8784120210812</v>
      </c>
      <c r="F198">
        <v>-9225.1798132330878</v>
      </c>
      <c r="G198">
        <v>-21204.815989669052</v>
      </c>
      <c r="H198">
        <v>-21204.815989669067</v>
      </c>
      <c r="I198">
        <v>-21204.815989669067</v>
      </c>
      <c r="J198">
        <v>-27887.673283678672</v>
      </c>
      <c r="K198">
        <v>-27887.673283678672</v>
      </c>
      <c r="L198">
        <v>-36347.373184060969</v>
      </c>
      <c r="M198">
        <v>-41900.153669956817</v>
      </c>
      <c r="N198">
        <v>-46754.426550540447</v>
      </c>
      <c r="O198">
        <v>-46754.426550540447</v>
      </c>
      <c r="P198">
        <v>-46754.426550540447</v>
      </c>
      <c r="Q198">
        <v>-51016.026105710494</v>
      </c>
      <c r="R198">
        <v>-51016.026105710494</v>
      </c>
      <c r="S198">
        <v>-55719.778970662614</v>
      </c>
      <c r="T198">
        <v>-55719.778970662614</v>
      </c>
      <c r="U198">
        <v>-60193.048443611267</v>
      </c>
      <c r="V198">
        <v>-60193.048443611267</v>
      </c>
      <c r="W198">
        <v>-64001.911940000042</v>
      </c>
      <c r="X198">
        <v>-64001.911940000042</v>
      </c>
      <c r="Y198">
        <v>-64001.911940000042</v>
      </c>
      <c r="Z198">
        <v>-64001.911940000042</v>
      </c>
      <c r="AA198">
        <v>-64001.911940000042</v>
      </c>
    </row>
    <row r="199" spans="1:27" x14ac:dyDescent="0.2">
      <c r="A199" t="s">
        <v>649</v>
      </c>
      <c r="B199" t="s">
        <v>650</v>
      </c>
      <c r="C199">
        <v>-628.77712665985678</v>
      </c>
      <c r="D199">
        <v>-1148.0160462475096</v>
      </c>
      <c r="E199">
        <v>-1148.0160462475092</v>
      </c>
      <c r="F199">
        <v>-1355.711635093176</v>
      </c>
      <c r="G199">
        <v>-3116.2119697620474</v>
      </c>
      <c r="H199">
        <v>-3116.2119697620492</v>
      </c>
      <c r="I199">
        <v>-3116.2119697620492</v>
      </c>
      <c r="J199">
        <v>-4098.3096169168439</v>
      </c>
      <c r="K199">
        <v>-4098.3096169168439</v>
      </c>
      <c r="L199">
        <v>-5341.5280491357198</v>
      </c>
      <c r="M199">
        <v>-6157.5521553595172</v>
      </c>
      <c r="N199">
        <v>-6870.9251580932269</v>
      </c>
      <c r="O199">
        <v>-6870.9251580932269</v>
      </c>
      <c r="P199">
        <v>-6870.9251580932269</v>
      </c>
      <c r="Q199">
        <v>-7497.2002245980966</v>
      </c>
      <c r="R199">
        <v>-7497.2002245980966</v>
      </c>
      <c r="S199">
        <v>-8188.4531450529412</v>
      </c>
      <c r="T199">
        <v>-8188.4531450529412</v>
      </c>
      <c r="U199">
        <v>-8845.8347456461797</v>
      </c>
      <c r="V199">
        <v>-8845.8347456461797</v>
      </c>
      <c r="W199">
        <v>-9405.5767412578898</v>
      </c>
      <c r="X199">
        <v>-9405.5767412578898</v>
      </c>
      <c r="Y199">
        <v>-9405.5767412578898</v>
      </c>
      <c r="Z199">
        <v>-9405.5767412578898</v>
      </c>
      <c r="AA199">
        <v>-9405.5767412578898</v>
      </c>
    </row>
    <row r="200" spans="1:27" x14ac:dyDescent="0.2">
      <c r="A200" t="s">
        <v>916</v>
      </c>
      <c r="B200" t="s">
        <v>917</v>
      </c>
      <c r="C200">
        <v>-10.869966591416743</v>
      </c>
      <c r="D200">
        <v>-19.846294561334052</v>
      </c>
      <c r="E200">
        <v>-19.846294561334044</v>
      </c>
      <c r="F200">
        <v>-23.436826112521214</v>
      </c>
      <c r="G200">
        <v>-53.871425290268895</v>
      </c>
      <c r="H200">
        <v>-53.871425290268931</v>
      </c>
      <c r="I200">
        <v>-53.871425290268931</v>
      </c>
      <c r="J200">
        <v>-70.849410273263629</v>
      </c>
      <c r="K200">
        <v>-70.849410273263629</v>
      </c>
      <c r="L200">
        <v>-92.341513358882196</v>
      </c>
      <c r="M200">
        <v>-106.44850675344595</v>
      </c>
      <c r="N200">
        <v>-118.7809221326855</v>
      </c>
      <c r="O200">
        <v>-118.7809221326855</v>
      </c>
      <c r="P200">
        <v>-118.7809221326855</v>
      </c>
      <c r="Q200">
        <v>-129.60763443074254</v>
      </c>
      <c r="R200">
        <v>-129.60763443074254</v>
      </c>
      <c r="S200">
        <v>-141.55764952031518</v>
      </c>
      <c r="T200">
        <v>-141.55764952031518</v>
      </c>
      <c r="U200">
        <v>-152.92211513664495</v>
      </c>
      <c r="V200">
        <v>-152.92211513664495</v>
      </c>
      <c r="W200">
        <v>-162.59863887476689</v>
      </c>
      <c r="X200">
        <v>-162.59863887476689</v>
      </c>
      <c r="Y200">
        <v>-162.59863887476689</v>
      </c>
      <c r="Z200">
        <v>-162.59863887476689</v>
      </c>
      <c r="AA200">
        <v>-162.59863887476689</v>
      </c>
    </row>
    <row r="201" spans="1:27" x14ac:dyDescent="0.2">
      <c r="A201" t="s">
        <v>926</v>
      </c>
      <c r="B201" t="s">
        <v>927</v>
      </c>
      <c r="C201">
        <v>-7.3821834078190181</v>
      </c>
      <c r="D201">
        <v>-13.478329044088969</v>
      </c>
      <c r="E201">
        <v>-13.478329044088964</v>
      </c>
      <c r="F201">
        <v>-15.916787545272815</v>
      </c>
      <c r="G201">
        <v>-36.586013267732767</v>
      </c>
      <c r="H201">
        <v>-36.586013267732788</v>
      </c>
      <c r="I201">
        <v>-36.586013267732788</v>
      </c>
      <c r="J201">
        <v>-48.116370604675474</v>
      </c>
      <c r="K201">
        <v>-48.116370604675474</v>
      </c>
      <c r="L201">
        <v>-62.712427130099485</v>
      </c>
      <c r="M201">
        <v>-72.292991310838872</v>
      </c>
      <c r="N201">
        <v>-80.668376039513419</v>
      </c>
      <c r="O201">
        <v>-80.668376039513419</v>
      </c>
      <c r="P201">
        <v>-80.668376039513419</v>
      </c>
      <c r="Q201">
        <v>-88.021183908403998</v>
      </c>
      <c r="R201">
        <v>-88.021183908403998</v>
      </c>
      <c r="S201">
        <v>-96.136866912166766</v>
      </c>
      <c r="T201">
        <v>-96.136866912166766</v>
      </c>
      <c r="U201">
        <v>-103.85488230863038</v>
      </c>
      <c r="V201">
        <v>-103.85488230863038</v>
      </c>
      <c r="W201">
        <v>-110.42655595492631</v>
      </c>
      <c r="X201">
        <v>-110.42655595492631</v>
      </c>
      <c r="Y201">
        <v>-110.42655595492631</v>
      </c>
      <c r="Z201">
        <v>-110.42655595492631</v>
      </c>
      <c r="AA201">
        <v>-110.42655595492631</v>
      </c>
    </row>
    <row r="202" spans="1:27" x14ac:dyDescent="0.2">
      <c r="A202" t="s">
        <v>904</v>
      </c>
      <c r="B202" t="s">
        <v>905</v>
      </c>
      <c r="C202">
        <v>-59.098600370391502</v>
      </c>
      <c r="D202">
        <v>-107.90173283876548</v>
      </c>
      <c r="E202">
        <v>-107.90173283876544</v>
      </c>
      <c r="F202">
        <v>-127.42298780089645</v>
      </c>
      <c r="G202">
        <v>-292.89196133564667</v>
      </c>
      <c r="H202">
        <v>-292.8919613356469</v>
      </c>
      <c r="I202">
        <v>-292.8919613356469</v>
      </c>
      <c r="J202">
        <v>-385.19906652921827</v>
      </c>
      <c r="K202">
        <v>-385.19906652921827</v>
      </c>
      <c r="L202">
        <v>-502.04884713288465</v>
      </c>
      <c r="M202">
        <v>-578.7467429397949</v>
      </c>
      <c r="N202">
        <v>-645.79648793853789</v>
      </c>
      <c r="O202">
        <v>-645.79648793853789</v>
      </c>
      <c r="P202">
        <v>-645.79648793853789</v>
      </c>
      <c r="Q202">
        <v>-704.65992031866267</v>
      </c>
      <c r="R202">
        <v>-704.65992031866267</v>
      </c>
      <c r="S202">
        <v>-769.63060447480927</v>
      </c>
      <c r="T202">
        <v>-769.63060447480927</v>
      </c>
      <c r="U202">
        <v>-831.41773199117745</v>
      </c>
      <c r="V202">
        <v>-831.41773199117745</v>
      </c>
      <c r="W202">
        <v>-884.02773815489843</v>
      </c>
      <c r="X202">
        <v>-884.02773815489843</v>
      </c>
      <c r="Y202">
        <v>-884.02773815489843</v>
      </c>
      <c r="Z202">
        <v>-884.02773815489843</v>
      </c>
      <c r="AA202">
        <v>-884.02773815489843</v>
      </c>
    </row>
    <row r="203" spans="1:27" x14ac:dyDescent="0.2">
      <c r="A203" t="s">
        <v>673</v>
      </c>
      <c r="B203" t="s">
        <v>674</v>
      </c>
      <c r="C203">
        <v>-1243.6908973180473</v>
      </c>
      <c r="D203">
        <v>-2270.7204924543198</v>
      </c>
      <c r="E203">
        <v>-2270.7204924543189</v>
      </c>
      <c r="F203">
        <v>-2681.5323720667952</v>
      </c>
      <c r="G203">
        <v>-6163.717311878534</v>
      </c>
      <c r="H203">
        <v>-6163.7173118785377</v>
      </c>
      <c r="I203">
        <v>-6163.7173118785377</v>
      </c>
      <c r="J203">
        <v>-8106.2591955699145</v>
      </c>
      <c r="K203">
        <v>-8106.2591955699145</v>
      </c>
      <c r="L203">
        <v>-10565.285425964346</v>
      </c>
      <c r="M203">
        <v>-12179.341837802689</v>
      </c>
      <c r="N203">
        <v>-13590.359306910317</v>
      </c>
      <c r="O203">
        <v>-13590.359306910317</v>
      </c>
      <c r="P203">
        <v>-13590.359306910317</v>
      </c>
      <c r="Q203">
        <v>-14829.101249650723</v>
      </c>
      <c r="R203">
        <v>-14829.101249650723</v>
      </c>
      <c r="S203">
        <v>-16196.36626051565</v>
      </c>
      <c r="T203">
        <v>-16196.36626051565</v>
      </c>
      <c r="U203">
        <v>-17496.635430714741</v>
      </c>
      <c r="V203">
        <v>-17496.635430714741</v>
      </c>
      <c r="W203">
        <v>-18603.778161060127</v>
      </c>
      <c r="X203">
        <v>-18603.778161060127</v>
      </c>
      <c r="Y203">
        <v>-18603.778161060127</v>
      </c>
      <c r="Z203">
        <v>-18603.778161060127</v>
      </c>
      <c r="AA203">
        <v>-18603.778161060127</v>
      </c>
    </row>
    <row r="204" spans="1:27" x14ac:dyDescent="0.2">
      <c r="A204" t="s">
        <v>385</v>
      </c>
      <c r="B204" t="s">
        <v>386</v>
      </c>
      <c r="C204">
        <v>-2372.9202520589402</v>
      </c>
      <c r="D204">
        <v>-4332.4580528245024</v>
      </c>
      <c r="E204">
        <v>-4332.4580528245006</v>
      </c>
      <c r="F204">
        <v>-5116.2732524219236</v>
      </c>
      <c r="G204">
        <v>-11760.164578564552</v>
      </c>
      <c r="H204">
        <v>-11760.164578564558</v>
      </c>
      <c r="I204">
        <v>-11760.164578564558</v>
      </c>
      <c r="J204">
        <v>-15466.468923337139</v>
      </c>
      <c r="K204">
        <v>-15466.468923337139</v>
      </c>
      <c r="L204">
        <v>-20158.207968006616</v>
      </c>
      <c r="M204">
        <v>-23237.773120309361</v>
      </c>
      <c r="N204">
        <v>-25929.946823336959</v>
      </c>
      <c r="O204">
        <v>-25929.946823336959</v>
      </c>
      <c r="P204">
        <v>-25929.946823336959</v>
      </c>
      <c r="Q204">
        <v>-28293.424637110686</v>
      </c>
      <c r="R204">
        <v>-28293.424637110686</v>
      </c>
      <c r="S204">
        <v>-30902.120126648617</v>
      </c>
      <c r="T204">
        <v>-30902.120126648617</v>
      </c>
      <c r="U204">
        <v>-33382.989813599663</v>
      </c>
      <c r="V204">
        <v>-33382.989813599663</v>
      </c>
      <c r="W204">
        <v>-35495.380772174445</v>
      </c>
      <c r="X204">
        <v>-35495.380772174445</v>
      </c>
      <c r="Y204">
        <v>-35495.380772174445</v>
      </c>
      <c r="Z204">
        <v>-35495.380772174445</v>
      </c>
      <c r="AA204">
        <v>-35495.380772174445</v>
      </c>
    </row>
    <row r="205" spans="1:27" x14ac:dyDescent="0.2">
      <c r="A205" t="s">
        <v>370</v>
      </c>
      <c r="B205" t="s">
        <v>371</v>
      </c>
      <c r="C205">
        <v>-2737.8069234652489</v>
      </c>
      <c r="D205">
        <v>-4998.6651015152074</v>
      </c>
      <c r="E205">
        <v>-4998.6651015152056</v>
      </c>
      <c r="F205">
        <v>-5903.008464219085</v>
      </c>
      <c r="G205">
        <v>-13568.53858714721</v>
      </c>
      <c r="H205">
        <v>-13568.538587147217</v>
      </c>
      <c r="I205">
        <v>-13568.538587147217</v>
      </c>
      <c r="J205">
        <v>-17844.765606063345</v>
      </c>
      <c r="K205">
        <v>-17844.765606063345</v>
      </c>
      <c r="L205">
        <v>-23257.95875001451</v>
      </c>
      <c r="M205">
        <v>-26811.07217130253</v>
      </c>
      <c r="N205">
        <v>-29917.224515412974</v>
      </c>
      <c r="O205">
        <v>-29917.224515412974</v>
      </c>
      <c r="P205">
        <v>-29917.224515412974</v>
      </c>
      <c r="Q205">
        <v>-32644.137026017441</v>
      </c>
      <c r="R205">
        <v>-32644.137026017441</v>
      </c>
      <c r="S205">
        <v>-35653.974615912186</v>
      </c>
      <c r="T205">
        <v>-35653.974615912186</v>
      </c>
      <c r="U205">
        <v>-38516.330482804988</v>
      </c>
      <c r="V205">
        <v>-38516.330482804988</v>
      </c>
      <c r="W205">
        <v>-40953.546224224592</v>
      </c>
      <c r="X205">
        <v>-40953.546224224592</v>
      </c>
      <c r="Y205">
        <v>-40953.546224224592</v>
      </c>
      <c r="Z205">
        <v>-40953.546224224592</v>
      </c>
      <c r="AA205">
        <v>-40953.546224224592</v>
      </c>
    </row>
    <row r="206" spans="1:27" x14ac:dyDescent="0.2">
      <c r="A206" t="s">
        <v>553</v>
      </c>
      <c r="B206" t="s">
        <v>554</v>
      </c>
      <c r="C206">
        <v>-608.85817981987589</v>
      </c>
      <c r="D206">
        <v>-1111.6481988384874</v>
      </c>
      <c r="E206">
        <v>-1111.6481988384869</v>
      </c>
      <c r="F206">
        <v>-1312.764226790945</v>
      </c>
      <c r="G206">
        <v>-3017.4939058631035</v>
      </c>
      <c r="H206">
        <v>-3017.4939058631048</v>
      </c>
      <c r="I206">
        <v>-3017.4939058631048</v>
      </c>
      <c r="J206">
        <v>-3968.4798124727808</v>
      </c>
      <c r="K206">
        <v>-3968.4798124727808</v>
      </c>
      <c r="L206">
        <v>-5172.3144935787632</v>
      </c>
      <c r="M206">
        <v>-5962.4878808389749</v>
      </c>
      <c r="N206">
        <v>-6653.2620352430486</v>
      </c>
      <c r="O206">
        <v>-6653.2620352430486</v>
      </c>
      <c r="P206">
        <v>-6653.2620352430486</v>
      </c>
      <c r="Q206">
        <v>-7259.6974173383041</v>
      </c>
      <c r="R206">
        <v>-7259.6974173383041</v>
      </c>
      <c r="S206">
        <v>-7929.0522286035466</v>
      </c>
      <c r="T206">
        <v>-7929.0522286035466</v>
      </c>
      <c r="U206">
        <v>-8565.608725037293</v>
      </c>
      <c r="V206">
        <v>-8565.608725037293</v>
      </c>
      <c r="W206">
        <v>-9107.6187285297565</v>
      </c>
      <c r="X206">
        <v>-9107.6187285297565</v>
      </c>
      <c r="Y206">
        <v>-9107.6187285297565</v>
      </c>
      <c r="Z206">
        <v>-9107.6187285297565</v>
      </c>
      <c r="AA206">
        <v>-9107.6187285297565</v>
      </c>
    </row>
    <row r="207" spans="1:27" x14ac:dyDescent="0.2">
      <c r="A207" t="s">
        <v>934</v>
      </c>
      <c r="B207" t="s">
        <v>935</v>
      </c>
      <c r="C207">
        <v>-2.6719107408978902</v>
      </c>
      <c r="D207">
        <v>-4.8783523996590743</v>
      </c>
      <c r="E207">
        <v>-4.8783523996590725</v>
      </c>
      <c r="F207">
        <v>-5.7609291524455202</v>
      </c>
      <c r="G207">
        <v>-13.241957889199663</v>
      </c>
      <c r="H207">
        <v>-13.241957889199671</v>
      </c>
      <c r="I207">
        <v>-13.241957889199671</v>
      </c>
      <c r="J207">
        <v>-17.415260544121089</v>
      </c>
      <c r="K207">
        <v>-17.415260544121089</v>
      </c>
      <c r="L207">
        <v>-22.698163724733757</v>
      </c>
      <c r="M207">
        <v>-26.165757378836958</v>
      </c>
      <c r="N207">
        <v>-29.197147846865043</v>
      </c>
      <c r="O207">
        <v>-29.197147846865043</v>
      </c>
      <c r="P207">
        <v>-29.197147846865043</v>
      </c>
      <c r="Q207">
        <v>-31.858426392158119</v>
      </c>
      <c r="R207">
        <v>-31.858426392158119</v>
      </c>
      <c r="S207">
        <v>-34.795820302543582</v>
      </c>
      <c r="T207">
        <v>-34.795820302543582</v>
      </c>
      <c r="U207">
        <v>-37.589282222547396</v>
      </c>
      <c r="V207">
        <v>-37.589282222547396</v>
      </c>
      <c r="W207">
        <v>-39.967836700429338</v>
      </c>
      <c r="X207">
        <v>-39.967836700429338</v>
      </c>
      <c r="Y207">
        <v>-39.967836700429338</v>
      </c>
      <c r="Z207">
        <v>-39.967836700429338</v>
      </c>
      <c r="AA207">
        <v>-39.967836700429338</v>
      </c>
    </row>
    <row r="208" spans="1:27" x14ac:dyDescent="0.2">
      <c r="A208" t="s">
        <v>407</v>
      </c>
      <c r="B208" t="s">
        <v>79</v>
      </c>
      <c r="C208">
        <v>-1382.9328463118695</v>
      </c>
      <c r="D208">
        <v>-2524.9472843938411</v>
      </c>
      <c r="E208">
        <v>-2524.9472843938402</v>
      </c>
      <c r="F208">
        <v>-2981.7531058373693</v>
      </c>
      <c r="G208">
        <v>-6853.7987568772041</v>
      </c>
      <c r="H208">
        <v>-6853.7987568772078</v>
      </c>
      <c r="I208">
        <v>-6853.7987568772078</v>
      </c>
      <c r="J208">
        <v>-9013.8249998017345</v>
      </c>
      <c r="K208">
        <v>-9013.8249998017345</v>
      </c>
      <c r="L208">
        <v>-11748.160477602753</v>
      </c>
      <c r="M208">
        <v>-13542.924459991782</v>
      </c>
      <c r="N208">
        <v>-15111.917534522396</v>
      </c>
      <c r="O208">
        <v>-15111.917534522396</v>
      </c>
      <c r="P208">
        <v>-15111.917534522396</v>
      </c>
      <c r="Q208">
        <v>-16489.347348002648</v>
      </c>
      <c r="R208">
        <v>-16489.347348002648</v>
      </c>
      <c r="S208">
        <v>-18009.689498303458</v>
      </c>
      <c r="T208">
        <v>-18009.689498303458</v>
      </c>
      <c r="U208">
        <v>-19455.535044325134</v>
      </c>
      <c r="V208">
        <v>-19455.535044325134</v>
      </c>
      <c r="W208">
        <v>-20686.631975766686</v>
      </c>
      <c r="X208">
        <v>-20686.631975766686</v>
      </c>
      <c r="Y208">
        <v>-20686.631975766686</v>
      </c>
      <c r="Z208">
        <v>-20686.631975766686</v>
      </c>
      <c r="AA208">
        <v>-20686.631975766686</v>
      </c>
    </row>
    <row r="209" spans="1:27" x14ac:dyDescent="0.2">
      <c r="A209" t="s">
        <v>454</v>
      </c>
      <c r="B209" t="s">
        <v>455</v>
      </c>
      <c r="C209">
        <v>-1234.098475614569</v>
      </c>
      <c r="D209">
        <v>-2253.2067287198397</v>
      </c>
      <c r="E209">
        <v>-2253.2067287198388</v>
      </c>
      <c r="F209">
        <v>-2660.8500711993834</v>
      </c>
      <c r="G209">
        <v>-6116.177383875468</v>
      </c>
      <c r="H209">
        <v>-6116.1773838754716</v>
      </c>
      <c r="I209">
        <v>-6116.1773838754716</v>
      </c>
      <c r="J209">
        <v>-8043.7367015890641</v>
      </c>
      <c r="K209">
        <v>-8043.7367015890641</v>
      </c>
      <c r="L209">
        <v>-10483.796791254539</v>
      </c>
      <c r="M209">
        <v>-12085.404201665804</v>
      </c>
      <c r="N209">
        <v>-13485.538681580665</v>
      </c>
      <c r="O209">
        <v>-13485.538681580665</v>
      </c>
      <c r="P209">
        <v>-13485.538681580665</v>
      </c>
      <c r="Q209">
        <v>-14714.726373242947</v>
      </c>
      <c r="R209">
        <v>-14714.726373242947</v>
      </c>
      <c r="S209">
        <v>-16071.445851779135</v>
      </c>
      <c r="T209">
        <v>-16071.445851779135</v>
      </c>
      <c r="U209">
        <v>-17361.686219616258</v>
      </c>
      <c r="V209">
        <v>-17361.686219616258</v>
      </c>
      <c r="W209">
        <v>-18460.28970602385</v>
      </c>
      <c r="X209">
        <v>-18460.28970602385</v>
      </c>
      <c r="Y209">
        <v>-18460.28970602385</v>
      </c>
      <c r="Z209">
        <v>-18460.28970602385</v>
      </c>
      <c r="AA209">
        <v>-18460.28970602385</v>
      </c>
    </row>
    <row r="210" spans="1:27" x14ac:dyDescent="0.2">
      <c r="A210" t="s">
        <v>503</v>
      </c>
      <c r="B210" t="s">
        <v>504</v>
      </c>
      <c r="C210">
        <v>-672.24820775485205</v>
      </c>
      <c r="D210">
        <v>-1227.3851844187495</v>
      </c>
      <c r="E210">
        <v>-1227.3851844187491</v>
      </c>
      <c r="F210">
        <v>-1449.439997547501</v>
      </c>
      <c r="G210">
        <v>-3331.6541312260447</v>
      </c>
      <c r="H210">
        <v>-3331.6541312260465</v>
      </c>
      <c r="I210">
        <v>-3331.6541312260465</v>
      </c>
      <c r="J210">
        <v>-4381.6499964497134</v>
      </c>
      <c r="K210">
        <v>-4381.6499964497134</v>
      </c>
      <c r="L210">
        <v>-5710.8194707697367</v>
      </c>
      <c r="M210">
        <v>-6583.2601490873139</v>
      </c>
      <c r="N210">
        <v>-7345.9528460941792</v>
      </c>
      <c r="O210">
        <v>-7345.9528460941792</v>
      </c>
      <c r="P210">
        <v>-7345.9528460941792</v>
      </c>
      <c r="Q210">
        <v>-8015.5260114793764</v>
      </c>
      <c r="R210">
        <v>-8015.5260114793764</v>
      </c>
      <c r="S210">
        <v>-8754.5693341103815</v>
      </c>
      <c r="T210">
        <v>-8754.5693341103815</v>
      </c>
      <c r="U210">
        <v>-9457.3996122367098</v>
      </c>
      <c r="V210">
        <v>-9457.3996122367098</v>
      </c>
      <c r="W210">
        <v>-10055.83988208872</v>
      </c>
      <c r="X210">
        <v>-10055.83988208872</v>
      </c>
      <c r="Y210">
        <v>-10055.83988208872</v>
      </c>
      <c r="Z210">
        <v>-10055.83988208872</v>
      </c>
      <c r="AA210">
        <v>-10055.83988208872</v>
      </c>
    </row>
    <row r="211" spans="1:27" x14ac:dyDescent="0.2">
      <c r="A211" t="s">
        <v>348</v>
      </c>
      <c r="B211" t="s">
        <v>349</v>
      </c>
      <c r="C211">
        <v>-3655.8995645186355</v>
      </c>
      <c r="D211">
        <v>-6674.9110067534348</v>
      </c>
      <c r="E211">
        <v>-6674.911006753432</v>
      </c>
      <c r="F211">
        <v>-7882.51570580934</v>
      </c>
      <c r="G211">
        <v>-18118.594809132977</v>
      </c>
      <c r="H211">
        <v>-18118.594809132988</v>
      </c>
      <c r="I211">
        <v>-18118.594809132988</v>
      </c>
      <c r="J211">
        <v>-23828.806278848679</v>
      </c>
      <c r="K211">
        <v>-23828.806278848679</v>
      </c>
      <c r="L211">
        <v>-31057.252626912541</v>
      </c>
      <c r="M211">
        <v>-35801.862518223257</v>
      </c>
      <c r="N211">
        <v>-39949.62798146085</v>
      </c>
      <c r="O211">
        <v>-39949.62798146085</v>
      </c>
      <c r="P211">
        <v>-39949.62798146085</v>
      </c>
      <c r="Q211">
        <v>-43590.979814767299</v>
      </c>
      <c r="R211">
        <v>-43590.979814767299</v>
      </c>
      <c r="S211">
        <v>-47610.13245838786</v>
      </c>
      <c r="T211">
        <v>-47610.13245838786</v>
      </c>
      <c r="U211">
        <v>-51432.34704831439</v>
      </c>
      <c r="V211">
        <v>-51432.34704831439</v>
      </c>
      <c r="W211">
        <v>-54686.855571660592</v>
      </c>
      <c r="X211">
        <v>-54686.855571660592</v>
      </c>
      <c r="Y211">
        <v>-54686.855571660592</v>
      </c>
      <c r="Z211">
        <v>-54686.855571660592</v>
      </c>
      <c r="AA211">
        <v>-54686.855571660592</v>
      </c>
    </row>
    <row r="212" spans="1:27" x14ac:dyDescent="0.2">
      <c r="A212" t="s">
        <v>374</v>
      </c>
      <c r="B212" t="s">
        <v>375</v>
      </c>
      <c r="C212">
        <v>-5202.1922776035262</v>
      </c>
      <c r="D212">
        <v>-9498.1193766999877</v>
      </c>
      <c r="E212">
        <v>-9498.1193766999841</v>
      </c>
      <c r="F212">
        <v>-11216.490390169973</v>
      </c>
      <c r="G212">
        <v>-25782.003124998173</v>
      </c>
      <c r="H212">
        <v>-25782.003124998188</v>
      </c>
      <c r="I212">
        <v>-25782.003124998188</v>
      </c>
      <c r="J212">
        <v>-33907.395381267495</v>
      </c>
      <c r="K212">
        <v>-33907.395381267495</v>
      </c>
      <c r="L212">
        <v>-44193.172412978827</v>
      </c>
      <c r="M212">
        <v>-50944.553981653786</v>
      </c>
      <c r="N212">
        <v>-56846.650875009291</v>
      </c>
      <c r="O212">
        <v>-56846.650875009291</v>
      </c>
      <c r="P212">
        <v>-56846.650875009291</v>
      </c>
      <c r="Q212">
        <v>-62028.142339137754</v>
      </c>
      <c r="R212">
        <v>-62028.142339137754</v>
      </c>
      <c r="S212">
        <v>-67747.228565705256</v>
      </c>
      <c r="T212">
        <v>-67747.228565705256</v>
      </c>
      <c r="U212">
        <v>-73186.080173128285</v>
      </c>
      <c r="V212">
        <v>-73186.080173128285</v>
      </c>
      <c r="W212">
        <v>-77817.109775763369</v>
      </c>
      <c r="X212">
        <v>-77817.109775763369</v>
      </c>
      <c r="Y212">
        <v>-77817.109775763369</v>
      </c>
      <c r="Z212">
        <v>-77817.109775763369</v>
      </c>
      <c r="AA212">
        <v>-77817.109775763369</v>
      </c>
    </row>
    <row r="213" spans="1:27" x14ac:dyDescent="0.2">
      <c r="A213" t="s">
        <v>464</v>
      </c>
      <c r="B213" t="s">
        <v>191</v>
      </c>
      <c r="C213">
        <v>-5751.3728116298262</v>
      </c>
      <c r="D213">
        <v>-10500.808626383885</v>
      </c>
      <c r="E213">
        <v>-10500.80862638388</v>
      </c>
      <c r="F213">
        <v>-12400.58314446779</v>
      </c>
      <c r="G213">
        <v>-28503.735327287468</v>
      </c>
      <c r="H213">
        <v>-28503.735327287486</v>
      </c>
      <c r="I213">
        <v>-28503.735327287486</v>
      </c>
      <c r="J213">
        <v>-37486.901964115976</v>
      </c>
      <c r="K213">
        <v>-37486.901964115976</v>
      </c>
      <c r="L213">
        <v>-48858.519007445037</v>
      </c>
      <c r="M213">
        <v>-56322.624585046527</v>
      </c>
      <c r="N213">
        <v>-62847.788937427424</v>
      </c>
      <c r="O213">
        <v>-62847.788937427424</v>
      </c>
      <c r="P213">
        <v>-62847.788937427424</v>
      </c>
      <c r="Q213">
        <v>-68576.27561001321</v>
      </c>
      <c r="R213">
        <v>-68576.27561001321</v>
      </c>
      <c r="S213">
        <v>-74899.109383854302</v>
      </c>
      <c r="T213">
        <v>-74899.109383854302</v>
      </c>
      <c r="U213">
        <v>-80912.124972703707</v>
      </c>
      <c r="V213">
        <v>-80912.124972703707</v>
      </c>
      <c r="W213">
        <v>-86032.039102197974</v>
      </c>
      <c r="X213">
        <v>-86032.039102197974</v>
      </c>
      <c r="Y213">
        <v>-86032.039102197974</v>
      </c>
      <c r="Z213">
        <v>-86032.039102197974</v>
      </c>
      <c r="AA213">
        <v>-86032.039102197974</v>
      </c>
    </row>
    <row r="214" spans="1:27" x14ac:dyDescent="0.2">
      <c r="A214" t="s">
        <v>359</v>
      </c>
      <c r="B214" t="s">
        <v>65</v>
      </c>
      <c r="C214">
        <v>-1739.1636616320134</v>
      </c>
      <c r="D214">
        <v>-3175.3505430616592</v>
      </c>
      <c r="E214">
        <v>-3175.3505430616578</v>
      </c>
      <c r="F214">
        <v>-3749.8253537477194</v>
      </c>
      <c r="G214">
        <v>-8619.2744455296634</v>
      </c>
      <c r="H214">
        <v>-8619.2744455296688</v>
      </c>
      <c r="I214">
        <v>-8619.2744455296688</v>
      </c>
      <c r="J214">
        <v>-11335.703634325355</v>
      </c>
      <c r="K214">
        <v>-11335.703634325355</v>
      </c>
      <c r="L214">
        <v>-14774.378848660615</v>
      </c>
      <c r="M214">
        <v>-17031.457569222755</v>
      </c>
      <c r="N214">
        <v>-19004.608867098988</v>
      </c>
      <c r="O214">
        <v>-19004.608867098988</v>
      </c>
      <c r="P214">
        <v>-19004.608867098988</v>
      </c>
      <c r="Q214">
        <v>-20736.85196512226</v>
      </c>
      <c r="R214">
        <v>-20736.85196512226</v>
      </c>
      <c r="S214">
        <v>-22648.820306970698</v>
      </c>
      <c r="T214">
        <v>-22648.820306970698</v>
      </c>
      <c r="U214">
        <v>-24467.102402648339</v>
      </c>
      <c r="V214">
        <v>-24467.102402648339</v>
      </c>
      <c r="W214">
        <v>-26015.318610557388</v>
      </c>
      <c r="X214">
        <v>-26015.318610557388</v>
      </c>
      <c r="Y214">
        <v>-26015.318610557388</v>
      </c>
      <c r="Z214">
        <v>-26015.318610557388</v>
      </c>
      <c r="AA214">
        <v>-26015.318610557388</v>
      </c>
    </row>
    <row r="215" spans="1:27" x14ac:dyDescent="0.2">
      <c r="A215" t="s">
        <v>886</v>
      </c>
      <c r="B215" t="s">
        <v>887</v>
      </c>
      <c r="C215">
        <v>-38.710668854614838</v>
      </c>
      <c r="D215">
        <v>-70.67761711076372</v>
      </c>
      <c r="E215">
        <v>-70.677617110763691</v>
      </c>
      <c r="F215">
        <v>-83.464397706741352</v>
      </c>
      <c r="G215">
        <v>-191.84961495506499</v>
      </c>
      <c r="H215">
        <v>-191.84961495506508</v>
      </c>
      <c r="I215">
        <v>-191.84961495506508</v>
      </c>
      <c r="J215">
        <v>-252.31246449264319</v>
      </c>
      <c r="K215">
        <v>-252.31246449264319</v>
      </c>
      <c r="L215">
        <v>-328.85121726062113</v>
      </c>
      <c r="M215">
        <v>-379.08974791649337</v>
      </c>
      <c r="N215">
        <v>-423.00856256126582</v>
      </c>
      <c r="O215">
        <v>-423.00856256126582</v>
      </c>
      <c r="P215">
        <v>-423.00856256126582</v>
      </c>
      <c r="Q215">
        <v>-461.56519206233651</v>
      </c>
      <c r="R215">
        <v>-461.56519206233651</v>
      </c>
      <c r="S215">
        <v>-504.12218366389072</v>
      </c>
      <c r="T215">
        <v>-504.12218366389072</v>
      </c>
      <c r="U215">
        <v>-544.59388718603191</v>
      </c>
      <c r="V215">
        <v>-544.59388718603191</v>
      </c>
      <c r="W215">
        <v>-579.05440764301682</v>
      </c>
      <c r="X215">
        <v>-579.05440764301682</v>
      </c>
      <c r="Y215">
        <v>-579.05440764301682</v>
      </c>
      <c r="Z215">
        <v>-579.05440764301682</v>
      </c>
      <c r="AA215">
        <v>-579.05440764301682</v>
      </c>
    </row>
    <row r="216" spans="1:27" x14ac:dyDescent="0.2">
      <c r="A216" t="s">
        <v>830</v>
      </c>
      <c r="B216" t="s">
        <v>831</v>
      </c>
      <c r="C216">
        <v>-217.43381307112327</v>
      </c>
      <c r="D216">
        <v>-396.98884679287022</v>
      </c>
      <c r="E216">
        <v>-396.98884679287005</v>
      </c>
      <c r="F216">
        <v>-468.81086754712589</v>
      </c>
      <c r="G216">
        <v>-1077.5993944349952</v>
      </c>
      <c r="H216">
        <v>-1077.5993944349957</v>
      </c>
      <c r="I216">
        <v>-1077.5993944349957</v>
      </c>
      <c r="J216">
        <v>-1417.2129509321978</v>
      </c>
      <c r="K216">
        <v>-1417.2129509321978</v>
      </c>
      <c r="L216">
        <v>-1847.1231889741186</v>
      </c>
      <c r="M216">
        <v>-2129.3078064660631</v>
      </c>
      <c r="N216">
        <v>-2375.9952344110943</v>
      </c>
      <c r="O216">
        <v>-2375.9952344110943</v>
      </c>
      <c r="P216">
        <v>-2375.9952344110943</v>
      </c>
      <c r="Q216">
        <v>-2592.5638244056054</v>
      </c>
      <c r="R216">
        <v>-2592.5638244056054</v>
      </c>
      <c r="S216">
        <v>-2831.6020335234666</v>
      </c>
      <c r="T216">
        <v>-2831.6020335234666</v>
      </c>
      <c r="U216">
        <v>-3058.9273957214928</v>
      </c>
      <c r="V216">
        <v>-3058.9273957214928</v>
      </c>
      <c r="W216">
        <v>-3252.4885659383804</v>
      </c>
      <c r="X216">
        <v>-3252.4885659383804</v>
      </c>
      <c r="Y216">
        <v>-3252.4885659383804</v>
      </c>
      <c r="Z216">
        <v>-3252.4885659383804</v>
      </c>
      <c r="AA216">
        <v>-3252.4885659383804</v>
      </c>
    </row>
    <row r="217" spans="1:27" x14ac:dyDescent="0.2">
      <c r="A217" t="s">
        <v>665</v>
      </c>
      <c r="B217" t="s">
        <v>666</v>
      </c>
      <c r="C217">
        <v>-388.97816291724428</v>
      </c>
      <c r="D217">
        <v>-710.19309344317458</v>
      </c>
      <c r="E217">
        <v>-710.19309344317435</v>
      </c>
      <c r="F217">
        <v>-838.6790786512629</v>
      </c>
      <c r="G217">
        <v>-1927.771154300412</v>
      </c>
      <c r="H217">
        <v>-1927.7711543004132</v>
      </c>
      <c r="I217">
        <v>-1927.7711543004132</v>
      </c>
      <c r="J217">
        <v>-2535.3227372037691</v>
      </c>
      <c r="K217">
        <v>-2535.3227372037691</v>
      </c>
      <c r="L217">
        <v>-3304.4105448952137</v>
      </c>
      <c r="M217">
        <v>-3809.2246424137898</v>
      </c>
      <c r="N217">
        <v>-4250.5360519940969</v>
      </c>
      <c r="O217">
        <v>-4250.5360519940969</v>
      </c>
      <c r="P217">
        <v>-4250.5360519940969</v>
      </c>
      <c r="Q217">
        <v>-4637.9663743151586</v>
      </c>
      <c r="R217">
        <v>-4637.9663743151586</v>
      </c>
      <c r="S217">
        <v>-5065.5937158790002</v>
      </c>
      <c r="T217">
        <v>-5065.5937158790002</v>
      </c>
      <c r="U217">
        <v>-5472.2673630148365</v>
      </c>
      <c r="V217">
        <v>-5472.2673630148365</v>
      </c>
      <c r="W217">
        <v>-5818.5385677535814</v>
      </c>
      <c r="X217">
        <v>-5818.5385677535814</v>
      </c>
      <c r="Y217">
        <v>-5818.5385677535814</v>
      </c>
      <c r="Z217">
        <v>-5818.5385677535814</v>
      </c>
      <c r="AA217">
        <v>-5818.5385677535814</v>
      </c>
    </row>
    <row r="218" spans="1:27" x14ac:dyDescent="0.2">
      <c r="A218" t="s">
        <v>771</v>
      </c>
      <c r="B218" t="s">
        <v>772</v>
      </c>
      <c r="C218">
        <v>-525.00496170511565</v>
      </c>
      <c r="D218">
        <v>-958.54969088765256</v>
      </c>
      <c r="E218">
        <v>-958.54969088765222</v>
      </c>
      <c r="F218">
        <v>-1131.9676001037228</v>
      </c>
      <c r="G218">
        <v>-2601.9183530748437</v>
      </c>
      <c r="H218">
        <v>-2601.9183530748451</v>
      </c>
      <c r="I218">
        <v>-2601.9183530748451</v>
      </c>
      <c r="J218">
        <v>-3421.9324976321568</v>
      </c>
      <c r="K218">
        <v>-3421.9324976321568</v>
      </c>
      <c r="L218">
        <v>-4459.9725562223402</v>
      </c>
      <c r="M218">
        <v>-5141.3216169209691</v>
      </c>
      <c r="N218">
        <v>-5736.960914379506</v>
      </c>
      <c r="O218">
        <v>-5736.960914379506</v>
      </c>
      <c r="P218">
        <v>-5736.960914379506</v>
      </c>
      <c r="Q218">
        <v>-6259.8767511146489</v>
      </c>
      <c r="R218">
        <v>-6259.8767511146489</v>
      </c>
      <c r="S218">
        <v>-6837.0466220350099</v>
      </c>
      <c r="T218">
        <v>-6837.0466220350099</v>
      </c>
      <c r="U218">
        <v>-7385.9352304334543</v>
      </c>
      <c r="V218">
        <v>-7385.9352304334543</v>
      </c>
      <c r="W218">
        <v>-7853.298486046664</v>
      </c>
      <c r="X218">
        <v>-7853.298486046664</v>
      </c>
      <c r="Y218">
        <v>-7853.298486046664</v>
      </c>
      <c r="Z218">
        <v>-7853.298486046664</v>
      </c>
      <c r="AA218">
        <v>-7853.298486046664</v>
      </c>
    </row>
    <row r="219" spans="1:27" x14ac:dyDescent="0.2">
      <c r="A219" t="s">
        <v>579</v>
      </c>
      <c r="B219" t="s">
        <v>580</v>
      </c>
      <c r="C219">
        <v>-5470.4346825376451</v>
      </c>
      <c r="D219">
        <v>-9987.8741277740955</v>
      </c>
      <c r="E219">
        <v>-9987.8741277740901</v>
      </c>
      <c r="F219">
        <v>-11794.850088663403</v>
      </c>
      <c r="G219">
        <v>-27111.409297092672</v>
      </c>
      <c r="H219">
        <v>-27111.40929709269</v>
      </c>
      <c r="I219">
        <v>-27111.40929709269</v>
      </c>
      <c r="J219">
        <v>-35655.773910312018</v>
      </c>
      <c r="K219">
        <v>-35655.773910312018</v>
      </c>
      <c r="L219">
        <v>-46471.919951927259</v>
      </c>
      <c r="M219">
        <v>-53571.425298419119</v>
      </c>
      <c r="N219">
        <v>-59777.854015810401</v>
      </c>
      <c r="O219">
        <v>-59777.854015810401</v>
      </c>
      <c r="P219">
        <v>-59777.854015810401</v>
      </c>
      <c r="Q219">
        <v>-65226.520481806285</v>
      </c>
      <c r="R219">
        <v>-65226.520481806285</v>
      </c>
      <c r="S219">
        <v>-71240.501891322841</v>
      </c>
      <c r="T219">
        <v>-71240.501891322841</v>
      </c>
      <c r="U219">
        <v>-76959.79884897561</v>
      </c>
      <c r="V219">
        <v>-76959.79884897561</v>
      </c>
      <c r="W219">
        <v>-81829.619801803565</v>
      </c>
      <c r="X219">
        <v>-81829.619801803565</v>
      </c>
      <c r="Y219">
        <v>-81829.619801803565</v>
      </c>
      <c r="Z219">
        <v>-81829.619801803565</v>
      </c>
      <c r="AA219">
        <v>-81829.619801803565</v>
      </c>
    </row>
    <row r="220" spans="1:27" x14ac:dyDescent="0.2">
      <c r="A220" t="s">
        <v>367</v>
      </c>
      <c r="B220" t="s">
        <v>93</v>
      </c>
      <c r="C220">
        <v>-3863.4002921620749</v>
      </c>
      <c r="D220">
        <v>-7053.764108818591</v>
      </c>
      <c r="E220">
        <v>-7053.7641088185883</v>
      </c>
      <c r="F220">
        <v>-8329.9097645768252</v>
      </c>
      <c r="G220">
        <v>-19146.965950194877</v>
      </c>
      <c r="H220">
        <v>-19146.965950194888</v>
      </c>
      <c r="I220">
        <v>-19146.965950194888</v>
      </c>
      <c r="J220">
        <v>-25181.276321987483</v>
      </c>
      <c r="K220">
        <v>-25181.276321987483</v>
      </c>
      <c r="L220">
        <v>-32819.993206887688</v>
      </c>
      <c r="M220">
        <v>-37833.896602425419</v>
      </c>
      <c r="N220">
        <v>-42217.080007684468</v>
      </c>
      <c r="O220">
        <v>-42217.080007684468</v>
      </c>
      <c r="P220">
        <v>-42217.080007684468</v>
      </c>
      <c r="Q220">
        <v>-46065.106871768563</v>
      </c>
      <c r="R220">
        <v>-46065.106871768563</v>
      </c>
      <c r="S220">
        <v>-50312.377679836325</v>
      </c>
      <c r="T220">
        <v>-50312.377679836325</v>
      </c>
      <c r="U220">
        <v>-54351.53266832207</v>
      </c>
      <c r="V220">
        <v>-54351.53266832207</v>
      </c>
      <c r="W220">
        <v>-57790.759856609227</v>
      </c>
      <c r="X220">
        <v>-57790.759856609227</v>
      </c>
      <c r="Y220">
        <v>-57790.759856609227</v>
      </c>
      <c r="Z220">
        <v>-57790.759856609227</v>
      </c>
      <c r="AA220">
        <v>-57790.759856609227</v>
      </c>
    </row>
    <row r="221" spans="1:27" x14ac:dyDescent="0.2">
      <c r="A221" t="s">
        <v>744</v>
      </c>
      <c r="B221" t="s">
        <v>247</v>
      </c>
      <c r="C221">
        <v>-368.54022339948654</v>
      </c>
      <c r="D221">
        <v>-672.87767352123683</v>
      </c>
      <c r="E221">
        <v>-672.8776735212366</v>
      </c>
      <c r="F221">
        <v>-794.61266588471881</v>
      </c>
      <c r="G221">
        <v>-1826.4809688561147</v>
      </c>
      <c r="H221">
        <v>-1826.4809688561156</v>
      </c>
      <c r="I221">
        <v>-1826.4809688561156</v>
      </c>
      <c r="J221">
        <v>-2402.1101877579263</v>
      </c>
      <c r="K221">
        <v>-2402.1101877579263</v>
      </c>
      <c r="L221">
        <v>-3130.7880917685134</v>
      </c>
      <c r="M221">
        <v>-3609.077923977648</v>
      </c>
      <c r="N221">
        <v>-4027.2016671093952</v>
      </c>
      <c r="O221">
        <v>-4027.2016671093952</v>
      </c>
      <c r="P221">
        <v>-4027.2016671093952</v>
      </c>
      <c r="Q221">
        <v>-4394.2753775436659</v>
      </c>
      <c r="R221">
        <v>-4394.2753775436659</v>
      </c>
      <c r="S221">
        <v>-4799.4340497162111</v>
      </c>
      <c r="T221">
        <v>-4799.4340497162111</v>
      </c>
      <c r="U221">
        <v>-5184.7399898802905</v>
      </c>
      <c r="V221">
        <v>-5184.7399898802905</v>
      </c>
      <c r="W221">
        <v>-5512.8171914232898</v>
      </c>
      <c r="X221">
        <v>-5512.8171914232898</v>
      </c>
      <c r="Y221">
        <v>-5512.8171914232898</v>
      </c>
      <c r="Z221">
        <v>-5512.8171914232898</v>
      </c>
      <c r="AA221">
        <v>-5512.8171914232898</v>
      </c>
    </row>
    <row r="222" spans="1:27" x14ac:dyDescent="0.2">
      <c r="A222" t="s">
        <v>408</v>
      </c>
      <c r="B222" t="s">
        <v>163</v>
      </c>
      <c r="C222">
        <v>-1808.3641641374822</v>
      </c>
      <c r="D222">
        <v>-3301.6962447678934</v>
      </c>
      <c r="E222">
        <v>-3301.696244767892</v>
      </c>
      <c r="F222">
        <v>-3899.0291374465969</v>
      </c>
      <c r="G222">
        <v>-8962.2313138346799</v>
      </c>
      <c r="H222">
        <v>-8962.2313138346854</v>
      </c>
      <c r="I222">
        <v>-8962.2313138346854</v>
      </c>
      <c r="J222">
        <v>-11786.745939919687</v>
      </c>
      <c r="K222">
        <v>-11786.745939919687</v>
      </c>
      <c r="L222">
        <v>-15362.244420537894</v>
      </c>
      <c r="M222">
        <v>-17709.13123972989</v>
      </c>
      <c r="N222">
        <v>-19760.793297889726</v>
      </c>
      <c r="O222">
        <v>-19760.793297889726</v>
      </c>
      <c r="P222">
        <v>-19760.793297889726</v>
      </c>
      <c r="Q222">
        <v>-21561.961532453832</v>
      </c>
      <c r="R222">
        <v>-21561.961532453832</v>
      </c>
      <c r="S222">
        <v>-23550.00619359835</v>
      </c>
      <c r="T222">
        <v>-23550.00619359835</v>
      </c>
      <c r="U222">
        <v>-25440.636876987122</v>
      </c>
      <c r="V222">
        <v>-25440.636876987122</v>
      </c>
      <c r="W222">
        <v>-27050.455878203087</v>
      </c>
      <c r="X222">
        <v>-27050.455878203087</v>
      </c>
      <c r="Y222">
        <v>-27050.455878203087</v>
      </c>
      <c r="Z222">
        <v>-27050.455878203087</v>
      </c>
      <c r="AA222">
        <v>-27050.455878203087</v>
      </c>
    </row>
    <row r="223" spans="1:27" x14ac:dyDescent="0.2">
      <c r="A223" t="s">
        <v>499</v>
      </c>
      <c r="B223" t="s">
        <v>500</v>
      </c>
      <c r="C223">
        <v>-1161.9121448007161</v>
      </c>
      <c r="D223">
        <v>-2121.4095265311157</v>
      </c>
      <c r="E223">
        <v>-2121.4095265311148</v>
      </c>
      <c r="F223">
        <v>-2505.2085180486019</v>
      </c>
      <c r="G223">
        <v>-5758.422785946178</v>
      </c>
      <c r="H223">
        <v>-5758.4227859461807</v>
      </c>
      <c r="I223">
        <v>-5758.4227859461807</v>
      </c>
      <c r="J223">
        <v>-7573.2330505483469</v>
      </c>
      <c r="K223">
        <v>-7573.2330505483469</v>
      </c>
      <c r="L223">
        <v>-9870.5662927873582</v>
      </c>
      <c r="M223">
        <v>-11378.490610117829</v>
      </c>
      <c r="N223">
        <v>-12696.726787143461</v>
      </c>
      <c r="O223">
        <v>-12696.726787143461</v>
      </c>
      <c r="P223">
        <v>-12696.726787143461</v>
      </c>
      <c r="Q223">
        <v>-13854.015395308003</v>
      </c>
      <c r="R223">
        <v>-13854.015395308003</v>
      </c>
      <c r="S223">
        <v>-15131.376051971858</v>
      </c>
      <c r="T223">
        <v>-15131.376051971858</v>
      </c>
      <c r="U223">
        <v>-16346.146171800046</v>
      </c>
      <c r="V223">
        <v>-16346.146171800046</v>
      </c>
      <c r="W223">
        <v>-17380.488858708977</v>
      </c>
      <c r="X223">
        <v>-17380.488858708977</v>
      </c>
      <c r="Y223">
        <v>-17380.488858708977</v>
      </c>
      <c r="Z223">
        <v>-17380.488858708977</v>
      </c>
      <c r="AA223">
        <v>-17380.488858708977</v>
      </c>
    </row>
    <row r="224" spans="1:27" x14ac:dyDescent="0.2">
      <c r="A224" t="s">
        <v>396</v>
      </c>
      <c r="B224" t="s">
        <v>397</v>
      </c>
      <c r="C224">
        <v>-1219.0637329328174</v>
      </c>
      <c r="D224">
        <v>-2225.7564206249176</v>
      </c>
      <c r="E224">
        <v>-2225.7564206249167</v>
      </c>
      <c r="F224">
        <v>-2628.4335364368062</v>
      </c>
      <c r="G224">
        <v>-6041.6653777596484</v>
      </c>
      <c r="H224">
        <v>-6041.6653777596521</v>
      </c>
      <c r="I224">
        <v>-6041.6653777596521</v>
      </c>
      <c r="J224">
        <v>-7945.7416761532477</v>
      </c>
      <c r="K224">
        <v>-7945.7416761532477</v>
      </c>
      <c r="L224">
        <v>-10356.075065477517</v>
      </c>
      <c r="M224">
        <v>-11938.170454953233</v>
      </c>
      <c r="N224">
        <v>-13321.24741308898</v>
      </c>
      <c r="O224">
        <v>-13321.24741308898</v>
      </c>
      <c r="P224">
        <v>-13321.24741308898</v>
      </c>
      <c r="Q224">
        <v>-14535.460189040006</v>
      </c>
      <c r="R224">
        <v>-14535.460189040006</v>
      </c>
      <c r="S224">
        <v>-15875.651060942146</v>
      </c>
      <c r="T224">
        <v>-15875.651060942146</v>
      </c>
      <c r="U224">
        <v>-17150.172722119023</v>
      </c>
      <c r="V224">
        <v>-17150.172722119023</v>
      </c>
      <c r="W224">
        <v>-18235.392170661089</v>
      </c>
      <c r="X224">
        <v>-18235.392170661089</v>
      </c>
      <c r="Y224">
        <v>-18235.392170661089</v>
      </c>
      <c r="Z224">
        <v>-18235.392170661089</v>
      </c>
      <c r="AA224">
        <v>-18235.392170661089</v>
      </c>
    </row>
    <row r="225" spans="1:27" x14ac:dyDescent="0.2">
      <c r="A225" t="s">
        <v>745</v>
      </c>
      <c r="B225" t="s">
        <v>257</v>
      </c>
      <c r="C225">
        <v>-715.39133660101277</v>
      </c>
      <c r="D225">
        <v>-1306.1555501027249</v>
      </c>
      <c r="E225">
        <v>-1306.1555501027244</v>
      </c>
      <c r="F225">
        <v>-1542.4612594082314</v>
      </c>
      <c r="G225">
        <v>-3545.4709652409379</v>
      </c>
      <c r="H225">
        <v>-3545.4709652409401</v>
      </c>
      <c r="I225">
        <v>-3545.4709652409401</v>
      </c>
      <c r="J225">
        <v>-4662.8528143597105</v>
      </c>
      <c r="K225">
        <v>-4662.8528143597105</v>
      </c>
      <c r="L225">
        <v>-6077.3249034393766</v>
      </c>
      <c r="M225">
        <v>-7005.7565389080264</v>
      </c>
      <c r="N225">
        <v>-7817.3968551385824</v>
      </c>
      <c r="O225">
        <v>-7817.3968551385824</v>
      </c>
      <c r="P225">
        <v>-7817.3968551385824</v>
      </c>
      <c r="Q225">
        <v>-8529.9414721586199</v>
      </c>
      <c r="R225">
        <v>-8529.9414721586199</v>
      </c>
      <c r="S225">
        <v>-9316.4146591215067</v>
      </c>
      <c r="T225">
        <v>-9316.4146591215067</v>
      </c>
      <c r="U225">
        <v>-10064.350743252819</v>
      </c>
      <c r="V225">
        <v>-10064.350743252819</v>
      </c>
      <c r="W225">
        <v>-10701.197341855312</v>
      </c>
      <c r="X225">
        <v>-10701.197341855312</v>
      </c>
      <c r="Y225">
        <v>-10701.197341855312</v>
      </c>
      <c r="Z225">
        <v>-10701.197341855312</v>
      </c>
      <c r="AA225">
        <v>-10701.197341855312</v>
      </c>
    </row>
    <row r="226" spans="1:27" x14ac:dyDescent="0.2">
      <c r="A226" t="s">
        <v>655</v>
      </c>
      <c r="B226" t="s">
        <v>656</v>
      </c>
      <c r="C226">
        <v>-679.92031118108957</v>
      </c>
      <c r="D226">
        <v>-1241.3928470202484</v>
      </c>
      <c r="E226">
        <v>-1241.3928470202479</v>
      </c>
      <c r="F226">
        <v>-1465.9818840754681</v>
      </c>
      <c r="G226">
        <v>-3369.6769846607672</v>
      </c>
      <c r="H226">
        <v>-3369.6769846607694</v>
      </c>
      <c r="I226">
        <v>-3369.6769846607694</v>
      </c>
      <c r="J226">
        <v>-4431.6560382101025</v>
      </c>
      <c r="K226">
        <v>-4431.6560382101025</v>
      </c>
      <c r="L226">
        <v>-5775.9947990530873</v>
      </c>
      <c r="M226">
        <v>-6658.3922984377878</v>
      </c>
      <c r="N226">
        <v>-7429.789306123911</v>
      </c>
      <c r="O226">
        <v>-7429.789306123911</v>
      </c>
      <c r="P226">
        <v>-7429.789306123911</v>
      </c>
      <c r="Q226">
        <v>-8107.0040457327495</v>
      </c>
      <c r="R226">
        <v>-8107.0040457327495</v>
      </c>
      <c r="S226">
        <v>-8854.4817780688118</v>
      </c>
      <c r="T226">
        <v>-8854.4817780688118</v>
      </c>
      <c r="U226">
        <v>-9565.3331807183076</v>
      </c>
      <c r="V226">
        <v>-9565.3331807183076</v>
      </c>
      <c r="W226">
        <v>-10170.60321313683</v>
      </c>
      <c r="X226">
        <v>-10170.60321313683</v>
      </c>
      <c r="Y226">
        <v>-10170.60321313683</v>
      </c>
      <c r="Z226">
        <v>-10170.60321313683</v>
      </c>
      <c r="AA226">
        <v>-10170.60321313683</v>
      </c>
    </row>
    <row r="227" spans="1:27" x14ac:dyDescent="0.2">
      <c r="A227" t="s">
        <v>805</v>
      </c>
      <c r="B227" t="s">
        <v>806</v>
      </c>
      <c r="C227">
        <v>-1691.9504802010413</v>
      </c>
      <c r="D227">
        <v>-3089.1491092323527</v>
      </c>
      <c r="E227">
        <v>-3089.1491092323517</v>
      </c>
      <c r="F227">
        <v>-3648.0286173814497</v>
      </c>
      <c r="G227">
        <v>-8385.2864792572636</v>
      </c>
      <c r="H227">
        <v>-8385.2864792572691</v>
      </c>
      <c r="I227">
        <v>-8385.2864792572691</v>
      </c>
      <c r="J227">
        <v>-11027.972600068975</v>
      </c>
      <c r="K227">
        <v>-11027.972600068975</v>
      </c>
      <c r="L227">
        <v>-14373.297889748927</v>
      </c>
      <c r="M227">
        <v>-16569.103557355324</v>
      </c>
      <c r="N227">
        <v>-18488.689597244294</v>
      </c>
      <c r="O227">
        <v>-18488.689597244294</v>
      </c>
      <c r="P227">
        <v>-18488.689597244294</v>
      </c>
      <c r="Q227">
        <v>-20173.907386796724</v>
      </c>
      <c r="R227">
        <v>-20173.907386796724</v>
      </c>
      <c r="S227">
        <v>-22033.97140807693</v>
      </c>
      <c r="T227">
        <v>-22033.97140807693</v>
      </c>
      <c r="U227">
        <v>-23802.892489394744</v>
      </c>
      <c r="V227">
        <v>-23802.892489394744</v>
      </c>
      <c r="W227">
        <v>-25309.079177983112</v>
      </c>
      <c r="X227">
        <v>-25309.079177983112</v>
      </c>
      <c r="Y227">
        <v>-25309.079177983112</v>
      </c>
      <c r="Z227">
        <v>-25309.079177983112</v>
      </c>
      <c r="AA227">
        <v>-25309.079177983112</v>
      </c>
    </row>
    <row r="228" spans="1:27" x14ac:dyDescent="0.2">
      <c r="A228" t="s">
        <v>850</v>
      </c>
      <c r="B228" t="s">
        <v>851</v>
      </c>
      <c r="C228">
        <v>-156.77359610349819</v>
      </c>
      <c r="D228">
        <v>-286.2359273639787</v>
      </c>
      <c r="E228">
        <v>-286.23592736397859</v>
      </c>
      <c r="F228">
        <v>-338.02086510676497</v>
      </c>
      <c r="G228">
        <v>-776.96807979569246</v>
      </c>
      <c r="H228">
        <v>-776.96807979569292</v>
      </c>
      <c r="I228">
        <v>-776.96807979569292</v>
      </c>
      <c r="J228">
        <v>-1021.8354156784939</v>
      </c>
      <c r="K228">
        <v>-1021.8354156784939</v>
      </c>
      <c r="L228">
        <v>-1331.8082440421144</v>
      </c>
      <c r="M228">
        <v>-1535.268306782363</v>
      </c>
      <c r="N228">
        <v>-1713.1342727341021</v>
      </c>
      <c r="O228">
        <v>-1713.1342727341021</v>
      </c>
      <c r="P228">
        <v>-1713.1342727341021</v>
      </c>
      <c r="Q228">
        <v>-1869.2840278110534</v>
      </c>
      <c r="R228">
        <v>-1869.2840278110534</v>
      </c>
      <c r="S228">
        <v>-2041.6347727123948</v>
      </c>
      <c r="T228">
        <v>-2041.6347727123948</v>
      </c>
      <c r="U228">
        <v>-2205.540349374739</v>
      </c>
      <c r="V228">
        <v>-2205.540349374739</v>
      </c>
      <c r="W228">
        <v>-2345.1013509149029</v>
      </c>
      <c r="X228">
        <v>-2345.1013509149029</v>
      </c>
      <c r="Y228">
        <v>-2345.1013509149029</v>
      </c>
      <c r="Z228">
        <v>-2345.1013509149029</v>
      </c>
      <c r="AA228">
        <v>-2345.1013509149029</v>
      </c>
    </row>
    <row r="229" spans="1:27" x14ac:dyDescent="0.2">
      <c r="A229" t="s">
        <v>473</v>
      </c>
      <c r="B229" t="s">
        <v>143</v>
      </c>
      <c r="C229">
        <v>-1023.9938395320031</v>
      </c>
      <c r="D229">
        <v>-1869.5994322917995</v>
      </c>
      <c r="E229">
        <v>-1869.5994322917986</v>
      </c>
      <c r="F229">
        <v>-2207.8417036125006</v>
      </c>
      <c r="G229">
        <v>-5074.9013035240687</v>
      </c>
      <c r="H229">
        <v>-5074.9013035240714</v>
      </c>
      <c r="I229">
        <v>-5074.9013035240714</v>
      </c>
      <c r="J229">
        <v>-6674.2946304531015</v>
      </c>
      <c r="K229">
        <v>-6674.2946304531015</v>
      </c>
      <c r="L229">
        <v>-8698.9357342848452</v>
      </c>
      <c r="M229">
        <v>-10027.870299894139</v>
      </c>
      <c r="N229">
        <v>-11189.632598672752</v>
      </c>
      <c r="O229">
        <v>-11189.632598672752</v>
      </c>
      <c r="P229">
        <v>-11189.632598672752</v>
      </c>
      <c r="Q229">
        <v>-12209.551712715844</v>
      </c>
      <c r="R229">
        <v>-12209.551712715844</v>
      </c>
      <c r="S229">
        <v>-13335.29039195883</v>
      </c>
      <c r="T229">
        <v>-13335.29039195883</v>
      </c>
      <c r="U229">
        <v>-14405.867995194887</v>
      </c>
      <c r="V229">
        <v>-14405.867995194887</v>
      </c>
      <c r="W229">
        <v>-15317.434798329892</v>
      </c>
      <c r="X229">
        <v>-15317.434798329892</v>
      </c>
      <c r="Y229">
        <v>-15317.434798329892</v>
      </c>
      <c r="Z229">
        <v>-15317.434798329892</v>
      </c>
      <c r="AA229">
        <v>-15317.434798329892</v>
      </c>
    </row>
    <row r="230" spans="1:27" x14ac:dyDescent="0.2">
      <c r="A230" t="s">
        <v>898</v>
      </c>
      <c r="B230" t="s">
        <v>899</v>
      </c>
      <c r="C230">
        <v>-22.082129314551029</v>
      </c>
      <c r="D230">
        <v>-40.317367972786933</v>
      </c>
      <c r="E230">
        <v>-40.317367972786919</v>
      </c>
      <c r="F230">
        <v>-47.611464173956264</v>
      </c>
      <c r="G230">
        <v>-109.43877054398986</v>
      </c>
      <c r="H230">
        <v>-109.43877054398993</v>
      </c>
      <c r="I230">
        <v>-109.43877054398993</v>
      </c>
      <c r="J230">
        <v>-143.92922244574967</v>
      </c>
      <c r="K230">
        <v>-143.92922244574967</v>
      </c>
      <c r="L230">
        <v>-187.59001897046412</v>
      </c>
      <c r="M230">
        <v>-216.24810634897122</v>
      </c>
      <c r="N230">
        <v>-241.30117241636489</v>
      </c>
      <c r="O230">
        <v>-241.30117241636489</v>
      </c>
      <c r="P230">
        <v>-241.30117241636489</v>
      </c>
      <c r="Q230">
        <v>-263.29543146090674</v>
      </c>
      <c r="R230">
        <v>-263.29543146090674</v>
      </c>
      <c r="S230">
        <v>-287.57165865070766</v>
      </c>
      <c r="T230">
        <v>-287.57165865070766</v>
      </c>
      <c r="U230">
        <v>-310.65835328036019</v>
      </c>
      <c r="V230">
        <v>-310.65835328036019</v>
      </c>
      <c r="W230">
        <v>-330.3160262551105</v>
      </c>
      <c r="X230">
        <v>-330.3160262551105</v>
      </c>
      <c r="Y230">
        <v>-330.3160262551105</v>
      </c>
      <c r="Z230">
        <v>-330.3160262551105</v>
      </c>
      <c r="AA230">
        <v>-330.3160262551105</v>
      </c>
    </row>
    <row r="231" spans="1:27" x14ac:dyDescent="0.2">
      <c r="A231" t="s">
        <v>846</v>
      </c>
      <c r="B231" t="s">
        <v>847</v>
      </c>
      <c r="C231">
        <v>-6584.0543947707811</v>
      </c>
      <c r="D231">
        <v>-12021.111732730367</v>
      </c>
      <c r="E231">
        <v>-12021.111732730364</v>
      </c>
      <c r="F231">
        <v>-14195.934887920563</v>
      </c>
      <c r="G231">
        <v>-32630.495360955083</v>
      </c>
      <c r="H231">
        <v>-32630.495360955101</v>
      </c>
      <c r="I231">
        <v>-32630.495360955101</v>
      </c>
      <c r="J231">
        <v>-42914.241470157183</v>
      </c>
      <c r="K231">
        <v>-42914.241470157183</v>
      </c>
      <c r="L231">
        <v>-55932.236933498389</v>
      </c>
      <c r="M231">
        <v>-64476.992897129574</v>
      </c>
      <c r="N231">
        <v>-71946.868079628912</v>
      </c>
      <c r="O231">
        <v>-71946.868079628912</v>
      </c>
      <c r="P231">
        <v>-71946.868079628912</v>
      </c>
      <c r="Q231">
        <v>-78504.722888789882</v>
      </c>
      <c r="R231">
        <v>-78504.722888789882</v>
      </c>
      <c r="S231">
        <v>-85742.974148016903</v>
      </c>
      <c r="T231">
        <v>-85742.974148016903</v>
      </c>
      <c r="U231">
        <v>-92626.551862460023</v>
      </c>
      <c r="V231">
        <v>-92626.551862460023</v>
      </c>
      <c r="W231">
        <v>-98487.725225623202</v>
      </c>
      <c r="X231">
        <v>-98487.725225623202</v>
      </c>
      <c r="Y231">
        <v>-98487.725225623202</v>
      </c>
      <c r="Z231">
        <v>-98487.725225623202</v>
      </c>
      <c r="AA231">
        <v>-98487.725225623202</v>
      </c>
    </row>
    <row r="232" spans="1:27" x14ac:dyDescent="0.2">
      <c r="A232" t="s">
        <v>885</v>
      </c>
      <c r="B232" t="s">
        <v>293</v>
      </c>
      <c r="C232">
        <v>-48.767401166040734</v>
      </c>
      <c r="D232">
        <v>-89.039115290035568</v>
      </c>
      <c r="E232">
        <v>-89.039115290035525</v>
      </c>
      <c r="F232">
        <v>-105.14780256919757</v>
      </c>
      <c r="G232">
        <v>-241.69066081504144</v>
      </c>
      <c r="H232">
        <v>-241.69066081504158</v>
      </c>
      <c r="I232">
        <v>-241.69066081504158</v>
      </c>
      <c r="J232">
        <v>-317.86129093551591</v>
      </c>
      <c r="K232">
        <v>-317.86129093551591</v>
      </c>
      <c r="L232">
        <v>-414.28421958608652</v>
      </c>
      <c r="M232">
        <v>-477.57433187241247</v>
      </c>
      <c r="N232">
        <v>-532.90291481585268</v>
      </c>
      <c r="O232">
        <v>-532.90291481585268</v>
      </c>
      <c r="P232">
        <v>-532.90291481585268</v>
      </c>
      <c r="Q232">
        <v>-581.47625839591217</v>
      </c>
      <c r="R232">
        <v>-581.47625839591217</v>
      </c>
      <c r="S232">
        <v>-635.08922720426199</v>
      </c>
      <c r="T232">
        <v>-635.08922720426199</v>
      </c>
      <c r="U232">
        <v>-686.07516622148546</v>
      </c>
      <c r="V232">
        <v>-686.07516622148546</v>
      </c>
      <c r="W232">
        <v>-729.48826331438124</v>
      </c>
      <c r="X232">
        <v>-729.48826331438124</v>
      </c>
      <c r="Y232">
        <v>-729.48826331438124</v>
      </c>
      <c r="Z232">
        <v>-729.48826331438124</v>
      </c>
      <c r="AA232">
        <v>-729.48826331438124</v>
      </c>
    </row>
    <row r="233" spans="1:27" x14ac:dyDescent="0.2">
      <c r="A233" t="s">
        <v>852</v>
      </c>
      <c r="B233" t="s">
        <v>289</v>
      </c>
      <c r="C233">
        <v>-58.421556657153104</v>
      </c>
      <c r="D233">
        <v>-106.66559206033486</v>
      </c>
      <c r="E233">
        <v>-106.66559206033482</v>
      </c>
      <c r="F233">
        <v>-125.96320817376551</v>
      </c>
      <c r="G233">
        <v>-289.5365407362155</v>
      </c>
      <c r="H233">
        <v>-289.53654073621567</v>
      </c>
      <c r="I233">
        <v>-289.53654073621567</v>
      </c>
      <c r="J233">
        <v>-380.78615988330102</v>
      </c>
      <c r="K233">
        <v>-380.78615988330102</v>
      </c>
      <c r="L233">
        <v>-496.29728933693724</v>
      </c>
      <c r="M233">
        <v>-572.11652088023993</v>
      </c>
      <c r="N233">
        <v>-638.39813248764835</v>
      </c>
      <c r="O233">
        <v>-638.39813248764835</v>
      </c>
      <c r="P233">
        <v>-638.39813248764835</v>
      </c>
      <c r="Q233">
        <v>-696.58721527941032</v>
      </c>
      <c r="R233">
        <v>-696.58721527941032</v>
      </c>
      <c r="S233">
        <v>-760.81358412221562</v>
      </c>
      <c r="T233">
        <v>-760.81358412221562</v>
      </c>
      <c r="U233">
        <v>-821.89286769673345</v>
      </c>
      <c r="V233">
        <v>-821.89286769673345</v>
      </c>
      <c r="W233">
        <v>-873.90016459655737</v>
      </c>
      <c r="X233">
        <v>-873.90016459655737</v>
      </c>
      <c r="Y233">
        <v>-873.90016459655737</v>
      </c>
      <c r="Z233">
        <v>-873.90016459655737</v>
      </c>
      <c r="AA233">
        <v>-873.90016459655737</v>
      </c>
    </row>
    <row r="234" spans="1:27" x14ac:dyDescent="0.2">
      <c r="A234" t="s">
        <v>875</v>
      </c>
      <c r="B234" t="s">
        <v>876</v>
      </c>
      <c r="C234">
        <v>-33.862993875142045</v>
      </c>
      <c r="D234">
        <v>-61.826772467304096</v>
      </c>
      <c r="E234">
        <v>-61.826772467304068</v>
      </c>
      <c r="F234">
        <v>-73.012285035701794</v>
      </c>
      <c r="G234">
        <v>-167.82459534788541</v>
      </c>
      <c r="H234">
        <v>-167.82459534788552</v>
      </c>
      <c r="I234">
        <v>-167.82459534788552</v>
      </c>
      <c r="J234">
        <v>-220.71577920353616</v>
      </c>
      <c r="K234">
        <v>-220.71577920353616</v>
      </c>
      <c r="L234">
        <v>-287.66970670933972</v>
      </c>
      <c r="M234">
        <v>-331.61694673986494</v>
      </c>
      <c r="N234">
        <v>-370.03587866028653</v>
      </c>
      <c r="O234">
        <v>-370.03587866028653</v>
      </c>
      <c r="P234">
        <v>-370.03587866028653</v>
      </c>
      <c r="Q234">
        <v>-403.76412328309226</v>
      </c>
      <c r="R234">
        <v>-403.76412328309226</v>
      </c>
      <c r="S234">
        <v>-440.99177107601082</v>
      </c>
      <c r="T234">
        <v>-440.99177107601082</v>
      </c>
      <c r="U234">
        <v>-476.39526807147672</v>
      </c>
      <c r="V234">
        <v>-476.39526807147672</v>
      </c>
      <c r="W234">
        <v>-506.54035281676317</v>
      </c>
      <c r="X234">
        <v>-506.54035281676317</v>
      </c>
      <c r="Y234">
        <v>-506.54035281676317</v>
      </c>
      <c r="Z234">
        <v>-506.54035281676317</v>
      </c>
      <c r="AA234">
        <v>-506.54035281676317</v>
      </c>
    </row>
    <row r="235" spans="1:27" x14ac:dyDescent="0.2">
      <c r="A235" t="s">
        <v>938</v>
      </c>
      <c r="B235" t="s">
        <v>939</v>
      </c>
      <c r="C235">
        <v>-1.0827441813012653</v>
      </c>
      <c r="D235">
        <v>-1.9768653174742354</v>
      </c>
      <c r="E235">
        <v>-1.9768653174742348</v>
      </c>
      <c r="F235">
        <v>-2.3345138081233507</v>
      </c>
      <c r="G235">
        <v>-5.366067299369881</v>
      </c>
      <c r="H235">
        <v>-5.3660672993698846</v>
      </c>
      <c r="I235">
        <v>-5.3660672993698846</v>
      </c>
      <c r="J235">
        <v>-7.057223780483028</v>
      </c>
      <c r="K235">
        <v>-7.057223780483028</v>
      </c>
      <c r="L235">
        <v>-9.1980260878475715</v>
      </c>
      <c r="M235">
        <v>-10.603206580829061</v>
      </c>
      <c r="N235">
        <v>-11.831623511181514</v>
      </c>
      <c r="O235">
        <v>-11.831623511181514</v>
      </c>
      <c r="P235">
        <v>-11.831623511181514</v>
      </c>
      <c r="Q235">
        <v>-12.91005918481096</v>
      </c>
      <c r="R235">
        <v>-12.91005918481096</v>
      </c>
      <c r="S235">
        <v>-14.100385686358258</v>
      </c>
      <c r="T235">
        <v>-14.100385686358258</v>
      </c>
      <c r="U235">
        <v>-15.232386315449025</v>
      </c>
      <c r="V235">
        <v>-15.232386315449025</v>
      </c>
      <c r="W235">
        <v>-16.196253102394646</v>
      </c>
      <c r="X235">
        <v>-16.196253102394646</v>
      </c>
      <c r="Y235">
        <v>-16.196253102394646</v>
      </c>
      <c r="Z235">
        <v>-16.196253102394646</v>
      </c>
      <c r="AA235">
        <v>-16.196253102394646</v>
      </c>
    </row>
    <row r="236" spans="1:27" x14ac:dyDescent="0.2">
      <c r="A236" t="s">
        <v>883</v>
      </c>
      <c r="B236" t="s">
        <v>884</v>
      </c>
      <c r="C236">
        <v>-39.013323423685556</v>
      </c>
      <c r="D236">
        <v>-71.230201304799238</v>
      </c>
      <c r="E236">
        <v>-71.230201304799209</v>
      </c>
      <c r="F236">
        <v>-84.116953760876001</v>
      </c>
      <c r="G236">
        <v>-193.34956740379891</v>
      </c>
      <c r="H236">
        <v>-193.34956740379903</v>
      </c>
      <c r="I236">
        <v>-193.34956740379903</v>
      </c>
      <c r="J236">
        <v>-254.28513824051848</v>
      </c>
      <c r="K236">
        <v>-254.28513824051848</v>
      </c>
      <c r="L236">
        <v>-331.42229976560685</v>
      </c>
      <c r="M236">
        <v>-382.05361415000368</v>
      </c>
      <c r="N236">
        <v>-426.31580260653675</v>
      </c>
      <c r="O236">
        <v>-426.31580260653675</v>
      </c>
      <c r="P236">
        <v>-426.31580260653675</v>
      </c>
      <c r="Q236">
        <v>-465.17388233907445</v>
      </c>
      <c r="R236">
        <v>-465.17388233907445</v>
      </c>
      <c r="S236">
        <v>-508.06360050762464</v>
      </c>
      <c r="T236">
        <v>-508.06360050762464</v>
      </c>
      <c r="U236">
        <v>-548.85172703023261</v>
      </c>
      <c r="V236">
        <v>-548.85172703023261</v>
      </c>
      <c r="W236">
        <v>-583.58167279753775</v>
      </c>
      <c r="X236">
        <v>-583.58167279753775</v>
      </c>
      <c r="Y236">
        <v>-583.58167279753775</v>
      </c>
      <c r="Z236">
        <v>-583.58167279753775</v>
      </c>
      <c r="AA236">
        <v>-583.58167279753775</v>
      </c>
    </row>
    <row r="237" spans="1:27" x14ac:dyDescent="0.2">
      <c r="A237" t="s">
        <v>946</v>
      </c>
      <c r="B237" t="s">
        <v>947</v>
      </c>
      <c r="C237">
        <v>-0.60883380223592609</v>
      </c>
      <c r="D237">
        <v>-1.1116036904485405</v>
      </c>
      <c r="E237">
        <v>-1.11160369044854</v>
      </c>
      <c r="F237">
        <v>-1.3127116660777847</v>
      </c>
      <c r="G237">
        <v>-3.0173730908466578</v>
      </c>
      <c r="H237">
        <v>-3.0173730908466596</v>
      </c>
      <c r="I237">
        <v>-3.0173730908466596</v>
      </c>
      <c r="J237">
        <v>-3.9683209216949482</v>
      </c>
      <c r="K237">
        <v>-3.9683209216949482</v>
      </c>
      <c r="L237">
        <v>-5.1721074034304158</v>
      </c>
      <c r="M237">
        <v>-5.962249153572623</v>
      </c>
      <c r="N237">
        <v>-6.6529956506247929</v>
      </c>
      <c r="O237">
        <v>-6.6529956506247929</v>
      </c>
      <c r="P237">
        <v>-6.6529956506247929</v>
      </c>
      <c r="Q237">
        <v>-7.259406752140551</v>
      </c>
      <c r="R237">
        <v>-7.259406752140551</v>
      </c>
      <c r="S237">
        <v>-7.9287347636457763</v>
      </c>
      <c r="T237">
        <v>-7.9287347636457763</v>
      </c>
      <c r="U237">
        <v>-8.5652657735049065</v>
      </c>
      <c r="V237">
        <v>-8.5652657735049065</v>
      </c>
      <c r="W237">
        <v>-9.1072540758938949</v>
      </c>
      <c r="X237">
        <v>-9.1072540758938949</v>
      </c>
      <c r="Y237">
        <v>-9.1072540758938949</v>
      </c>
      <c r="Z237">
        <v>-9.1072540758938949</v>
      </c>
      <c r="AA237">
        <v>-9.1072540758938949</v>
      </c>
    </row>
    <row r="238" spans="1:27" x14ac:dyDescent="0.2">
      <c r="A238" t="s">
        <v>914</v>
      </c>
      <c r="B238" t="s">
        <v>915</v>
      </c>
      <c r="C238">
        <v>-87.556131687892304</v>
      </c>
      <c r="D238">
        <v>-159.85925674334439</v>
      </c>
      <c r="E238">
        <v>-159.85925674334433</v>
      </c>
      <c r="F238">
        <v>-188.7805096912158</v>
      </c>
      <c r="G238">
        <v>-433.92714846554759</v>
      </c>
      <c r="H238">
        <v>-433.92714846554787</v>
      </c>
      <c r="I238">
        <v>-433.92714846554787</v>
      </c>
      <c r="J238">
        <v>-570.68255396421318</v>
      </c>
      <c r="K238">
        <v>-570.68255396421318</v>
      </c>
      <c r="L238">
        <v>-743.79857894814234</v>
      </c>
      <c r="M238">
        <v>-857.42852996841191</v>
      </c>
      <c r="N238">
        <v>-956.76449166558155</v>
      </c>
      <c r="O238">
        <v>-956.76449166558155</v>
      </c>
      <c r="P238">
        <v>-956.76449166558155</v>
      </c>
      <c r="Q238">
        <v>-1043.9722157872113</v>
      </c>
      <c r="R238">
        <v>-1043.9722157872113</v>
      </c>
      <c r="S238">
        <v>-1140.2279941334953</v>
      </c>
      <c r="T238">
        <v>-1140.2279941334953</v>
      </c>
      <c r="U238">
        <v>-1231.7672495394502</v>
      </c>
      <c r="V238">
        <v>-1231.7672495394502</v>
      </c>
      <c r="W238">
        <v>-1309.7103581562722</v>
      </c>
      <c r="X238">
        <v>-1309.7103581562722</v>
      </c>
      <c r="Y238">
        <v>-1309.7103581562722</v>
      </c>
      <c r="Z238">
        <v>-1309.7103581562722</v>
      </c>
      <c r="AA238">
        <v>-1309.7103581562722</v>
      </c>
    </row>
    <row r="239" spans="1:27" x14ac:dyDescent="0.2">
      <c r="A239" t="s">
        <v>936</v>
      </c>
      <c r="B239" t="s">
        <v>937</v>
      </c>
      <c r="C239">
        <v>-2.778934528350768</v>
      </c>
      <c r="D239">
        <v>-5.0737555403215877</v>
      </c>
      <c r="E239">
        <v>-5.073755540321585</v>
      </c>
      <c r="F239">
        <v>-5.9916840379680893</v>
      </c>
      <c r="G239">
        <v>-13.772366508357882</v>
      </c>
      <c r="H239">
        <v>-13.772366508357891</v>
      </c>
      <c r="I239">
        <v>-13.772366508357891</v>
      </c>
      <c r="J239">
        <v>-18.112831430147082</v>
      </c>
      <c r="K239">
        <v>-18.112831430147082</v>
      </c>
      <c r="L239">
        <v>-23.607342093929645</v>
      </c>
      <c r="M239">
        <v>-27.213830734504207</v>
      </c>
      <c r="N239">
        <v>-30.366644004638285</v>
      </c>
      <c r="O239">
        <v>-30.366644004638285</v>
      </c>
      <c r="P239">
        <v>-30.366644004638285</v>
      </c>
      <c r="Q239">
        <v>-33.134520463186739</v>
      </c>
      <c r="R239">
        <v>-33.134520463186739</v>
      </c>
      <c r="S239">
        <v>-36.189572129394101</v>
      </c>
      <c r="T239">
        <v>-36.189572129394101</v>
      </c>
      <c r="U239">
        <v>-39.094926587650797</v>
      </c>
      <c r="V239">
        <v>-39.094926587650797</v>
      </c>
      <c r="W239">
        <v>-41.56875442365412</v>
      </c>
      <c r="X239">
        <v>-41.56875442365412</v>
      </c>
      <c r="Y239">
        <v>-41.56875442365412</v>
      </c>
      <c r="Z239">
        <v>-41.56875442365412</v>
      </c>
      <c r="AA239">
        <v>-41.56875442365412</v>
      </c>
    </row>
    <row r="240" spans="1:27" x14ac:dyDescent="0.2">
      <c r="A240" t="s">
        <v>942</v>
      </c>
      <c r="B240" t="s">
        <v>943</v>
      </c>
      <c r="C240">
        <v>-1.6268683570380718</v>
      </c>
      <c r="D240">
        <v>-2.9703227102635434</v>
      </c>
      <c r="E240">
        <v>-2.9703227102635426</v>
      </c>
      <c r="F240">
        <v>-3.5077045059155836</v>
      </c>
      <c r="G240">
        <v>-8.0627402500467262</v>
      </c>
      <c r="H240">
        <v>-8.0627402500467316</v>
      </c>
      <c r="I240">
        <v>-8.0627402500467316</v>
      </c>
      <c r="J240">
        <v>-10.603773500039605</v>
      </c>
      <c r="K240">
        <v>-10.603773500039605</v>
      </c>
      <c r="L240">
        <v>-13.820418385020433</v>
      </c>
      <c r="M240">
        <v>-15.931760768048829</v>
      </c>
      <c r="N240">
        <v>-17.777508515072913</v>
      </c>
      <c r="O240">
        <v>-17.777508515072913</v>
      </c>
      <c r="P240">
        <v>-17.777508515072913</v>
      </c>
      <c r="Q240">
        <v>-19.397903159374042</v>
      </c>
      <c r="R240">
        <v>-19.397903159374042</v>
      </c>
      <c r="S240">
        <v>-21.186418446137161</v>
      </c>
      <c r="T240">
        <v>-21.186418446137161</v>
      </c>
      <c r="U240">
        <v>-22.887296673348381</v>
      </c>
      <c r="V240">
        <v>-22.887296673348381</v>
      </c>
      <c r="W240">
        <v>-24.335546780033074</v>
      </c>
      <c r="X240">
        <v>-24.335546780033074</v>
      </c>
      <c r="Y240">
        <v>-24.335546780033074</v>
      </c>
      <c r="Z240">
        <v>-24.335546780033074</v>
      </c>
      <c r="AA240">
        <v>-24.335546780033074</v>
      </c>
    </row>
    <row r="241" spans="1:27" x14ac:dyDescent="0.2">
      <c r="A241" t="s">
        <v>874</v>
      </c>
      <c r="B241" t="s">
        <v>283</v>
      </c>
      <c r="C241">
        <v>-56.89645822765516</v>
      </c>
      <c r="D241">
        <v>-103.88108003701878</v>
      </c>
      <c r="E241">
        <v>-103.88108003701873</v>
      </c>
      <c r="F241">
        <v>-122.67493066196096</v>
      </c>
      <c r="G241">
        <v>-281.97817103801606</v>
      </c>
      <c r="H241">
        <v>-281.97817103801617</v>
      </c>
      <c r="I241">
        <v>-281.97817103801617</v>
      </c>
      <c r="J241">
        <v>-370.8457131091655</v>
      </c>
      <c r="K241">
        <v>-370.8457131091655</v>
      </c>
      <c r="L241">
        <v>-483.34141722668642</v>
      </c>
      <c r="M241">
        <v>-557.18138293784068</v>
      </c>
      <c r="N241">
        <v>-621.73270888442232</v>
      </c>
      <c r="O241">
        <v>-621.73270888442232</v>
      </c>
      <c r="P241">
        <v>-621.73270888442232</v>
      </c>
      <c r="Q241">
        <v>-678.40276199163748</v>
      </c>
      <c r="R241">
        <v>-678.40276199163748</v>
      </c>
      <c r="S241">
        <v>-740.95249741590271</v>
      </c>
      <c r="T241">
        <v>-740.95249741590271</v>
      </c>
      <c r="U241">
        <v>-800.43730243174366</v>
      </c>
      <c r="V241">
        <v>-800.43730243174366</v>
      </c>
      <c r="W241">
        <v>-851.08694555849513</v>
      </c>
      <c r="X241">
        <v>-851.08694555849513</v>
      </c>
      <c r="Y241">
        <v>-851.08694555849513</v>
      </c>
      <c r="Z241">
        <v>-851.08694555849513</v>
      </c>
      <c r="AA241">
        <v>-851.08694555849513</v>
      </c>
    </row>
    <row r="242" spans="1:27" x14ac:dyDescent="0.2">
      <c r="A242" t="s">
        <v>1005</v>
      </c>
      <c r="B242" t="s">
        <v>1006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1007</v>
      </c>
      <c r="B243" t="s">
        <v>1008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994</v>
      </c>
      <c r="B244" t="s">
        <v>995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1009</v>
      </c>
      <c r="B245" t="s">
        <v>1010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1013</v>
      </c>
      <c r="B246" t="s">
        <v>1014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932</v>
      </c>
      <c r="B247" t="s">
        <v>933</v>
      </c>
      <c r="C247">
        <v>-5.7356848424251021</v>
      </c>
      <c r="D247">
        <v>-10.472165662738353</v>
      </c>
      <c r="E247">
        <v>-10.47216566273835</v>
      </c>
      <c r="F247">
        <v>-12.366758182521723</v>
      </c>
      <c r="G247">
        <v>-28.425985938284228</v>
      </c>
      <c r="H247">
        <v>-28.425985938284242</v>
      </c>
      <c r="I247">
        <v>-28.425985938284242</v>
      </c>
      <c r="J247">
        <v>-37.384649270219249</v>
      </c>
      <c r="K247">
        <v>-37.384649270219249</v>
      </c>
      <c r="L247">
        <v>-48.725248053416934</v>
      </c>
      <c r="M247">
        <v>-56.168993855660887</v>
      </c>
      <c r="N247">
        <v>-62.676359574434017</v>
      </c>
      <c r="O247">
        <v>-62.676359574434017</v>
      </c>
      <c r="P247">
        <v>-62.676359574434017</v>
      </c>
      <c r="Q247">
        <v>-68.389220704135937</v>
      </c>
      <c r="R247">
        <v>-68.389220704135937</v>
      </c>
      <c r="S247">
        <v>-74.694807739714818</v>
      </c>
      <c r="T247">
        <v>-74.694807739714818</v>
      </c>
      <c r="U247">
        <v>-80.691421678649505</v>
      </c>
      <c r="V247">
        <v>-80.691421678649505</v>
      </c>
      <c r="W247">
        <v>-85.797370263251267</v>
      </c>
      <c r="X247">
        <v>-85.797370263251267</v>
      </c>
      <c r="Y247">
        <v>-85.797370263251267</v>
      </c>
      <c r="Z247">
        <v>-85.797370263251267</v>
      </c>
      <c r="AA247">
        <v>-85.797370263251267</v>
      </c>
    </row>
    <row r="248" spans="1:27" x14ac:dyDescent="0.2">
      <c r="A248" t="s">
        <v>708</v>
      </c>
      <c r="B248" t="s">
        <v>709</v>
      </c>
      <c r="C248">
        <v>-729.91297567016636</v>
      </c>
      <c r="D248">
        <v>-1332.6690378909368</v>
      </c>
      <c r="E248">
        <v>-1332.6690378909364</v>
      </c>
      <c r="F248">
        <v>-1573.7714871693076</v>
      </c>
      <c r="G248">
        <v>-3617.440035948468</v>
      </c>
      <c r="H248">
        <v>-3617.4400359484698</v>
      </c>
      <c r="I248">
        <v>-3617.4400359484698</v>
      </c>
      <c r="J248">
        <v>-4757.5034791614889</v>
      </c>
      <c r="K248">
        <v>-4757.5034791614889</v>
      </c>
      <c r="L248">
        <v>-6200.6877598768533</v>
      </c>
      <c r="M248">
        <v>-7147.9655127373035</v>
      </c>
      <c r="N248">
        <v>-7976.0812140099451</v>
      </c>
      <c r="O248">
        <v>-7976.0812140099451</v>
      </c>
      <c r="P248">
        <v>-7976.0812140099451</v>
      </c>
      <c r="Q248">
        <v>-8703.0896848951907</v>
      </c>
      <c r="R248">
        <v>-8703.0896848951907</v>
      </c>
      <c r="S248">
        <v>-9505.5273924977955</v>
      </c>
      <c r="T248">
        <v>-9505.5273924977955</v>
      </c>
      <c r="U248">
        <v>-10268.645737448976</v>
      </c>
      <c r="V248">
        <v>-10268.645737448976</v>
      </c>
      <c r="W248">
        <v>-10918.419605329376</v>
      </c>
      <c r="X248">
        <v>-10918.419605329376</v>
      </c>
      <c r="Y248">
        <v>-10918.419605329376</v>
      </c>
      <c r="Z248">
        <v>-10918.419605329376</v>
      </c>
      <c r="AA248">
        <v>-10918.419605329376</v>
      </c>
    </row>
    <row r="249" spans="1:27" x14ac:dyDescent="0.2">
      <c r="A249" t="s">
        <v>382</v>
      </c>
      <c r="B249" t="s">
        <v>383</v>
      </c>
      <c r="C249">
        <v>-12145.285463763032</v>
      </c>
      <c r="D249">
        <v>-22174.761147441011</v>
      </c>
      <c r="E249">
        <v>-22174.761147441001</v>
      </c>
      <c r="F249">
        <v>-26186.551826747254</v>
      </c>
      <c r="G249">
        <v>-60191.890470642429</v>
      </c>
      <c r="H249">
        <v>-60191.890470642466</v>
      </c>
      <c r="I249">
        <v>-60191.890470642466</v>
      </c>
      <c r="J249">
        <v>-79161.817607380523</v>
      </c>
      <c r="K249">
        <v>-79161.817607380523</v>
      </c>
      <c r="L249">
        <v>-103175.48177057816</v>
      </c>
      <c r="M249">
        <v>-118937.57821967732</v>
      </c>
      <c r="N249">
        <v>-132716.89428094629</v>
      </c>
      <c r="O249">
        <v>-132716.89428094629</v>
      </c>
      <c r="P249">
        <v>-132716.89428094629</v>
      </c>
      <c r="Q249">
        <v>-144813.850641214</v>
      </c>
      <c r="R249">
        <v>-144813.850641214</v>
      </c>
      <c r="S249">
        <v>-158165.90129735306</v>
      </c>
      <c r="T249">
        <v>-158165.90129735306</v>
      </c>
      <c r="U249">
        <v>-170863.70288603811</v>
      </c>
      <c r="V249">
        <v>-170863.70288603811</v>
      </c>
      <c r="W249">
        <v>-181675.52480913131</v>
      </c>
      <c r="X249">
        <v>-181675.52480913131</v>
      </c>
      <c r="Y249">
        <v>-181675.52480913131</v>
      </c>
      <c r="Z249">
        <v>-181675.52480913131</v>
      </c>
      <c r="AA249">
        <v>-181675.52480913131</v>
      </c>
    </row>
    <row r="250" spans="1:27" x14ac:dyDescent="0.2">
      <c r="A250" t="s">
        <v>1015</v>
      </c>
      <c r="B250" t="s">
        <v>1016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950</v>
      </c>
      <c r="B251" t="s">
        <v>951</v>
      </c>
      <c r="C251">
        <v>-0.21426051020828255</v>
      </c>
      <c r="D251">
        <v>-0.39119505682869576</v>
      </c>
      <c r="E251">
        <v>-0.39119505682869565</v>
      </c>
      <c r="F251">
        <v>-0.46196888263638203</v>
      </c>
      <c r="G251">
        <v>-1.0618725431460585</v>
      </c>
      <c r="H251">
        <v>-1.0618725431460592</v>
      </c>
      <c r="I251">
        <v>-1.0618725431460592</v>
      </c>
      <c r="J251">
        <v>-1.3965296641382665</v>
      </c>
      <c r="K251">
        <v>-1.3965296641382665</v>
      </c>
      <c r="L251">
        <v>-1.8201656462589304</v>
      </c>
      <c r="M251">
        <v>-2.0982319656725354</v>
      </c>
      <c r="N251">
        <v>-2.3413191535708697</v>
      </c>
      <c r="O251">
        <v>-2.3413191535708697</v>
      </c>
      <c r="P251">
        <v>-2.3413191535708697</v>
      </c>
      <c r="Q251">
        <v>-2.554727068061768</v>
      </c>
      <c r="R251">
        <v>-2.554727068061768</v>
      </c>
      <c r="S251">
        <v>-2.7902766724285644</v>
      </c>
      <c r="T251">
        <v>-2.7902766724285644</v>
      </c>
      <c r="U251">
        <v>-3.0142843711386984</v>
      </c>
      <c r="V251">
        <v>-3.0142843711386984</v>
      </c>
      <c r="W251">
        <v>-3.2050206439446978</v>
      </c>
      <c r="X251">
        <v>-3.2050206439446978</v>
      </c>
      <c r="Y251">
        <v>-3.2050206439446978</v>
      </c>
      <c r="Z251">
        <v>-3.2050206439446978</v>
      </c>
      <c r="AA251">
        <v>-3.2050206439446978</v>
      </c>
    </row>
    <row r="252" spans="1:27" x14ac:dyDescent="0.2">
      <c r="A252" t="s">
        <v>813</v>
      </c>
      <c r="B252" t="s">
        <v>814</v>
      </c>
      <c r="C252">
        <v>-307.57777295741732</v>
      </c>
      <c r="D252">
        <v>-561.57293872937544</v>
      </c>
      <c r="E252">
        <v>-561.57293872937521</v>
      </c>
      <c r="F252">
        <v>-663.17101531587844</v>
      </c>
      <c r="G252">
        <v>-1524.3517887080445</v>
      </c>
      <c r="H252">
        <v>-1524.3517887080454</v>
      </c>
      <c r="I252">
        <v>-1524.3517887080454</v>
      </c>
      <c r="J252">
        <v>-2004.7627234111453</v>
      </c>
      <c r="K252">
        <v>-2004.7627234111453</v>
      </c>
      <c r="L252">
        <v>-2612.9056415748169</v>
      </c>
      <c r="M252">
        <v>-3012.0786817984294</v>
      </c>
      <c r="N252">
        <v>-3361.0380668739558</v>
      </c>
      <c r="O252">
        <v>-3361.0380668739558</v>
      </c>
      <c r="P252">
        <v>-3361.0380668739558</v>
      </c>
      <c r="Q252">
        <v>-3667.3919115781869</v>
      </c>
      <c r="R252">
        <v>-3667.3919115781869</v>
      </c>
      <c r="S252">
        <v>-4005.5308559021387</v>
      </c>
      <c r="T252">
        <v>-4005.5308559021387</v>
      </c>
      <c r="U252">
        <v>-4327.1010277812293</v>
      </c>
      <c r="V252">
        <v>-4327.1010277812293</v>
      </c>
      <c r="W252">
        <v>-4600.9090101987003</v>
      </c>
      <c r="X252">
        <v>-4600.9090101987003</v>
      </c>
      <c r="Y252">
        <v>-4600.9090101987003</v>
      </c>
      <c r="Z252">
        <v>-4600.9090101987003</v>
      </c>
      <c r="AA252">
        <v>-4600.9090101987003</v>
      </c>
    </row>
    <row r="253" spans="1:27" x14ac:dyDescent="0.2">
      <c r="A253" t="s">
        <v>878</v>
      </c>
      <c r="B253" t="s">
        <v>237</v>
      </c>
      <c r="C253">
        <v>-6751.5126178117052</v>
      </c>
      <c r="D253">
        <v>-12326.855563057503</v>
      </c>
      <c r="E253">
        <v>-12326.855563057499</v>
      </c>
      <c r="F253">
        <v>-14556.992966757805</v>
      </c>
      <c r="G253">
        <v>-33460.416324917729</v>
      </c>
      <c r="H253">
        <v>-33460.416324917744</v>
      </c>
      <c r="I253">
        <v>-33460.416324917744</v>
      </c>
      <c r="J253">
        <v>-44005.718269839948</v>
      </c>
      <c r="K253">
        <v>-44005.718269839948</v>
      </c>
      <c r="L253">
        <v>-57354.812210978867</v>
      </c>
      <c r="M253">
        <v>-66116.894697781609</v>
      </c>
      <c r="N253">
        <v>-73776.757986301513</v>
      </c>
      <c r="O253">
        <v>-73776.757986301513</v>
      </c>
      <c r="P253">
        <v>-73776.757986301513</v>
      </c>
      <c r="Q253">
        <v>-80501.404660695945</v>
      </c>
      <c r="R253">
        <v>-80501.404660695945</v>
      </c>
      <c r="S253">
        <v>-87923.752924764936</v>
      </c>
      <c r="T253">
        <v>-87923.752924764936</v>
      </c>
      <c r="U253">
        <v>-94982.406910318488</v>
      </c>
      <c r="V253">
        <v>-94982.406910318488</v>
      </c>
      <c r="W253">
        <v>-100992.65280804483</v>
      </c>
      <c r="X253">
        <v>-100992.65280804483</v>
      </c>
      <c r="Y253">
        <v>-100992.65280804483</v>
      </c>
      <c r="Z253">
        <v>-100992.65280804483</v>
      </c>
      <c r="AA253">
        <v>-100992.65280804483</v>
      </c>
    </row>
    <row r="254" spans="1:27" x14ac:dyDescent="0.2">
      <c r="A254" t="s">
        <v>861</v>
      </c>
      <c r="B254" t="s">
        <v>285</v>
      </c>
      <c r="C254">
        <v>-76.542737849505002</v>
      </c>
      <c r="D254">
        <v>-139.7510939078478</v>
      </c>
      <c r="E254">
        <v>-139.75109390784775</v>
      </c>
      <c r="F254">
        <v>-165.03443888886264</v>
      </c>
      <c r="G254">
        <v>-379.34489944322934</v>
      </c>
      <c r="H254">
        <v>-379.34489944322956</v>
      </c>
      <c r="I254">
        <v>-379.34489944322956</v>
      </c>
      <c r="J254">
        <v>-498.898298511848</v>
      </c>
      <c r="K254">
        <v>-498.898298511848</v>
      </c>
      <c r="L254">
        <v>-650.23863598961293</v>
      </c>
      <c r="M254">
        <v>-749.57545438401587</v>
      </c>
      <c r="N254">
        <v>-836.4162767072155</v>
      </c>
      <c r="O254">
        <v>-836.4162767072155</v>
      </c>
      <c r="P254">
        <v>-836.4162767072155</v>
      </c>
      <c r="Q254">
        <v>-912.65443201641051</v>
      </c>
      <c r="R254">
        <v>-912.65443201641051</v>
      </c>
      <c r="S254">
        <v>-996.80251698118423</v>
      </c>
      <c r="T254">
        <v>-996.80251698118423</v>
      </c>
      <c r="U254">
        <v>-1076.8273546984701</v>
      </c>
      <c r="V254">
        <v>-1076.8273546984701</v>
      </c>
      <c r="W254">
        <v>-1144.9662595932132</v>
      </c>
      <c r="X254">
        <v>-1144.9662595932132</v>
      </c>
      <c r="Y254">
        <v>-1144.9662595932132</v>
      </c>
      <c r="Z254">
        <v>-1144.9662595932132</v>
      </c>
      <c r="AA254">
        <v>-1144.9662595932132</v>
      </c>
    </row>
    <row r="255" spans="1:27" x14ac:dyDescent="0.2">
      <c r="A255" t="s">
        <v>920</v>
      </c>
      <c r="B255" t="s">
        <v>921</v>
      </c>
      <c r="C255">
        <v>-12.870887036864591</v>
      </c>
      <c r="D255">
        <v>-23.499558462394305</v>
      </c>
      <c r="E255">
        <v>-23.499558462394297</v>
      </c>
      <c r="F255">
        <v>-27.75102746268724</v>
      </c>
      <c r="G255">
        <v>-63.787963246680974</v>
      </c>
      <c r="H255">
        <v>-63.787963246681016</v>
      </c>
      <c r="I255">
        <v>-63.787963246681016</v>
      </c>
      <c r="J255">
        <v>-83.891219773914457</v>
      </c>
      <c r="K255">
        <v>-83.891219773914457</v>
      </c>
      <c r="L255">
        <v>-109.33954371062968</v>
      </c>
      <c r="M255">
        <v>-126.04332259386912</v>
      </c>
      <c r="N255">
        <v>-140.6458628963592</v>
      </c>
      <c r="O255">
        <v>-140.6458628963592</v>
      </c>
      <c r="P255">
        <v>-140.6458628963592</v>
      </c>
      <c r="Q255">
        <v>-153.46553348108384</v>
      </c>
      <c r="R255">
        <v>-153.46553348108384</v>
      </c>
      <c r="S255">
        <v>-167.61528205787963</v>
      </c>
      <c r="T255">
        <v>-167.61528205787963</v>
      </c>
      <c r="U255">
        <v>-181.07169445362814</v>
      </c>
      <c r="V255">
        <v>-181.07169445362814</v>
      </c>
      <c r="W255">
        <v>-192.52945220251129</v>
      </c>
      <c r="X255">
        <v>-192.52945220251129</v>
      </c>
      <c r="Y255">
        <v>-192.52945220251129</v>
      </c>
      <c r="Z255">
        <v>-192.52945220251129</v>
      </c>
      <c r="AA255">
        <v>-192.52945220251129</v>
      </c>
    </row>
    <row r="256" spans="1:27" x14ac:dyDescent="0.2">
      <c r="A256" t="s">
        <v>748</v>
      </c>
      <c r="B256" t="s">
        <v>749</v>
      </c>
      <c r="C256">
        <v>-700.04464200125631</v>
      </c>
      <c r="D256">
        <v>-1278.1356827914399</v>
      </c>
      <c r="E256">
        <v>-1278.1356827914394</v>
      </c>
      <c r="F256">
        <v>-1509.3721224995245</v>
      </c>
      <c r="G256">
        <v>-3469.4129291255213</v>
      </c>
      <c r="H256">
        <v>-3469.4129291255231</v>
      </c>
      <c r="I256">
        <v>-3469.4129291255231</v>
      </c>
      <c r="J256">
        <v>-4562.824515938335</v>
      </c>
      <c r="K256">
        <v>-4562.824515938335</v>
      </c>
      <c r="L256">
        <v>-5946.9531131969761</v>
      </c>
      <c r="M256">
        <v>-6855.4678779442283</v>
      </c>
      <c r="N256">
        <v>-7649.696750366671</v>
      </c>
      <c r="O256">
        <v>-7649.696750366671</v>
      </c>
      <c r="P256">
        <v>-7649.696750366671</v>
      </c>
      <c r="Q256">
        <v>-8346.9557410915077</v>
      </c>
      <c r="R256">
        <v>-8346.9557410915077</v>
      </c>
      <c r="S256">
        <v>-9116.557373712456</v>
      </c>
      <c r="T256">
        <v>-9116.557373712456</v>
      </c>
      <c r="U256">
        <v>-9848.4486078769824</v>
      </c>
      <c r="V256">
        <v>-9848.4486078769824</v>
      </c>
      <c r="W256">
        <v>-10471.633466735628</v>
      </c>
      <c r="X256">
        <v>-10471.633466735628</v>
      </c>
      <c r="Y256">
        <v>-10471.633466735628</v>
      </c>
      <c r="Z256">
        <v>-10471.633466735628</v>
      </c>
      <c r="AA256">
        <v>-10471.633466735628</v>
      </c>
    </row>
    <row r="257" spans="1:27" x14ac:dyDescent="0.2">
      <c r="A257" t="s">
        <v>629</v>
      </c>
      <c r="B257" t="s">
        <v>630</v>
      </c>
      <c r="C257">
        <v>-1350.0760162282384</v>
      </c>
      <c r="D257">
        <v>-2464.9575574055025</v>
      </c>
      <c r="E257">
        <v>-2464.9575574055016</v>
      </c>
      <c r="F257">
        <v>-2910.910218989236</v>
      </c>
      <c r="G257">
        <v>-6690.9606973266727</v>
      </c>
      <c r="H257">
        <v>-6690.9606973266764</v>
      </c>
      <c r="I257">
        <v>-6690.9606973266764</v>
      </c>
      <c r="J257">
        <v>-8799.6673006683923</v>
      </c>
      <c r="K257">
        <v>-8799.6673006683923</v>
      </c>
      <c r="L257">
        <v>-11469.038238488058</v>
      </c>
      <c r="M257">
        <v>-13221.16077565663</v>
      </c>
      <c r="N257">
        <v>-14752.876451657208</v>
      </c>
      <c r="O257">
        <v>-14752.876451657208</v>
      </c>
      <c r="P257">
        <v>-14752.876451657208</v>
      </c>
      <c r="Q257">
        <v>-16097.580180530858</v>
      </c>
      <c r="R257">
        <v>-16097.580180530858</v>
      </c>
      <c r="S257">
        <v>-17581.800820062264</v>
      </c>
      <c r="T257">
        <v>-17581.800820062264</v>
      </c>
      <c r="U257">
        <v>-18993.294805515037</v>
      </c>
      <c r="V257">
        <v>-18993.294805515037</v>
      </c>
      <c r="W257">
        <v>-20195.142346575321</v>
      </c>
      <c r="X257">
        <v>-20195.142346575321</v>
      </c>
      <c r="Y257">
        <v>-20195.142346575321</v>
      </c>
      <c r="Z257">
        <v>-20195.142346575321</v>
      </c>
      <c r="AA257">
        <v>-20195.142346575321</v>
      </c>
    </row>
    <row r="258" spans="1:27" x14ac:dyDescent="0.2">
      <c r="A258" t="s">
        <v>775</v>
      </c>
      <c r="B258" t="s">
        <v>776</v>
      </c>
      <c r="C258">
        <v>-244.99322149240149</v>
      </c>
      <c r="D258">
        <v>-447.30658538616893</v>
      </c>
      <c r="E258">
        <v>-447.30658538616876</v>
      </c>
      <c r="F258">
        <v>-528.2319391301312</v>
      </c>
      <c r="G258">
        <v>-1214.1834951610483</v>
      </c>
      <c r="H258">
        <v>-1214.1834951610492</v>
      </c>
      <c r="I258">
        <v>-1214.1834951610492</v>
      </c>
      <c r="J258">
        <v>-1596.842558595333</v>
      </c>
      <c r="K258">
        <v>-1596.842558595333</v>
      </c>
      <c r="L258">
        <v>-2081.2432720023285</v>
      </c>
      <c r="M258">
        <v>-2399.1943648819752</v>
      </c>
      <c r="N258">
        <v>-2677.1490528870049</v>
      </c>
      <c r="O258">
        <v>-2677.1490528870049</v>
      </c>
      <c r="P258">
        <v>-2677.1490528870049</v>
      </c>
      <c r="Q258">
        <v>-2921.1673855805811</v>
      </c>
      <c r="R258">
        <v>-2921.1673855805811</v>
      </c>
      <c r="S258">
        <v>-3190.5033277893631</v>
      </c>
      <c r="T258">
        <v>-3190.5033277893631</v>
      </c>
      <c r="U258">
        <v>-3446.6418373670067</v>
      </c>
      <c r="V258">
        <v>-3446.6418373670067</v>
      </c>
      <c r="W258">
        <v>-3664.7365944679304</v>
      </c>
      <c r="X258">
        <v>-3664.7365944679304</v>
      </c>
      <c r="Y258">
        <v>-3664.7365944679304</v>
      </c>
      <c r="Z258">
        <v>-3664.7365944679304</v>
      </c>
      <c r="AA258">
        <v>-3664.7365944679304</v>
      </c>
    </row>
    <row r="259" spans="1:27" x14ac:dyDescent="0.2">
      <c r="A259" t="s">
        <v>733</v>
      </c>
      <c r="B259" t="s">
        <v>734</v>
      </c>
      <c r="C259">
        <v>-371.42702118254192</v>
      </c>
      <c r="D259">
        <v>-678.14836489454456</v>
      </c>
      <c r="E259">
        <v>-678.14836489454433</v>
      </c>
      <c r="F259">
        <v>-800.83691479058996</v>
      </c>
      <c r="G259">
        <v>-1840.7879043733574</v>
      </c>
      <c r="H259">
        <v>-1840.7879043733585</v>
      </c>
      <c r="I259">
        <v>-1840.7879043733585</v>
      </c>
      <c r="J259">
        <v>-2420.9260616419492</v>
      </c>
      <c r="K259">
        <v>-2420.9260616419492</v>
      </c>
      <c r="L259">
        <v>-3155.311743594536</v>
      </c>
      <c r="M259">
        <v>-3637.3480488875125</v>
      </c>
      <c r="N259">
        <v>-4058.7469805009441</v>
      </c>
      <c r="O259">
        <v>-4058.7469805009441</v>
      </c>
      <c r="P259">
        <v>-4058.7469805009441</v>
      </c>
      <c r="Q259">
        <v>-4428.6960014338219</v>
      </c>
      <c r="R259">
        <v>-4428.6960014338219</v>
      </c>
      <c r="S259">
        <v>-4837.0283059057801</v>
      </c>
      <c r="T259">
        <v>-4837.0283059057801</v>
      </c>
      <c r="U259">
        <v>-5225.3523707228587</v>
      </c>
      <c r="V259">
        <v>-5225.3523707228587</v>
      </c>
      <c r="W259">
        <v>-5555.9994207598675</v>
      </c>
      <c r="X259">
        <v>-5555.9994207598675</v>
      </c>
      <c r="Y259">
        <v>-5555.9994207598675</v>
      </c>
      <c r="Z259">
        <v>-5555.9994207598675</v>
      </c>
      <c r="AA259">
        <v>-5555.9994207598675</v>
      </c>
    </row>
    <row r="260" spans="1:27" x14ac:dyDescent="0.2">
      <c r="A260" t="s">
        <v>853</v>
      </c>
      <c r="B260" t="s">
        <v>854</v>
      </c>
      <c r="C260">
        <v>-129.26406092822134</v>
      </c>
      <c r="D260">
        <v>-236.00924692826939</v>
      </c>
      <c r="E260">
        <v>-236.00924692826931</v>
      </c>
      <c r="F260">
        <v>-278.7073256476508</v>
      </c>
      <c r="G260">
        <v>-640.6311502843206</v>
      </c>
      <c r="H260">
        <v>-640.63115028432094</v>
      </c>
      <c r="I260">
        <v>-640.63115028432094</v>
      </c>
      <c r="J260">
        <v>-842.53087709794443</v>
      </c>
      <c r="K260">
        <v>-842.53087709794443</v>
      </c>
      <c r="L260">
        <v>-1098.1118395020726</v>
      </c>
      <c r="M260">
        <v>-1265.8701521273219</v>
      </c>
      <c r="N260">
        <v>-1412.5254412275603</v>
      </c>
      <c r="O260">
        <v>-1412.5254412275603</v>
      </c>
      <c r="P260">
        <v>-1412.5254412275603</v>
      </c>
      <c r="Q260">
        <v>-1541.2751283934306</v>
      </c>
      <c r="R260">
        <v>-1541.2751283934306</v>
      </c>
      <c r="S260">
        <v>-1683.3829688951143</v>
      </c>
      <c r="T260">
        <v>-1683.3829688951143</v>
      </c>
      <c r="U260">
        <v>-1818.5275402690422</v>
      </c>
      <c r="V260">
        <v>-1818.5275402690422</v>
      </c>
      <c r="W260">
        <v>-1933.5993524534206</v>
      </c>
      <c r="X260">
        <v>-1933.5993524534206</v>
      </c>
      <c r="Y260">
        <v>-1933.5993524534206</v>
      </c>
      <c r="Z260">
        <v>-1933.5993524534206</v>
      </c>
      <c r="AA260">
        <v>-1933.5993524534206</v>
      </c>
    </row>
    <row r="261" spans="1:27" x14ac:dyDescent="0.2">
      <c r="A261" t="s">
        <v>785</v>
      </c>
      <c r="B261" t="s">
        <v>786</v>
      </c>
      <c r="C261">
        <v>-300.4997139729233</v>
      </c>
      <c r="D261">
        <v>-548.64987752698983</v>
      </c>
      <c r="E261">
        <v>-548.6498775269896</v>
      </c>
      <c r="F261">
        <v>-647.90995298982273</v>
      </c>
      <c r="G261">
        <v>-1489.273012469268</v>
      </c>
      <c r="H261">
        <v>-1489.2730124692689</v>
      </c>
      <c r="I261">
        <v>-1489.2730124692689</v>
      </c>
      <c r="J261">
        <v>-1958.6286069248299</v>
      </c>
      <c r="K261">
        <v>-1958.6286069248299</v>
      </c>
      <c r="L261">
        <v>-2552.7767835167147</v>
      </c>
      <c r="M261">
        <v>-2942.7639508583043</v>
      </c>
      <c r="N261">
        <v>-3283.6929926258335</v>
      </c>
      <c r="O261">
        <v>-3283.6929926258335</v>
      </c>
      <c r="P261">
        <v>-3283.6929926258335</v>
      </c>
      <c r="Q261">
        <v>-3582.9969436979804</v>
      </c>
      <c r="R261">
        <v>-3582.9969436979804</v>
      </c>
      <c r="S261">
        <v>-3913.354547485304</v>
      </c>
      <c r="T261">
        <v>-3913.354547485304</v>
      </c>
      <c r="U261">
        <v>-4227.5246636896009</v>
      </c>
      <c r="V261">
        <v>-4227.5246636896009</v>
      </c>
      <c r="W261">
        <v>-4495.0317062460999</v>
      </c>
      <c r="X261">
        <v>-4495.0317062460999</v>
      </c>
      <c r="Y261">
        <v>-4495.0317062460999</v>
      </c>
      <c r="Z261">
        <v>-4495.0317062460999</v>
      </c>
      <c r="AA261">
        <v>-4495.0317062460999</v>
      </c>
    </row>
    <row r="262" spans="1:27" x14ac:dyDescent="0.2">
      <c r="A262" t="s">
        <v>908</v>
      </c>
      <c r="B262" t="s">
        <v>909</v>
      </c>
      <c r="C262">
        <v>-28.52636271054147</v>
      </c>
      <c r="D262">
        <v>-52.083195689295422</v>
      </c>
      <c r="E262">
        <v>-52.083195689295401</v>
      </c>
      <c r="F262">
        <v>-61.505929834006203</v>
      </c>
      <c r="G262">
        <v>-141.37631469608348</v>
      </c>
      <c r="H262">
        <v>-141.37631469608357</v>
      </c>
      <c r="I262">
        <v>-141.37631469608357</v>
      </c>
      <c r="J262">
        <v>-185.93212392014016</v>
      </c>
      <c r="K262">
        <v>-185.93212392014016</v>
      </c>
      <c r="L262">
        <v>-242.33446176327746</v>
      </c>
      <c r="M262">
        <v>-279.35584604667559</v>
      </c>
      <c r="N262">
        <v>-311.7201547358153</v>
      </c>
      <c r="O262">
        <v>-311.7201547358153</v>
      </c>
      <c r="P262">
        <v>-311.7201547358153</v>
      </c>
      <c r="Q262">
        <v>-340.13300397317448</v>
      </c>
      <c r="R262">
        <v>-340.13300397317448</v>
      </c>
      <c r="S262">
        <v>-371.4937686981342</v>
      </c>
      <c r="T262">
        <v>-371.4937686981342</v>
      </c>
      <c r="U262">
        <v>-401.31785927435442</v>
      </c>
      <c r="V262">
        <v>-401.31785927435442</v>
      </c>
      <c r="W262">
        <v>-426.71223593681788</v>
      </c>
      <c r="X262">
        <v>-426.71223593681788</v>
      </c>
      <c r="Y262">
        <v>-426.71223593681788</v>
      </c>
      <c r="Z262">
        <v>-426.71223593681788</v>
      </c>
      <c r="AA262">
        <v>-426.71223593681788</v>
      </c>
    </row>
    <row r="263" spans="1:27" x14ac:dyDescent="0.2">
      <c r="A263" t="s">
        <v>881</v>
      </c>
      <c r="B263" t="s">
        <v>882</v>
      </c>
      <c r="C263">
        <v>-289.80709764864673</v>
      </c>
      <c r="D263">
        <v>-529.12738760779462</v>
      </c>
      <c r="E263">
        <v>-529.12738760779439</v>
      </c>
      <c r="F263">
        <v>-624.85551327536598</v>
      </c>
      <c r="G263">
        <v>-1436.2805329959986</v>
      </c>
      <c r="H263">
        <v>-1436.2805329959995</v>
      </c>
      <c r="I263">
        <v>-1436.2805329959995</v>
      </c>
      <c r="J263">
        <v>-1888.9351488555601</v>
      </c>
      <c r="K263">
        <v>-1888.9351488555601</v>
      </c>
      <c r="L263">
        <v>-2461.9418793938958</v>
      </c>
      <c r="M263">
        <v>-2838.0522177141079</v>
      </c>
      <c r="N263">
        <v>-3166.8500551312995</v>
      </c>
      <c r="O263">
        <v>-3166.8500551312995</v>
      </c>
      <c r="P263">
        <v>-3166.8500551312995</v>
      </c>
      <c r="Q263">
        <v>-3455.503938451825</v>
      </c>
      <c r="R263">
        <v>-3455.503938451825</v>
      </c>
      <c r="S263">
        <v>-3774.1064990798614</v>
      </c>
      <c r="T263">
        <v>-3774.1064990798614</v>
      </c>
      <c r="U263">
        <v>-4077.0975679941876</v>
      </c>
      <c r="V263">
        <v>-4077.0975679941876</v>
      </c>
      <c r="W263">
        <v>-4335.0859653171137</v>
      </c>
      <c r="X263">
        <v>-4335.0859653171137</v>
      </c>
      <c r="Y263">
        <v>-4335.0859653171137</v>
      </c>
      <c r="Z263">
        <v>-4335.0859653171137</v>
      </c>
      <c r="AA263">
        <v>-4335.0859653171137</v>
      </c>
    </row>
    <row r="264" spans="1:27" x14ac:dyDescent="0.2">
      <c r="A264" t="s">
        <v>918</v>
      </c>
      <c r="B264" t="s">
        <v>919</v>
      </c>
      <c r="C264">
        <v>-8.8853944656586581</v>
      </c>
      <c r="D264">
        <v>-16.222879286340611</v>
      </c>
      <c r="E264">
        <v>-16.222879286340603</v>
      </c>
      <c r="F264">
        <v>-19.157873511519092</v>
      </c>
      <c r="G264">
        <v>-44.03590941201886</v>
      </c>
      <c r="H264">
        <v>-44.035909412018889</v>
      </c>
      <c r="I264">
        <v>-44.035909412018889</v>
      </c>
      <c r="J264">
        <v>-57.91415756827886</v>
      </c>
      <c r="K264">
        <v>-57.91415756827886</v>
      </c>
      <c r="L264">
        <v>-75.482363708223488</v>
      </c>
      <c r="M264">
        <v>-87.013788389336796</v>
      </c>
      <c r="N264">
        <v>-97.094626673184436</v>
      </c>
      <c r="O264">
        <v>-97.094626673184436</v>
      </c>
      <c r="P264">
        <v>-97.094626673184436</v>
      </c>
      <c r="Q264">
        <v>-105.94466395024439</v>
      </c>
      <c r="R264">
        <v>-105.94466395024439</v>
      </c>
      <c r="S264">
        <v>-115.71291825428885</v>
      </c>
      <c r="T264">
        <v>-115.71291825428885</v>
      </c>
      <c r="U264">
        <v>-125.0025291324161</v>
      </c>
      <c r="V264">
        <v>-125.0025291324161</v>
      </c>
      <c r="W264">
        <v>-132.91237225349943</v>
      </c>
      <c r="X264">
        <v>-132.91237225349943</v>
      </c>
      <c r="Y264">
        <v>-132.91237225349943</v>
      </c>
      <c r="Z264">
        <v>-132.91237225349943</v>
      </c>
      <c r="AA264">
        <v>-132.91237225349943</v>
      </c>
    </row>
    <row r="265" spans="1:27" x14ac:dyDescent="0.2">
      <c r="A265" t="s">
        <v>615</v>
      </c>
      <c r="B265" t="s">
        <v>616</v>
      </c>
      <c r="C265">
        <v>-741.35396065639156</v>
      </c>
      <c r="D265">
        <v>-1353.5578930864738</v>
      </c>
      <c r="E265">
        <v>-1353.5578930864731</v>
      </c>
      <c r="F265">
        <v>-1598.4394908308698</v>
      </c>
      <c r="G265">
        <v>-3674.1414216196258</v>
      </c>
      <c r="H265">
        <v>-3674.1414216196281</v>
      </c>
      <c r="I265">
        <v>-3674.1414216196281</v>
      </c>
      <c r="J265">
        <v>-4832.0747331209441</v>
      </c>
      <c r="K265">
        <v>-4832.0747331209441</v>
      </c>
      <c r="L265">
        <v>-6297.880134762212</v>
      </c>
      <c r="M265">
        <v>-7260.0059461029359</v>
      </c>
      <c r="N265">
        <v>-8101.1019061474108</v>
      </c>
      <c r="O265">
        <v>-8101.1019061474108</v>
      </c>
      <c r="P265">
        <v>-8101.1019061474108</v>
      </c>
      <c r="Q265">
        <v>-8839.5058355016881</v>
      </c>
      <c r="R265">
        <v>-8839.5058355016881</v>
      </c>
      <c r="S265">
        <v>-9654.5213134290825</v>
      </c>
      <c r="T265">
        <v>-9654.5213134290825</v>
      </c>
      <c r="U265">
        <v>-10429.601119291794</v>
      </c>
      <c r="V265">
        <v>-10429.601119291794</v>
      </c>
      <c r="W265">
        <v>-11089.559835660517</v>
      </c>
      <c r="X265">
        <v>-11089.559835660517</v>
      </c>
      <c r="Y265">
        <v>-11089.559835660517</v>
      </c>
      <c r="Z265">
        <v>-11089.559835660517</v>
      </c>
      <c r="AA265">
        <v>-11089.559835660517</v>
      </c>
    </row>
    <row r="266" spans="1:27" x14ac:dyDescent="0.2">
      <c r="A266" t="s">
        <v>704</v>
      </c>
      <c r="B266" t="s">
        <v>705</v>
      </c>
      <c r="C266">
        <v>-372.48104938032373</v>
      </c>
      <c r="D266">
        <v>-680.07280080823432</v>
      </c>
      <c r="E266">
        <v>-680.07280080823398</v>
      </c>
      <c r="F266">
        <v>-803.10951382586313</v>
      </c>
      <c r="G266">
        <v>-1846.0116555995548</v>
      </c>
      <c r="H266">
        <v>-1846.011655599556</v>
      </c>
      <c r="I266">
        <v>-1846.011655599556</v>
      </c>
      <c r="J266">
        <v>-2427.7961173680815</v>
      </c>
      <c r="K266">
        <v>-2427.7961173680815</v>
      </c>
      <c r="L266">
        <v>-3164.265824371837</v>
      </c>
      <c r="M266">
        <v>-3647.6700426844845</v>
      </c>
      <c r="N266">
        <v>-4070.2648117871263</v>
      </c>
      <c r="O266">
        <v>-4070.2648117871263</v>
      </c>
      <c r="P266">
        <v>-4070.2648117871263</v>
      </c>
      <c r="Q266">
        <v>-4441.2636666781355</v>
      </c>
      <c r="R266">
        <v>-4441.2636666781355</v>
      </c>
      <c r="S266">
        <v>-4850.7547284252332</v>
      </c>
      <c r="T266">
        <v>-4850.7547284252332</v>
      </c>
      <c r="U266">
        <v>-5240.1807715337436</v>
      </c>
      <c r="V266">
        <v>-5240.1807715337436</v>
      </c>
      <c r="W266">
        <v>-5571.7661251792051</v>
      </c>
      <c r="X266">
        <v>-5571.7661251792051</v>
      </c>
      <c r="Y266">
        <v>-5571.7661251792051</v>
      </c>
      <c r="Z266">
        <v>-5571.7661251792051</v>
      </c>
      <c r="AA266">
        <v>-5571.7661251792051</v>
      </c>
    </row>
    <row r="267" spans="1:27" x14ac:dyDescent="0.2">
      <c r="A267" t="s">
        <v>357</v>
      </c>
      <c r="B267" t="s">
        <v>358</v>
      </c>
      <c r="C267">
        <v>-33022.845929474839</v>
      </c>
      <c r="D267">
        <v>-60292.837338379475</v>
      </c>
      <c r="E267">
        <v>-60292.837338379453</v>
      </c>
      <c r="F267">
        <v>-71200.835005400644</v>
      </c>
      <c r="G267">
        <v>-163660.83211023916</v>
      </c>
      <c r="H267">
        <v>-163660.83211023925</v>
      </c>
      <c r="I267">
        <v>-163660.83211023925</v>
      </c>
      <c r="J267">
        <v>-215239.77465538809</v>
      </c>
      <c r="K267">
        <v>-215239.77465538809</v>
      </c>
      <c r="L267">
        <v>-280532.56124566129</v>
      </c>
      <c r="M267">
        <v>-323389.46107869758</v>
      </c>
      <c r="N267">
        <v>-360855.21127966803</v>
      </c>
      <c r="O267">
        <v>-360855.21127966803</v>
      </c>
      <c r="P267">
        <v>-360855.21127966803</v>
      </c>
      <c r="Q267">
        <v>-393746.65111388086</v>
      </c>
      <c r="R267">
        <v>-393746.65111388086</v>
      </c>
      <c r="S267">
        <v>-430050.67319518735</v>
      </c>
      <c r="T267">
        <v>-430050.67319518735</v>
      </c>
      <c r="U267">
        <v>-464575.80204104882</v>
      </c>
      <c r="V267">
        <v>-464575.80204104882</v>
      </c>
      <c r="W267">
        <v>-493972.98094215331</v>
      </c>
      <c r="X267">
        <v>-493972.98094215331</v>
      </c>
      <c r="Y267">
        <v>-493972.98094215331</v>
      </c>
      <c r="Z267">
        <v>-493972.98094215331</v>
      </c>
      <c r="AA267">
        <v>-493972.98094215331</v>
      </c>
    </row>
    <row r="268" spans="1:27" x14ac:dyDescent="0.2">
      <c r="A268" t="s">
        <v>390</v>
      </c>
      <c r="B268" t="s">
        <v>391</v>
      </c>
      <c r="C268">
        <v>-16918.900416202021</v>
      </c>
      <c r="D268">
        <v>-30890.387609743233</v>
      </c>
      <c r="E268">
        <v>-30890.387609743218</v>
      </c>
      <c r="F268">
        <v>-36478.983052505246</v>
      </c>
      <c r="G268">
        <v>-83849.869463686438</v>
      </c>
      <c r="H268">
        <v>-83849.869463686497</v>
      </c>
      <c r="I268">
        <v>-83849.869463686497</v>
      </c>
      <c r="J268">
        <v>-110275.78667136964</v>
      </c>
      <c r="K268">
        <v>-110275.78667136964</v>
      </c>
      <c r="L268">
        <v>-143727.84457626296</v>
      </c>
      <c r="M268">
        <v>-165685.11688316305</v>
      </c>
      <c r="N268">
        <v>-184880.29158198406</v>
      </c>
      <c r="O268">
        <v>-184880.29158198406</v>
      </c>
      <c r="P268">
        <v>-184880.29158198406</v>
      </c>
      <c r="Q268">
        <v>-201731.86749670102</v>
      </c>
      <c r="R268">
        <v>-201731.86749670102</v>
      </c>
      <c r="S268">
        <v>-220331.84327144161</v>
      </c>
      <c r="T268">
        <v>-220331.84327144161</v>
      </c>
      <c r="U268">
        <v>-238020.42220395288</v>
      </c>
      <c r="V268">
        <v>-238020.42220395288</v>
      </c>
      <c r="W268">
        <v>-253081.75106117083</v>
      </c>
      <c r="X268">
        <v>-253081.75106117083</v>
      </c>
      <c r="Y268">
        <v>-253081.75106117083</v>
      </c>
      <c r="Z268">
        <v>-253081.75106117083</v>
      </c>
      <c r="AA268">
        <v>-253081.75106117083</v>
      </c>
    </row>
    <row r="269" spans="1:27" x14ac:dyDescent="0.2">
      <c r="A269" t="s">
        <v>696</v>
      </c>
      <c r="B269" t="s">
        <v>697</v>
      </c>
      <c r="C269">
        <v>-753.50712042157022</v>
      </c>
      <c r="D269">
        <v>-1375.7470310679228</v>
      </c>
      <c r="E269">
        <v>-1375.7470310679223</v>
      </c>
      <c r="F269">
        <v>-1624.6430205049253</v>
      </c>
      <c r="G269">
        <v>-3734.372337034536</v>
      </c>
      <c r="H269">
        <v>-3734.3723370345383</v>
      </c>
      <c r="I269">
        <v>-3734.3723370345383</v>
      </c>
      <c r="J269">
        <v>-4911.2878746773831</v>
      </c>
      <c r="K269">
        <v>-4911.2878746773831</v>
      </c>
      <c r="L269">
        <v>-6401.1225095543314</v>
      </c>
      <c r="M269">
        <v>-7379.0206365768563</v>
      </c>
      <c r="N269">
        <v>-8233.9048463950512</v>
      </c>
      <c r="O269">
        <v>-8233.9048463950512</v>
      </c>
      <c r="P269">
        <v>-8233.9048463950512</v>
      </c>
      <c r="Q269">
        <v>-8984.413575077213</v>
      </c>
      <c r="R269">
        <v>-8984.413575077213</v>
      </c>
      <c r="S269">
        <v>-9812.7897603589936</v>
      </c>
      <c r="T269">
        <v>-9812.7897603589936</v>
      </c>
      <c r="U269">
        <v>-10600.575600331342</v>
      </c>
      <c r="V269">
        <v>-10600.575600331342</v>
      </c>
      <c r="W269">
        <v>-11271.353148383852</v>
      </c>
      <c r="X269">
        <v>-11271.353148383852</v>
      </c>
      <c r="Y269">
        <v>-11271.353148383852</v>
      </c>
      <c r="Z269">
        <v>-11271.353148383852</v>
      </c>
      <c r="AA269">
        <v>-11271.353148383852</v>
      </c>
    </row>
    <row r="270" spans="1:27" x14ac:dyDescent="0.2">
      <c r="A270" t="s">
        <v>355</v>
      </c>
      <c r="B270" t="s">
        <v>356</v>
      </c>
      <c r="C270">
        <v>-37015.173959680185</v>
      </c>
      <c r="D270">
        <v>-67581.996638601297</v>
      </c>
      <c r="E270">
        <v>-67581.996638601282</v>
      </c>
      <c r="F270">
        <v>-79808.726947032817</v>
      </c>
      <c r="G270">
        <v>-183446.76239849612</v>
      </c>
      <c r="H270">
        <v>-183446.76239849624</v>
      </c>
      <c r="I270">
        <v>-183446.76239849624</v>
      </c>
      <c r="J270">
        <v>-241261.38973383914</v>
      </c>
      <c r="K270">
        <v>-241261.38973383914</v>
      </c>
      <c r="L270">
        <v>-314447.8091936495</v>
      </c>
      <c r="M270">
        <v>-362485.9342565324</v>
      </c>
      <c r="N270">
        <v>-404481.14157998853</v>
      </c>
      <c r="O270">
        <v>-404481.14157998853</v>
      </c>
      <c r="P270">
        <v>-404481.14157998853</v>
      </c>
      <c r="Q270">
        <v>-441349.0229808786</v>
      </c>
      <c r="R270">
        <v>-441349.0229808786</v>
      </c>
      <c r="S270">
        <v>-482042.05397056101</v>
      </c>
      <c r="T270">
        <v>-482042.05397056101</v>
      </c>
      <c r="U270">
        <v>-520741.13075331907</v>
      </c>
      <c r="V270">
        <v>-520741.13075331907</v>
      </c>
      <c r="W270">
        <v>-553692.30925780383</v>
      </c>
      <c r="X270">
        <v>-553692.30925780383</v>
      </c>
      <c r="Y270">
        <v>-553692.30925780383</v>
      </c>
      <c r="Z270">
        <v>-553692.30925780383</v>
      </c>
      <c r="AA270">
        <v>-553692.30925780383</v>
      </c>
    </row>
    <row r="271" spans="1:27" x14ac:dyDescent="0.2">
      <c r="A271" t="s">
        <v>410</v>
      </c>
      <c r="B271" t="s">
        <v>411</v>
      </c>
      <c r="C271">
        <v>-11006.208663069252</v>
      </c>
      <c r="D271">
        <v>-20095.044202183657</v>
      </c>
      <c r="E271">
        <v>-20095.04420218365</v>
      </c>
      <c r="F271">
        <v>-23730.578785602189</v>
      </c>
      <c r="G271">
        <v>-54546.639378803011</v>
      </c>
      <c r="H271">
        <v>-54546.63937880304</v>
      </c>
      <c r="I271">
        <v>-54546.63937880304</v>
      </c>
      <c r="J271">
        <v>-71737.423161786224</v>
      </c>
      <c r="K271">
        <v>-71737.423161786224</v>
      </c>
      <c r="L271">
        <v>-93498.904135913312</v>
      </c>
      <c r="M271">
        <v>-107782.71187380553</v>
      </c>
      <c r="N271">
        <v>-120269.69937666813</v>
      </c>
      <c r="O271">
        <v>-120269.69937666813</v>
      </c>
      <c r="P271">
        <v>-120269.69937666813</v>
      </c>
      <c r="Q271">
        <v>-131232.11160537976</v>
      </c>
      <c r="R271">
        <v>-131232.11160537976</v>
      </c>
      <c r="S271">
        <v>-143331.90588685605</v>
      </c>
      <c r="T271">
        <v>-143331.90588685605</v>
      </c>
      <c r="U271">
        <v>-154838.81153055583</v>
      </c>
      <c r="V271">
        <v>-154838.81153055583</v>
      </c>
      <c r="W271">
        <v>-164636.61895703038</v>
      </c>
      <c r="X271">
        <v>-164636.61895703038</v>
      </c>
      <c r="Y271">
        <v>-164636.61895703038</v>
      </c>
      <c r="Z271">
        <v>-164636.61895703038</v>
      </c>
      <c r="AA271">
        <v>-164636.61895703038</v>
      </c>
    </row>
    <row r="272" spans="1:27" x14ac:dyDescent="0.2">
      <c r="A272" t="s">
        <v>669</v>
      </c>
      <c r="B272" t="s">
        <v>670</v>
      </c>
      <c r="C272">
        <v>-18615.201690644841</v>
      </c>
      <c r="D272">
        <v>-33987.480362902352</v>
      </c>
      <c r="E272">
        <v>-33987.480362902344</v>
      </c>
      <c r="F272">
        <v>-40136.392453832843</v>
      </c>
      <c r="G272">
        <v>-92256.718427517888</v>
      </c>
      <c r="H272">
        <v>-92256.718427517946</v>
      </c>
      <c r="I272">
        <v>-92256.718427517946</v>
      </c>
      <c r="J272">
        <v>-121332.11733525216</v>
      </c>
      <c r="K272">
        <v>-121332.11733525216</v>
      </c>
      <c r="L272">
        <v>-158138.10292225803</v>
      </c>
      <c r="M272">
        <v>-182296.82733781965</v>
      </c>
      <c r="N272">
        <v>-203416.52422802264</v>
      </c>
      <c r="O272">
        <v>-203416.52422802264</v>
      </c>
      <c r="P272">
        <v>-203416.52422802264</v>
      </c>
      <c r="Q272">
        <v>-221957.65141364431</v>
      </c>
      <c r="R272">
        <v>-221957.65141364431</v>
      </c>
      <c r="S272">
        <v>-242422.47430227205</v>
      </c>
      <c r="T272">
        <v>-242422.47430227205</v>
      </c>
      <c r="U272">
        <v>-261884.52303767711</v>
      </c>
      <c r="V272">
        <v>-261884.52303767711</v>
      </c>
      <c r="W272">
        <v>-278455.91169232933</v>
      </c>
      <c r="X272">
        <v>-278455.91169232933</v>
      </c>
      <c r="Y272">
        <v>-278455.91169232933</v>
      </c>
      <c r="Z272">
        <v>-278455.91169232933</v>
      </c>
      <c r="AA272">
        <v>-278455.91169232933</v>
      </c>
    </row>
    <row r="273" spans="1:27" x14ac:dyDescent="0.2">
      <c r="A273" t="s">
        <v>643</v>
      </c>
      <c r="B273" t="s">
        <v>644</v>
      </c>
      <c r="C273">
        <v>-1149.8433112556893</v>
      </c>
      <c r="D273">
        <v>-2099.3743506608012</v>
      </c>
      <c r="E273">
        <v>-2099.3743506608002</v>
      </c>
      <c r="F273">
        <v>-2479.1868048448923</v>
      </c>
      <c r="G273">
        <v>-5698.6097902765323</v>
      </c>
      <c r="H273">
        <v>-5698.6097902765359</v>
      </c>
      <c r="I273">
        <v>-5698.6097902765359</v>
      </c>
      <c r="J273">
        <v>-7494.5695392891203</v>
      </c>
      <c r="K273">
        <v>-7494.5695392891203</v>
      </c>
      <c r="L273">
        <v>-9768.0402781348184</v>
      </c>
      <c r="M273">
        <v>-11260.301717969949</v>
      </c>
      <c r="N273">
        <v>-12564.845316718691</v>
      </c>
      <c r="O273">
        <v>-12564.845316718691</v>
      </c>
      <c r="P273">
        <v>-12564.845316718691</v>
      </c>
      <c r="Q273">
        <v>-13710.113116220551</v>
      </c>
      <c r="R273">
        <v>-13710.113116220551</v>
      </c>
      <c r="S273">
        <v>-14974.20577047026</v>
      </c>
      <c r="T273">
        <v>-14974.20577047026</v>
      </c>
      <c r="U273">
        <v>-16176.358018596806</v>
      </c>
      <c r="V273">
        <v>-16176.358018596806</v>
      </c>
      <c r="W273">
        <v>-17199.956941639699</v>
      </c>
      <c r="X273">
        <v>-17199.956941639699</v>
      </c>
      <c r="Y273">
        <v>-17199.956941639699</v>
      </c>
      <c r="Z273">
        <v>-17199.956941639699</v>
      </c>
      <c r="AA273">
        <v>-17199.956941639699</v>
      </c>
    </row>
    <row r="274" spans="1:27" x14ac:dyDescent="0.2">
      <c r="A274" t="s">
        <v>334</v>
      </c>
      <c r="B274" t="s">
        <v>335</v>
      </c>
      <c r="C274">
        <v>-2507.6315038813073</v>
      </c>
      <c r="D274">
        <v>-4578.4127355650953</v>
      </c>
      <c r="E274">
        <v>-4578.4127355650935</v>
      </c>
      <c r="F274">
        <v>-5406.7253120311871</v>
      </c>
      <c r="G274">
        <v>-12427.791942206835</v>
      </c>
      <c r="H274">
        <v>-12427.791942206843</v>
      </c>
      <c r="I274">
        <v>-12427.791942206843</v>
      </c>
      <c r="J274">
        <v>-16344.50407353937</v>
      </c>
      <c r="K274">
        <v>-16344.50407353937</v>
      </c>
      <c r="L274">
        <v>-21302.59426902519</v>
      </c>
      <c r="M274">
        <v>-24556.987073616412</v>
      </c>
      <c r="N274">
        <v>-27401.996123446508</v>
      </c>
      <c r="O274">
        <v>-27401.996123446508</v>
      </c>
      <c r="P274">
        <v>-27401.996123446508</v>
      </c>
      <c r="Q274">
        <v>-29899.64913955651</v>
      </c>
      <c r="R274">
        <v>-29899.64913955651</v>
      </c>
      <c r="S274">
        <v>-32656.440897696008</v>
      </c>
      <c r="T274">
        <v>-32656.440897696008</v>
      </c>
      <c r="U274">
        <v>-35278.150151778464</v>
      </c>
      <c r="V274">
        <v>-35278.150151778464</v>
      </c>
      <c r="W274">
        <v>-37510.462051700073</v>
      </c>
      <c r="X274">
        <v>-37510.462051700073</v>
      </c>
      <c r="Y274">
        <v>-37510.462051700073</v>
      </c>
      <c r="Z274">
        <v>-37510.462051700073</v>
      </c>
      <c r="AA274">
        <v>-37510.462051700073</v>
      </c>
    </row>
    <row r="275" spans="1:27" x14ac:dyDescent="0.2">
      <c r="A275" t="s">
        <v>398</v>
      </c>
      <c r="B275" t="s">
        <v>15</v>
      </c>
      <c r="C275">
        <v>-11596.782695195719</v>
      </c>
      <c r="D275">
        <v>-21173.309356292928</v>
      </c>
      <c r="E275">
        <v>-21173.309356292921</v>
      </c>
      <c r="F275">
        <v>-25003.920408238631</v>
      </c>
      <c r="G275">
        <v>-57473.517265915922</v>
      </c>
      <c r="H275">
        <v>-57473.517265915958</v>
      </c>
      <c r="I275">
        <v>-57473.517265915958</v>
      </c>
      <c r="J275">
        <v>-75586.728635448235</v>
      </c>
      <c r="K275">
        <v>-75586.728635448235</v>
      </c>
      <c r="L275">
        <v>-98515.892865214206</v>
      </c>
      <c r="M275">
        <v>-113566.1449063288</v>
      </c>
      <c r="N275">
        <v>-126723.16246081337</v>
      </c>
      <c r="O275">
        <v>-126723.16246081337</v>
      </c>
      <c r="P275">
        <v>-126723.16246081337</v>
      </c>
      <c r="Q275">
        <v>-138273.79868108587</v>
      </c>
      <c r="R275">
        <v>-138273.79868108587</v>
      </c>
      <c r="S275">
        <v>-151022.84689872366</v>
      </c>
      <c r="T275">
        <v>-151022.84689872366</v>
      </c>
      <c r="U275">
        <v>-163147.19310450373</v>
      </c>
      <c r="V275">
        <v>-163147.19310450373</v>
      </c>
      <c r="W275">
        <v>-173470.73385250501</v>
      </c>
      <c r="X275">
        <v>-173470.73385250501</v>
      </c>
      <c r="Y275">
        <v>-173470.73385250501</v>
      </c>
      <c r="Z275">
        <v>-173470.73385250501</v>
      </c>
      <c r="AA275">
        <v>-173470.73385250501</v>
      </c>
    </row>
    <row r="276" spans="1:27" x14ac:dyDescent="0.2">
      <c r="A276" t="s">
        <v>566</v>
      </c>
      <c r="B276" t="s">
        <v>249</v>
      </c>
      <c r="C276">
        <v>-794.79398110752641</v>
      </c>
      <c r="D276">
        <v>-1451.1282377896864</v>
      </c>
      <c r="E276">
        <v>-1451.1282377896857</v>
      </c>
      <c r="F276">
        <v>-1713.6619670206135</v>
      </c>
      <c r="G276">
        <v>-3938.9895281001932</v>
      </c>
      <c r="H276">
        <v>-3938.9895281001955</v>
      </c>
      <c r="I276">
        <v>-3938.9895281001955</v>
      </c>
      <c r="J276">
        <v>-5180.391712948991</v>
      </c>
      <c r="K276">
        <v>-5180.391712948991</v>
      </c>
      <c r="L276">
        <v>-6751.8587483012834</v>
      </c>
      <c r="M276">
        <v>-7783.3387760666283</v>
      </c>
      <c r="N276">
        <v>-8685.0645940353079</v>
      </c>
      <c r="O276">
        <v>-8685.0645940353079</v>
      </c>
      <c r="P276">
        <v>-8685.0645940353079</v>
      </c>
      <c r="Q276">
        <v>-9476.6958927435608</v>
      </c>
      <c r="R276">
        <v>-9476.6958927435608</v>
      </c>
      <c r="S276">
        <v>-10350.461233920985</v>
      </c>
      <c r="T276">
        <v>-10350.461233920985</v>
      </c>
      <c r="U276">
        <v>-11181.412165959233</v>
      </c>
      <c r="V276">
        <v>-11181.412165959233</v>
      </c>
      <c r="W276">
        <v>-11888.943579273451</v>
      </c>
      <c r="X276">
        <v>-11888.943579273451</v>
      </c>
      <c r="Y276">
        <v>-11888.943579273451</v>
      </c>
      <c r="Z276">
        <v>-11888.943579273451</v>
      </c>
      <c r="AA276">
        <v>-11888.943579273451</v>
      </c>
    </row>
    <row r="277" spans="1:27" x14ac:dyDescent="0.2">
      <c r="A277" t="s">
        <v>561</v>
      </c>
      <c r="B277" t="s">
        <v>195</v>
      </c>
      <c r="C277">
        <v>-970.23272646742612</v>
      </c>
      <c r="D277">
        <v>-1771.4428393665478</v>
      </c>
      <c r="E277">
        <v>-1771.4428393665471</v>
      </c>
      <c r="F277">
        <v>-2091.9269169465501</v>
      </c>
      <c r="G277">
        <v>-4808.4618658659092</v>
      </c>
      <c r="H277">
        <v>-4808.4618658659119</v>
      </c>
      <c r="I277">
        <v>-4808.4618658659119</v>
      </c>
      <c r="J277">
        <v>-6323.8847994544321</v>
      </c>
      <c r="K277">
        <v>-6323.8847994544321</v>
      </c>
      <c r="L277">
        <v>-8242.229405107988</v>
      </c>
      <c r="M277">
        <v>-9501.3930417536885</v>
      </c>
      <c r="N277">
        <v>-10602.161190091567</v>
      </c>
      <c r="O277">
        <v>-10602.161190091567</v>
      </c>
      <c r="P277">
        <v>-10602.161190091567</v>
      </c>
      <c r="Q277">
        <v>-11568.533119874397</v>
      </c>
      <c r="R277">
        <v>-11568.533119874397</v>
      </c>
      <c r="S277">
        <v>-12635.168939237277</v>
      </c>
      <c r="T277">
        <v>-12635.168939237277</v>
      </c>
      <c r="U277">
        <v>-13649.5397164652</v>
      </c>
      <c r="V277">
        <v>-13649.5397164652</v>
      </c>
      <c r="W277">
        <v>-14513.247983662477</v>
      </c>
      <c r="X277">
        <v>-14513.247983662477</v>
      </c>
      <c r="Y277">
        <v>-14513.247983662477</v>
      </c>
      <c r="Z277">
        <v>-14513.247983662477</v>
      </c>
      <c r="AA277">
        <v>-14513.247983662477</v>
      </c>
    </row>
    <row r="278" spans="1:27" x14ac:dyDescent="0.2">
      <c r="A278" t="s">
        <v>593</v>
      </c>
      <c r="B278" t="s">
        <v>594</v>
      </c>
      <c r="C278">
        <v>-228.32664079530761</v>
      </c>
      <c r="D278">
        <v>-416.87688102020013</v>
      </c>
      <c r="E278">
        <v>-416.87688102019996</v>
      </c>
      <c r="F278">
        <v>-492.29698473969819</v>
      </c>
      <c r="G278">
        <v>-1131.5841192276666</v>
      </c>
      <c r="H278">
        <v>-1131.5841192276673</v>
      </c>
      <c r="I278">
        <v>-1131.5841192276673</v>
      </c>
      <c r="J278">
        <v>-1488.2113678984574</v>
      </c>
      <c r="K278">
        <v>-1488.2113678984574</v>
      </c>
      <c r="L278">
        <v>-1939.6589100685173</v>
      </c>
      <c r="M278">
        <v>-2235.9801900295561</v>
      </c>
      <c r="N278">
        <v>-2495.0259702307217</v>
      </c>
      <c r="O278">
        <v>-2495.0259702307217</v>
      </c>
      <c r="P278">
        <v>-2495.0259702307217</v>
      </c>
      <c r="Q278">
        <v>-2722.4440426859392</v>
      </c>
      <c r="R278">
        <v>-2722.4440426859392</v>
      </c>
      <c r="S278">
        <v>-2973.4573995264163</v>
      </c>
      <c r="T278">
        <v>-2973.4573995264163</v>
      </c>
      <c r="U278">
        <v>-3212.1711284774601</v>
      </c>
      <c r="V278">
        <v>-3212.1711284774601</v>
      </c>
      <c r="W278">
        <v>-3415.4291735800139</v>
      </c>
      <c r="X278">
        <v>-3415.4291735800139</v>
      </c>
      <c r="Y278">
        <v>-3415.4291735800139</v>
      </c>
      <c r="Z278">
        <v>-3415.4291735800139</v>
      </c>
      <c r="AA278">
        <v>-3415.4291735800139</v>
      </c>
    </row>
    <row r="279" spans="1:27" x14ac:dyDescent="0.2">
      <c r="A279" t="s">
        <v>557</v>
      </c>
      <c r="B279" t="s">
        <v>558</v>
      </c>
      <c r="C279">
        <v>-1312.4975610251179</v>
      </c>
      <c r="D279">
        <v>-2396.3471265592916</v>
      </c>
      <c r="E279">
        <v>-2396.3471265592907</v>
      </c>
      <c r="F279">
        <v>-2829.8869966301036</v>
      </c>
      <c r="G279">
        <v>-6504.7223197775502</v>
      </c>
      <c r="H279">
        <v>-6504.7223197775538</v>
      </c>
      <c r="I279">
        <v>-6504.7223197775538</v>
      </c>
      <c r="J279">
        <v>-8554.7344972664341</v>
      </c>
      <c r="K279">
        <v>-8554.7344972664341</v>
      </c>
      <c r="L279">
        <v>-11149.80529568535</v>
      </c>
      <c r="M279">
        <v>-12853.158683945319</v>
      </c>
      <c r="N279">
        <v>-14342.24008734004</v>
      </c>
      <c r="O279">
        <v>-14342.24008734004</v>
      </c>
      <c r="P279">
        <v>-14342.24008734004</v>
      </c>
      <c r="Q279">
        <v>-15649.51489500515</v>
      </c>
      <c r="R279">
        <v>-15649.51489500515</v>
      </c>
      <c r="S279">
        <v>-17092.423254232519</v>
      </c>
      <c r="T279">
        <v>-17092.423254232519</v>
      </c>
      <c r="U279">
        <v>-18464.629256738972</v>
      </c>
      <c r="V279">
        <v>-18464.629256738972</v>
      </c>
      <c r="W279">
        <v>-19633.024182213292</v>
      </c>
      <c r="X279">
        <v>-19633.024182213292</v>
      </c>
      <c r="Y279">
        <v>-19633.024182213292</v>
      </c>
      <c r="Z279">
        <v>-19633.024182213292</v>
      </c>
      <c r="AA279">
        <v>-19633.024182213292</v>
      </c>
    </row>
    <row r="280" spans="1:27" x14ac:dyDescent="0.2">
      <c r="A280" t="s">
        <v>1017</v>
      </c>
      <c r="B280" t="s">
        <v>1018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442</v>
      </c>
      <c r="B281" t="s">
        <v>443</v>
      </c>
      <c r="C281">
        <v>-2280.1380909693107</v>
      </c>
      <c r="D281">
        <v>-4163.0571550815466</v>
      </c>
      <c r="E281">
        <v>-4163.0571550815448</v>
      </c>
      <c r="F281">
        <v>-4916.2248569173189</v>
      </c>
      <c r="G281">
        <v>-11300.337290469988</v>
      </c>
      <c r="H281">
        <v>-11300.337290469995</v>
      </c>
      <c r="I281">
        <v>-11300.337290469995</v>
      </c>
      <c r="J281">
        <v>-14861.723605879597</v>
      </c>
      <c r="K281">
        <v>-14861.723605879597</v>
      </c>
      <c r="L281">
        <v>-19370.013717760325</v>
      </c>
      <c r="M281">
        <v>-22329.166601762419</v>
      </c>
      <c r="N281">
        <v>-24916.075202021038</v>
      </c>
      <c r="O281">
        <v>-24916.075202021038</v>
      </c>
      <c r="P281">
        <v>-24916.075202021038</v>
      </c>
      <c r="Q281">
        <v>-27187.140057938705</v>
      </c>
      <c r="R281">
        <v>-27187.140057938705</v>
      </c>
      <c r="S281">
        <v>-29693.834477304099</v>
      </c>
      <c r="T281">
        <v>-29693.834477304099</v>
      </c>
      <c r="U281">
        <v>-32077.701135713694</v>
      </c>
      <c r="V281">
        <v>-32077.701135713694</v>
      </c>
      <c r="W281">
        <v>-34107.496736086818</v>
      </c>
      <c r="X281">
        <v>-34107.496736086818</v>
      </c>
      <c r="Y281">
        <v>-34107.496736086818</v>
      </c>
      <c r="Z281">
        <v>-34107.496736086818</v>
      </c>
      <c r="AA281">
        <v>-34107.496736086818</v>
      </c>
    </row>
    <row r="282" spans="1:27" x14ac:dyDescent="0.2">
      <c r="A282" t="s">
        <v>339</v>
      </c>
      <c r="B282" t="s">
        <v>35</v>
      </c>
      <c r="C282">
        <v>-2027.2814969274361</v>
      </c>
      <c r="D282">
        <v>-3701.39368952009</v>
      </c>
      <c r="E282">
        <v>-3701.3936895200886</v>
      </c>
      <c r="F282">
        <v>-4371.0386342988195</v>
      </c>
      <c r="G282">
        <v>-10047.183014371767</v>
      </c>
      <c r="H282">
        <v>-10047.183014371773</v>
      </c>
      <c r="I282">
        <v>-10047.183014371773</v>
      </c>
      <c r="J282">
        <v>-13213.628331537277</v>
      </c>
      <c r="K282">
        <v>-13213.628331537277</v>
      </c>
      <c r="L282">
        <v>-17221.970266087123</v>
      </c>
      <c r="M282">
        <v>-19852.967007940882</v>
      </c>
      <c r="N282">
        <v>-22152.999606982859</v>
      </c>
      <c r="O282">
        <v>-22152.999606982859</v>
      </c>
      <c r="P282">
        <v>-22152.999606982859</v>
      </c>
      <c r="Q282">
        <v>-24172.214047967358</v>
      </c>
      <c r="R282">
        <v>-24172.214047967358</v>
      </c>
      <c r="S282">
        <v>-26400.927841643952</v>
      </c>
      <c r="T282">
        <v>-26400.927841643952</v>
      </c>
      <c r="U282">
        <v>-28520.434895570474</v>
      </c>
      <c r="V282">
        <v>-28520.434895570474</v>
      </c>
      <c r="W282">
        <v>-30325.135707104149</v>
      </c>
      <c r="X282">
        <v>-30325.135707104149</v>
      </c>
      <c r="Y282">
        <v>-30325.135707104149</v>
      </c>
      <c r="Z282">
        <v>-30325.135707104149</v>
      </c>
      <c r="AA282">
        <v>-30325.135707104149</v>
      </c>
    </row>
    <row r="283" spans="1:27" x14ac:dyDescent="0.2">
      <c r="A283" t="s">
        <v>1019</v>
      </c>
      <c r="B283" t="s">
        <v>323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1020</v>
      </c>
      <c r="B284" t="s">
        <v>331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412</v>
      </c>
      <c r="B285" t="s">
        <v>27</v>
      </c>
      <c r="C285">
        <v>-12969.871303245302</v>
      </c>
      <c r="D285">
        <v>-23680.283112374404</v>
      </c>
      <c r="E285">
        <v>-23680.283112374396</v>
      </c>
      <c r="F285">
        <v>-27964.448269414657</v>
      </c>
      <c r="G285">
        <v>-64278.528094916226</v>
      </c>
      <c r="H285">
        <v>-64278.528094916262</v>
      </c>
      <c r="I285">
        <v>-64278.528094916262</v>
      </c>
      <c r="J285">
        <v>-84536.389824845683</v>
      </c>
      <c r="K285">
        <v>-84536.389824845683</v>
      </c>
      <c r="L285">
        <v>-110180.42549986455</v>
      </c>
      <c r="M285">
        <v>-127012.66571555196</v>
      </c>
      <c r="N285">
        <v>-141727.50765933507</v>
      </c>
      <c r="O285">
        <v>-141727.50765933507</v>
      </c>
      <c r="P285">
        <v>-141727.50765933507</v>
      </c>
      <c r="Q285">
        <v>-154645.76862749146</v>
      </c>
      <c r="R285">
        <v>-154645.76862749146</v>
      </c>
      <c r="S285">
        <v>-168904.33662584957</v>
      </c>
      <c r="T285">
        <v>-168904.33662584957</v>
      </c>
      <c r="U285">
        <v>-182464.23630303363</v>
      </c>
      <c r="V285">
        <v>-182464.23630303363</v>
      </c>
      <c r="W285">
        <v>-194010.11056959679</v>
      </c>
      <c r="X285">
        <v>-194010.11056959679</v>
      </c>
      <c r="Y285">
        <v>-194010.11056959679</v>
      </c>
      <c r="Z285">
        <v>-194010.11056959679</v>
      </c>
      <c r="AA285">
        <v>-194010.11056959679</v>
      </c>
    </row>
    <row r="286" spans="1:27" x14ac:dyDescent="0.2">
      <c r="A286" t="s">
        <v>1021</v>
      </c>
      <c r="B286" t="s">
        <v>1022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1023</v>
      </c>
      <c r="B287" t="s">
        <v>1024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990</v>
      </c>
      <c r="B288" t="s">
        <v>991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1011</v>
      </c>
      <c r="B289" t="s">
        <v>1012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992</v>
      </c>
      <c r="B290" t="s">
        <v>993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974</v>
      </c>
      <c r="B291" t="s">
        <v>975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988</v>
      </c>
      <c r="B292" t="s">
        <v>989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956</v>
      </c>
      <c r="B293" t="s">
        <v>957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958</v>
      </c>
      <c r="B294" t="s">
        <v>959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960</v>
      </c>
      <c r="B295" t="s">
        <v>961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962</v>
      </c>
      <c r="B296" t="s">
        <v>315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338</v>
      </c>
      <c r="B297" t="s">
        <v>7</v>
      </c>
      <c r="C297">
        <v>-49964.449805212418</v>
      </c>
      <c r="D297">
        <v>-91224.67673564337</v>
      </c>
      <c r="E297">
        <v>-91224.676735643327</v>
      </c>
      <c r="F297">
        <v>-107728.76917737922</v>
      </c>
      <c r="G297">
        <v>-247623.21964966343</v>
      </c>
      <c r="H297">
        <v>-247623.21964966357</v>
      </c>
      <c r="I297">
        <v>-247623.21964966357</v>
      </c>
      <c r="J297">
        <v>-325663.54032059637</v>
      </c>
      <c r="K297">
        <v>-325663.54032059637</v>
      </c>
      <c r="L297">
        <v>-424453.27410669444</v>
      </c>
      <c r="M297">
        <v>-489296.91069355514</v>
      </c>
      <c r="N297">
        <v>-545983.59358360199</v>
      </c>
      <c r="O297">
        <v>-545983.59358360199</v>
      </c>
      <c r="P297">
        <v>-545983.59358360199</v>
      </c>
      <c r="Q297">
        <v>-595749.22244937031</v>
      </c>
      <c r="R297">
        <v>-595749.22244937031</v>
      </c>
      <c r="S297">
        <v>-650678.17959869152</v>
      </c>
      <c r="T297">
        <v>-650678.17959869152</v>
      </c>
      <c r="U297">
        <v>-702915.62366761244</v>
      </c>
      <c r="V297">
        <v>-702915.62366761244</v>
      </c>
      <c r="W297">
        <v>-747394.34221161541</v>
      </c>
      <c r="X297">
        <v>-747394.34221161541</v>
      </c>
      <c r="Y297">
        <v>-747394.34221161541</v>
      </c>
      <c r="Z297">
        <v>-747394.34221161541</v>
      </c>
      <c r="AA297">
        <v>-747394.34221161541</v>
      </c>
    </row>
    <row r="298" spans="1:27" x14ac:dyDescent="0.2">
      <c r="A298" t="s">
        <v>605</v>
      </c>
      <c r="B298" t="s">
        <v>129</v>
      </c>
      <c r="C298">
        <v>-1557.0194874647982</v>
      </c>
      <c r="D298">
        <v>-2842.7932253595136</v>
      </c>
      <c r="E298">
        <v>-2842.7932253595122</v>
      </c>
      <c r="F298">
        <v>-3357.1027725452495</v>
      </c>
      <c r="G298">
        <v>-7716.5700822563667</v>
      </c>
      <c r="H298">
        <v>-7716.5700822563713</v>
      </c>
      <c r="I298">
        <v>-7716.5700822563713</v>
      </c>
      <c r="J298">
        <v>-10148.505199451798</v>
      </c>
      <c r="K298">
        <v>-10148.505199451798</v>
      </c>
      <c r="L298">
        <v>-13227.044866476564</v>
      </c>
      <c r="M298">
        <v>-15247.737703032022</v>
      </c>
      <c r="N298">
        <v>-17014.239091191659</v>
      </c>
      <c r="O298">
        <v>-17014.239091191659</v>
      </c>
      <c r="P298">
        <v>-17014.239091191659</v>
      </c>
      <c r="Q298">
        <v>-18565.062811897544</v>
      </c>
      <c r="R298">
        <v>-18565.062811897544</v>
      </c>
      <c r="S298">
        <v>-20276.788990030895</v>
      </c>
      <c r="T298">
        <v>-20276.788990030895</v>
      </c>
      <c r="U298">
        <v>-21904.640766799133</v>
      </c>
      <c r="V298">
        <v>-21904.640766799133</v>
      </c>
      <c r="W298">
        <v>-23290.710899072456</v>
      </c>
      <c r="X298">
        <v>-23290.710899072456</v>
      </c>
      <c r="Y298">
        <v>-23290.710899072456</v>
      </c>
      <c r="Z298">
        <v>-23290.710899072456</v>
      </c>
      <c r="AA298">
        <v>-23290.710899072456</v>
      </c>
    </row>
    <row r="299" spans="1:27" x14ac:dyDescent="0.2">
      <c r="A299" t="s">
        <v>448</v>
      </c>
      <c r="B299" t="s">
        <v>449</v>
      </c>
      <c r="C299">
        <v>-1827.4472404611975</v>
      </c>
      <c r="D299">
        <v>-3336.5379667430029</v>
      </c>
      <c r="E299">
        <v>-3336.5379667430016</v>
      </c>
      <c r="F299">
        <v>-3940.1743183199255</v>
      </c>
      <c r="G299">
        <v>-9056.8068133852739</v>
      </c>
      <c r="H299">
        <v>-9056.8068133852794</v>
      </c>
      <c r="I299">
        <v>-9056.8068133852794</v>
      </c>
      <c r="J299">
        <v>-11911.127619694353</v>
      </c>
      <c r="K299">
        <v>-11911.127619694353</v>
      </c>
      <c r="L299">
        <v>-15524.357167845357</v>
      </c>
      <c r="M299">
        <v>-17896.009917031944</v>
      </c>
      <c r="N299">
        <v>-19969.322494718093</v>
      </c>
      <c r="O299">
        <v>-19969.322494718093</v>
      </c>
      <c r="P299">
        <v>-19969.322494718093</v>
      </c>
      <c r="Q299">
        <v>-21789.497869311668</v>
      </c>
      <c r="R299">
        <v>-21789.497869311668</v>
      </c>
      <c r="S299">
        <v>-23798.521716372354</v>
      </c>
      <c r="T299">
        <v>-23798.521716372354</v>
      </c>
      <c r="U299">
        <v>-25709.103607790221</v>
      </c>
      <c r="V299">
        <v>-25709.103607790221</v>
      </c>
      <c r="W299">
        <v>-27335.910503080177</v>
      </c>
      <c r="X299">
        <v>-27335.910503080177</v>
      </c>
      <c r="Y299">
        <v>-27335.910503080177</v>
      </c>
      <c r="Z299">
        <v>-27335.910503080177</v>
      </c>
      <c r="AA299">
        <v>-27335.910503080177</v>
      </c>
    </row>
    <row r="300" spans="1:27" x14ac:dyDescent="0.2">
      <c r="A300" t="s">
        <v>365</v>
      </c>
      <c r="B300" t="s">
        <v>366</v>
      </c>
      <c r="C300">
        <v>-24458.689442419909</v>
      </c>
      <c r="D300">
        <v>-44656.471680580406</v>
      </c>
      <c r="E300">
        <v>-44656.471680580384</v>
      </c>
      <c r="F300">
        <v>-52735.585393132395</v>
      </c>
      <c r="G300">
        <v>-121216.97430382622</v>
      </c>
      <c r="H300">
        <v>-121216.9743038263</v>
      </c>
      <c r="I300">
        <v>-121216.9743038263</v>
      </c>
      <c r="J300">
        <v>-159419.41573405458</v>
      </c>
      <c r="K300">
        <v>-159419.41573405458</v>
      </c>
      <c r="L300">
        <v>-207779.14806761144</v>
      </c>
      <c r="M300">
        <v>-239521.52441275652</v>
      </c>
      <c r="N300">
        <v>-267270.89376904536</v>
      </c>
      <c r="O300">
        <v>-267270.89376904536</v>
      </c>
      <c r="P300">
        <v>-267270.89376904536</v>
      </c>
      <c r="Q300">
        <v>-291632.25601920218</v>
      </c>
      <c r="R300">
        <v>-291632.25601920218</v>
      </c>
      <c r="S300">
        <v>-318521.18023529713</v>
      </c>
      <c r="T300">
        <v>-318521.18023529713</v>
      </c>
      <c r="U300">
        <v>-344092.55001377972</v>
      </c>
      <c r="V300">
        <v>-344092.55001377972</v>
      </c>
      <c r="W300">
        <v>-365865.8541911646</v>
      </c>
      <c r="X300">
        <v>-365865.8541911646</v>
      </c>
      <c r="Y300">
        <v>-365865.8541911646</v>
      </c>
      <c r="Z300">
        <v>-365865.8541911646</v>
      </c>
      <c r="AA300">
        <v>-365865.8541911646</v>
      </c>
    </row>
    <row r="301" spans="1:27" x14ac:dyDescent="0.2">
      <c r="A301" t="s">
        <v>597</v>
      </c>
      <c r="B301" t="s">
        <v>598</v>
      </c>
      <c r="C301">
        <v>-2307.6535683149809</v>
      </c>
      <c r="D301">
        <v>-4213.2946846825189</v>
      </c>
      <c r="E301">
        <v>-4213.294684682518</v>
      </c>
      <c r="F301">
        <v>-4975.5512083398435</v>
      </c>
      <c r="G301">
        <v>-11436.703669307235</v>
      </c>
      <c r="H301">
        <v>-11436.703669307242</v>
      </c>
      <c r="I301">
        <v>-11436.703669307242</v>
      </c>
      <c r="J301">
        <v>-15041.066874962635</v>
      </c>
      <c r="K301">
        <v>-15041.066874962635</v>
      </c>
      <c r="L301">
        <v>-19603.760601664966</v>
      </c>
      <c r="M301">
        <v>-22598.622947503878</v>
      </c>
      <c r="N301">
        <v>-25216.748966245897</v>
      </c>
      <c r="O301">
        <v>-25216.748966245897</v>
      </c>
      <c r="P301">
        <v>-25216.748966245897</v>
      </c>
      <c r="Q301">
        <v>-27515.219808599668</v>
      </c>
      <c r="R301">
        <v>-27515.219808599668</v>
      </c>
      <c r="S301">
        <v>-30052.163664953874</v>
      </c>
      <c r="T301">
        <v>-30052.163664953874</v>
      </c>
      <c r="U301">
        <v>-32464.797541144864</v>
      </c>
      <c r="V301">
        <v>-32464.797541144864</v>
      </c>
      <c r="W301">
        <v>-34519.087620637307</v>
      </c>
      <c r="X301">
        <v>-34519.087620637307</v>
      </c>
      <c r="Y301">
        <v>-34519.087620637307</v>
      </c>
      <c r="Z301">
        <v>-34519.087620637307</v>
      </c>
      <c r="AA301">
        <v>-34519.087620637307</v>
      </c>
    </row>
    <row r="302" spans="1:27" x14ac:dyDescent="0.2">
      <c r="A302" t="s">
        <v>606</v>
      </c>
      <c r="B302" t="s">
        <v>607</v>
      </c>
      <c r="C302">
        <v>-804.62520286196616</v>
      </c>
      <c r="D302">
        <v>-1469.0780006703262</v>
      </c>
      <c r="E302">
        <v>-1469.0780006703255</v>
      </c>
      <c r="F302">
        <v>-1734.8591466802438</v>
      </c>
      <c r="G302">
        <v>-3987.7129463188448</v>
      </c>
      <c r="H302">
        <v>-3987.7129463188471</v>
      </c>
      <c r="I302">
        <v>-3987.7129463188471</v>
      </c>
      <c r="J302">
        <v>-5244.470682990881</v>
      </c>
      <c r="K302">
        <v>-5244.470682990881</v>
      </c>
      <c r="L302">
        <v>-6835.3760146458353</v>
      </c>
      <c r="M302">
        <v>-7879.6149574624815</v>
      </c>
      <c r="N302">
        <v>-8792.4946929102553</v>
      </c>
      <c r="O302">
        <v>-8792.4946929102553</v>
      </c>
      <c r="P302">
        <v>-8792.4946929102553</v>
      </c>
      <c r="Q302">
        <v>-9593.9180925029559</v>
      </c>
      <c r="R302">
        <v>-9593.9180925029559</v>
      </c>
      <c r="S302">
        <v>-10478.491493422463</v>
      </c>
      <c r="T302">
        <v>-10478.491493422463</v>
      </c>
      <c r="U302">
        <v>-11319.720891420584</v>
      </c>
      <c r="V302">
        <v>-11319.720891420584</v>
      </c>
      <c r="W302">
        <v>-12036.004130224008</v>
      </c>
      <c r="X302">
        <v>-12036.004130224008</v>
      </c>
      <c r="Y302">
        <v>-12036.004130224008</v>
      </c>
      <c r="Z302">
        <v>-12036.004130224008</v>
      </c>
      <c r="AA302">
        <v>-12036.004130224008</v>
      </c>
    </row>
    <row r="303" spans="1:27" x14ac:dyDescent="0.2">
      <c r="A303" t="s">
        <v>590</v>
      </c>
      <c r="B303" t="s">
        <v>207</v>
      </c>
      <c r="C303">
        <v>-777.45824618240306</v>
      </c>
      <c r="D303">
        <v>-1419.4767972017387</v>
      </c>
      <c r="E303">
        <v>-1419.476797201738</v>
      </c>
      <c r="F303">
        <v>-1676.2842435882619</v>
      </c>
      <c r="G303">
        <v>-3853.0738317623477</v>
      </c>
      <c r="H303">
        <v>-3853.07383176235</v>
      </c>
      <c r="I303">
        <v>-3853.07383176235</v>
      </c>
      <c r="J303">
        <v>-5067.3990385217803</v>
      </c>
      <c r="K303">
        <v>-5067.3990385217803</v>
      </c>
      <c r="L303">
        <v>-6604.5898505809937</v>
      </c>
      <c r="M303">
        <v>-7613.5716401022819</v>
      </c>
      <c r="N303">
        <v>-8495.6293678148413</v>
      </c>
      <c r="O303">
        <v>-8495.6293678148413</v>
      </c>
      <c r="P303">
        <v>-8495.6293678148413</v>
      </c>
      <c r="Q303">
        <v>-9269.9939147873629</v>
      </c>
      <c r="R303">
        <v>-9269.9939147873629</v>
      </c>
      <c r="S303">
        <v>-10124.701028673855</v>
      </c>
      <c r="T303">
        <v>-10124.701028673855</v>
      </c>
      <c r="U303">
        <v>-10937.527584539139</v>
      </c>
      <c r="V303">
        <v>-10937.527584539139</v>
      </c>
      <c r="W303">
        <v>-11629.626599868508</v>
      </c>
      <c r="X303">
        <v>-11629.626599868508</v>
      </c>
      <c r="Y303">
        <v>-11629.626599868508</v>
      </c>
      <c r="Z303">
        <v>-11629.626599868508</v>
      </c>
      <c r="AA303">
        <v>-11629.626599868508</v>
      </c>
    </row>
    <row r="304" spans="1:27" x14ac:dyDescent="0.2">
      <c r="A304" t="s">
        <v>446</v>
      </c>
      <c r="B304" t="s">
        <v>447</v>
      </c>
      <c r="C304">
        <v>-4306.6163014440472</v>
      </c>
      <c r="D304">
        <v>-7862.984210879873</v>
      </c>
      <c r="E304">
        <v>-7862.9842108798703</v>
      </c>
      <c r="F304">
        <v>-9285.5315185599084</v>
      </c>
      <c r="G304">
        <v>-21343.539226725334</v>
      </c>
      <c r="H304">
        <v>-21343.539226725348</v>
      </c>
      <c r="I304">
        <v>-21343.539226725348</v>
      </c>
      <c r="J304">
        <v>-28070.116192580343</v>
      </c>
      <c r="K304">
        <v>-28070.116192580343</v>
      </c>
      <c r="L304">
        <v>-36585.159980656717</v>
      </c>
      <c r="M304">
        <v>-42174.267104993647</v>
      </c>
      <c r="N304">
        <v>-47060.29694342483</v>
      </c>
      <c r="O304">
        <v>-47060.29694342483</v>
      </c>
      <c r="P304">
        <v>-47060.29694342483</v>
      </c>
      <c r="Q304">
        <v>-51349.77615035035</v>
      </c>
      <c r="R304">
        <v>-51349.77615035035</v>
      </c>
      <c r="S304">
        <v>-56084.301261760855</v>
      </c>
      <c r="T304">
        <v>-56084.301261760855</v>
      </c>
      <c r="U304">
        <v>-60586.83514435187</v>
      </c>
      <c r="V304">
        <v>-60586.83514435187</v>
      </c>
      <c r="W304">
        <v>-64420.616464785053</v>
      </c>
      <c r="X304">
        <v>-64420.616464785053</v>
      </c>
      <c r="Y304">
        <v>-64420.616464785053</v>
      </c>
      <c r="Z304">
        <v>-64420.616464785053</v>
      </c>
      <c r="AA304">
        <v>-64420.616464785053</v>
      </c>
    </row>
    <row r="305" spans="1:27" x14ac:dyDescent="0.2">
      <c r="A305" t="s">
        <v>791</v>
      </c>
      <c r="B305" t="s">
        <v>792</v>
      </c>
      <c r="C305">
        <v>-441.67636318209691</v>
      </c>
      <c r="D305">
        <v>-806.40902902243238</v>
      </c>
      <c r="E305">
        <v>-806.40902902243204</v>
      </c>
      <c r="F305">
        <v>-952.3021101171945</v>
      </c>
      <c r="G305">
        <v>-2188.9428087506972</v>
      </c>
      <c r="H305">
        <v>-2188.9428087506985</v>
      </c>
      <c r="I305">
        <v>-2188.9428087506985</v>
      </c>
      <c r="J305">
        <v>-2878.8046034843287</v>
      </c>
      <c r="K305">
        <v>-2878.8046034843287</v>
      </c>
      <c r="L305">
        <v>-3752.0873176636292</v>
      </c>
      <c r="M305">
        <v>-4325.2929007299799</v>
      </c>
      <c r="N305">
        <v>-4826.3925433226768</v>
      </c>
      <c r="O305">
        <v>-4826.3925433226768</v>
      </c>
      <c r="P305">
        <v>-4826.3925433226768</v>
      </c>
      <c r="Q305">
        <v>-5266.3113666979616</v>
      </c>
      <c r="R305">
        <v>-5266.3113666979616</v>
      </c>
      <c r="S305">
        <v>-5751.8730434837325</v>
      </c>
      <c r="T305">
        <v>-5751.8730434837325</v>
      </c>
      <c r="U305">
        <v>-6213.6422495539709</v>
      </c>
      <c r="V305">
        <v>-6213.6422495539709</v>
      </c>
      <c r="W305">
        <v>-6606.8257774843814</v>
      </c>
      <c r="X305">
        <v>-6606.8257774843814</v>
      </c>
      <c r="Y305">
        <v>-6606.8257774843814</v>
      </c>
      <c r="Z305">
        <v>-6606.8257774843814</v>
      </c>
      <c r="AA305">
        <v>-6606.8257774843814</v>
      </c>
    </row>
    <row r="306" spans="1:27" x14ac:dyDescent="0.2">
      <c r="A306" t="s">
        <v>767</v>
      </c>
      <c r="B306" t="s">
        <v>768</v>
      </c>
      <c r="C306">
        <v>-258.90506120241434</v>
      </c>
      <c r="D306">
        <v>-472.70670657816925</v>
      </c>
      <c r="E306">
        <v>-472.70670657816902</v>
      </c>
      <c r="F306">
        <v>-558.22737337979106</v>
      </c>
      <c r="G306">
        <v>-1283.1304074891823</v>
      </c>
      <c r="H306">
        <v>-1283.130407489183</v>
      </c>
      <c r="I306">
        <v>-1283.130407489183</v>
      </c>
      <c r="J306">
        <v>-1687.5186090671789</v>
      </c>
      <c r="K306">
        <v>-1687.5186090671789</v>
      </c>
      <c r="L306">
        <v>-2199.425818528568</v>
      </c>
      <c r="M306">
        <v>-2535.4316339544971</v>
      </c>
      <c r="N306">
        <v>-2829.1698650413196</v>
      </c>
      <c r="O306">
        <v>-2829.1698650413196</v>
      </c>
      <c r="P306">
        <v>-2829.1698650413196</v>
      </c>
      <c r="Q306">
        <v>-3087.0446787838746</v>
      </c>
      <c r="R306">
        <v>-3087.0446787838746</v>
      </c>
      <c r="S306">
        <v>-3371.6747521254642</v>
      </c>
      <c r="T306">
        <v>-3371.6747521254642</v>
      </c>
      <c r="U306">
        <v>-3642.3579820308755</v>
      </c>
      <c r="V306">
        <v>-3642.3579820308755</v>
      </c>
      <c r="W306">
        <v>-3872.8371605615012</v>
      </c>
      <c r="X306">
        <v>-3872.8371605615012</v>
      </c>
      <c r="Y306">
        <v>-3872.8371605615012</v>
      </c>
      <c r="Z306">
        <v>-3872.8371605615012</v>
      </c>
      <c r="AA306">
        <v>-3872.8371605615012</v>
      </c>
    </row>
    <row r="307" spans="1:27" x14ac:dyDescent="0.2">
      <c r="A307" t="s">
        <v>550</v>
      </c>
      <c r="B307" t="s">
        <v>127</v>
      </c>
      <c r="C307">
        <v>-3446.656799486741</v>
      </c>
      <c r="D307">
        <v>-6292.8773073186931</v>
      </c>
      <c r="E307">
        <v>-6292.8773073186903</v>
      </c>
      <c r="F307">
        <v>-7431.3656256216063</v>
      </c>
      <c r="G307">
        <v>-17081.590151469551</v>
      </c>
      <c r="H307">
        <v>-17081.590151469562</v>
      </c>
      <c r="I307">
        <v>-17081.590151469562</v>
      </c>
      <c r="J307">
        <v>-22464.981801396938</v>
      </c>
      <c r="K307">
        <v>-22464.981801396938</v>
      </c>
      <c r="L307">
        <v>-29279.71325547609</v>
      </c>
      <c r="M307">
        <v>-33752.768834329581</v>
      </c>
      <c r="N307">
        <v>-37663.139943888884</v>
      </c>
      <c r="O307">
        <v>-37663.139943888884</v>
      </c>
      <c r="P307">
        <v>-37663.139943888884</v>
      </c>
      <c r="Q307">
        <v>-41096.081641028119</v>
      </c>
      <c r="R307">
        <v>-41096.081641028119</v>
      </c>
      <c r="S307">
        <v>-44885.200992597027</v>
      </c>
      <c r="T307">
        <v>-44885.200992597027</v>
      </c>
      <c r="U307">
        <v>-48488.653897409604</v>
      </c>
      <c r="V307">
        <v>-48488.653897409604</v>
      </c>
      <c r="W307">
        <v>-51556.89298139431</v>
      </c>
      <c r="X307">
        <v>-51556.89298139431</v>
      </c>
      <c r="Y307">
        <v>-51556.89298139431</v>
      </c>
      <c r="Z307">
        <v>-51556.89298139431</v>
      </c>
      <c r="AA307">
        <v>-51556.89298139431</v>
      </c>
    </row>
    <row r="308" spans="1:27" x14ac:dyDescent="0.2">
      <c r="A308" t="s">
        <v>417</v>
      </c>
      <c r="B308" t="s">
        <v>71</v>
      </c>
      <c r="C308">
        <v>-5954.0921753283883</v>
      </c>
      <c r="D308">
        <v>-10870.931953940819</v>
      </c>
      <c r="E308">
        <v>-10870.931953940815</v>
      </c>
      <c r="F308">
        <v>-12837.668064341948</v>
      </c>
      <c r="G308">
        <v>-29508.410085441861</v>
      </c>
      <c r="H308">
        <v>-29508.410085441879</v>
      </c>
      <c r="I308">
        <v>-29508.410085441879</v>
      </c>
      <c r="J308">
        <v>-38808.20753099375</v>
      </c>
      <c r="K308">
        <v>-38808.20753099375</v>
      </c>
      <c r="L308">
        <v>-50580.641396105944</v>
      </c>
      <c r="M308">
        <v>-58307.835245469367</v>
      </c>
      <c r="N308">
        <v>-65062.992889689813</v>
      </c>
      <c r="O308">
        <v>-65062.992889689813</v>
      </c>
      <c r="P308">
        <v>-65062.992889689813</v>
      </c>
      <c r="Q308">
        <v>-70993.392255341518</v>
      </c>
      <c r="R308">
        <v>-70993.392255341518</v>
      </c>
      <c r="S308">
        <v>-77539.087749572747</v>
      </c>
      <c r="T308">
        <v>-77539.087749572747</v>
      </c>
      <c r="U308">
        <v>-83764.044858126144</v>
      </c>
      <c r="V308">
        <v>-83764.044858126144</v>
      </c>
      <c r="W308">
        <v>-89064.421247417515</v>
      </c>
      <c r="X308">
        <v>-89064.421247417515</v>
      </c>
      <c r="Y308">
        <v>-89064.421247417515</v>
      </c>
      <c r="Z308">
        <v>-89064.421247417515</v>
      </c>
      <c r="AA308">
        <v>-89064.421247417515</v>
      </c>
    </row>
    <row r="309" spans="1:27" x14ac:dyDescent="0.2">
      <c r="A309" t="s">
        <v>409</v>
      </c>
      <c r="B309" t="s">
        <v>95</v>
      </c>
      <c r="C309">
        <v>-5180.8809532590967</v>
      </c>
      <c r="D309">
        <v>-9459.2093380283277</v>
      </c>
      <c r="E309">
        <v>-9459.2093380283241</v>
      </c>
      <c r="F309">
        <v>-11170.5408650553</v>
      </c>
      <c r="G309">
        <v>-25676.384454728828</v>
      </c>
      <c r="H309">
        <v>-25676.384454728843</v>
      </c>
      <c r="I309">
        <v>-25676.384454728843</v>
      </c>
      <c r="J309">
        <v>-33768.490192438541</v>
      </c>
      <c r="K309">
        <v>-33768.490192438541</v>
      </c>
      <c r="L309">
        <v>-44012.130463576643</v>
      </c>
      <c r="M309">
        <v>-50735.85429207109</v>
      </c>
      <c r="N309">
        <v>-56613.772628676968</v>
      </c>
      <c r="O309">
        <v>-56613.772628676968</v>
      </c>
      <c r="P309">
        <v>-56613.772628676968</v>
      </c>
      <c r="Q309">
        <v>-61774.037571506829</v>
      </c>
      <c r="R309">
        <v>-61774.037571506829</v>
      </c>
      <c r="S309">
        <v>-67469.694963647577</v>
      </c>
      <c r="T309">
        <v>-67469.694963647577</v>
      </c>
      <c r="U309">
        <v>-72886.265747048397</v>
      </c>
      <c r="V309">
        <v>-72886.265747048397</v>
      </c>
      <c r="W309">
        <v>-77498.323852929039</v>
      </c>
      <c r="X309">
        <v>-77498.323852929039</v>
      </c>
      <c r="Y309">
        <v>-77498.323852929039</v>
      </c>
      <c r="Z309">
        <v>-77498.323852929039</v>
      </c>
      <c r="AA309">
        <v>-77498.323852929039</v>
      </c>
    </row>
    <row r="310" spans="1:27" x14ac:dyDescent="0.2">
      <c r="A310" t="s">
        <v>529</v>
      </c>
      <c r="B310" t="s">
        <v>135</v>
      </c>
      <c r="C310">
        <v>-890.9865628138914</v>
      </c>
      <c r="D310">
        <v>-1626.7558531189893</v>
      </c>
      <c r="E310">
        <v>-1626.7558531189886</v>
      </c>
      <c r="F310">
        <v>-1921.0635990133692</v>
      </c>
      <c r="G310">
        <v>-4415.7188202550024</v>
      </c>
      <c r="H310">
        <v>-4415.7188202550051</v>
      </c>
      <c r="I310">
        <v>-4415.7188202550051</v>
      </c>
      <c r="J310">
        <v>-5807.3658282089373</v>
      </c>
      <c r="K310">
        <v>-5807.3658282089373</v>
      </c>
      <c r="L310">
        <v>-7569.0248816063859</v>
      </c>
      <c r="M310">
        <v>-8725.3432060974301</v>
      </c>
      <c r="N310">
        <v>-9736.2033865342582</v>
      </c>
      <c r="O310">
        <v>-9736.2033865342582</v>
      </c>
      <c r="P310">
        <v>-9736.2033865342582</v>
      </c>
      <c r="Q310">
        <v>-10623.644492805721</v>
      </c>
      <c r="R310">
        <v>-10623.644492805721</v>
      </c>
      <c r="S310">
        <v>-11603.160186868654</v>
      </c>
      <c r="T310">
        <v>-11603.160186868654</v>
      </c>
      <c r="U310">
        <v>-12534.679715705643</v>
      </c>
      <c r="V310">
        <v>-12534.679715705643</v>
      </c>
      <c r="W310">
        <v>-13327.842468590661</v>
      </c>
      <c r="X310">
        <v>-13327.842468590661</v>
      </c>
      <c r="Y310">
        <v>-13327.842468590661</v>
      </c>
      <c r="Z310">
        <v>-13327.842468590661</v>
      </c>
      <c r="AA310">
        <v>-13327.842468590661</v>
      </c>
    </row>
    <row r="311" spans="1:27" x14ac:dyDescent="0.2">
      <c r="A311" t="s">
        <v>434</v>
      </c>
      <c r="B311" t="s">
        <v>49</v>
      </c>
      <c r="C311">
        <v>-2273.9654437865711</v>
      </c>
      <c r="D311">
        <v>-4151.7871872135156</v>
      </c>
      <c r="E311">
        <v>-4151.7871872135138</v>
      </c>
      <c r="F311">
        <v>-4902.9159605689129</v>
      </c>
      <c r="G311">
        <v>-11269.745724364284</v>
      </c>
      <c r="H311">
        <v>-11269.745724364289</v>
      </c>
      <c r="I311">
        <v>-11269.745724364289</v>
      </c>
      <c r="J311">
        <v>-14821.490877559409</v>
      </c>
      <c r="K311">
        <v>-14821.490877559409</v>
      </c>
      <c r="L311">
        <v>-19317.576428511002</v>
      </c>
      <c r="M311">
        <v>-22268.718478965307</v>
      </c>
      <c r="N311">
        <v>-24848.623962111578</v>
      </c>
      <c r="O311">
        <v>-24848.623962111578</v>
      </c>
      <c r="P311">
        <v>-24848.623962111578</v>
      </c>
      <c r="Q311">
        <v>-27113.540733340767</v>
      </c>
      <c r="R311">
        <v>-27113.540733340767</v>
      </c>
      <c r="S311">
        <v>-29613.449186405713</v>
      </c>
      <c r="T311">
        <v>-29613.449186405713</v>
      </c>
      <c r="U311">
        <v>-31990.862390144586</v>
      </c>
      <c r="V311">
        <v>-31990.862390144586</v>
      </c>
      <c r="W311">
        <v>-34015.163054862809</v>
      </c>
      <c r="X311">
        <v>-34015.163054862809</v>
      </c>
      <c r="Y311">
        <v>-34015.163054862809</v>
      </c>
      <c r="Z311">
        <v>-34015.163054862809</v>
      </c>
      <c r="AA311">
        <v>-34015.163054862809</v>
      </c>
    </row>
    <row r="312" spans="1:27" x14ac:dyDescent="0.2">
      <c r="A312" t="s">
        <v>346</v>
      </c>
      <c r="B312" t="s">
        <v>347</v>
      </c>
      <c r="C312">
        <v>-21872.254433637165</v>
      </c>
      <c r="D312">
        <v>-39934.180161434284</v>
      </c>
      <c r="E312">
        <v>-39934.180161434269</v>
      </c>
      <c r="F312">
        <v>-47158.95118341512</v>
      </c>
      <c r="G312">
        <v>-108398.63312752504</v>
      </c>
      <c r="H312">
        <v>-108398.6331275251</v>
      </c>
      <c r="I312">
        <v>-108398.6331275251</v>
      </c>
      <c r="J312">
        <v>-142561.27789699088</v>
      </c>
      <c r="K312">
        <v>-142561.27789699088</v>
      </c>
      <c r="L312">
        <v>-185807.10970789983</v>
      </c>
      <c r="M312">
        <v>-214192.82241682199</v>
      </c>
      <c r="N312">
        <v>-239007.77696958213</v>
      </c>
      <c r="O312">
        <v>-239007.77696958213</v>
      </c>
      <c r="P312">
        <v>-239007.77696958213</v>
      </c>
      <c r="Q312">
        <v>-260792.99627742067</v>
      </c>
      <c r="R312">
        <v>-260792.99627742067</v>
      </c>
      <c r="S312">
        <v>-284838.49525175284</v>
      </c>
      <c r="T312">
        <v>-284838.49525175284</v>
      </c>
      <c r="U312">
        <v>-307705.76732404804</v>
      </c>
      <c r="V312">
        <v>-307705.76732404804</v>
      </c>
      <c r="W312">
        <v>-327176.60814525688</v>
      </c>
      <c r="X312">
        <v>-327176.60814525688</v>
      </c>
      <c r="Y312">
        <v>-327176.60814525688</v>
      </c>
      <c r="Z312">
        <v>-327176.60814525688</v>
      </c>
      <c r="AA312">
        <v>-327176.60814525688</v>
      </c>
    </row>
    <row r="313" spans="1:27" x14ac:dyDescent="0.2">
      <c r="A313" t="s">
        <v>581</v>
      </c>
      <c r="B313" t="s">
        <v>582</v>
      </c>
      <c r="C313">
        <v>-1739.3527562401457</v>
      </c>
      <c r="D313">
        <v>-3175.6957904238648</v>
      </c>
      <c r="E313">
        <v>-3175.6957904238639</v>
      </c>
      <c r="F313">
        <v>-3750.2330622178733</v>
      </c>
      <c r="G313">
        <v>-8620.2115961610943</v>
      </c>
      <c r="H313">
        <v>-8620.2115961610998</v>
      </c>
      <c r="I313">
        <v>-8620.2115961610998</v>
      </c>
      <c r="J313">
        <v>-11336.936135028955</v>
      </c>
      <c r="K313">
        <v>-11336.936135028955</v>
      </c>
      <c r="L313">
        <v>-14775.985227312847</v>
      </c>
      <c r="M313">
        <v>-17033.309354000707</v>
      </c>
      <c r="N313">
        <v>-19006.675187334233</v>
      </c>
      <c r="O313">
        <v>-19006.675187334233</v>
      </c>
      <c r="P313">
        <v>-19006.675187334233</v>
      </c>
      <c r="Q313">
        <v>-20739.106627511286</v>
      </c>
      <c r="R313">
        <v>-20739.106627511286</v>
      </c>
      <c r="S313">
        <v>-22651.28285255803</v>
      </c>
      <c r="T313">
        <v>-22651.28285255803</v>
      </c>
      <c r="U313">
        <v>-24469.762645179293</v>
      </c>
      <c r="V313">
        <v>-24469.762645179293</v>
      </c>
      <c r="W313">
        <v>-26018.147186491111</v>
      </c>
      <c r="X313">
        <v>-26018.147186491111</v>
      </c>
      <c r="Y313">
        <v>-26018.147186491111</v>
      </c>
      <c r="Z313">
        <v>-26018.147186491111</v>
      </c>
      <c r="AA313">
        <v>-26018.147186491111</v>
      </c>
    </row>
    <row r="314" spans="1:27" x14ac:dyDescent="0.2">
      <c r="A314" t="s">
        <v>486</v>
      </c>
      <c r="B314" t="s">
        <v>487</v>
      </c>
      <c r="C314">
        <v>-3989.3245638582603</v>
      </c>
      <c r="D314">
        <v>-7283.6755963550249</v>
      </c>
      <c r="E314">
        <v>-7283.6755963550213</v>
      </c>
      <c r="F314">
        <v>-8601.4161426571227</v>
      </c>
      <c r="G314">
        <v>-19771.045144722415</v>
      </c>
      <c r="H314">
        <v>-19771.045144722426</v>
      </c>
      <c r="I314">
        <v>-19771.045144722426</v>
      </c>
      <c r="J314">
        <v>-26002.038769942916</v>
      </c>
      <c r="K314">
        <v>-26002.038769942916</v>
      </c>
      <c r="L314">
        <v>-33889.733184398079</v>
      </c>
      <c r="M314">
        <v>-39067.060529227063</v>
      </c>
      <c r="N314">
        <v>-43593.110098041005</v>
      </c>
      <c r="O314">
        <v>-43593.110098041005</v>
      </c>
      <c r="P314">
        <v>-43593.110098041005</v>
      </c>
      <c r="Q314">
        <v>-47566.560149908728</v>
      </c>
      <c r="R314">
        <v>-47566.560149908728</v>
      </c>
      <c r="S314">
        <v>-51952.267165140278</v>
      </c>
      <c r="T314">
        <v>-51952.267165140278</v>
      </c>
      <c r="U314">
        <v>-56123.075001306592</v>
      </c>
      <c r="V314">
        <v>-56123.075001306592</v>
      </c>
      <c r="W314">
        <v>-59674.40089698408</v>
      </c>
      <c r="X314">
        <v>-59674.40089698408</v>
      </c>
      <c r="Y314">
        <v>-59674.40089698408</v>
      </c>
      <c r="Z314">
        <v>-59674.40089698408</v>
      </c>
      <c r="AA314">
        <v>-59674.40089698408</v>
      </c>
    </row>
    <row r="315" spans="1:27" x14ac:dyDescent="0.2">
      <c r="A315" t="s">
        <v>692</v>
      </c>
      <c r="B315" t="s">
        <v>693</v>
      </c>
      <c r="C315">
        <v>-1148.4173119696156</v>
      </c>
      <c r="D315">
        <v>-2096.7707730290158</v>
      </c>
      <c r="E315">
        <v>-2096.7707730290149</v>
      </c>
      <c r="F315">
        <v>-2476.1121958271719</v>
      </c>
      <c r="G315">
        <v>-5691.5425547558316</v>
      </c>
      <c r="H315">
        <v>-5691.5425547558352</v>
      </c>
      <c r="I315">
        <v>-5691.5425547558352</v>
      </c>
      <c r="J315">
        <v>-7485.2750113235807</v>
      </c>
      <c r="K315">
        <v>-7485.2750113235807</v>
      </c>
      <c r="L315">
        <v>-9755.9262637064112</v>
      </c>
      <c r="M315">
        <v>-11246.337048128749</v>
      </c>
      <c r="N315">
        <v>-12549.262793190595</v>
      </c>
      <c r="O315">
        <v>-12549.262793190595</v>
      </c>
      <c r="P315">
        <v>-12549.262793190595</v>
      </c>
      <c r="Q315">
        <v>-13693.11026781126</v>
      </c>
      <c r="R315">
        <v>-13693.11026781126</v>
      </c>
      <c r="S315">
        <v>-14955.63523435531</v>
      </c>
      <c r="T315">
        <v>-14955.63523435531</v>
      </c>
      <c r="U315">
        <v>-16156.296611307669</v>
      </c>
      <c r="V315">
        <v>-16156.296611307669</v>
      </c>
      <c r="W315">
        <v>-17178.626099359553</v>
      </c>
      <c r="X315">
        <v>-17178.626099359553</v>
      </c>
      <c r="Y315">
        <v>-17178.626099359553</v>
      </c>
      <c r="Z315">
        <v>-17178.626099359553</v>
      </c>
      <c r="AA315">
        <v>-17178.626099359553</v>
      </c>
    </row>
    <row r="316" spans="1:27" x14ac:dyDescent="0.2">
      <c r="A316" t="s">
        <v>517</v>
      </c>
      <c r="B316" t="s">
        <v>518</v>
      </c>
      <c r="C316">
        <v>-894.4570830710079</v>
      </c>
      <c r="D316">
        <v>-1633.0923001286976</v>
      </c>
      <c r="E316">
        <v>-1633.0923001286969</v>
      </c>
      <c r="F316">
        <v>-1928.5464168400817</v>
      </c>
      <c r="G316">
        <v>-4432.9186774189839</v>
      </c>
      <c r="H316">
        <v>-4432.9186774189866</v>
      </c>
      <c r="I316">
        <v>-4432.9186774189866</v>
      </c>
      <c r="J316">
        <v>-5829.9863497616234</v>
      </c>
      <c r="K316">
        <v>-5829.9863497616234</v>
      </c>
      <c r="L316">
        <v>-7598.5073174528634</v>
      </c>
      <c r="M316">
        <v>-8759.3296674099565</v>
      </c>
      <c r="N316">
        <v>-9774.1272930112082</v>
      </c>
      <c r="O316">
        <v>-9774.1272930112082</v>
      </c>
      <c r="P316">
        <v>-9774.1272930112082</v>
      </c>
      <c r="Q316">
        <v>-10665.025109478824</v>
      </c>
      <c r="R316">
        <v>-10665.025109478824</v>
      </c>
      <c r="S316">
        <v>-11648.356157443024</v>
      </c>
      <c r="T316">
        <v>-11648.356157443024</v>
      </c>
      <c r="U316">
        <v>-12583.504088244368</v>
      </c>
      <c r="V316">
        <v>-12583.504088244368</v>
      </c>
      <c r="W316">
        <v>-13379.756323637837</v>
      </c>
      <c r="X316">
        <v>-13379.756323637837</v>
      </c>
      <c r="Y316">
        <v>-13379.756323637837</v>
      </c>
      <c r="Z316">
        <v>-13379.756323637837</v>
      </c>
      <c r="AA316">
        <v>-13379.756323637837</v>
      </c>
    </row>
    <row r="317" spans="1:27" x14ac:dyDescent="0.2">
      <c r="A317" t="s">
        <v>492</v>
      </c>
      <c r="B317" t="s">
        <v>493</v>
      </c>
      <c r="C317">
        <v>-2391.1624812687633</v>
      </c>
      <c r="D317">
        <v>-4365.7645631351597</v>
      </c>
      <c r="E317">
        <v>-4365.7645631351579</v>
      </c>
      <c r="F317">
        <v>-5155.6054757824786</v>
      </c>
      <c r="G317">
        <v>-11850.572849808084</v>
      </c>
      <c r="H317">
        <v>-11850.572849808092</v>
      </c>
      <c r="I317">
        <v>-11850.572849808092</v>
      </c>
      <c r="J317">
        <v>-15585.370041451544</v>
      </c>
      <c r="K317">
        <v>-15585.370041451544</v>
      </c>
      <c r="L317">
        <v>-20313.177630342547</v>
      </c>
      <c r="M317">
        <v>-23416.417465065042</v>
      </c>
      <c r="N317">
        <v>-26129.287712664951</v>
      </c>
      <c r="O317">
        <v>-26129.287712664951</v>
      </c>
      <c r="P317">
        <v>-26129.287712664951</v>
      </c>
      <c r="Q317">
        <v>-28510.935165293497</v>
      </c>
      <c r="R317">
        <v>-28510.935165293497</v>
      </c>
      <c r="S317">
        <v>-31139.685446397849</v>
      </c>
      <c r="T317">
        <v>-31139.685446397849</v>
      </c>
      <c r="U317">
        <v>-33639.627242253438</v>
      </c>
      <c r="V317">
        <v>-33639.627242253438</v>
      </c>
      <c r="W317">
        <v>-35768.257566653367</v>
      </c>
      <c r="X317">
        <v>-35768.257566653367</v>
      </c>
      <c r="Y317">
        <v>-35768.257566653367</v>
      </c>
      <c r="Z317">
        <v>-35768.257566653367</v>
      </c>
      <c r="AA317">
        <v>-35768.257566653367</v>
      </c>
    </row>
    <row r="318" spans="1:27" x14ac:dyDescent="0.2">
      <c r="A318" t="s">
        <v>435</v>
      </c>
      <c r="B318" t="s">
        <v>436</v>
      </c>
      <c r="C318">
        <v>-4640.2548640213154</v>
      </c>
      <c r="D318">
        <v>-8472.1387224638456</v>
      </c>
      <c r="E318">
        <v>-8472.138722463842</v>
      </c>
      <c r="F318">
        <v>-10004.892420895103</v>
      </c>
      <c r="G318">
        <v>-22997.047979183371</v>
      </c>
      <c r="H318">
        <v>-22997.047979183386</v>
      </c>
      <c r="I318">
        <v>-22997.047979183386</v>
      </c>
      <c r="J318">
        <v>-30244.740668582341</v>
      </c>
      <c r="K318">
        <v>-30244.740668582341</v>
      </c>
      <c r="L318">
        <v>-39419.454780384483</v>
      </c>
      <c r="M318">
        <v>-45441.556519641927</v>
      </c>
      <c r="N318">
        <v>-50706.112759753523</v>
      </c>
      <c r="O318">
        <v>-50706.112759753523</v>
      </c>
      <c r="P318">
        <v>-50706.112759753523</v>
      </c>
      <c r="Q318">
        <v>-55327.902898656852</v>
      </c>
      <c r="R318">
        <v>-55327.902898656852</v>
      </c>
      <c r="S318">
        <v>-60429.217164728609</v>
      </c>
      <c r="T318">
        <v>-60429.217164728609</v>
      </c>
      <c r="U318">
        <v>-65280.567572265063</v>
      </c>
      <c r="V318">
        <v>-65280.567572265063</v>
      </c>
      <c r="W318">
        <v>-69411.356380585203</v>
      </c>
      <c r="X318">
        <v>-69411.356380585203</v>
      </c>
      <c r="Y318">
        <v>-69411.356380585203</v>
      </c>
      <c r="Z318">
        <v>-69411.356380585203</v>
      </c>
      <c r="AA318">
        <v>-69411.356380585203</v>
      </c>
    </row>
    <row r="319" spans="1:27" x14ac:dyDescent="0.2">
      <c r="A319" t="s">
        <v>627</v>
      </c>
      <c r="B319" t="s">
        <v>628</v>
      </c>
      <c r="C319">
        <v>-1140.239729936897</v>
      </c>
      <c r="D319">
        <v>-2081.840211793532</v>
      </c>
      <c r="E319">
        <v>-2081.8402117935311</v>
      </c>
      <c r="F319">
        <v>-2458.480442637328</v>
      </c>
      <c r="G319">
        <v>-5651.0145553525472</v>
      </c>
      <c r="H319">
        <v>-5651.0145553525508</v>
      </c>
      <c r="I319">
        <v>-5651.0145553525508</v>
      </c>
      <c r="J319">
        <v>-7431.9743079951213</v>
      </c>
      <c r="K319">
        <v>-7431.9743079951213</v>
      </c>
      <c r="L319">
        <v>-9686.4568413151828</v>
      </c>
      <c r="M319">
        <v>-11166.254796825044</v>
      </c>
      <c r="N319">
        <v>-12459.902745347485</v>
      </c>
      <c r="O319">
        <v>-12459.902745347485</v>
      </c>
      <c r="P319">
        <v>-12459.902745347485</v>
      </c>
      <c r="Q319">
        <v>-13595.605178562784</v>
      </c>
      <c r="R319">
        <v>-13595.605178562784</v>
      </c>
      <c r="S319">
        <v>-14849.140032040215</v>
      </c>
      <c r="T319">
        <v>-14849.140032040215</v>
      </c>
      <c r="U319">
        <v>-16041.251810513686</v>
      </c>
      <c r="V319">
        <v>-16041.251810513686</v>
      </c>
      <c r="W319">
        <v>-17056.301555247635</v>
      </c>
      <c r="X319">
        <v>-17056.301555247635</v>
      </c>
      <c r="Y319">
        <v>-17056.301555247635</v>
      </c>
      <c r="Z319">
        <v>-17056.301555247635</v>
      </c>
      <c r="AA319">
        <v>-17056.301555247635</v>
      </c>
    </row>
    <row r="320" spans="1:27" x14ac:dyDescent="0.2">
      <c r="A320" t="s">
        <v>524</v>
      </c>
      <c r="B320" t="s">
        <v>183</v>
      </c>
      <c r="C320">
        <v>-1733.7497266137966</v>
      </c>
      <c r="D320">
        <v>-3165.4658255509084</v>
      </c>
      <c r="E320">
        <v>-3165.4658255509071</v>
      </c>
      <c r="F320">
        <v>-3738.1523230590487</v>
      </c>
      <c r="G320">
        <v>-8592.443047897721</v>
      </c>
      <c r="H320">
        <v>-8592.4430478977265</v>
      </c>
      <c r="I320">
        <v>-8592.4430478977265</v>
      </c>
      <c r="J320">
        <v>-11300.416119863139</v>
      </c>
      <c r="K320">
        <v>-11300.416119863139</v>
      </c>
      <c r="L320">
        <v>-14728.386899319801</v>
      </c>
      <c r="M320">
        <v>-16978.439439543828</v>
      </c>
      <c r="N320">
        <v>-18945.448409849927</v>
      </c>
      <c r="O320">
        <v>-18945.448409849927</v>
      </c>
      <c r="P320">
        <v>-18945.448409849927</v>
      </c>
      <c r="Q320">
        <v>-20672.299116245347</v>
      </c>
      <c r="R320">
        <v>-20672.299116245347</v>
      </c>
      <c r="S320">
        <v>-22578.315590200025</v>
      </c>
      <c r="T320">
        <v>-22578.315590200025</v>
      </c>
      <c r="U320">
        <v>-24390.937458880089</v>
      </c>
      <c r="V320">
        <v>-24390.937458880089</v>
      </c>
      <c r="W320">
        <v>-25934.334142250598</v>
      </c>
      <c r="X320">
        <v>-25934.334142250598</v>
      </c>
      <c r="Y320">
        <v>-25934.334142250598</v>
      </c>
      <c r="Z320">
        <v>-25934.334142250598</v>
      </c>
      <c r="AA320">
        <v>-25934.334142250598</v>
      </c>
    </row>
    <row r="321" spans="1:27" x14ac:dyDescent="0.2">
      <c r="A321" t="s">
        <v>617</v>
      </c>
      <c r="B321" t="s">
        <v>618</v>
      </c>
      <c r="C321">
        <v>-929.16450215153861</v>
      </c>
      <c r="D321">
        <v>-1696.4608171101374</v>
      </c>
      <c r="E321">
        <v>-1696.4608171101368</v>
      </c>
      <c r="F321">
        <v>-2003.3793741416348</v>
      </c>
      <c r="G321">
        <v>-4604.9282340528807</v>
      </c>
      <c r="H321">
        <v>-4604.9282340528835</v>
      </c>
      <c r="I321">
        <v>-4604.9282340528835</v>
      </c>
      <c r="J321">
        <v>-6056.2060122860985</v>
      </c>
      <c r="K321">
        <v>-6056.2060122860985</v>
      </c>
      <c r="L321">
        <v>-7893.3505053986173</v>
      </c>
      <c r="M321">
        <v>-9099.215986592013</v>
      </c>
      <c r="N321">
        <v>-10153.390578556751</v>
      </c>
      <c r="O321">
        <v>-10153.390578556751</v>
      </c>
      <c r="P321">
        <v>-10153.390578556751</v>
      </c>
      <c r="Q321">
        <v>-11078.857704675209</v>
      </c>
      <c r="R321">
        <v>-11078.857704675209</v>
      </c>
      <c r="S321">
        <v>-12100.344728395579</v>
      </c>
      <c r="T321">
        <v>-12100.344728395579</v>
      </c>
      <c r="U321">
        <v>-13071.778996183799</v>
      </c>
      <c r="V321">
        <v>-13071.778996183799</v>
      </c>
      <c r="W321">
        <v>-13898.928029814615</v>
      </c>
      <c r="X321">
        <v>-13898.928029814615</v>
      </c>
      <c r="Y321">
        <v>-13898.928029814615</v>
      </c>
      <c r="Z321">
        <v>-13898.928029814615</v>
      </c>
      <c r="AA321">
        <v>-13898.928029814615</v>
      </c>
    </row>
    <row r="322" spans="1:27" x14ac:dyDescent="0.2">
      <c r="A322" t="s">
        <v>540</v>
      </c>
      <c r="B322" t="s">
        <v>541</v>
      </c>
      <c r="C322">
        <v>-1186.9818048326906</v>
      </c>
      <c r="D322">
        <v>-2167.1815032306522</v>
      </c>
      <c r="E322">
        <v>-2167.1815032306513</v>
      </c>
      <c r="F322">
        <v>-2559.2614222528669</v>
      </c>
      <c r="G322">
        <v>-5882.6677232334159</v>
      </c>
      <c r="H322">
        <v>-5882.6677232334196</v>
      </c>
      <c r="I322">
        <v>-5882.6677232334196</v>
      </c>
      <c r="J322">
        <v>-7736.6347145809768</v>
      </c>
      <c r="K322">
        <v>-7736.6347145809768</v>
      </c>
      <c r="L322">
        <v>-10083.535700492177</v>
      </c>
      <c r="M322">
        <v>-11623.995309030837</v>
      </c>
      <c r="N322">
        <v>-12970.674026181179</v>
      </c>
      <c r="O322">
        <v>-12970.674026181179</v>
      </c>
      <c r="P322">
        <v>-12970.674026181179</v>
      </c>
      <c r="Q322">
        <v>-14152.932535981905</v>
      </c>
      <c r="R322">
        <v>-14152.932535981905</v>
      </c>
      <c r="S322">
        <v>-15457.853793973562</v>
      </c>
      <c r="T322">
        <v>-15457.853793973562</v>
      </c>
      <c r="U322">
        <v>-16698.834048584631</v>
      </c>
      <c r="V322">
        <v>-16698.834048584631</v>
      </c>
      <c r="W322">
        <v>-17755.49393015703</v>
      </c>
      <c r="X322">
        <v>-17755.49393015703</v>
      </c>
      <c r="Y322">
        <v>-17755.49393015703</v>
      </c>
      <c r="Z322">
        <v>-17755.49393015703</v>
      </c>
      <c r="AA322">
        <v>-17755.49393015703</v>
      </c>
    </row>
    <row r="323" spans="1:27" x14ac:dyDescent="0.2">
      <c r="A323" t="s">
        <v>423</v>
      </c>
      <c r="B323" t="s">
        <v>424</v>
      </c>
      <c r="C323">
        <v>-11778.905435147051</v>
      </c>
      <c r="D323">
        <v>-21505.827539582053</v>
      </c>
      <c r="E323">
        <v>-21505.827539582046</v>
      </c>
      <c r="F323">
        <v>-25396.596774948506</v>
      </c>
      <c r="G323">
        <v>-58376.115401469942</v>
      </c>
      <c r="H323">
        <v>-58376.115401469979</v>
      </c>
      <c r="I323">
        <v>-58376.115401469979</v>
      </c>
      <c r="J323">
        <v>-76773.787364137577</v>
      </c>
      <c r="K323">
        <v>-76773.787364137577</v>
      </c>
      <c r="L323">
        <v>-100063.04476147225</v>
      </c>
      <c r="M323">
        <v>-115349.65486936527</v>
      </c>
      <c r="N323">
        <v>-128713.29801558427</v>
      </c>
      <c r="O323">
        <v>-128713.29801558427</v>
      </c>
      <c r="P323">
        <v>-128713.29801558427</v>
      </c>
      <c r="Q323">
        <v>-140445.33226425035</v>
      </c>
      <c r="R323">
        <v>-140445.33226425035</v>
      </c>
      <c r="S323">
        <v>-153394.59908166665</v>
      </c>
      <c r="T323">
        <v>-153394.59908166665</v>
      </c>
      <c r="U323">
        <v>-165709.35319704996</v>
      </c>
      <c r="V323">
        <v>-165709.35319704996</v>
      </c>
      <c r="W323">
        <v>-176195.02093979125</v>
      </c>
      <c r="X323">
        <v>-176195.02093979125</v>
      </c>
      <c r="Y323">
        <v>-176195.02093979125</v>
      </c>
      <c r="Z323">
        <v>-176195.02093979125</v>
      </c>
      <c r="AA323">
        <v>-176195.02093979125</v>
      </c>
    </row>
    <row r="324" spans="1:27" x14ac:dyDescent="0.2">
      <c r="A324" t="s">
        <v>826</v>
      </c>
      <c r="B324" t="s">
        <v>827</v>
      </c>
      <c r="C324">
        <v>-96.002436783314806</v>
      </c>
      <c r="D324">
        <v>-175.28045031085873</v>
      </c>
      <c r="E324">
        <v>-175.28045031085867</v>
      </c>
      <c r="F324">
        <v>-206.99165892980039</v>
      </c>
      <c r="G324">
        <v>-475.78693617512198</v>
      </c>
      <c r="H324">
        <v>-475.78693617512226</v>
      </c>
      <c r="I324">
        <v>-475.78693617512226</v>
      </c>
      <c r="J324">
        <v>-625.7347687034262</v>
      </c>
      <c r="K324">
        <v>-625.7347687034262</v>
      </c>
      <c r="L324">
        <v>-815.55083211679698</v>
      </c>
      <c r="M324">
        <v>-940.14235962283806</v>
      </c>
      <c r="N324">
        <v>-1049.0609950090682</v>
      </c>
      <c r="O324">
        <v>-1049.0609950090682</v>
      </c>
      <c r="P324">
        <v>-1049.0609950090682</v>
      </c>
      <c r="Q324">
        <v>-1144.6814142830422</v>
      </c>
      <c r="R324">
        <v>-1144.6814142830422</v>
      </c>
      <c r="S324">
        <v>-1250.2227292952007</v>
      </c>
      <c r="T324">
        <v>-1250.2227292952007</v>
      </c>
      <c r="U324">
        <v>-1350.592531054238</v>
      </c>
      <c r="V324">
        <v>-1350.592531054238</v>
      </c>
      <c r="W324">
        <v>-1436.0546022242486</v>
      </c>
      <c r="X324">
        <v>-1436.0546022242486</v>
      </c>
      <c r="Y324">
        <v>-1436.0546022242486</v>
      </c>
      <c r="Z324">
        <v>-1436.0546022242486</v>
      </c>
      <c r="AA324">
        <v>-1436.0546022242486</v>
      </c>
    </row>
    <row r="325" spans="1:27" x14ac:dyDescent="0.2">
      <c r="A325" t="s">
        <v>474</v>
      </c>
      <c r="B325" t="s">
        <v>91</v>
      </c>
      <c r="C325">
        <v>-2201.1397372576544</v>
      </c>
      <c r="D325">
        <v>-4018.8226181640189</v>
      </c>
      <c r="E325">
        <v>-4018.8226181640171</v>
      </c>
      <c r="F325">
        <v>-4745.8958440777105</v>
      </c>
      <c r="G325">
        <v>-10908.822387987011</v>
      </c>
      <c r="H325">
        <v>-10908.822387987018</v>
      </c>
      <c r="I325">
        <v>-10908.822387987018</v>
      </c>
      <c r="J325">
        <v>-14346.819836308761</v>
      </c>
      <c r="K325">
        <v>-14346.819836308761</v>
      </c>
      <c r="L325">
        <v>-18698.914365867666</v>
      </c>
      <c r="M325">
        <v>-21555.543544334942</v>
      </c>
      <c r="N325">
        <v>-24052.825327063365</v>
      </c>
      <c r="O325">
        <v>-24052.825327063365</v>
      </c>
      <c r="P325">
        <v>-24052.825327063365</v>
      </c>
      <c r="Q325">
        <v>-26245.206183314316</v>
      </c>
      <c r="R325">
        <v>-26245.206183314316</v>
      </c>
      <c r="S325">
        <v>-28665.052909913924</v>
      </c>
      <c r="T325">
        <v>-28665.052909913924</v>
      </c>
      <c r="U325">
        <v>-30966.327403301439</v>
      </c>
      <c r="V325">
        <v>-30966.327403301439</v>
      </c>
      <c r="W325">
        <v>-32925.798091584496</v>
      </c>
      <c r="X325">
        <v>-32925.798091584496</v>
      </c>
      <c r="Y325">
        <v>-32925.798091584496</v>
      </c>
      <c r="Z325">
        <v>-32925.798091584496</v>
      </c>
      <c r="AA325">
        <v>-32925.798091584496</v>
      </c>
    </row>
    <row r="326" spans="1:27" x14ac:dyDescent="0.2">
      <c r="A326" t="s">
        <v>404</v>
      </c>
      <c r="B326" t="s">
        <v>99</v>
      </c>
      <c r="C326">
        <v>-5501.8933395647446</v>
      </c>
      <c r="D326">
        <v>-10045.311082029022</v>
      </c>
      <c r="E326">
        <v>-10045.311082029019</v>
      </c>
      <c r="F326">
        <v>-11862.678362860652</v>
      </c>
      <c r="G326">
        <v>-27267.31802758553</v>
      </c>
      <c r="H326">
        <v>-27267.318027585548</v>
      </c>
      <c r="I326">
        <v>-27267.318027585548</v>
      </c>
      <c r="J326">
        <v>-35860.818450202212</v>
      </c>
      <c r="K326">
        <v>-35860.818450202212</v>
      </c>
      <c r="L326">
        <v>-46739.164563370148</v>
      </c>
      <c r="M326">
        <v>-53879.496812424302</v>
      </c>
      <c r="N326">
        <v>-60121.616644638103</v>
      </c>
      <c r="O326">
        <v>-60121.616644638103</v>
      </c>
      <c r="P326">
        <v>-60121.616644638103</v>
      </c>
      <c r="Q326">
        <v>-65601.61658586147</v>
      </c>
      <c r="R326">
        <v>-65601.61658586147</v>
      </c>
      <c r="S326">
        <v>-71650.182409507543</v>
      </c>
      <c r="T326">
        <v>-71650.182409507543</v>
      </c>
      <c r="U326">
        <v>-77402.369148661819</v>
      </c>
      <c r="V326">
        <v>-77402.369148661819</v>
      </c>
      <c r="W326">
        <v>-82300.194827993022</v>
      </c>
      <c r="X326">
        <v>-82300.194827993022</v>
      </c>
      <c r="Y326">
        <v>-82300.194827993022</v>
      </c>
      <c r="Z326">
        <v>-82300.194827993022</v>
      </c>
      <c r="AA326">
        <v>-82300.194827993022</v>
      </c>
    </row>
    <row r="327" spans="1:27" x14ac:dyDescent="0.2">
      <c r="A327" t="s">
        <v>458</v>
      </c>
      <c r="B327" t="s">
        <v>459</v>
      </c>
      <c r="C327">
        <v>-2229.1925513143879</v>
      </c>
      <c r="D327">
        <v>-4070.0412126612537</v>
      </c>
      <c r="E327">
        <v>-4070.0412126612523</v>
      </c>
      <c r="F327">
        <v>-4806.3807516885317</v>
      </c>
      <c r="G327">
        <v>-11047.85180118065</v>
      </c>
      <c r="H327">
        <v>-11047.851801180657</v>
      </c>
      <c r="I327">
        <v>-11047.851801180657</v>
      </c>
      <c r="J327">
        <v>-14529.665415060999</v>
      </c>
      <c r="K327">
        <v>-14529.665415060999</v>
      </c>
      <c r="L327">
        <v>-18937.225981840762</v>
      </c>
      <c r="M327">
        <v>-21830.261975293997</v>
      </c>
      <c r="N327">
        <v>-24359.370806670147</v>
      </c>
      <c r="O327">
        <v>-24359.370806670147</v>
      </c>
      <c r="P327">
        <v>-24359.370806670147</v>
      </c>
      <c r="Q327">
        <v>-26579.692847872207</v>
      </c>
      <c r="R327">
        <v>-26579.692847872207</v>
      </c>
      <c r="S327">
        <v>-29030.3797383733</v>
      </c>
      <c r="T327">
        <v>-29030.3797383733</v>
      </c>
      <c r="U327">
        <v>-31360.98323089875</v>
      </c>
      <c r="V327">
        <v>-31360.98323089875</v>
      </c>
      <c r="W327">
        <v>-33345.426739370181</v>
      </c>
      <c r="X327">
        <v>-33345.426739370181</v>
      </c>
      <c r="Y327">
        <v>-33345.426739370181</v>
      </c>
      <c r="Z327">
        <v>-33345.426739370181</v>
      </c>
      <c r="AA327">
        <v>-33345.426739370181</v>
      </c>
    </row>
    <row r="328" spans="1:27" x14ac:dyDescent="0.2">
      <c r="A328" t="s">
        <v>588</v>
      </c>
      <c r="B328" t="s">
        <v>589</v>
      </c>
      <c r="C328">
        <v>-1143.6352194827946</v>
      </c>
      <c r="D328">
        <v>-2088.0396683549743</v>
      </c>
      <c r="E328">
        <v>-2088.0396683549734</v>
      </c>
      <c r="F328">
        <v>-2465.8014861184488</v>
      </c>
      <c r="G328">
        <v>-5667.8425612031042</v>
      </c>
      <c r="H328">
        <v>-5667.8425612031078</v>
      </c>
      <c r="I328">
        <v>-5667.8425612031078</v>
      </c>
      <c r="J328">
        <v>-7454.1057864953264</v>
      </c>
      <c r="K328">
        <v>-7454.1057864953264</v>
      </c>
      <c r="L328">
        <v>-9715.3018833514725</v>
      </c>
      <c r="M328">
        <v>-11199.506489810297</v>
      </c>
      <c r="N328">
        <v>-12497.006758130017</v>
      </c>
      <c r="O328">
        <v>-12497.006758130017</v>
      </c>
      <c r="P328">
        <v>-12497.006758130017</v>
      </c>
      <c r="Q328">
        <v>-13636.091169396062</v>
      </c>
      <c r="R328">
        <v>-13636.091169396062</v>
      </c>
      <c r="S328">
        <v>-14893.358890952592</v>
      </c>
      <c r="T328">
        <v>-14893.358890952592</v>
      </c>
      <c r="U328">
        <v>-16089.020627364795</v>
      </c>
      <c r="V328">
        <v>-16089.020627364795</v>
      </c>
      <c r="W328">
        <v>-17107.093061719464</v>
      </c>
      <c r="X328">
        <v>-17107.093061719464</v>
      </c>
      <c r="Y328">
        <v>-17107.093061719464</v>
      </c>
      <c r="Z328">
        <v>-17107.093061719464</v>
      </c>
      <c r="AA328">
        <v>-17107.093061719464</v>
      </c>
    </row>
    <row r="329" spans="1:27" x14ac:dyDescent="0.2">
      <c r="A329" t="s">
        <v>888</v>
      </c>
      <c r="B329" t="s">
        <v>889</v>
      </c>
      <c r="C329">
        <v>-75.38204553150841</v>
      </c>
      <c r="D329">
        <v>-137.63191153094633</v>
      </c>
      <c r="E329">
        <v>-137.63191153094627</v>
      </c>
      <c r="F329">
        <v>-162.53186044961464</v>
      </c>
      <c r="G329">
        <v>-373.59252210443265</v>
      </c>
      <c r="H329">
        <v>-373.59252210443282</v>
      </c>
      <c r="I329">
        <v>-373.59252210443282</v>
      </c>
      <c r="J329">
        <v>-491.33301617660129</v>
      </c>
      <c r="K329">
        <v>-491.33301617660129</v>
      </c>
      <c r="L329">
        <v>-640.37843225426127</v>
      </c>
      <c r="M329">
        <v>-738.20890941703351</v>
      </c>
      <c r="N329">
        <v>-823.73287950590066</v>
      </c>
      <c r="O329">
        <v>-823.73287950590066</v>
      </c>
      <c r="P329">
        <v>-823.73287950590066</v>
      </c>
      <c r="Q329">
        <v>-898.81496117974177</v>
      </c>
      <c r="R329">
        <v>-898.81496117974177</v>
      </c>
      <c r="S329">
        <v>-981.68702651761419</v>
      </c>
      <c r="T329">
        <v>-981.68702651761419</v>
      </c>
      <c r="U329">
        <v>-1060.4983694345181</v>
      </c>
      <c r="V329">
        <v>-1060.4983694345181</v>
      </c>
      <c r="W329">
        <v>-1127.6040175410922</v>
      </c>
      <c r="X329">
        <v>-1127.6040175410922</v>
      </c>
      <c r="Y329">
        <v>-1127.6040175410922</v>
      </c>
      <c r="Z329">
        <v>-1127.6040175410922</v>
      </c>
      <c r="AA329">
        <v>-1127.6040175410922</v>
      </c>
    </row>
    <row r="330" spans="1:27" x14ac:dyDescent="0.2">
      <c r="A330" t="s">
        <v>354</v>
      </c>
      <c r="B330" t="s">
        <v>29</v>
      </c>
      <c r="C330">
        <v>-11616.663052241733</v>
      </c>
      <c r="D330">
        <v>-21209.606746777205</v>
      </c>
      <c r="E330">
        <v>-21209.606746777194</v>
      </c>
      <c r="F330">
        <v>-25046.784612762513</v>
      </c>
      <c r="G330">
        <v>-57572.044079254418</v>
      </c>
      <c r="H330">
        <v>-57572.044079254454</v>
      </c>
      <c r="I330">
        <v>-57572.044079254454</v>
      </c>
      <c r="J330">
        <v>-75716.306915278838</v>
      </c>
      <c r="K330">
        <v>-75716.306915278838</v>
      </c>
      <c r="L330">
        <v>-98684.778596398828</v>
      </c>
      <c r="M330">
        <v>-113760.83127481723</v>
      </c>
      <c r="N330">
        <v>-126940.40389595421</v>
      </c>
      <c r="O330">
        <v>-126940.40389595421</v>
      </c>
      <c r="P330">
        <v>-126940.40389595421</v>
      </c>
      <c r="Q330">
        <v>-138510.84136440075</v>
      </c>
      <c r="R330">
        <v>-138510.84136440075</v>
      </c>
      <c r="S330">
        <v>-151281.74526712162</v>
      </c>
      <c r="T330">
        <v>-151281.74526712162</v>
      </c>
      <c r="U330">
        <v>-163426.87623173144</v>
      </c>
      <c r="V330">
        <v>-163426.87623173144</v>
      </c>
      <c r="W330">
        <v>-173768.11461893521</v>
      </c>
      <c r="X330">
        <v>-173768.11461893521</v>
      </c>
      <c r="Y330">
        <v>-173768.11461893521</v>
      </c>
      <c r="Z330">
        <v>-173768.11461893521</v>
      </c>
      <c r="AA330">
        <v>-173768.11461893521</v>
      </c>
    </row>
    <row r="331" spans="1:27" x14ac:dyDescent="0.2">
      <c r="A331" t="s">
        <v>531</v>
      </c>
      <c r="B331" t="s">
        <v>532</v>
      </c>
      <c r="C331">
        <v>-903.25463071834236</v>
      </c>
      <c r="D331">
        <v>-1649.1547894250527</v>
      </c>
      <c r="E331">
        <v>-1649.1547894250521</v>
      </c>
      <c r="F331">
        <v>-1947.5148830900155</v>
      </c>
      <c r="G331">
        <v>-4476.5192190430207</v>
      </c>
      <c r="H331">
        <v>-4476.5192190430234</v>
      </c>
      <c r="I331">
        <v>-4476.5192190430234</v>
      </c>
      <c r="J331">
        <v>-5887.3279301080393</v>
      </c>
      <c r="K331">
        <v>-5887.3279301080393</v>
      </c>
      <c r="L331">
        <v>-7673.2434131684849</v>
      </c>
      <c r="M331">
        <v>-8845.483180603871</v>
      </c>
      <c r="N331">
        <v>-9870.2619787315653</v>
      </c>
      <c r="O331">
        <v>-9870.2619787315653</v>
      </c>
      <c r="P331">
        <v>-9870.2619787315653</v>
      </c>
      <c r="Q331">
        <v>-10769.922335222196</v>
      </c>
      <c r="R331">
        <v>-10769.922335222196</v>
      </c>
      <c r="S331">
        <v>-11762.925062142604</v>
      </c>
      <c r="T331">
        <v>-11762.925062142604</v>
      </c>
      <c r="U331">
        <v>-12707.270760656049</v>
      </c>
      <c r="V331">
        <v>-12707.270760656049</v>
      </c>
      <c r="W331">
        <v>-13511.354637290617</v>
      </c>
      <c r="X331">
        <v>-13511.354637290617</v>
      </c>
      <c r="Y331">
        <v>-13511.354637290617</v>
      </c>
      <c r="Z331">
        <v>-13511.354637290617</v>
      </c>
      <c r="AA331">
        <v>-13511.354637290617</v>
      </c>
    </row>
    <row r="332" spans="1:27" x14ac:dyDescent="0.2">
      <c r="A332" t="s">
        <v>401</v>
      </c>
      <c r="B332" t="s">
        <v>57</v>
      </c>
      <c r="C332">
        <v>-4019.349153706768</v>
      </c>
      <c r="D332">
        <v>-7338.4942426871339</v>
      </c>
      <c r="E332">
        <v>-7338.4942426871312</v>
      </c>
      <c r="F332">
        <v>-8666.1524125859451</v>
      </c>
      <c r="G332">
        <v>-19919.846655315101</v>
      </c>
      <c r="H332">
        <v>-19919.846655315112</v>
      </c>
      <c r="I332">
        <v>-19919.846655315112</v>
      </c>
      <c r="J332">
        <v>-26197.736196110083</v>
      </c>
      <c r="K332">
        <v>-26197.736196110083</v>
      </c>
      <c r="L332">
        <v>-34144.795243814173</v>
      </c>
      <c r="M332">
        <v>-39361.088365318305</v>
      </c>
      <c r="N332">
        <v>-43921.202041918506</v>
      </c>
      <c r="O332">
        <v>-43921.202041918506</v>
      </c>
      <c r="P332">
        <v>-43921.202041918506</v>
      </c>
      <c r="Q332">
        <v>-47924.557208344137</v>
      </c>
      <c r="R332">
        <v>-47924.557208344137</v>
      </c>
      <c r="S332">
        <v>-52343.272080474824</v>
      </c>
      <c r="T332">
        <v>-52343.272080474824</v>
      </c>
      <c r="U332">
        <v>-56545.470392049516</v>
      </c>
      <c r="V332">
        <v>-56545.470392049516</v>
      </c>
      <c r="W332">
        <v>-60123.524397142341</v>
      </c>
      <c r="X332">
        <v>-60123.524397142341</v>
      </c>
      <c r="Y332">
        <v>-60123.524397142341</v>
      </c>
      <c r="Z332">
        <v>-60123.524397142341</v>
      </c>
      <c r="AA332">
        <v>-60123.524397142341</v>
      </c>
    </row>
    <row r="333" spans="1:27" x14ac:dyDescent="0.2">
      <c r="A333" t="s">
        <v>963</v>
      </c>
      <c r="B333" t="s">
        <v>964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965</v>
      </c>
      <c r="B334" t="s">
        <v>966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392</v>
      </c>
      <c r="B335" t="s">
        <v>393</v>
      </c>
      <c r="C335">
        <v>-3512.6786414685594</v>
      </c>
      <c r="D335">
        <v>-6413.4194370882233</v>
      </c>
      <c r="E335">
        <v>-6413.4194370882205</v>
      </c>
      <c r="F335">
        <v>-7573.7158727123442</v>
      </c>
      <c r="G335">
        <v>-17408.793615982308</v>
      </c>
      <c r="H335">
        <v>-17408.793615982318</v>
      </c>
      <c r="I335">
        <v>-17408.793615982318</v>
      </c>
      <c r="J335">
        <v>-22895.305899472827</v>
      </c>
      <c r="K335">
        <v>-22895.305899472827</v>
      </c>
      <c r="L335">
        <v>-29840.575770744181</v>
      </c>
      <c r="M335">
        <v>-34399.314197001258</v>
      </c>
      <c r="N335">
        <v>-38384.589748315258</v>
      </c>
      <c r="O335">
        <v>-38384.589748315258</v>
      </c>
      <c r="P335">
        <v>-38384.589748315258</v>
      </c>
      <c r="Q335">
        <v>-41883.290570150362</v>
      </c>
      <c r="R335">
        <v>-41883.290570150362</v>
      </c>
      <c r="S335">
        <v>-45744.991746262058</v>
      </c>
      <c r="T335">
        <v>-45744.991746262058</v>
      </c>
      <c r="U335">
        <v>-49417.469973905114</v>
      </c>
      <c r="V335">
        <v>-49417.469973905114</v>
      </c>
      <c r="W335">
        <v>-52544.482184357024</v>
      </c>
      <c r="X335">
        <v>-52544.482184357024</v>
      </c>
      <c r="Y335">
        <v>-52544.482184357024</v>
      </c>
      <c r="Z335">
        <v>-52544.482184357024</v>
      </c>
      <c r="AA335">
        <v>-52544.482184357024</v>
      </c>
    </row>
    <row r="336" spans="1:27" x14ac:dyDescent="0.2">
      <c r="A336" t="s">
        <v>381</v>
      </c>
      <c r="B336" t="s">
        <v>47</v>
      </c>
      <c r="C336">
        <v>-4907.6322450645002</v>
      </c>
      <c r="D336">
        <v>-8960.3141201151357</v>
      </c>
      <c r="E336">
        <v>-8960.314120115132</v>
      </c>
      <c r="F336">
        <v>-10581.387034124056</v>
      </c>
      <c r="G336">
        <v>-24322.167103151016</v>
      </c>
      <c r="H336">
        <v>-24322.16710315103</v>
      </c>
      <c r="I336">
        <v>-24322.16710315103</v>
      </c>
      <c r="J336">
        <v>-31987.481054029129</v>
      </c>
      <c r="K336">
        <v>-31987.481054029129</v>
      </c>
      <c r="L336">
        <v>-41690.853850088919</v>
      </c>
      <c r="M336">
        <v>-48059.956743076706</v>
      </c>
      <c r="N336">
        <v>-53627.863402741707</v>
      </c>
      <c r="O336">
        <v>-53627.863402741707</v>
      </c>
      <c r="P336">
        <v>-53627.863402741707</v>
      </c>
      <c r="Q336">
        <v>-58515.966961766157</v>
      </c>
      <c r="R336">
        <v>-58515.966961766157</v>
      </c>
      <c r="S336">
        <v>-63911.225437436449</v>
      </c>
      <c r="T336">
        <v>-63911.225437436449</v>
      </c>
      <c r="U336">
        <v>-69042.116819445539</v>
      </c>
      <c r="V336">
        <v>-69042.116819445539</v>
      </c>
      <c r="W336">
        <v>-73410.926927366003</v>
      </c>
      <c r="X336">
        <v>-73410.926927366003</v>
      </c>
      <c r="Y336">
        <v>-73410.926927366003</v>
      </c>
      <c r="Z336">
        <v>-73410.926927366003</v>
      </c>
      <c r="AA336">
        <v>-73410.926927366003</v>
      </c>
    </row>
    <row r="337" spans="1:27" x14ac:dyDescent="0.2">
      <c r="A337" t="s">
        <v>967</v>
      </c>
      <c r="B337" t="s">
        <v>321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362</v>
      </c>
      <c r="B338" t="s">
        <v>363</v>
      </c>
      <c r="C338">
        <v>-12833.074735026099</v>
      </c>
      <c r="D338">
        <v>-23430.521076306904</v>
      </c>
      <c r="E338">
        <v>-23430.521076306894</v>
      </c>
      <c r="F338">
        <v>-27669.500041636777</v>
      </c>
      <c r="G338">
        <v>-63600.565927985081</v>
      </c>
      <c r="H338">
        <v>-63600.565927985117</v>
      </c>
      <c r="I338">
        <v>-63600.565927985117</v>
      </c>
      <c r="J338">
        <v>-83644.762780344012</v>
      </c>
      <c r="K338">
        <v>-83644.762780344012</v>
      </c>
      <c r="L338">
        <v>-109018.32421598042</v>
      </c>
      <c r="M338">
        <v>-125673.03046520734</v>
      </c>
      <c r="N338">
        <v>-140232.67118665497</v>
      </c>
      <c r="O338">
        <v>-140232.67118665497</v>
      </c>
      <c r="P338">
        <v>-140232.67118665497</v>
      </c>
      <c r="Q338">
        <v>-153014.67993406946</v>
      </c>
      <c r="R338">
        <v>-153014.67993406946</v>
      </c>
      <c r="S338">
        <v>-167122.85914873873</v>
      </c>
      <c r="T338">
        <v>-167122.85914873873</v>
      </c>
      <c r="U338">
        <v>-180539.73907670053</v>
      </c>
      <c r="V338">
        <v>-180539.73907670053</v>
      </c>
      <c r="W338">
        <v>-191963.83603801308</v>
      </c>
      <c r="X338">
        <v>-191963.83603801308</v>
      </c>
      <c r="Y338">
        <v>-191963.83603801308</v>
      </c>
      <c r="Z338">
        <v>-191963.83603801308</v>
      </c>
      <c r="AA338">
        <v>-191963.83603801308</v>
      </c>
    </row>
    <row r="339" spans="1:27" x14ac:dyDescent="0.2">
      <c r="A339" t="s">
        <v>954</v>
      </c>
      <c r="B339" t="s">
        <v>955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380</v>
      </c>
      <c r="B340" t="s">
        <v>53</v>
      </c>
      <c r="C340">
        <v>-4475.0516794079103</v>
      </c>
      <c r="D340">
        <v>-8170.5121225350995</v>
      </c>
      <c r="E340">
        <v>-8170.5121225350968</v>
      </c>
      <c r="F340">
        <v>-9648.6964493199521</v>
      </c>
      <c r="G340">
        <v>-22178.302958877324</v>
      </c>
      <c r="H340">
        <v>-22178.302958877339</v>
      </c>
      <c r="I340">
        <v>-22178.302958877339</v>
      </c>
      <c r="J340">
        <v>-29167.961995281988</v>
      </c>
      <c r="K340">
        <v>-29167.961995281988</v>
      </c>
      <c r="L340">
        <v>-38016.036292331861</v>
      </c>
      <c r="M340">
        <v>-43823.738087072234</v>
      </c>
      <c r="N340">
        <v>-48900.864653183315</v>
      </c>
      <c r="O340">
        <v>-48900.864653183315</v>
      </c>
      <c r="P340">
        <v>-48900.864653183315</v>
      </c>
      <c r="Q340">
        <v>-53358.108991923422</v>
      </c>
      <c r="R340">
        <v>-53358.108991923422</v>
      </c>
      <c r="S340">
        <v>-58277.805353986667</v>
      </c>
      <c r="T340">
        <v>-58277.805353986667</v>
      </c>
      <c r="U340">
        <v>-62956.437115567969</v>
      </c>
      <c r="V340">
        <v>-62956.437115567969</v>
      </c>
      <c r="W340">
        <v>-66940.16084102141</v>
      </c>
      <c r="X340">
        <v>-66940.16084102141</v>
      </c>
      <c r="Y340">
        <v>-66940.16084102141</v>
      </c>
      <c r="Z340">
        <v>-66940.16084102141</v>
      </c>
      <c r="AA340">
        <v>-66940.16084102141</v>
      </c>
    </row>
    <row r="341" spans="1:27" x14ac:dyDescent="0.2">
      <c r="A341" t="s">
        <v>970</v>
      </c>
      <c r="B341" t="s">
        <v>971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972</v>
      </c>
      <c r="B342" t="s">
        <v>973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948</v>
      </c>
      <c r="B343" t="s">
        <v>949</v>
      </c>
      <c r="C343">
        <v>-8.5747799851737708E-2</v>
      </c>
      <c r="D343">
        <v>-0.15655761952273869</v>
      </c>
      <c r="E343">
        <v>-0.15655761952273861</v>
      </c>
      <c r="F343">
        <v>-0.18488155025640418</v>
      </c>
      <c r="G343">
        <v>-0.42496507736881212</v>
      </c>
      <c r="H343">
        <v>-0.42496507736881234</v>
      </c>
      <c r="I343">
        <v>-0.42496507736881234</v>
      </c>
      <c r="J343">
        <v>-0.55889601873501682</v>
      </c>
      <c r="K343">
        <v>-0.55889601873501682</v>
      </c>
      <c r="L343">
        <v>-0.72843660915723085</v>
      </c>
      <c r="M343">
        <v>-0.83971971531341816</v>
      </c>
      <c r="N343">
        <v>-0.93700405162982803</v>
      </c>
      <c r="O343">
        <v>-0.93700405162982803</v>
      </c>
      <c r="P343">
        <v>-0.93700405162982803</v>
      </c>
      <c r="Q343">
        <v>-1.0224106397162356</v>
      </c>
      <c r="R343">
        <v>-1.0224106397162356</v>
      </c>
      <c r="S343">
        <v>-1.1166784089414918</v>
      </c>
      <c r="T343">
        <v>-1.1166784089414918</v>
      </c>
      <c r="U343">
        <v>-1.2063270674627131</v>
      </c>
      <c r="V343">
        <v>-1.2063270674627131</v>
      </c>
      <c r="W343">
        <v>-1.2826603858569257</v>
      </c>
      <c r="X343">
        <v>-1.2826603858569257</v>
      </c>
      <c r="Y343">
        <v>-1.2826603858569257</v>
      </c>
      <c r="Z343">
        <v>-1.2826603858569257</v>
      </c>
      <c r="AA343">
        <v>-1.2826603858569257</v>
      </c>
    </row>
    <row r="344" spans="1:27" x14ac:dyDescent="0.2">
      <c r="A344" t="s">
        <v>968</v>
      </c>
      <c r="B344" t="s">
        <v>969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372</v>
      </c>
      <c r="B345" t="s">
        <v>373</v>
      </c>
      <c r="C345">
        <v>-20523.511687619262</v>
      </c>
      <c r="D345">
        <v>-37471.656877685615</v>
      </c>
      <c r="E345">
        <v>-37471.6568776856</v>
      </c>
      <c r="F345">
        <v>-44250.915639505874</v>
      </c>
      <c r="G345">
        <v>-101714.28010152133</v>
      </c>
      <c r="H345">
        <v>-101714.28010152139</v>
      </c>
      <c r="I345">
        <v>-101714.28010152139</v>
      </c>
      <c r="J345">
        <v>-133770.30072497585</v>
      </c>
      <c r="K345">
        <v>-133770.30072497585</v>
      </c>
      <c r="L345">
        <v>-174349.39774055561</v>
      </c>
      <c r="M345">
        <v>-200984.7182243476</v>
      </c>
      <c r="N345">
        <v>-224269.46974991876</v>
      </c>
      <c r="O345">
        <v>-224269.46974991876</v>
      </c>
      <c r="P345">
        <v>-224269.46974991876</v>
      </c>
      <c r="Q345">
        <v>-244711.3132936811</v>
      </c>
      <c r="R345">
        <v>-244711.3132936811</v>
      </c>
      <c r="S345">
        <v>-267274.05737347732</v>
      </c>
      <c r="T345">
        <v>-267274.05737347732</v>
      </c>
      <c r="U345">
        <v>-288731.22938396572</v>
      </c>
      <c r="V345">
        <v>-288731.22938396572</v>
      </c>
      <c r="W345">
        <v>-307001.40955100401</v>
      </c>
      <c r="X345">
        <v>-307001.40955100401</v>
      </c>
      <c r="Y345">
        <v>-307001.40955100401</v>
      </c>
      <c r="Z345">
        <v>-307001.40955100401</v>
      </c>
      <c r="AA345">
        <v>-307001.40955100401</v>
      </c>
    </row>
    <row r="346" spans="1:27" x14ac:dyDescent="0.2">
      <c r="A346" t="s">
        <v>343</v>
      </c>
      <c r="B346" t="s">
        <v>344</v>
      </c>
      <c r="C346">
        <v>-28693.28865387911</v>
      </c>
      <c r="D346">
        <v>-52387.967687769022</v>
      </c>
      <c r="E346">
        <v>-52387.967687769</v>
      </c>
      <c r="F346">
        <v>-61865.840260112025</v>
      </c>
      <c r="G346">
        <v>-142203.59768816023</v>
      </c>
      <c r="H346">
        <v>-142203.59768816031</v>
      </c>
      <c r="I346">
        <v>-142203.59768816031</v>
      </c>
      <c r="J346">
        <v>-187020.13137125032</v>
      </c>
      <c r="K346">
        <v>-187020.13137125032</v>
      </c>
      <c r="L346">
        <v>-243752.51526850427</v>
      </c>
      <c r="M346">
        <v>-280990.5352848866</v>
      </c>
      <c r="N346">
        <v>-313544.22818726179</v>
      </c>
      <c r="O346">
        <v>-313544.22818726179</v>
      </c>
      <c r="P346">
        <v>-313544.22818726179</v>
      </c>
      <c r="Q346">
        <v>-342123.33912822406</v>
      </c>
      <c r="R346">
        <v>-342123.33912822406</v>
      </c>
      <c r="S346">
        <v>-373667.61569058918</v>
      </c>
      <c r="T346">
        <v>-373667.61569058918</v>
      </c>
      <c r="U346">
        <v>-403666.22604362562</v>
      </c>
      <c r="V346">
        <v>-403666.22604362562</v>
      </c>
      <c r="W346">
        <v>-429209.20140136854</v>
      </c>
      <c r="X346">
        <v>-429209.20140136854</v>
      </c>
      <c r="Y346">
        <v>-429209.20140136854</v>
      </c>
      <c r="Z346">
        <v>-429209.20140136854</v>
      </c>
      <c r="AA346">
        <v>-429209.20140136854</v>
      </c>
    </row>
    <row r="347" spans="1:27" x14ac:dyDescent="0.2">
      <c r="A347" t="s">
        <v>427</v>
      </c>
      <c r="B347" t="s">
        <v>89</v>
      </c>
      <c r="C347">
        <v>-2584.0552579089949</v>
      </c>
      <c r="D347">
        <v>-4717.9465898010494</v>
      </c>
      <c r="E347">
        <v>-4717.9465898010476</v>
      </c>
      <c r="F347">
        <v>-5571.5032089041488</v>
      </c>
      <c r="G347">
        <v>-12806.547159242684</v>
      </c>
      <c r="H347">
        <v>-12806.547159242691</v>
      </c>
      <c r="I347">
        <v>-12806.547159242691</v>
      </c>
      <c r="J347">
        <v>-16842.626846796666</v>
      </c>
      <c r="K347">
        <v>-16842.626846796666</v>
      </c>
      <c r="L347">
        <v>-21951.822124891478</v>
      </c>
      <c r="M347">
        <v>-25305.397331212218</v>
      </c>
      <c r="N347">
        <v>-28237.112211422187</v>
      </c>
      <c r="O347">
        <v>-28237.112211422187</v>
      </c>
      <c r="P347">
        <v>-28237.112211422187</v>
      </c>
      <c r="Q347">
        <v>-30810.884872485709</v>
      </c>
      <c r="R347">
        <v>-30810.884872485709</v>
      </c>
      <c r="S347">
        <v>-33651.693909441296</v>
      </c>
      <c r="T347">
        <v>-33651.693909441296</v>
      </c>
      <c r="U347">
        <v>-36353.303604579785</v>
      </c>
      <c r="V347">
        <v>-36353.303604579785</v>
      </c>
      <c r="W347">
        <v>-38653.648489127976</v>
      </c>
      <c r="X347">
        <v>-38653.648489127976</v>
      </c>
      <c r="Y347">
        <v>-38653.648489127976</v>
      </c>
      <c r="Z347">
        <v>-38653.648489127976</v>
      </c>
      <c r="AA347">
        <v>-38653.648489127976</v>
      </c>
    </row>
    <row r="348" spans="1:27" x14ac:dyDescent="0.2">
      <c r="A348" t="s">
        <v>730</v>
      </c>
      <c r="B348" t="s">
        <v>209</v>
      </c>
      <c r="C348">
        <v>-346.45015535352849</v>
      </c>
      <c r="D348">
        <v>-632.54581107869956</v>
      </c>
      <c r="E348">
        <v>-632.54581107869933</v>
      </c>
      <c r="F348">
        <v>-746.98408494540956</v>
      </c>
      <c r="G348">
        <v>-1717.0028540535848</v>
      </c>
      <c r="H348">
        <v>-1717.0028540535859</v>
      </c>
      <c r="I348">
        <v>-1717.0028540535859</v>
      </c>
      <c r="J348">
        <v>-2258.1292214145506</v>
      </c>
      <c r="K348">
        <v>-2258.1292214145506</v>
      </c>
      <c r="L348">
        <v>-2943.1306324369307</v>
      </c>
      <c r="M348">
        <v>-3392.7520744179051</v>
      </c>
      <c r="N348">
        <v>-3785.8137446713849</v>
      </c>
      <c r="O348">
        <v>-3785.8137446713849</v>
      </c>
      <c r="P348">
        <v>-3785.8137446713849</v>
      </c>
      <c r="Q348">
        <v>-4130.8852889198879</v>
      </c>
      <c r="R348">
        <v>-4130.8852889198879</v>
      </c>
      <c r="S348">
        <v>-4511.7590063725793</v>
      </c>
      <c r="T348">
        <v>-4511.7590063725793</v>
      </c>
      <c r="U348">
        <v>-4873.9699520250006</v>
      </c>
      <c r="V348">
        <v>-4873.9699520250006</v>
      </c>
      <c r="W348">
        <v>-5182.3824134765046</v>
      </c>
      <c r="X348">
        <v>-5182.3824134765046</v>
      </c>
      <c r="Y348">
        <v>-5182.3824134765046</v>
      </c>
      <c r="Z348">
        <v>-5182.3824134765046</v>
      </c>
      <c r="AA348">
        <v>-5182.3824134765046</v>
      </c>
    </row>
    <row r="349" spans="1:27" x14ac:dyDescent="0.2">
      <c r="A349" t="s">
        <v>350</v>
      </c>
      <c r="B349" t="s">
        <v>351</v>
      </c>
      <c r="C349">
        <v>-13304.577578139877</v>
      </c>
      <c r="D349">
        <v>-24291.387044223637</v>
      </c>
      <c r="E349">
        <v>-24291.387044223626</v>
      </c>
      <c r="F349">
        <v>-28686.11127522997</v>
      </c>
      <c r="G349">
        <v>-65937.328416934251</v>
      </c>
      <c r="H349">
        <v>-65937.328416934295</v>
      </c>
      <c r="I349">
        <v>-65937.328416934295</v>
      </c>
      <c r="J349">
        <v>-86717.973548365742</v>
      </c>
      <c r="K349">
        <v>-86717.973548365742</v>
      </c>
      <c r="L349">
        <v>-113023.79062840913</v>
      </c>
      <c r="M349">
        <v>-130290.41113122505</v>
      </c>
      <c r="N349">
        <v>-145384.9908393631</v>
      </c>
      <c r="O349">
        <v>-145384.9908393631</v>
      </c>
      <c r="P349">
        <v>-145384.9908393631</v>
      </c>
      <c r="Q349">
        <v>-158636.62620312246</v>
      </c>
      <c r="R349">
        <v>-158636.62620312246</v>
      </c>
      <c r="S349">
        <v>-173263.15715720144</v>
      </c>
      <c r="T349">
        <v>-173263.15715720144</v>
      </c>
      <c r="U349">
        <v>-187172.98964426306</v>
      </c>
      <c r="V349">
        <v>-187172.98964426306</v>
      </c>
      <c r="W349">
        <v>-199016.82188402486</v>
      </c>
      <c r="X349">
        <v>-199016.82188402486</v>
      </c>
      <c r="Y349">
        <v>-199016.82188402486</v>
      </c>
      <c r="Z349">
        <v>-199016.82188402486</v>
      </c>
      <c r="AA349">
        <v>-199016.82188402486</v>
      </c>
    </row>
    <row r="350" spans="1:27" x14ac:dyDescent="0.2">
      <c r="A350" t="s">
        <v>399</v>
      </c>
      <c r="B350" t="s">
        <v>400</v>
      </c>
      <c r="C350">
        <v>-44697.310306981504</v>
      </c>
      <c r="D350">
        <v>-81607.977263901601</v>
      </c>
      <c r="E350">
        <v>-81607.977263901572</v>
      </c>
      <c r="F350">
        <v>-96372.24554023151</v>
      </c>
      <c r="G350">
        <v>-221519.33887081838</v>
      </c>
      <c r="H350">
        <v>-221519.33887081852</v>
      </c>
      <c r="I350">
        <v>-221519.33887081852</v>
      </c>
      <c r="J350">
        <v>-291332.8251212191</v>
      </c>
      <c r="K350">
        <v>-291332.8251212191</v>
      </c>
      <c r="L350">
        <v>-379708.36820026382</v>
      </c>
      <c r="M350">
        <v>-437716.33500977105</v>
      </c>
      <c r="N350">
        <v>-488427.23576596344</v>
      </c>
      <c r="O350">
        <v>-488427.23576596344</v>
      </c>
      <c r="P350">
        <v>-488427.23576596344</v>
      </c>
      <c r="Q350">
        <v>-532946.68438807689</v>
      </c>
      <c r="R350">
        <v>-532946.68438807689</v>
      </c>
      <c r="S350">
        <v>-582085.15488287201</v>
      </c>
      <c r="T350">
        <v>-582085.15488287201</v>
      </c>
      <c r="U350">
        <v>-628815.84552981611</v>
      </c>
      <c r="V350">
        <v>-628815.84552981611</v>
      </c>
      <c r="W350">
        <v>-668605.71798050392</v>
      </c>
      <c r="X350">
        <v>-668605.71798050392</v>
      </c>
      <c r="Y350">
        <v>-668605.71798050392</v>
      </c>
      <c r="Z350">
        <v>-668605.71798050392</v>
      </c>
      <c r="AA350">
        <v>-668605.71798050392</v>
      </c>
    </row>
    <row r="351" spans="1:27" x14ac:dyDescent="0.2">
      <c r="A351" t="s">
        <v>430</v>
      </c>
      <c r="B351" t="s">
        <v>431</v>
      </c>
      <c r="C351">
        <v>-6477.9608256826887</v>
      </c>
      <c r="D351">
        <v>-11827.406977018592</v>
      </c>
      <c r="E351">
        <v>-11827.406977018589</v>
      </c>
      <c r="F351">
        <v>-13967.185654014196</v>
      </c>
      <c r="G351">
        <v>-32104.696892961609</v>
      </c>
      <c r="H351">
        <v>-32104.696892961627</v>
      </c>
      <c r="I351">
        <v>-32104.696892961627</v>
      </c>
      <c r="J351">
        <v>-42222.733659120073</v>
      </c>
      <c r="K351">
        <v>-42222.733659120073</v>
      </c>
      <c r="L351">
        <v>-55030.960867482194</v>
      </c>
      <c r="M351">
        <v>-63438.02907782136</v>
      </c>
      <c r="N351">
        <v>-70787.53682845633</v>
      </c>
      <c r="O351">
        <v>-70787.53682845633</v>
      </c>
      <c r="P351">
        <v>-70787.53682845633</v>
      </c>
      <c r="Q351">
        <v>-77239.720241157076</v>
      </c>
      <c r="R351">
        <v>-77239.720241157076</v>
      </c>
      <c r="S351">
        <v>-84361.336390161188</v>
      </c>
      <c r="T351">
        <v>-84361.336390161188</v>
      </c>
      <c r="U351">
        <v>-91133.994102424404</v>
      </c>
      <c r="V351">
        <v>-91133.994102424404</v>
      </c>
      <c r="W351">
        <v>-96900.722194656075</v>
      </c>
      <c r="X351">
        <v>-96900.722194656075</v>
      </c>
      <c r="Y351">
        <v>-96900.722194656075</v>
      </c>
      <c r="Z351">
        <v>-96900.722194656075</v>
      </c>
      <c r="AA351">
        <v>-96900.722194656075</v>
      </c>
    </row>
    <row r="352" spans="1:27" x14ac:dyDescent="0.2">
      <c r="A352" t="s">
        <v>342</v>
      </c>
      <c r="B352" t="s">
        <v>41</v>
      </c>
      <c r="C352">
        <v>-51551.35520889116</v>
      </c>
      <c r="D352">
        <v>-94122.035418166808</v>
      </c>
      <c r="E352">
        <v>-94122.035418166764</v>
      </c>
      <c r="F352">
        <v>-111150.30922446703</v>
      </c>
      <c r="G352">
        <v>-255487.90397762702</v>
      </c>
      <c r="H352">
        <v>-255487.90397762717</v>
      </c>
      <c r="I352">
        <v>-255487.90397762717</v>
      </c>
      <c r="J352">
        <v>-336006.8390846306</v>
      </c>
      <c r="K352">
        <v>-336006.8390846306</v>
      </c>
      <c r="L352">
        <v>-437934.20298542647</v>
      </c>
      <c r="M352">
        <v>-504837.31821550312</v>
      </c>
      <c r="N352">
        <v>-563324.40927066607</v>
      </c>
      <c r="O352">
        <v>-563324.40927066607</v>
      </c>
      <c r="P352">
        <v>-563324.40927066607</v>
      </c>
      <c r="Q352">
        <v>-614670.62884988042</v>
      </c>
      <c r="R352">
        <v>-614670.62884988042</v>
      </c>
      <c r="S352">
        <v>-671344.16758187721</v>
      </c>
      <c r="T352">
        <v>-671344.16758187721</v>
      </c>
      <c r="U352">
        <v>-725240.7089207673</v>
      </c>
      <c r="V352">
        <v>-725240.7089207673</v>
      </c>
      <c r="W352">
        <v>-771132.1022581755</v>
      </c>
      <c r="X352">
        <v>-771132.1022581755</v>
      </c>
      <c r="Y352">
        <v>-771132.1022581755</v>
      </c>
      <c r="Z352">
        <v>-771132.1022581755</v>
      </c>
      <c r="AA352">
        <v>-771132.1022581755</v>
      </c>
    </row>
    <row r="353" spans="1:27" x14ac:dyDescent="0.2">
      <c r="A353" t="s">
        <v>387</v>
      </c>
      <c r="B353" t="s">
        <v>19</v>
      </c>
      <c r="C353">
        <v>-13032.012595660843</v>
      </c>
      <c r="D353">
        <v>-23793.74016703312</v>
      </c>
      <c r="E353">
        <v>-23793.740167033113</v>
      </c>
      <c r="F353">
        <v>-28098.431631047097</v>
      </c>
      <c r="G353">
        <v>-64586.499601880001</v>
      </c>
      <c r="H353">
        <v>-64586.499601880038</v>
      </c>
      <c r="I353">
        <v>-64586.499601880038</v>
      </c>
      <c r="J353">
        <v>-84941.420869259004</v>
      </c>
      <c r="K353">
        <v>-84941.420869259004</v>
      </c>
      <c r="L353">
        <v>-110708.32233703227</v>
      </c>
      <c r="M353">
        <v>-127621.20924047749</v>
      </c>
      <c r="N353">
        <v>-142406.55298606708</v>
      </c>
      <c r="O353">
        <v>-142406.55298606708</v>
      </c>
      <c r="P353">
        <v>-142406.55298606708</v>
      </c>
      <c r="Q353">
        <v>-155386.70797102235</v>
      </c>
      <c r="R353">
        <v>-155386.70797102235</v>
      </c>
      <c r="S353">
        <v>-169713.59166987558</v>
      </c>
      <c r="T353">
        <v>-169713.59166987558</v>
      </c>
      <c r="U353">
        <v>-183338.45958546881</v>
      </c>
      <c r="V353">
        <v>-183338.45958546881</v>
      </c>
      <c r="W353">
        <v>-194939.65248490169</v>
      </c>
      <c r="X353">
        <v>-194939.65248490169</v>
      </c>
      <c r="Y353">
        <v>-194939.65248490169</v>
      </c>
      <c r="Z353">
        <v>-194939.65248490169</v>
      </c>
      <c r="AA353">
        <v>-194939.65248490169</v>
      </c>
    </row>
    <row r="354" spans="1:27" x14ac:dyDescent="0.2">
      <c r="A354" t="s">
        <v>384</v>
      </c>
      <c r="B354" t="s">
        <v>13</v>
      </c>
      <c r="C354">
        <v>-5546.2986285908</v>
      </c>
      <c r="D354">
        <v>-10126.385889267911</v>
      </c>
      <c r="E354">
        <v>-10126.385889267907</v>
      </c>
      <c r="F354">
        <v>-11958.420978868478</v>
      </c>
      <c r="G354">
        <v>-27487.390112457335</v>
      </c>
      <c r="H354">
        <v>-27487.390112457353</v>
      </c>
      <c r="I354">
        <v>-27487.390112457353</v>
      </c>
      <c r="J354">
        <v>-36150.247908338184</v>
      </c>
      <c r="K354">
        <v>-36150.247908338184</v>
      </c>
      <c r="L354">
        <v>-47116.392179970404</v>
      </c>
      <c r="M354">
        <v>-54314.353411938719</v>
      </c>
      <c r="N354">
        <v>-60606.852834991092</v>
      </c>
      <c r="O354">
        <v>-60606.852834991092</v>
      </c>
      <c r="P354">
        <v>-60606.852834991092</v>
      </c>
      <c r="Q354">
        <v>-66131.081365580758</v>
      </c>
      <c r="R354">
        <v>-66131.081365580758</v>
      </c>
      <c r="S354">
        <v>-72228.464622974716</v>
      </c>
      <c r="T354">
        <v>-72228.464622974716</v>
      </c>
      <c r="U354">
        <v>-78027.076746795603</v>
      </c>
      <c r="V354">
        <v>-78027.076746795603</v>
      </c>
      <c r="W354">
        <v>-82964.432339098043</v>
      </c>
      <c r="X354">
        <v>-82964.432339098043</v>
      </c>
      <c r="Y354">
        <v>-82964.432339098043</v>
      </c>
      <c r="Z354">
        <v>-82964.432339098043</v>
      </c>
      <c r="AA354">
        <v>-82964.432339098043</v>
      </c>
    </row>
    <row r="355" spans="1:27" x14ac:dyDescent="0.2">
      <c r="A355" t="s">
        <v>345</v>
      </c>
      <c r="B355" t="s">
        <v>21</v>
      </c>
      <c r="C355">
        <v>-16570.584300097256</v>
      </c>
      <c r="D355">
        <v>-30254.434943050263</v>
      </c>
      <c r="E355">
        <v>-30254.434943050248</v>
      </c>
      <c r="F355">
        <v>-35727.975753938001</v>
      </c>
      <c r="G355">
        <v>-82123.618930317622</v>
      </c>
      <c r="H355">
        <v>-82123.618930317665</v>
      </c>
      <c r="I355">
        <v>-82123.618930317665</v>
      </c>
      <c r="J355">
        <v>-108005.49529492855</v>
      </c>
      <c r="K355">
        <v>-108005.49529492855</v>
      </c>
      <c r="L355">
        <v>-140768.86241031962</v>
      </c>
      <c r="M355">
        <v>-162274.09163982977</v>
      </c>
      <c r="N355">
        <v>-181074.08766068873</v>
      </c>
      <c r="O355">
        <v>-181074.08766068873</v>
      </c>
      <c r="P355">
        <v>-181074.08766068873</v>
      </c>
      <c r="Q355">
        <v>-197578.73349552666</v>
      </c>
      <c r="R355">
        <v>-197578.73349552666</v>
      </c>
      <c r="S355">
        <v>-215795.78418872377</v>
      </c>
      <c r="T355">
        <v>-215795.78418872377</v>
      </c>
      <c r="U355">
        <v>-233120.2013281149</v>
      </c>
      <c r="V355">
        <v>-233120.2013281149</v>
      </c>
      <c r="W355">
        <v>-247871.45663197717</v>
      </c>
      <c r="X355">
        <v>-247871.45663197717</v>
      </c>
      <c r="Y355">
        <v>-247871.45663197717</v>
      </c>
      <c r="Z355">
        <v>-247871.45663197717</v>
      </c>
      <c r="AA355">
        <v>-247871.45663197717</v>
      </c>
    </row>
    <row r="356" spans="1:27" x14ac:dyDescent="0.2">
      <c r="A356" t="s">
        <v>675</v>
      </c>
      <c r="B356" t="s">
        <v>676</v>
      </c>
      <c r="C356">
        <v>-421.105754405445</v>
      </c>
      <c r="D356">
        <v>-768.85138267145237</v>
      </c>
      <c r="E356">
        <v>-768.85138267145203</v>
      </c>
      <c r="F356">
        <v>-907.94964804911581</v>
      </c>
      <c r="G356">
        <v>-2086.9951160354503</v>
      </c>
      <c r="H356">
        <v>-2086.9951160354517</v>
      </c>
      <c r="I356">
        <v>-2086.9951160354517</v>
      </c>
      <c r="J356">
        <v>-2744.7273284043272</v>
      </c>
      <c r="K356">
        <v>-2744.7273284043272</v>
      </c>
      <c r="L356">
        <v>-3577.3378251813374</v>
      </c>
      <c r="M356">
        <v>-4123.846965375129</v>
      </c>
      <c r="N356">
        <v>-4601.6084228957734</v>
      </c>
      <c r="O356">
        <v>-4601.6084228957734</v>
      </c>
      <c r="P356">
        <v>-4601.6084228957734</v>
      </c>
      <c r="Q356">
        <v>-5021.0384930492637</v>
      </c>
      <c r="R356">
        <v>-5021.0384930492637</v>
      </c>
      <c r="S356">
        <v>-5483.9856490621014</v>
      </c>
      <c r="T356">
        <v>-5483.9856490621014</v>
      </c>
      <c r="U356">
        <v>-5924.2484434811913</v>
      </c>
      <c r="V356">
        <v>-5924.2484434811913</v>
      </c>
      <c r="W356">
        <v>-6299.1198650715451</v>
      </c>
      <c r="X356">
        <v>-6299.1198650715451</v>
      </c>
      <c r="Y356">
        <v>-6299.1198650715451</v>
      </c>
      <c r="Z356">
        <v>-6299.1198650715451</v>
      </c>
      <c r="AA356">
        <v>-6299.1198650715451</v>
      </c>
    </row>
    <row r="357" spans="1:27" x14ac:dyDescent="0.2">
      <c r="A357" t="s">
        <v>603</v>
      </c>
      <c r="B357" t="s">
        <v>604</v>
      </c>
      <c r="C357">
        <v>-824.16031762129626</v>
      </c>
      <c r="D357">
        <v>-1504.7450506600906</v>
      </c>
      <c r="E357">
        <v>-1504.7450506600899</v>
      </c>
      <c r="F357">
        <v>-1776.9789714149483</v>
      </c>
      <c r="G357">
        <v>-4084.528742986065</v>
      </c>
      <c r="H357">
        <v>-4084.5287429860673</v>
      </c>
      <c r="I357">
        <v>-4084.5287429860673</v>
      </c>
      <c r="J357">
        <v>-5371.7987063733954</v>
      </c>
      <c r="K357">
        <v>-5371.7987063733954</v>
      </c>
      <c r="L357">
        <v>-7001.3288761698432</v>
      </c>
      <c r="M357">
        <v>-8070.9204024148066</v>
      </c>
      <c r="N357">
        <v>-9005.9635132204585</v>
      </c>
      <c r="O357">
        <v>-9005.9635132204585</v>
      </c>
      <c r="P357">
        <v>-9005.9635132204585</v>
      </c>
      <c r="Q357">
        <v>-9826.8442925051822</v>
      </c>
      <c r="R357">
        <v>-9826.8442925051822</v>
      </c>
      <c r="S357">
        <v>-10732.893832673808</v>
      </c>
      <c r="T357">
        <v>-10732.893832673808</v>
      </c>
      <c r="U357">
        <v>-11594.547041373313</v>
      </c>
      <c r="V357">
        <v>-11594.547041373313</v>
      </c>
      <c r="W357">
        <v>-12328.220582171305</v>
      </c>
      <c r="X357">
        <v>-12328.220582171305</v>
      </c>
      <c r="Y357">
        <v>-12328.220582171305</v>
      </c>
      <c r="Z357">
        <v>-12328.220582171305</v>
      </c>
      <c r="AA357">
        <v>-12328.220582171305</v>
      </c>
    </row>
    <row r="358" spans="1:27" x14ac:dyDescent="0.2">
      <c r="A358" t="s">
        <v>976</v>
      </c>
      <c r="B358" t="s">
        <v>977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978</v>
      </c>
      <c r="B359" t="s">
        <v>979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980</v>
      </c>
      <c r="B360" t="s">
        <v>981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538</v>
      </c>
      <c r="B361" t="s">
        <v>539</v>
      </c>
      <c r="C361">
        <v>-719.77997822630584</v>
      </c>
      <c r="D361">
        <v>-1314.1682954674141</v>
      </c>
      <c r="E361">
        <v>-1314.1682954674134</v>
      </c>
      <c r="F361">
        <v>-1551.9236464153253</v>
      </c>
      <c r="G361">
        <v>-3567.2210209981863</v>
      </c>
      <c r="H361">
        <v>-3567.2210209981886</v>
      </c>
      <c r="I361">
        <v>-3567.2210209981886</v>
      </c>
      <c r="J361">
        <v>-4691.4575638258439</v>
      </c>
      <c r="K361">
        <v>-4691.4575638258439</v>
      </c>
      <c r="L361">
        <v>-6114.6068772026956</v>
      </c>
      <c r="M361">
        <v>-7048.7340718893465</v>
      </c>
      <c r="N361">
        <v>-7865.3534789955338</v>
      </c>
      <c r="O361">
        <v>-7865.3534789955338</v>
      </c>
      <c r="P361">
        <v>-7865.3534789955338</v>
      </c>
      <c r="Q361">
        <v>-8582.2692741472347</v>
      </c>
      <c r="R361">
        <v>-8582.2692741472347</v>
      </c>
      <c r="S361">
        <v>-9373.5671616465897</v>
      </c>
      <c r="T361">
        <v>-9373.5671616465897</v>
      </c>
      <c r="U361">
        <v>-10126.091536499274</v>
      </c>
      <c r="V361">
        <v>-10126.091536499274</v>
      </c>
      <c r="W361">
        <v>-10766.844935965239</v>
      </c>
      <c r="X361">
        <v>-10766.844935965239</v>
      </c>
      <c r="Y361">
        <v>-10766.844935965239</v>
      </c>
      <c r="Z361">
        <v>-10766.844935965239</v>
      </c>
      <c r="AA361">
        <v>-10766.844935965239</v>
      </c>
    </row>
    <row r="362" spans="1:27" x14ac:dyDescent="0.2">
      <c r="A362" t="s">
        <v>910</v>
      </c>
      <c r="B362" t="s">
        <v>911</v>
      </c>
      <c r="C362">
        <v>-20.098239582948288</v>
      </c>
      <c r="D362">
        <v>-36.695198607364603</v>
      </c>
      <c r="E362">
        <v>-36.695198607364588</v>
      </c>
      <c r="F362">
        <v>-43.333982888714367</v>
      </c>
      <c r="G362">
        <v>-99.606636603066775</v>
      </c>
      <c r="H362">
        <v>-99.606636603066832</v>
      </c>
      <c r="I362">
        <v>-99.606636603066832</v>
      </c>
      <c r="J362">
        <v>-130.99841752108449</v>
      </c>
      <c r="K362">
        <v>-130.99841752108449</v>
      </c>
      <c r="L362">
        <v>-170.73666633017172</v>
      </c>
      <c r="M362">
        <v>-196.82007060327149</v>
      </c>
      <c r="N362">
        <v>-219.62233377895691</v>
      </c>
      <c r="O362">
        <v>-219.62233377895691</v>
      </c>
      <c r="P362">
        <v>-219.62233377895691</v>
      </c>
      <c r="Q362">
        <v>-239.6405974812414</v>
      </c>
      <c r="R362">
        <v>-239.6405974812414</v>
      </c>
      <c r="S362">
        <v>-261.7358140828938</v>
      </c>
      <c r="T362">
        <v>-261.7358140828938</v>
      </c>
      <c r="U362">
        <v>-282.74836741213124</v>
      </c>
      <c r="V362">
        <v>-282.74836741213124</v>
      </c>
      <c r="W362">
        <v>-300.63996724210955</v>
      </c>
      <c r="X362">
        <v>-300.63996724210955</v>
      </c>
      <c r="Y362">
        <v>-300.63996724210955</v>
      </c>
      <c r="Z362">
        <v>-300.63996724210955</v>
      </c>
      <c r="AA362">
        <v>-300.63996724210955</v>
      </c>
    </row>
    <row r="363" spans="1:27" x14ac:dyDescent="0.2">
      <c r="A363" t="s">
        <v>507</v>
      </c>
      <c r="B363" t="s">
        <v>508</v>
      </c>
      <c r="C363">
        <v>-1230.6425475730471</v>
      </c>
      <c r="D363">
        <v>-2246.8969240559527</v>
      </c>
      <c r="E363">
        <v>-2246.8969240559518</v>
      </c>
      <c r="F363">
        <v>-2653.3987157710699</v>
      </c>
      <c r="G363">
        <v>-6099.0498455586157</v>
      </c>
      <c r="H363">
        <v>-6099.0498455586194</v>
      </c>
      <c r="I363">
        <v>-6099.0498455586194</v>
      </c>
      <c r="J363">
        <v>-8021.2112907122719</v>
      </c>
      <c r="K363">
        <v>-8021.2112907122719</v>
      </c>
      <c r="L363">
        <v>-10454.438317819531</v>
      </c>
      <c r="M363">
        <v>-12051.560640476033</v>
      </c>
      <c r="N363">
        <v>-13447.774230683426</v>
      </c>
      <c r="O363">
        <v>-13447.774230683426</v>
      </c>
      <c r="P363">
        <v>-13447.774230683426</v>
      </c>
      <c r="Q363">
        <v>-14673.519746299107</v>
      </c>
      <c r="R363">
        <v>-14673.519746299107</v>
      </c>
      <c r="S363">
        <v>-16026.43991304373</v>
      </c>
      <c r="T363">
        <v>-16026.43991304373</v>
      </c>
      <c r="U363">
        <v>-17313.067134964527</v>
      </c>
      <c r="V363">
        <v>-17313.067134964527</v>
      </c>
      <c r="W363">
        <v>-18408.594128960685</v>
      </c>
      <c r="X363">
        <v>-18408.594128960685</v>
      </c>
      <c r="Y363">
        <v>-18408.594128960685</v>
      </c>
      <c r="Z363">
        <v>-18408.594128960685</v>
      </c>
      <c r="AA363">
        <v>-18408.594128960685</v>
      </c>
    </row>
    <row r="364" spans="1:27" x14ac:dyDescent="0.2">
      <c r="A364" t="s">
        <v>591</v>
      </c>
      <c r="B364" t="s">
        <v>592</v>
      </c>
      <c r="C364">
        <v>-762.34598411997388</v>
      </c>
      <c r="D364">
        <v>-1391.8849548665587</v>
      </c>
      <c r="E364">
        <v>-1391.884954866558</v>
      </c>
      <c r="F364">
        <v>-1643.7005686390048</v>
      </c>
      <c r="G364">
        <v>-3778.1776405168312</v>
      </c>
      <c r="H364">
        <v>-3778.1776405168334</v>
      </c>
      <c r="I364">
        <v>-3778.1776405168334</v>
      </c>
      <c r="J364">
        <v>-4968.8987491222179</v>
      </c>
      <c r="K364">
        <v>-4968.8987491222179</v>
      </c>
      <c r="L364">
        <v>-6476.2095894840868</v>
      </c>
      <c r="M364">
        <v>-7465.5787537687947</v>
      </c>
      <c r="N364">
        <v>-8330.4910108392487</v>
      </c>
      <c r="O364">
        <v>-8330.4910108392487</v>
      </c>
      <c r="P364">
        <v>-8330.4910108392487</v>
      </c>
      <c r="Q364">
        <v>-9089.8034311886804</v>
      </c>
      <c r="R364">
        <v>-9089.8034311886804</v>
      </c>
      <c r="S364">
        <v>-9927.8967166733255</v>
      </c>
      <c r="T364">
        <v>-9927.8967166733255</v>
      </c>
      <c r="U364">
        <v>-10724.923519968159</v>
      </c>
      <c r="V364">
        <v>-10724.923519968159</v>
      </c>
      <c r="W364">
        <v>-11403.569489112522</v>
      </c>
      <c r="X364">
        <v>-11403.569489112522</v>
      </c>
      <c r="Y364">
        <v>-11403.569489112522</v>
      </c>
      <c r="Z364">
        <v>-11403.569489112522</v>
      </c>
      <c r="AA364">
        <v>-11403.569489112522</v>
      </c>
    </row>
    <row r="365" spans="1:27" x14ac:dyDescent="0.2">
      <c r="A365" t="s">
        <v>982</v>
      </c>
      <c r="B365" t="s">
        <v>983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984</v>
      </c>
      <c r="B366" t="s">
        <v>985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890</v>
      </c>
      <c r="B367" t="s">
        <v>891</v>
      </c>
      <c r="C367">
        <v>-127.69671493392632</v>
      </c>
      <c r="D367">
        <v>-233.14759965265878</v>
      </c>
      <c r="E367">
        <v>-233.1475996526587</v>
      </c>
      <c r="F367">
        <v>-275.32795780714105</v>
      </c>
      <c r="G367">
        <v>-632.86340215689404</v>
      </c>
      <c r="H367">
        <v>-632.86340215689438</v>
      </c>
      <c r="I367">
        <v>-632.86340215689438</v>
      </c>
      <c r="J367">
        <v>-832.31506470734791</v>
      </c>
      <c r="K367">
        <v>-832.31506470734791</v>
      </c>
      <c r="L367">
        <v>-1084.7970698702627</v>
      </c>
      <c r="M367">
        <v>-1250.5212879651779</v>
      </c>
      <c r="N367">
        <v>-1395.3983598388888</v>
      </c>
      <c r="O367">
        <v>-1395.3983598388888</v>
      </c>
      <c r="P367">
        <v>-1395.3983598388888</v>
      </c>
      <c r="Q367">
        <v>-1522.5869378689551</v>
      </c>
      <c r="R367">
        <v>-1522.5869378689551</v>
      </c>
      <c r="S367">
        <v>-1662.9716996357699</v>
      </c>
      <c r="T367">
        <v>-1662.9716996357699</v>
      </c>
      <c r="U367">
        <v>-1796.4776229502711</v>
      </c>
      <c r="V367">
        <v>-1796.4776229502711</v>
      </c>
      <c r="W367">
        <v>-1910.154172270491</v>
      </c>
      <c r="X367">
        <v>-1910.154172270491</v>
      </c>
      <c r="Y367">
        <v>-1910.154172270491</v>
      </c>
      <c r="Z367">
        <v>-1910.154172270491</v>
      </c>
      <c r="AA367">
        <v>-1910.154172270491</v>
      </c>
    </row>
    <row r="368" spans="1:27" x14ac:dyDescent="0.2">
      <c r="A368" t="s">
        <v>685</v>
      </c>
      <c r="B368" t="s">
        <v>686</v>
      </c>
      <c r="C368">
        <v>-473.19212396635226</v>
      </c>
      <c r="D368">
        <v>-863.95024284205556</v>
      </c>
      <c r="E368">
        <v>-863.95024284205522</v>
      </c>
      <c r="F368">
        <v>-1020.2535062040649</v>
      </c>
      <c r="G368">
        <v>-2345.1345447856206</v>
      </c>
      <c r="H368">
        <v>-2345.134544785622</v>
      </c>
      <c r="I368">
        <v>-2345.134544785622</v>
      </c>
      <c r="J368">
        <v>-3084.2213402423686</v>
      </c>
      <c r="K368">
        <v>-3084.2213402423686</v>
      </c>
      <c r="L368">
        <v>-4019.817031550022</v>
      </c>
      <c r="M368">
        <v>-4633.9236261759852</v>
      </c>
      <c r="N368">
        <v>-5170.7791701061424</v>
      </c>
      <c r="O368">
        <v>-5170.7791701061424</v>
      </c>
      <c r="P368">
        <v>-5170.7791701061424</v>
      </c>
      <c r="Q368">
        <v>-5642.0883452360458</v>
      </c>
      <c r="R368">
        <v>-5642.0883452360458</v>
      </c>
      <c r="S368">
        <v>-6162.2972137830684</v>
      </c>
      <c r="T368">
        <v>-6162.2972137830684</v>
      </c>
      <c r="U368">
        <v>-6657.0159028892485</v>
      </c>
      <c r="V368">
        <v>-6657.0159028892485</v>
      </c>
      <c r="W368">
        <v>-7078.254991505064</v>
      </c>
      <c r="X368">
        <v>-7078.254991505064</v>
      </c>
      <c r="Y368">
        <v>-7078.254991505064</v>
      </c>
      <c r="Z368">
        <v>-7078.254991505064</v>
      </c>
      <c r="AA368">
        <v>-7078.254991505064</v>
      </c>
    </row>
    <row r="369" spans="1:27" x14ac:dyDescent="0.2">
      <c r="A369" t="s">
        <v>754</v>
      </c>
      <c r="B369" t="s">
        <v>755</v>
      </c>
      <c r="C369">
        <v>-526.24024761264559</v>
      </c>
      <c r="D369">
        <v>-960.80506561968377</v>
      </c>
      <c r="E369">
        <v>-960.80506561968343</v>
      </c>
      <c r="F369">
        <v>-1134.6310104068316</v>
      </c>
      <c r="G369">
        <v>-2608.0404153571849</v>
      </c>
      <c r="H369">
        <v>-2608.0404153571862</v>
      </c>
      <c r="I369">
        <v>-2608.0404153571862</v>
      </c>
      <c r="J369">
        <v>-3429.9839739022386</v>
      </c>
      <c r="K369">
        <v>-3429.9839739022386</v>
      </c>
      <c r="L369">
        <v>-4470.4664403730321</v>
      </c>
      <c r="M369">
        <v>-5153.4186495258318</v>
      </c>
      <c r="N369">
        <v>-5750.4594286536694</v>
      </c>
      <c r="O369">
        <v>-5750.4594286536694</v>
      </c>
      <c r="P369">
        <v>-5750.4594286536694</v>
      </c>
      <c r="Q369">
        <v>-6274.605635787304</v>
      </c>
      <c r="R369">
        <v>-6274.605635787304</v>
      </c>
      <c r="S369">
        <v>-6853.1335316022933</v>
      </c>
      <c r="T369">
        <v>-6853.1335316022933</v>
      </c>
      <c r="U369">
        <v>-7403.3136218194168</v>
      </c>
      <c r="V369">
        <v>-7403.3136218194168</v>
      </c>
      <c r="W369">
        <v>-7871.7765379796074</v>
      </c>
      <c r="X369">
        <v>-7871.7765379796074</v>
      </c>
      <c r="Y369">
        <v>-7871.7765379796074</v>
      </c>
      <c r="Z369">
        <v>-7871.7765379796074</v>
      </c>
      <c r="AA369">
        <v>-7871.7765379796074</v>
      </c>
    </row>
    <row r="370" spans="1:27" x14ac:dyDescent="0.2">
      <c r="A370" t="s">
        <v>641</v>
      </c>
      <c r="B370" t="s">
        <v>642</v>
      </c>
      <c r="C370">
        <v>-671.86692182435149</v>
      </c>
      <c r="D370">
        <v>-1226.6890357392513</v>
      </c>
      <c r="E370">
        <v>-1226.6890357392506</v>
      </c>
      <c r="F370">
        <v>-1448.6179037556631</v>
      </c>
      <c r="G370">
        <v>-3329.7644826842165</v>
      </c>
      <c r="H370">
        <v>-3329.7644826842184</v>
      </c>
      <c r="I370">
        <v>-3329.7644826842184</v>
      </c>
      <c r="J370">
        <v>-4379.1648109531188</v>
      </c>
      <c r="K370">
        <v>-4379.1648109531188</v>
      </c>
      <c r="L370">
        <v>-5707.5804065510238</v>
      </c>
      <c r="M370">
        <v>-6579.5262537154622</v>
      </c>
      <c r="N370">
        <v>-7341.7863664605775</v>
      </c>
      <c r="O370">
        <v>-7341.7863664605775</v>
      </c>
      <c r="P370">
        <v>-7341.7863664605775</v>
      </c>
      <c r="Q370">
        <v>-8010.9797631465699</v>
      </c>
      <c r="R370">
        <v>-8010.9797631465699</v>
      </c>
      <c r="S370">
        <v>-8749.6039149747394</v>
      </c>
      <c r="T370">
        <v>-8749.6039149747394</v>
      </c>
      <c r="U370">
        <v>-9452.0355616231591</v>
      </c>
      <c r="V370">
        <v>-9452.0355616231591</v>
      </c>
      <c r="W370">
        <v>-10050.13640795197</v>
      </c>
      <c r="X370">
        <v>-10050.13640795197</v>
      </c>
      <c r="Y370">
        <v>-10050.13640795197</v>
      </c>
      <c r="Z370">
        <v>-10050.13640795197</v>
      </c>
      <c r="AA370">
        <v>-10050.13640795197</v>
      </c>
    </row>
    <row r="371" spans="1:27" x14ac:dyDescent="0.2">
      <c r="A371" t="s">
        <v>469</v>
      </c>
      <c r="B371" t="s">
        <v>470</v>
      </c>
      <c r="C371">
        <v>-5591.5822097143391</v>
      </c>
      <c r="D371">
        <v>-10209.064274910741</v>
      </c>
      <c r="E371">
        <v>-10209.064274910736</v>
      </c>
      <c r="F371">
        <v>-12056.057287832176</v>
      </c>
      <c r="G371">
        <v>-27711.815002530031</v>
      </c>
      <c r="H371">
        <v>-27711.815002530046</v>
      </c>
      <c r="I371">
        <v>-27711.815002530046</v>
      </c>
      <c r="J371">
        <v>-36445.401990982522</v>
      </c>
      <c r="K371">
        <v>-36445.401990982522</v>
      </c>
      <c r="L371">
        <v>-47501.080980629573</v>
      </c>
      <c r="M371">
        <v>-54757.811039016946</v>
      </c>
      <c r="N371">
        <v>-61101.686510705564</v>
      </c>
      <c r="O371">
        <v>-61101.686510705564</v>
      </c>
      <c r="P371">
        <v>-61101.686510705564</v>
      </c>
      <c r="Q371">
        <v>-66671.018427816889</v>
      </c>
      <c r="R371">
        <v>-66671.018427816889</v>
      </c>
      <c r="S371">
        <v>-72818.184678855323</v>
      </c>
      <c r="T371">
        <v>-72818.184678855323</v>
      </c>
      <c r="U371">
        <v>-78664.140434906803</v>
      </c>
      <c r="V371">
        <v>-78664.140434906803</v>
      </c>
      <c r="W371">
        <v>-83641.807802227486</v>
      </c>
      <c r="X371">
        <v>-83641.807802227486</v>
      </c>
      <c r="Y371">
        <v>-83641.807802227486</v>
      </c>
      <c r="Z371">
        <v>-83641.807802227486</v>
      </c>
      <c r="AA371">
        <v>-83641.807802227486</v>
      </c>
    </row>
    <row r="372" spans="1:27" x14ac:dyDescent="0.2">
      <c r="A372" t="s">
        <v>690</v>
      </c>
      <c r="B372" t="s">
        <v>691</v>
      </c>
      <c r="C372">
        <v>-673.60809549943917</v>
      </c>
      <c r="D372">
        <v>-1229.8680561481563</v>
      </c>
      <c r="E372">
        <v>-1229.8680561481558</v>
      </c>
      <c r="F372">
        <v>-1452.3720629162765</v>
      </c>
      <c r="G372">
        <v>-3338.3937187325537</v>
      </c>
      <c r="H372">
        <v>-3338.3937187325555</v>
      </c>
      <c r="I372">
        <v>-3338.3937187325555</v>
      </c>
      <c r="J372">
        <v>-4390.513615664323</v>
      </c>
      <c r="K372">
        <v>-4390.513615664323</v>
      </c>
      <c r="L372">
        <v>-5722.3718606761176</v>
      </c>
      <c r="M372">
        <v>-6596.5773951474739</v>
      </c>
      <c r="N372">
        <v>-7360.8129396317763</v>
      </c>
      <c r="O372">
        <v>-7360.8129396317763</v>
      </c>
      <c r="P372">
        <v>-7360.8129396317763</v>
      </c>
      <c r="Q372">
        <v>-8031.740581430905</v>
      </c>
      <c r="R372">
        <v>-8031.740581430905</v>
      </c>
      <c r="S372">
        <v>-8772.2789113309082</v>
      </c>
      <c r="T372">
        <v>-8772.2789113309082</v>
      </c>
      <c r="U372">
        <v>-9476.5309415284573</v>
      </c>
      <c r="V372">
        <v>-9476.5309415284573</v>
      </c>
      <c r="W372">
        <v>-10076.181793393853</v>
      </c>
      <c r="X372">
        <v>-10076.181793393853</v>
      </c>
      <c r="Y372">
        <v>-10076.181793393853</v>
      </c>
      <c r="Z372">
        <v>-10076.181793393853</v>
      </c>
      <c r="AA372">
        <v>-10076.181793393853</v>
      </c>
    </row>
    <row r="373" spans="1:27" x14ac:dyDescent="0.2">
      <c r="A373" t="s">
        <v>467</v>
      </c>
      <c r="B373" t="s">
        <v>468</v>
      </c>
      <c r="C373">
        <v>-46098.433242142652</v>
      </c>
      <c r="D373">
        <v>-84166.135861169649</v>
      </c>
      <c r="E373">
        <v>-84166.135861169605</v>
      </c>
      <c r="F373">
        <v>-99393.218449160864</v>
      </c>
      <c r="G373">
        <v>-228463.2874919317</v>
      </c>
      <c r="H373">
        <v>-228463.28749193184</v>
      </c>
      <c r="I373">
        <v>-228463.28749193184</v>
      </c>
      <c r="J373">
        <v>-300465.21139321529</v>
      </c>
      <c r="K373">
        <v>-300465.21139321529</v>
      </c>
      <c r="L373">
        <v>-391611.05540233705</v>
      </c>
      <c r="M373">
        <v>-451437.39320912934</v>
      </c>
      <c r="N373">
        <v>-503737.9244290833</v>
      </c>
      <c r="O373">
        <v>-503737.9244290833</v>
      </c>
      <c r="P373">
        <v>-503737.9244290833</v>
      </c>
      <c r="Q373">
        <v>-549652.92057065072</v>
      </c>
      <c r="R373">
        <v>-549652.92057065072</v>
      </c>
      <c r="S373">
        <v>-600331.7306862449</v>
      </c>
      <c r="T373">
        <v>-600331.7306862449</v>
      </c>
      <c r="U373">
        <v>-648527.28447577346</v>
      </c>
      <c r="V373">
        <v>-648527.28447577346</v>
      </c>
      <c r="W373">
        <v>-689564.44680799777</v>
      </c>
      <c r="X373">
        <v>-689564.44680799777</v>
      </c>
      <c r="Y373">
        <v>-689564.44680799777</v>
      </c>
      <c r="Z373">
        <v>-689564.44680799777</v>
      </c>
      <c r="AA373">
        <v>-689564.44680799777</v>
      </c>
    </row>
    <row r="374" spans="1:27" x14ac:dyDescent="0.2">
      <c r="A374" t="s">
        <v>986</v>
      </c>
      <c r="B374" t="s">
        <v>987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471</v>
      </c>
      <c r="B375" t="s">
        <v>472</v>
      </c>
      <c r="C375">
        <v>-7740.9088204475256</v>
      </c>
      <c r="D375">
        <v>-14133.286917766627</v>
      </c>
      <c r="E375">
        <v>-14133.286917766622</v>
      </c>
      <c r="F375">
        <v>-16690.238415356951</v>
      </c>
      <c r="G375">
        <v>-38363.852151009305</v>
      </c>
      <c r="H375">
        <v>-38363.852151009327</v>
      </c>
      <c r="I375">
        <v>-38363.852151009327</v>
      </c>
      <c r="J375">
        <v>-50454.508787623694</v>
      </c>
      <c r="K375">
        <v>-50454.508787623694</v>
      </c>
      <c r="L375">
        <v>-65759.837368559893</v>
      </c>
      <c r="M375">
        <v>-75805.953764557096</v>
      </c>
      <c r="N375">
        <v>-84588.32693780672</v>
      </c>
      <c r="O375">
        <v>-84588.32693780672</v>
      </c>
      <c r="P375">
        <v>-84588.32693780672</v>
      </c>
      <c r="Q375">
        <v>-92298.432761927208</v>
      </c>
      <c r="R375">
        <v>-92298.432761927208</v>
      </c>
      <c r="S375">
        <v>-100808.48441971224</v>
      </c>
      <c r="T375">
        <v>-100808.48441971224</v>
      </c>
      <c r="U375">
        <v>-108901.54444793575</v>
      </c>
      <c r="V375">
        <v>-108901.54444793575</v>
      </c>
      <c r="W375">
        <v>-115792.55807946295</v>
      </c>
      <c r="X375">
        <v>-115792.55807946295</v>
      </c>
      <c r="Y375">
        <v>-115792.55807946295</v>
      </c>
      <c r="Z375">
        <v>-115792.55807946295</v>
      </c>
      <c r="AA375">
        <v>-115792.55807946295</v>
      </c>
    </row>
    <row r="376" spans="1:27" x14ac:dyDescent="0.2">
      <c r="A376" t="s">
        <v>546</v>
      </c>
      <c r="B376" t="s">
        <v>547</v>
      </c>
      <c r="C376">
        <v>-972.92701611175835</v>
      </c>
      <c r="D376">
        <v>-1776.3620509818984</v>
      </c>
      <c r="E376">
        <v>-1776.3620509818975</v>
      </c>
      <c r="F376">
        <v>-2097.7360974403377</v>
      </c>
      <c r="G376">
        <v>-4821.8147333346651</v>
      </c>
      <c r="H376">
        <v>-4821.8147333346678</v>
      </c>
      <c r="I376">
        <v>-4821.8147333346678</v>
      </c>
      <c r="J376">
        <v>-6341.4459235665363</v>
      </c>
      <c r="K376">
        <v>-6341.4459235665363</v>
      </c>
      <c r="L376">
        <v>-8265.117679979161</v>
      </c>
      <c r="M376">
        <v>-9527.7779535184509</v>
      </c>
      <c r="N376">
        <v>-10631.602882092629</v>
      </c>
      <c r="O376">
        <v>-10631.602882092629</v>
      </c>
      <c r="P376">
        <v>-10631.602882092629</v>
      </c>
      <c r="Q376">
        <v>-11600.658380272978</v>
      </c>
      <c r="R376">
        <v>-11600.658380272978</v>
      </c>
      <c r="S376">
        <v>-12670.256196035267</v>
      </c>
      <c r="T376">
        <v>-12670.256196035267</v>
      </c>
      <c r="U376">
        <v>-13687.44383215286</v>
      </c>
      <c r="V376">
        <v>-13687.44383215286</v>
      </c>
      <c r="W376">
        <v>-14553.550575691483</v>
      </c>
      <c r="X376">
        <v>-14553.550575691483</v>
      </c>
      <c r="Y376">
        <v>-14553.550575691483</v>
      </c>
      <c r="Z376">
        <v>-14553.550575691483</v>
      </c>
      <c r="AA376">
        <v>-14553.550575691483</v>
      </c>
    </row>
    <row r="377" spans="1:27" x14ac:dyDescent="0.2">
      <c r="A377" t="s">
        <v>793</v>
      </c>
      <c r="B377" t="s">
        <v>794</v>
      </c>
      <c r="C377">
        <v>-362.03269101022448</v>
      </c>
      <c r="D377">
        <v>-660.99627502947897</v>
      </c>
      <c r="E377">
        <v>-660.99627502947874</v>
      </c>
      <c r="F377">
        <v>-780.58172073451328</v>
      </c>
      <c r="G377">
        <v>-1794.2297156453681</v>
      </c>
      <c r="H377">
        <v>-1794.2297156453692</v>
      </c>
      <c r="I377">
        <v>-1794.2297156453692</v>
      </c>
      <c r="J377">
        <v>-2359.6947094548518</v>
      </c>
      <c r="K377">
        <v>-2359.6947094548518</v>
      </c>
      <c r="L377">
        <v>-3075.5059173475815</v>
      </c>
      <c r="M377">
        <v>-3545.3503035051413</v>
      </c>
      <c r="N377">
        <v>-3956.0909887550356</v>
      </c>
      <c r="O377">
        <v>-3956.0909887550356</v>
      </c>
      <c r="P377">
        <v>-3956.0909887550356</v>
      </c>
      <c r="Q377">
        <v>-4316.6830618856129</v>
      </c>
      <c r="R377">
        <v>-4316.6830618856129</v>
      </c>
      <c r="S377">
        <v>-4714.6876080915736</v>
      </c>
      <c r="T377">
        <v>-4714.6876080915736</v>
      </c>
      <c r="U377">
        <v>-5093.1899737034255</v>
      </c>
      <c r="V377">
        <v>-5093.1899737034255</v>
      </c>
      <c r="W377">
        <v>-5415.4741223320752</v>
      </c>
      <c r="X377">
        <v>-5415.4741223320752</v>
      </c>
      <c r="Y377">
        <v>-5415.4741223320752</v>
      </c>
      <c r="Z377">
        <v>-5415.4741223320752</v>
      </c>
      <c r="AA377">
        <v>-5415.4741223320752</v>
      </c>
    </row>
    <row r="378" spans="1:27" x14ac:dyDescent="0.2">
      <c r="A378" t="s">
        <v>779</v>
      </c>
      <c r="B378" t="s">
        <v>780</v>
      </c>
      <c r="C378">
        <v>-234.65603406136617</v>
      </c>
      <c r="D378">
        <v>-428.43303458298215</v>
      </c>
      <c r="E378">
        <v>-428.43303458298197</v>
      </c>
      <c r="F378">
        <v>-505.94384263266647</v>
      </c>
      <c r="G378">
        <v>-1162.9525170601355</v>
      </c>
      <c r="H378">
        <v>-1162.9525170601362</v>
      </c>
      <c r="I378">
        <v>-1162.9525170601362</v>
      </c>
      <c r="J378">
        <v>-1529.4657523086094</v>
      </c>
      <c r="K378">
        <v>-1529.4657523086094</v>
      </c>
      <c r="L378">
        <v>-1993.427773837876</v>
      </c>
      <c r="M378">
        <v>-2297.9633117034778</v>
      </c>
      <c r="N378">
        <v>-2564.1900437685831</v>
      </c>
      <c r="O378">
        <v>-2564.1900437685831</v>
      </c>
      <c r="P378">
        <v>-2564.1900437685831</v>
      </c>
      <c r="Q378">
        <v>-2797.9123232640491</v>
      </c>
      <c r="R378">
        <v>-2797.9123232640491</v>
      </c>
      <c r="S378">
        <v>-3055.8839669033991</v>
      </c>
      <c r="T378">
        <v>-3055.8839669033991</v>
      </c>
      <c r="U378">
        <v>-3301.215027337425</v>
      </c>
      <c r="V378">
        <v>-3301.215027337425</v>
      </c>
      <c r="W378">
        <v>-3510.1075446043446</v>
      </c>
      <c r="X378">
        <v>-3510.1075446043446</v>
      </c>
      <c r="Y378">
        <v>-3510.1075446043446</v>
      </c>
      <c r="Z378">
        <v>-3510.1075446043446</v>
      </c>
      <c r="AA378">
        <v>-3510.1075446043446</v>
      </c>
    </row>
    <row r="379" spans="1:27" x14ac:dyDescent="0.2">
      <c r="A379" t="s">
        <v>1025</v>
      </c>
      <c r="B379" t="s">
        <v>1026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698</v>
      </c>
      <c r="B380" t="s">
        <v>699</v>
      </c>
      <c r="C380">
        <v>-618.21362520118737</v>
      </c>
      <c r="D380">
        <v>-1128.729293175667</v>
      </c>
      <c r="E380">
        <v>-1128.7292931756665</v>
      </c>
      <c r="F380">
        <v>-1332.9355810230843</v>
      </c>
      <c r="G380">
        <v>-3063.8593820288238</v>
      </c>
      <c r="H380">
        <v>-3063.8593820288256</v>
      </c>
      <c r="I380">
        <v>-3063.8593820288256</v>
      </c>
      <c r="J380">
        <v>-4029.4577172837335</v>
      </c>
      <c r="K380">
        <v>-4029.4577172837335</v>
      </c>
      <c r="L380">
        <v>-5251.7899894224056</v>
      </c>
      <c r="M380">
        <v>-6054.1048313124384</v>
      </c>
      <c r="N380">
        <v>-6755.4931157168039</v>
      </c>
      <c r="O380">
        <v>-6755.4931157168039</v>
      </c>
      <c r="P380">
        <v>-6755.4931157168039</v>
      </c>
      <c r="Q380">
        <v>-7371.2467155555823</v>
      </c>
      <c r="R380">
        <v>-7371.2467155555823</v>
      </c>
      <c r="S380">
        <v>-8050.8865366721548</v>
      </c>
      <c r="T380">
        <v>-8050.8865366721548</v>
      </c>
      <c r="U380">
        <v>-8697.224078564248</v>
      </c>
      <c r="V380">
        <v>-8697.224078564248</v>
      </c>
      <c r="W380">
        <v>-9247.5623679398032</v>
      </c>
      <c r="X380">
        <v>-9247.5623679398032</v>
      </c>
      <c r="Y380">
        <v>-9247.5623679398032</v>
      </c>
      <c r="Z380">
        <v>-9247.5623679398032</v>
      </c>
      <c r="AA380">
        <v>-9247.5623679398032</v>
      </c>
    </row>
    <row r="381" spans="1:27" x14ac:dyDescent="0.2">
      <c r="A381" t="s">
        <v>494</v>
      </c>
      <c r="B381" t="s">
        <v>495</v>
      </c>
      <c r="C381">
        <v>-2240.9622637102789</v>
      </c>
      <c r="D381">
        <v>-4091.5302556262513</v>
      </c>
      <c r="E381">
        <v>-4091.53025562625</v>
      </c>
      <c r="F381">
        <v>-4831.7575272744571</v>
      </c>
      <c r="G381">
        <v>-11106.182355988783</v>
      </c>
      <c r="H381">
        <v>-11106.182355988791</v>
      </c>
      <c r="I381">
        <v>-11106.182355988791</v>
      </c>
      <c r="J381">
        <v>-14606.379283068034</v>
      </c>
      <c r="K381">
        <v>-14606.379283068034</v>
      </c>
      <c r="L381">
        <v>-19037.210930763569</v>
      </c>
      <c r="M381">
        <v>-21945.521603639998</v>
      </c>
      <c r="N381">
        <v>-24487.983648288668</v>
      </c>
      <c r="O381">
        <v>-24487.983648288668</v>
      </c>
      <c r="P381">
        <v>-24487.983648288668</v>
      </c>
      <c r="Q381">
        <v>-26720.028567281519</v>
      </c>
      <c r="R381">
        <v>-26720.028567281519</v>
      </c>
      <c r="S381">
        <v>-29183.654618133103</v>
      </c>
      <c r="T381">
        <v>-29183.654618133103</v>
      </c>
      <c r="U381">
        <v>-31526.563253522821</v>
      </c>
      <c r="V381">
        <v>-31526.563253522821</v>
      </c>
      <c r="W381">
        <v>-33521.48424602623</v>
      </c>
      <c r="X381">
        <v>-33521.48424602623</v>
      </c>
      <c r="Y381">
        <v>-33521.48424602623</v>
      </c>
      <c r="Z381">
        <v>-33521.48424602623</v>
      </c>
      <c r="AA381">
        <v>-33521.48424602623</v>
      </c>
    </row>
    <row r="382" spans="1:27" x14ac:dyDescent="0.2">
      <c r="A382" t="s">
        <v>2</v>
      </c>
      <c r="B382" t="s">
        <v>3</v>
      </c>
      <c r="C382">
        <v>2026</v>
      </c>
      <c r="D382">
        <v>2027</v>
      </c>
      <c r="E382">
        <v>2028</v>
      </c>
      <c r="F382">
        <v>2029</v>
      </c>
      <c r="G382">
        <v>2030</v>
      </c>
      <c r="H382">
        <v>2031</v>
      </c>
      <c r="I382">
        <v>2032</v>
      </c>
      <c r="J382">
        <v>2033</v>
      </c>
      <c r="K382">
        <v>2034</v>
      </c>
      <c r="L382">
        <v>2035</v>
      </c>
      <c r="M382">
        <v>2036</v>
      </c>
      <c r="N382">
        <v>2037</v>
      </c>
      <c r="O382">
        <v>2038</v>
      </c>
      <c r="P382">
        <v>2039</v>
      </c>
      <c r="Q382">
        <v>2040</v>
      </c>
      <c r="R382">
        <v>2041</v>
      </c>
      <c r="S382">
        <v>2042</v>
      </c>
      <c r="T382">
        <v>2043</v>
      </c>
      <c r="U382">
        <v>2044</v>
      </c>
      <c r="V382">
        <v>2045</v>
      </c>
      <c r="W382">
        <v>2046</v>
      </c>
      <c r="X382">
        <v>2047</v>
      </c>
      <c r="Y382">
        <v>2048</v>
      </c>
      <c r="Z382">
        <v>2049</v>
      </c>
      <c r="AA382">
        <v>2050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B96-DA49-0941-9BCA-54E6E853F7B6}">
  <dimension ref="A1:AA382"/>
  <sheetViews>
    <sheetView zoomScaleNormal="100" workbookViewId="0">
      <selection activeCell="C2" sqref="C2:AA382"/>
    </sheetView>
  </sheetViews>
  <sheetFormatPr baseColWidth="10" defaultRowHeight="16" x14ac:dyDescent="0.2"/>
  <cols>
    <col min="1" max="1" width="11.1640625" bestFit="1" customWidth="1"/>
    <col min="2" max="2" width="34.83203125" bestFit="1" customWidth="1"/>
  </cols>
  <sheetData>
    <row r="1" spans="1:27" x14ac:dyDescent="0.2">
      <c r="A1" t="s">
        <v>1027</v>
      </c>
      <c r="B1" t="s">
        <v>1028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">
      <c r="A2" t="s">
        <v>567</v>
      </c>
      <c r="B2" t="s">
        <v>568</v>
      </c>
      <c r="C2">
        <f>scenario_indirect_prod_4506_iotable_2020_xlsx_3[[#This Row],[2026]]+scenario_indirect_prod_1610_iotable_2020_xlsx_3[[#This Row],[2026]]</f>
        <v>7998.7756955871646</v>
      </c>
      <c r="D2">
        <f>scenario_indirect_prod_4506_iotable_2020_xlsx_3[[#This Row],[2027]]+scenario_indirect_prod_1610_iotable_2020_xlsx_3[[#This Row],[2027]]</f>
        <v>7987.6085525502658</v>
      </c>
      <c r="E2">
        <f>scenario_indirect_prod_4506_iotable_2020_xlsx_3[[#This Row],[2028]]+scenario_indirect_prod_1610_iotable_2020_xlsx_3[[#This Row],[2028]]</f>
        <v>8380.8671783217032</v>
      </c>
      <c r="F2">
        <f>scenario_indirect_prod_4506_iotable_2020_xlsx_3[[#This Row],[2029]]+scenario_indirect_prod_1610_iotable_2020_xlsx_3[[#This Row],[2029]]</f>
        <v>8656.3448554922488</v>
      </c>
      <c r="G2">
        <f>scenario_indirect_prod_4506_iotable_2020_xlsx_3[[#This Row],[2030]]+scenario_indirect_prod_1610_iotable_2020_xlsx_3[[#This Row],[2030]]</f>
        <v>8259.5842520804981</v>
      </c>
      <c r="H2">
        <f>scenario_indirect_prod_4506_iotable_2020_xlsx_3[[#This Row],[2031]]+scenario_indirect_prod_1610_iotable_2020_xlsx_3[[#This Row],[2031]]</f>
        <v>8790.1686405581386</v>
      </c>
      <c r="I2">
        <f>scenario_indirect_prod_4506_iotable_2020_xlsx_3[[#This Row],[2032]]+scenario_indirect_prod_1610_iotable_2020_xlsx_3[[#This Row],[2032]]</f>
        <v>9531.1769562766858</v>
      </c>
      <c r="J2">
        <f>scenario_indirect_prod_4506_iotable_2020_xlsx_3[[#This Row],[2033]]+scenario_indirect_prod_1610_iotable_2020_xlsx_3[[#This Row],[2033]]</f>
        <v>10656.274925254178</v>
      </c>
      <c r="K2">
        <f>scenario_indirect_prod_4506_iotable_2020_xlsx_3[[#This Row],[2034]]+scenario_indirect_prod_1610_iotable_2020_xlsx_3[[#This Row],[2034]]</f>
        <v>11345.821797822215</v>
      </c>
      <c r="L2">
        <f>scenario_indirect_prod_4506_iotable_2020_xlsx_3[[#This Row],[2035]]+scenario_indirect_prod_1610_iotable_2020_xlsx_3[[#This Row],[2035]]</f>
        <v>13019.747058089117</v>
      </c>
      <c r="M2">
        <f>scenario_indirect_prod_4506_iotable_2020_xlsx_3[[#This Row],[2036]]+scenario_indirect_prod_1610_iotable_2020_xlsx_3[[#This Row],[2036]]</f>
        <v>13607.773699545905</v>
      </c>
      <c r="N2">
        <f>scenario_indirect_prod_4506_iotable_2020_xlsx_3[[#This Row],[2037]]+scenario_indirect_prod_1610_iotable_2020_xlsx_3[[#This Row],[2037]]</f>
        <v>14149.691370253166</v>
      </c>
      <c r="O2">
        <f>scenario_indirect_prod_4506_iotable_2020_xlsx_3[[#This Row],[2038]]+scenario_indirect_prod_1610_iotable_2020_xlsx_3[[#This Row],[2038]]</f>
        <v>14149.691370253166</v>
      </c>
      <c r="P2">
        <f>scenario_indirect_prod_4506_iotable_2020_xlsx_3[[#This Row],[2039]]+scenario_indirect_prod_1610_iotable_2020_xlsx_3[[#This Row],[2039]]</f>
        <v>14149.691370253166</v>
      </c>
      <c r="Q2">
        <f>scenario_indirect_prod_4506_iotable_2020_xlsx_3[[#This Row],[2040]]+scenario_indirect_prod_1610_iotable_2020_xlsx_3[[#This Row],[2040]]</f>
        <v>14620.671634947883</v>
      </c>
      <c r="R2">
        <f>scenario_indirect_prod_4506_iotable_2020_xlsx_3[[#This Row],[2041]]+scenario_indirect_prod_1610_iotable_2020_xlsx_3[[#This Row],[2041]]</f>
        <v>14620.671634947883</v>
      </c>
      <c r="S2">
        <f>scenario_indirect_prod_4506_iotable_2020_xlsx_3[[#This Row],[2042]]+scenario_indirect_prod_1610_iotable_2020_xlsx_3[[#This Row],[2042]]</f>
        <v>15155.586862958151</v>
      </c>
      <c r="T2">
        <f>scenario_indirect_prod_4506_iotable_2020_xlsx_3[[#This Row],[2043]]+scenario_indirect_prod_1610_iotable_2020_xlsx_3[[#This Row],[2043]]</f>
        <v>15155.586862958151</v>
      </c>
      <c r="U2">
        <f>scenario_indirect_prod_4506_iotable_2020_xlsx_3[[#This Row],[2044]]+scenario_indirect_prod_1610_iotable_2020_xlsx_3[[#This Row],[2044]]</f>
        <v>15618.680527675213</v>
      </c>
      <c r="V2">
        <f>scenario_indirect_prod_4506_iotable_2020_xlsx_3[[#This Row],[2045]]+scenario_indirect_prod_1610_iotable_2020_xlsx_3[[#This Row],[2045]]</f>
        <v>15618.680527675213</v>
      </c>
      <c r="W2">
        <f>scenario_indirect_prod_4506_iotable_2020_xlsx_3[[#This Row],[2046]]+scenario_indirect_prod_1610_iotable_2020_xlsx_3[[#This Row],[2046]]</f>
        <v>16027.464236330381</v>
      </c>
      <c r="X2">
        <f>scenario_indirect_prod_4506_iotable_2020_xlsx_3[[#This Row],[2047]]+scenario_indirect_prod_1610_iotable_2020_xlsx_3[[#This Row],[2047]]</f>
        <v>16027.464236330381</v>
      </c>
      <c r="Y2">
        <f>scenario_indirect_prod_4506_iotable_2020_xlsx_3[[#This Row],[2048]]+scenario_indirect_prod_1610_iotable_2020_xlsx_3[[#This Row],[2048]]</f>
        <v>16027.464236330381</v>
      </c>
      <c r="Z2">
        <f>scenario_indirect_prod_4506_iotable_2020_xlsx_3[[#This Row],[2049]]+scenario_indirect_prod_1610_iotable_2020_xlsx_3[[#This Row],[2049]]</f>
        <v>16027.464236330381</v>
      </c>
      <c r="AA2">
        <f>scenario_indirect_prod_4506_iotable_2020_xlsx_3[[#This Row],[2050]]+scenario_indirect_prod_1610_iotable_2020_xlsx_3[[#This Row],[2050]]</f>
        <v>16027.464236330381</v>
      </c>
    </row>
    <row r="3" spans="1:27" x14ac:dyDescent="0.2">
      <c r="A3" t="s">
        <v>839</v>
      </c>
      <c r="B3" t="s">
        <v>840</v>
      </c>
      <c r="C3">
        <f>scenario_indirect_prod_4506_iotable_2020_xlsx_3[[#This Row],[2026]]+scenario_indirect_prod_1610_iotable_2020_xlsx_3[[#This Row],[2026]]</f>
        <v>875.01030617447543</v>
      </c>
      <c r="D3">
        <f>scenario_indirect_prod_4506_iotable_2020_xlsx_3[[#This Row],[2027]]+scenario_indirect_prod_1610_iotable_2020_xlsx_3[[#This Row],[2027]]</f>
        <v>924.48914890487458</v>
      </c>
      <c r="E3">
        <f>scenario_indirect_prod_4506_iotable_2020_xlsx_3[[#This Row],[2028]]+scenario_indirect_prod_1610_iotable_2020_xlsx_3[[#This Row],[2028]]</f>
        <v>964.49546211843267</v>
      </c>
      <c r="F3">
        <f>scenario_indirect_prod_4506_iotable_2020_xlsx_3[[#This Row],[2029]]+scenario_indirect_prod_1610_iotable_2020_xlsx_3[[#This Row],[2029]]</f>
        <v>1012.7658393339399</v>
      </c>
      <c r="G3">
        <f>scenario_indirect_prod_4506_iotable_2020_xlsx_3[[#This Row],[2030]]+scenario_indirect_prod_1610_iotable_2020_xlsx_3[[#This Row],[2030]]</f>
        <v>1144.0150429536923</v>
      </c>
      <c r="H3">
        <f>scenario_indirect_prod_4506_iotable_2020_xlsx_3[[#This Row],[2031]]+scenario_indirect_prod_1610_iotable_2020_xlsx_3[[#This Row],[2031]]</f>
        <v>1197.9915455415792</v>
      </c>
      <c r="I3">
        <f>scenario_indirect_prod_4506_iotable_2020_xlsx_3[[#This Row],[2032]]+scenario_indirect_prod_1610_iotable_2020_xlsx_3[[#This Row],[2032]]</f>
        <v>1273.374534825881</v>
      </c>
      <c r="J3">
        <f>scenario_indirect_prod_4506_iotable_2020_xlsx_3[[#This Row],[2033]]+scenario_indirect_prod_1610_iotable_2020_xlsx_3[[#This Row],[2033]]</f>
        <v>1483.5649504053174</v>
      </c>
      <c r="K3">
        <f>scenario_indirect_prod_4506_iotable_2020_xlsx_3[[#This Row],[2034]]+scenario_indirect_prod_1610_iotable_2020_xlsx_3[[#This Row],[2034]]</f>
        <v>1553.712752262865</v>
      </c>
      <c r="L3">
        <f>scenario_indirect_prod_4506_iotable_2020_xlsx_3[[#This Row],[2035]]+scenario_indirect_prod_1610_iotable_2020_xlsx_3[[#This Row],[2035]]</f>
        <v>1845.1893135418516</v>
      </c>
      <c r="M3">
        <f>scenario_indirect_prod_4506_iotable_2020_xlsx_3[[#This Row],[2036]]+scenario_indirect_prod_1610_iotable_2020_xlsx_3[[#This Row],[2036]]</f>
        <v>1984.554629254385</v>
      </c>
      <c r="N3">
        <f>scenario_indirect_prod_4506_iotable_2020_xlsx_3[[#This Row],[2037]]+scenario_indirect_prod_1610_iotable_2020_xlsx_3[[#This Row],[2037]]</f>
        <v>2109.2229414026301</v>
      </c>
      <c r="O3">
        <f>scenario_indirect_prod_4506_iotable_2020_xlsx_3[[#This Row],[2038]]+scenario_indirect_prod_1610_iotable_2020_xlsx_3[[#This Row],[2038]]</f>
        <v>2109.2229414026301</v>
      </c>
      <c r="P3">
        <f>scenario_indirect_prod_4506_iotable_2020_xlsx_3[[#This Row],[2039]]+scenario_indirect_prod_1610_iotable_2020_xlsx_3[[#This Row],[2039]]</f>
        <v>2109.2229414026301</v>
      </c>
      <c r="Q3">
        <f>scenario_indirect_prod_4506_iotable_2020_xlsx_3[[#This Row],[2040]]+scenario_indirect_prod_1610_iotable_2020_xlsx_3[[#This Row],[2040]]</f>
        <v>2218.184552974406</v>
      </c>
      <c r="R3">
        <f>scenario_indirect_prod_4506_iotable_2020_xlsx_3[[#This Row],[2041]]+scenario_indirect_prod_1610_iotable_2020_xlsx_3[[#This Row],[2041]]</f>
        <v>2218.184552974406</v>
      </c>
      <c r="S3">
        <f>scenario_indirect_prod_4506_iotable_2020_xlsx_3[[#This Row],[2042]]+scenario_indirect_prod_1610_iotable_2020_xlsx_3[[#This Row],[2042]]</f>
        <v>2339.984261589384</v>
      </c>
      <c r="T3">
        <f>scenario_indirect_prod_4506_iotable_2020_xlsx_3[[#This Row],[2043]]+scenario_indirect_prod_1610_iotable_2020_xlsx_3[[#This Row],[2043]]</f>
        <v>2339.984261589384</v>
      </c>
      <c r="U3">
        <f>scenario_indirect_prod_4506_iotable_2020_xlsx_3[[#This Row],[2044]]+scenario_indirect_prod_1610_iotable_2020_xlsx_3[[#This Row],[2044]]</f>
        <v>2451.175800238258</v>
      </c>
      <c r="V3">
        <f>scenario_indirect_prod_4506_iotable_2020_xlsx_3[[#This Row],[2045]]+scenario_indirect_prod_1610_iotable_2020_xlsx_3[[#This Row],[2045]]</f>
        <v>2451.175800238258</v>
      </c>
      <c r="W3">
        <f>scenario_indirect_prod_4506_iotable_2020_xlsx_3[[#This Row],[2046]]+scenario_indirect_prod_1610_iotable_2020_xlsx_3[[#This Row],[2046]]</f>
        <v>2547.3245624807332</v>
      </c>
      <c r="X3">
        <f>scenario_indirect_prod_4506_iotable_2020_xlsx_3[[#This Row],[2047]]+scenario_indirect_prod_1610_iotable_2020_xlsx_3[[#This Row],[2047]]</f>
        <v>2547.3245624807332</v>
      </c>
      <c r="Y3">
        <f>scenario_indirect_prod_4506_iotable_2020_xlsx_3[[#This Row],[2048]]+scenario_indirect_prod_1610_iotable_2020_xlsx_3[[#This Row],[2048]]</f>
        <v>2547.3245624807332</v>
      </c>
      <c r="Z3">
        <f>scenario_indirect_prod_4506_iotable_2020_xlsx_3[[#This Row],[2049]]+scenario_indirect_prod_1610_iotable_2020_xlsx_3[[#This Row],[2049]]</f>
        <v>2547.3245624807332</v>
      </c>
      <c r="AA3">
        <f>scenario_indirect_prod_4506_iotable_2020_xlsx_3[[#This Row],[2050]]+scenario_indirect_prod_1610_iotable_2020_xlsx_3[[#This Row],[2050]]</f>
        <v>2547.3245624807332</v>
      </c>
    </row>
    <row r="4" spans="1:27" x14ac:dyDescent="0.2">
      <c r="A4" t="s">
        <v>477</v>
      </c>
      <c r="B4" t="s">
        <v>478</v>
      </c>
      <c r="C4">
        <f>scenario_indirect_prod_4506_iotable_2020_xlsx_3[[#This Row],[2026]]+scenario_indirect_prod_1610_iotable_2020_xlsx_3[[#This Row],[2026]]</f>
        <v>22534.072308949155</v>
      </c>
      <c r="D4">
        <f>scenario_indirect_prod_4506_iotable_2020_xlsx_3[[#This Row],[2027]]+scenario_indirect_prod_1610_iotable_2020_xlsx_3[[#This Row],[2027]]</f>
        <v>24566.102819572501</v>
      </c>
      <c r="E4">
        <f>scenario_indirect_prod_4506_iotable_2020_xlsx_3[[#This Row],[2028]]+scenario_indirect_prod_1610_iotable_2020_xlsx_3[[#This Row],[2028]]</f>
        <v>25551.341239757607</v>
      </c>
      <c r="F4">
        <f>scenario_indirect_prod_4506_iotable_2020_xlsx_3[[#This Row],[2029]]+scenario_indirect_prod_1610_iotable_2020_xlsx_3[[#This Row],[2029]]</f>
        <v>27065.503968834979</v>
      </c>
      <c r="G4">
        <f>scenario_indirect_prod_4506_iotable_2020_xlsx_3[[#This Row],[2030]]+scenario_indirect_prod_1610_iotable_2020_xlsx_3[[#This Row],[2030]]</f>
        <v>33056.030751924882</v>
      </c>
      <c r="H4">
        <f>scenario_indirect_prod_4506_iotable_2020_xlsx_3[[#This Row],[2031]]+scenario_indirect_prod_1610_iotable_2020_xlsx_3[[#This Row],[2031]]</f>
        <v>34385.31405411091</v>
      </c>
      <c r="I4">
        <f>scenario_indirect_prod_4506_iotable_2020_xlsx_3[[#This Row],[2032]]+scenario_indirect_prod_1610_iotable_2020_xlsx_3[[#This Row],[2032]]</f>
        <v>36241.776479799424</v>
      </c>
      <c r="J4">
        <f>scenario_indirect_prod_4506_iotable_2020_xlsx_3[[#This Row],[2033]]+scenario_indirect_prod_1610_iotable_2020_xlsx_3[[#This Row],[2033]]</f>
        <v>42956.841136929477</v>
      </c>
      <c r="K4">
        <f>scenario_indirect_prod_4506_iotable_2020_xlsx_3[[#This Row],[2034]]+scenario_indirect_prod_1610_iotable_2020_xlsx_3[[#This Row],[2034]]</f>
        <v>44684.376216522018</v>
      </c>
      <c r="L4">
        <f>scenario_indirect_prod_4506_iotable_2020_xlsx_3[[#This Row],[2035]]+scenario_indirect_prod_1610_iotable_2020_xlsx_3[[#This Row],[2035]]</f>
        <v>53810.38865481344</v>
      </c>
      <c r="M4">
        <f>scenario_indirect_prod_4506_iotable_2020_xlsx_3[[#This Row],[2036]]+scenario_indirect_prod_1610_iotable_2020_xlsx_3[[#This Row],[2036]]</f>
        <v>58521.044617092004</v>
      </c>
      <c r="N4">
        <f>scenario_indirect_prod_4506_iotable_2020_xlsx_3[[#This Row],[2037]]+scenario_indirect_prod_1610_iotable_2020_xlsx_3[[#This Row],[2037]]</f>
        <v>62708.928993899703</v>
      </c>
      <c r="O4">
        <f>scenario_indirect_prod_4506_iotable_2020_xlsx_3[[#This Row],[2038]]+scenario_indirect_prod_1610_iotable_2020_xlsx_3[[#This Row],[2038]]</f>
        <v>62708.928993899703</v>
      </c>
      <c r="P4">
        <f>scenario_indirect_prod_4506_iotable_2020_xlsx_3[[#This Row],[2039]]+scenario_indirect_prod_1610_iotable_2020_xlsx_3[[#This Row],[2039]]</f>
        <v>62708.928993899703</v>
      </c>
      <c r="Q4">
        <f>scenario_indirect_prod_4506_iotable_2020_xlsx_3[[#This Row],[2040]]+scenario_indirect_prod_1610_iotable_2020_xlsx_3[[#This Row],[2040]]</f>
        <v>66373.543642636287</v>
      </c>
      <c r="R4">
        <f>scenario_indirect_prod_4506_iotable_2020_xlsx_3[[#This Row],[2041]]+scenario_indirect_prod_1610_iotable_2020_xlsx_3[[#This Row],[2041]]</f>
        <v>66373.543642636287</v>
      </c>
      <c r="S4">
        <f>scenario_indirect_prod_4506_iotable_2020_xlsx_3[[#This Row],[2042]]+scenario_indirect_prod_1610_iotable_2020_xlsx_3[[#This Row],[2042]]</f>
        <v>70456.126332958112</v>
      </c>
      <c r="T4">
        <f>scenario_indirect_prod_4506_iotable_2020_xlsx_3[[#This Row],[2043]]+scenario_indirect_prod_1610_iotable_2020_xlsx_3[[#This Row],[2043]]</f>
        <v>70456.126332958112</v>
      </c>
      <c r="U4">
        <f>scenario_indirect_prod_4506_iotable_2020_xlsx_3[[#This Row],[2044]]+scenario_indirect_prod_1610_iotable_2020_xlsx_3[[#This Row],[2044]]</f>
        <v>74224.39335269967</v>
      </c>
      <c r="V4">
        <f>scenario_indirect_prod_4506_iotable_2020_xlsx_3[[#This Row],[2045]]+scenario_indirect_prod_1610_iotable_2020_xlsx_3[[#This Row],[2045]]</f>
        <v>74224.39335269967</v>
      </c>
      <c r="W4">
        <f>scenario_indirect_prod_4506_iotable_2020_xlsx_3[[#This Row],[2046]]+scenario_indirect_prod_1610_iotable_2020_xlsx_3[[#This Row],[2046]]</f>
        <v>77469.225119489594</v>
      </c>
      <c r="X4">
        <f>scenario_indirect_prod_4506_iotable_2020_xlsx_3[[#This Row],[2047]]+scenario_indirect_prod_1610_iotable_2020_xlsx_3[[#This Row],[2047]]</f>
        <v>77469.225119489594</v>
      </c>
      <c r="Y4">
        <f>scenario_indirect_prod_4506_iotable_2020_xlsx_3[[#This Row],[2048]]+scenario_indirect_prod_1610_iotable_2020_xlsx_3[[#This Row],[2048]]</f>
        <v>77469.225119489594</v>
      </c>
      <c r="Z4">
        <f>scenario_indirect_prod_4506_iotable_2020_xlsx_3[[#This Row],[2049]]+scenario_indirect_prod_1610_iotable_2020_xlsx_3[[#This Row],[2049]]</f>
        <v>77469.225119489594</v>
      </c>
      <c r="AA4">
        <f>scenario_indirect_prod_4506_iotable_2020_xlsx_3[[#This Row],[2050]]+scenario_indirect_prod_1610_iotable_2020_xlsx_3[[#This Row],[2050]]</f>
        <v>77469.225119489594</v>
      </c>
    </row>
    <row r="5" spans="1:27" x14ac:dyDescent="0.2">
      <c r="A5" t="s">
        <v>832</v>
      </c>
      <c r="B5" t="s">
        <v>833</v>
      </c>
      <c r="C5">
        <f>scenario_indirect_prod_4506_iotable_2020_xlsx_3[[#This Row],[2026]]+scenario_indirect_prod_1610_iotable_2020_xlsx_3[[#This Row],[2026]]</f>
        <v>894.44265517222459</v>
      </c>
      <c r="D5">
        <f>scenario_indirect_prod_4506_iotable_2020_xlsx_3[[#This Row],[2027]]+scenario_indirect_prod_1610_iotable_2020_xlsx_3[[#This Row],[2027]]</f>
        <v>895.69186495794543</v>
      </c>
      <c r="E5">
        <f>scenario_indirect_prod_4506_iotable_2020_xlsx_3[[#This Row],[2028]]+scenario_indirect_prod_1610_iotable_2020_xlsx_3[[#This Row],[2028]]</f>
        <v>939.51853766459089</v>
      </c>
      <c r="F5">
        <f>scenario_indirect_prod_4506_iotable_2020_xlsx_3[[#This Row],[2029]]+scenario_indirect_prod_1610_iotable_2020_xlsx_3[[#This Row],[2029]]</f>
        <v>971.21661551145712</v>
      </c>
      <c r="G5">
        <f>scenario_indirect_prod_4506_iotable_2020_xlsx_3[[#This Row],[2030]]+scenario_indirect_prod_1610_iotable_2020_xlsx_3[[#This Row],[2030]]</f>
        <v>935.45476013785549</v>
      </c>
      <c r="H5">
        <f>scenario_indirect_prod_4506_iotable_2020_xlsx_3[[#This Row],[2031]]+scenario_indirect_prod_1610_iotable_2020_xlsx_3[[#This Row],[2031]]</f>
        <v>994.58569030232275</v>
      </c>
      <c r="I5">
        <f>scenario_indirect_prod_4506_iotable_2020_xlsx_3[[#This Row],[2032]]+scenario_indirect_prod_1610_iotable_2020_xlsx_3[[#This Row],[2032]]</f>
        <v>1077.1672963947335</v>
      </c>
      <c r="J5">
        <f>scenario_indirect_prod_4506_iotable_2020_xlsx_3[[#This Row],[2033]]+scenario_indirect_prod_1610_iotable_2020_xlsx_3[[#This Row],[2033]]</f>
        <v>1207.2704267430875</v>
      </c>
      <c r="K5">
        <f>scenario_indirect_prod_4506_iotable_2020_xlsx_3[[#This Row],[2034]]+scenario_indirect_prod_1610_iotable_2020_xlsx_3[[#This Row],[2034]]</f>
        <v>1284.1169168630386</v>
      </c>
      <c r="L5">
        <f>scenario_indirect_prod_4506_iotable_2020_xlsx_3[[#This Row],[2035]]+scenario_indirect_prod_1610_iotable_2020_xlsx_3[[#This Row],[2035]]</f>
        <v>1476.6381319531192</v>
      </c>
      <c r="M5">
        <f>scenario_indirect_prod_4506_iotable_2020_xlsx_3[[#This Row],[2036]]+scenario_indirect_prod_1610_iotable_2020_xlsx_3[[#This Row],[2036]]</f>
        <v>1546.0898000584853</v>
      </c>
      <c r="N5">
        <f>scenario_indirect_prod_4506_iotable_2020_xlsx_3[[#This Row],[2037]]+scenario_indirect_prod_1610_iotable_2020_xlsx_3[[#This Row],[2037]]</f>
        <v>1609.9098590497613</v>
      </c>
      <c r="O5">
        <f>scenario_indirect_prod_4506_iotable_2020_xlsx_3[[#This Row],[2038]]+scenario_indirect_prod_1610_iotable_2020_xlsx_3[[#This Row],[2038]]</f>
        <v>1609.9098590497613</v>
      </c>
      <c r="P5">
        <f>scenario_indirect_prod_4506_iotable_2020_xlsx_3[[#This Row],[2039]]+scenario_indirect_prod_1610_iotable_2020_xlsx_3[[#This Row],[2039]]</f>
        <v>1609.9098590497613</v>
      </c>
      <c r="Q5">
        <f>scenario_indirect_prod_4506_iotable_2020_xlsx_3[[#This Row],[2040]]+scenario_indirect_prod_1610_iotable_2020_xlsx_3[[#This Row],[2040]]</f>
        <v>1665.406002824855</v>
      </c>
      <c r="R5">
        <f>scenario_indirect_prod_4506_iotable_2020_xlsx_3[[#This Row],[2041]]+scenario_indirect_prod_1610_iotable_2020_xlsx_3[[#This Row],[2041]]</f>
        <v>1665.406002824855</v>
      </c>
      <c r="S5">
        <f>scenario_indirect_prod_4506_iotable_2020_xlsx_3[[#This Row],[2042]]+scenario_indirect_prod_1610_iotable_2020_xlsx_3[[#This Row],[2042]]</f>
        <v>1728.3394398453524</v>
      </c>
      <c r="T5">
        <f>scenario_indirect_prod_4506_iotable_2020_xlsx_3[[#This Row],[2043]]+scenario_indirect_prod_1610_iotable_2020_xlsx_3[[#This Row],[2043]]</f>
        <v>1728.3394398453524</v>
      </c>
      <c r="U5">
        <f>scenario_indirect_prod_4506_iotable_2020_xlsx_3[[#This Row],[2044]]+scenario_indirect_prod_1610_iotable_2020_xlsx_3[[#This Row],[2044]]</f>
        <v>1783.1060564751583</v>
      </c>
      <c r="V5">
        <f>scenario_indirect_prod_4506_iotable_2020_xlsx_3[[#This Row],[2045]]+scenario_indirect_prod_1610_iotable_2020_xlsx_3[[#This Row],[2045]]</f>
        <v>1783.1060564751583</v>
      </c>
      <c r="W5">
        <f>scenario_indirect_prod_4506_iotable_2020_xlsx_3[[#This Row],[2046]]+scenario_indirect_prod_1610_iotable_2020_xlsx_3[[#This Row],[2046]]</f>
        <v>1831.3511744623243</v>
      </c>
      <c r="X5">
        <f>scenario_indirect_prod_4506_iotable_2020_xlsx_3[[#This Row],[2047]]+scenario_indirect_prod_1610_iotable_2020_xlsx_3[[#This Row],[2047]]</f>
        <v>1831.3511744623243</v>
      </c>
      <c r="Y5">
        <f>scenario_indirect_prod_4506_iotable_2020_xlsx_3[[#This Row],[2048]]+scenario_indirect_prod_1610_iotable_2020_xlsx_3[[#This Row],[2048]]</f>
        <v>1831.3511744623243</v>
      </c>
      <c r="Z5">
        <f>scenario_indirect_prod_4506_iotable_2020_xlsx_3[[#This Row],[2049]]+scenario_indirect_prod_1610_iotable_2020_xlsx_3[[#This Row],[2049]]</f>
        <v>1831.3511744623243</v>
      </c>
      <c r="AA5">
        <f>scenario_indirect_prod_4506_iotable_2020_xlsx_3[[#This Row],[2050]]+scenario_indirect_prod_1610_iotable_2020_xlsx_3[[#This Row],[2050]]</f>
        <v>1831.3511744623243</v>
      </c>
    </row>
    <row r="6" spans="1:27" x14ac:dyDescent="0.2">
      <c r="A6" t="s">
        <v>586</v>
      </c>
      <c r="B6" t="s">
        <v>587</v>
      </c>
      <c r="C6">
        <f>scenario_indirect_prod_4506_iotable_2020_xlsx_3[[#This Row],[2026]]+scenario_indirect_prod_1610_iotable_2020_xlsx_3[[#This Row],[2026]]</f>
        <v>6963.5743370731871</v>
      </c>
      <c r="D6">
        <f>scenario_indirect_prod_4506_iotable_2020_xlsx_3[[#This Row],[2027]]+scenario_indirect_prod_1610_iotable_2020_xlsx_3[[#This Row],[2027]]</f>
        <v>6829.1618572980742</v>
      </c>
      <c r="E6">
        <f>scenario_indirect_prod_4506_iotable_2020_xlsx_3[[#This Row],[2028]]+scenario_indirect_prod_1610_iotable_2020_xlsx_3[[#This Row],[2028]]</f>
        <v>7178.9360889037107</v>
      </c>
      <c r="F6">
        <f>scenario_indirect_prod_4506_iotable_2020_xlsx_3[[#This Row],[2029]]+scenario_indirect_prod_1610_iotable_2020_xlsx_3[[#This Row],[2029]]</f>
        <v>7374.1608864328573</v>
      </c>
      <c r="G6">
        <f>scenario_indirect_prod_4506_iotable_2020_xlsx_3[[#This Row],[2030]]+scenario_indirect_prod_1610_iotable_2020_xlsx_3[[#This Row],[2030]]</f>
        <v>6599.2170159602356</v>
      </c>
      <c r="H6">
        <f>scenario_indirect_prod_4506_iotable_2020_xlsx_3[[#This Row],[2031]]+scenario_indirect_prod_1610_iotable_2020_xlsx_3[[#This Row],[2031]]</f>
        <v>7071.1322763506714</v>
      </c>
      <c r="I6">
        <f>scenario_indirect_prod_4506_iotable_2020_xlsx_3[[#This Row],[2032]]+scenario_indirect_prod_1610_iotable_2020_xlsx_3[[#This Row],[2032]]</f>
        <v>7730.2039336739153</v>
      </c>
      <c r="J6">
        <f>scenario_indirect_prod_4506_iotable_2020_xlsx_3[[#This Row],[2033]]+scenario_indirect_prod_1610_iotable_2020_xlsx_3[[#This Row],[2033]]</f>
        <v>8495.4507763849342</v>
      </c>
      <c r="K6">
        <f>scenario_indirect_prod_4506_iotable_2020_xlsx_3[[#This Row],[2034]]+scenario_indirect_prod_1610_iotable_2020_xlsx_3[[#This Row],[2034]]</f>
        <v>9108.7513162915438</v>
      </c>
      <c r="L6">
        <f>scenario_indirect_prod_4506_iotable_2020_xlsx_3[[#This Row],[2035]]+scenario_indirect_prod_1610_iotable_2020_xlsx_3[[#This Row],[2035]]</f>
        <v>10299.539130885067</v>
      </c>
      <c r="M6">
        <f>scenario_indirect_prod_4506_iotable_2020_xlsx_3[[#This Row],[2036]]+scenario_indirect_prod_1610_iotable_2020_xlsx_3[[#This Row],[2036]]</f>
        <v>10626.91483153728</v>
      </c>
      <c r="N6">
        <f>scenario_indirect_prod_4506_iotable_2020_xlsx_3[[#This Row],[2037]]+scenario_indirect_prod_1610_iotable_2020_xlsx_3[[#This Row],[2037]]</f>
        <v>10937.889180573569</v>
      </c>
      <c r="O6">
        <f>scenario_indirect_prod_4506_iotable_2020_xlsx_3[[#This Row],[2038]]+scenario_indirect_prod_1610_iotable_2020_xlsx_3[[#This Row],[2038]]</f>
        <v>10937.889180573569</v>
      </c>
      <c r="P6">
        <f>scenario_indirect_prod_4506_iotable_2020_xlsx_3[[#This Row],[2039]]+scenario_indirect_prod_1610_iotable_2020_xlsx_3[[#This Row],[2039]]</f>
        <v>10937.889180573569</v>
      </c>
      <c r="Q6">
        <f>scenario_indirect_prod_4506_iotable_2020_xlsx_3[[#This Row],[2040]]+scenario_indirect_prod_1610_iotable_2020_xlsx_3[[#This Row],[2040]]</f>
        <v>11206.650485279273</v>
      </c>
      <c r="R6">
        <f>scenario_indirect_prod_4506_iotable_2020_xlsx_3[[#This Row],[2041]]+scenario_indirect_prod_1610_iotable_2020_xlsx_3[[#This Row],[2041]]</f>
        <v>11206.650485279273</v>
      </c>
      <c r="S6">
        <f>scenario_indirect_prod_4506_iotable_2020_xlsx_3[[#This Row],[2042]]+scenario_indirect_prod_1610_iotable_2020_xlsx_3[[#This Row],[2042]]</f>
        <v>11516.699658344049</v>
      </c>
      <c r="T6">
        <f>scenario_indirect_prod_4506_iotable_2020_xlsx_3[[#This Row],[2043]]+scenario_indirect_prod_1610_iotable_2020_xlsx_3[[#This Row],[2043]]</f>
        <v>11516.699658344049</v>
      </c>
      <c r="U6">
        <f>scenario_indirect_prod_4506_iotable_2020_xlsx_3[[#This Row],[2044]]+scenario_indirect_prod_1610_iotable_2020_xlsx_3[[#This Row],[2044]]</f>
        <v>11770.989071606513</v>
      </c>
      <c r="V6">
        <f>scenario_indirect_prod_4506_iotable_2020_xlsx_3[[#This Row],[2045]]+scenario_indirect_prod_1610_iotable_2020_xlsx_3[[#This Row],[2045]]</f>
        <v>11770.989071606513</v>
      </c>
      <c r="W6">
        <f>scenario_indirect_prod_4506_iotable_2020_xlsx_3[[#This Row],[2046]]+scenario_indirect_prod_1610_iotable_2020_xlsx_3[[#This Row],[2046]]</f>
        <v>12000.381532753483</v>
      </c>
      <c r="X6">
        <f>scenario_indirect_prod_4506_iotable_2020_xlsx_3[[#This Row],[2047]]+scenario_indirect_prod_1610_iotable_2020_xlsx_3[[#This Row],[2047]]</f>
        <v>12000.381532753483</v>
      </c>
      <c r="Y6">
        <f>scenario_indirect_prod_4506_iotable_2020_xlsx_3[[#This Row],[2048]]+scenario_indirect_prod_1610_iotable_2020_xlsx_3[[#This Row],[2048]]</f>
        <v>12000.381532753483</v>
      </c>
      <c r="Z6">
        <f>scenario_indirect_prod_4506_iotable_2020_xlsx_3[[#This Row],[2049]]+scenario_indirect_prod_1610_iotable_2020_xlsx_3[[#This Row],[2049]]</f>
        <v>12000.381532753483</v>
      </c>
      <c r="AA6">
        <f>scenario_indirect_prod_4506_iotable_2020_xlsx_3[[#This Row],[2050]]+scenario_indirect_prod_1610_iotable_2020_xlsx_3[[#This Row],[2050]]</f>
        <v>12000.381532753483</v>
      </c>
    </row>
    <row r="7" spans="1:27" x14ac:dyDescent="0.2">
      <c r="A7" t="s">
        <v>714</v>
      </c>
      <c r="B7" t="s">
        <v>715</v>
      </c>
      <c r="C7">
        <f>scenario_indirect_prod_4506_iotable_2020_xlsx_3[[#This Row],[2026]]+scenario_indirect_prod_1610_iotable_2020_xlsx_3[[#This Row],[2026]]</f>
        <v>2637.2077780065279</v>
      </c>
      <c r="D7">
        <f>scenario_indirect_prod_4506_iotable_2020_xlsx_3[[#This Row],[2027]]+scenario_indirect_prod_1610_iotable_2020_xlsx_3[[#This Row],[2027]]</f>
        <v>2495.4879213863433</v>
      </c>
      <c r="E7">
        <f>scenario_indirect_prod_4506_iotable_2020_xlsx_3[[#This Row],[2028]]+scenario_indirect_prod_1610_iotable_2020_xlsx_3[[#This Row],[2028]]</f>
        <v>2633.3503007470299</v>
      </c>
      <c r="F7">
        <f>scenario_indirect_prod_4506_iotable_2020_xlsx_3[[#This Row],[2029]]+scenario_indirect_prod_1610_iotable_2020_xlsx_3[[#This Row],[2029]]</f>
        <v>2674.8008727489287</v>
      </c>
      <c r="G7">
        <f>scenario_indirect_prod_4506_iotable_2020_xlsx_3[[#This Row],[2030]]+scenario_indirect_prod_1610_iotable_2020_xlsx_3[[#This Row],[2030]]</f>
        <v>2068.4772670381149</v>
      </c>
      <c r="H7">
        <f>scenario_indirect_prod_4506_iotable_2020_xlsx_3[[#This Row],[2031]]+scenario_indirect_prod_1610_iotable_2020_xlsx_3[[#This Row],[2031]]</f>
        <v>2254.4811368926466</v>
      </c>
      <c r="I7">
        <f>scenario_indirect_prod_4506_iotable_2020_xlsx_3[[#This Row],[2032]]+scenario_indirect_prod_1610_iotable_2020_xlsx_3[[#This Row],[2032]]</f>
        <v>2514.2520938058433</v>
      </c>
      <c r="J7">
        <f>scenario_indirect_prod_4506_iotable_2020_xlsx_3[[#This Row],[2033]]+scenario_indirect_prod_1610_iotable_2020_xlsx_3[[#This Row],[2033]]</f>
        <v>2648.0242034252278</v>
      </c>
      <c r="K7">
        <f>scenario_indirect_prod_4506_iotable_2020_xlsx_3[[#This Row],[2034]]+scenario_indirect_prod_1610_iotable_2020_xlsx_3[[#This Row],[2034]]</f>
        <v>2889.7546228062902</v>
      </c>
      <c r="L7">
        <f>scenario_indirect_prod_4506_iotable_2020_xlsx_3[[#This Row],[2035]]+scenario_indirect_prod_1610_iotable_2020_xlsx_3[[#This Row],[2035]]</f>
        <v>3146.6249329304865</v>
      </c>
      <c r="M7">
        <f>scenario_indirect_prod_4506_iotable_2020_xlsx_3[[#This Row],[2036]]+scenario_indirect_prod_1610_iotable_2020_xlsx_3[[#This Row],[2036]]</f>
        <v>3136.1946974032135</v>
      </c>
      <c r="N7">
        <f>scenario_indirect_prod_4506_iotable_2020_xlsx_3[[#This Row],[2037]]+scenario_indirect_prod_1610_iotable_2020_xlsx_3[[#This Row],[2037]]</f>
        <v>3136.8437238421475</v>
      </c>
      <c r="O7">
        <f>scenario_indirect_prod_4506_iotable_2020_xlsx_3[[#This Row],[2038]]+scenario_indirect_prod_1610_iotable_2020_xlsx_3[[#This Row],[2038]]</f>
        <v>3136.8437238421475</v>
      </c>
      <c r="P7">
        <f>scenario_indirect_prod_4506_iotable_2020_xlsx_3[[#This Row],[2039]]+scenario_indirect_prod_1610_iotable_2020_xlsx_3[[#This Row],[2039]]</f>
        <v>3136.8437238421475</v>
      </c>
      <c r="Q7">
        <f>scenario_indirect_prod_4506_iotable_2020_xlsx_3[[#This Row],[2040]]+scenario_indirect_prod_1610_iotable_2020_xlsx_3[[#This Row],[2040]]</f>
        <v>3135.7402706704779</v>
      </c>
      <c r="R7">
        <f>scenario_indirect_prod_4506_iotable_2020_xlsx_3[[#This Row],[2041]]+scenario_indirect_prod_1610_iotable_2020_xlsx_3[[#This Row],[2041]]</f>
        <v>3135.7402706704779</v>
      </c>
      <c r="S7">
        <f>scenario_indirect_prod_4506_iotable_2020_xlsx_3[[#This Row],[2042]]+scenario_indirect_prod_1610_iotable_2020_xlsx_3[[#This Row],[2042]]</f>
        <v>3139.8051209243167</v>
      </c>
      <c r="T7">
        <f>scenario_indirect_prod_4506_iotable_2020_xlsx_3[[#This Row],[2043]]+scenario_indirect_prod_1610_iotable_2020_xlsx_3[[#This Row],[2043]]</f>
        <v>3139.8051209243167</v>
      </c>
      <c r="U7">
        <f>scenario_indirect_prod_4506_iotable_2020_xlsx_3[[#This Row],[2044]]+scenario_indirect_prod_1610_iotable_2020_xlsx_3[[#This Row],[2044]]</f>
        <v>3127.6812913950434</v>
      </c>
      <c r="V7">
        <f>scenario_indirect_prod_4506_iotable_2020_xlsx_3[[#This Row],[2045]]+scenario_indirect_prod_1610_iotable_2020_xlsx_3[[#This Row],[2045]]</f>
        <v>3127.6812913950434</v>
      </c>
      <c r="W7">
        <f>scenario_indirect_prod_4506_iotable_2020_xlsx_3[[#This Row],[2046]]+scenario_indirect_prod_1610_iotable_2020_xlsx_3[[#This Row],[2046]]</f>
        <v>3122.4317098054225</v>
      </c>
      <c r="X7">
        <f>scenario_indirect_prod_4506_iotable_2020_xlsx_3[[#This Row],[2047]]+scenario_indirect_prod_1610_iotable_2020_xlsx_3[[#This Row],[2047]]</f>
        <v>3122.4317098054225</v>
      </c>
      <c r="Y7">
        <f>scenario_indirect_prod_4506_iotable_2020_xlsx_3[[#This Row],[2048]]+scenario_indirect_prod_1610_iotable_2020_xlsx_3[[#This Row],[2048]]</f>
        <v>3122.4317098054225</v>
      </c>
      <c r="Z7">
        <f>scenario_indirect_prod_4506_iotable_2020_xlsx_3[[#This Row],[2049]]+scenario_indirect_prod_1610_iotable_2020_xlsx_3[[#This Row],[2049]]</f>
        <v>3122.4317098054225</v>
      </c>
      <c r="AA7">
        <f>scenario_indirect_prod_4506_iotable_2020_xlsx_3[[#This Row],[2050]]+scenario_indirect_prod_1610_iotable_2020_xlsx_3[[#This Row],[2050]]</f>
        <v>3122.4317098054225</v>
      </c>
    </row>
    <row r="8" spans="1:27" x14ac:dyDescent="0.2">
      <c r="A8" t="s">
        <v>857</v>
      </c>
      <c r="B8" t="s">
        <v>858</v>
      </c>
      <c r="C8">
        <f>scenario_indirect_prod_4506_iotable_2020_xlsx_3[[#This Row],[2026]]+scenario_indirect_prod_1610_iotable_2020_xlsx_3[[#This Row],[2026]]</f>
        <v>649.73288001112883</v>
      </c>
      <c r="D8">
        <f>scenario_indirect_prod_4506_iotable_2020_xlsx_3[[#This Row],[2027]]+scenario_indirect_prod_1610_iotable_2020_xlsx_3[[#This Row],[2027]]</f>
        <v>627.43269618569605</v>
      </c>
      <c r="E8">
        <f>scenario_indirect_prod_4506_iotable_2020_xlsx_3[[#This Row],[2028]]+scenario_indirect_prod_1610_iotable_2020_xlsx_3[[#This Row],[2028]]</f>
        <v>660.64823990326772</v>
      </c>
      <c r="F8">
        <f>scenario_indirect_prod_4506_iotable_2020_xlsx_3[[#This Row],[2029]]+scenario_indirect_prod_1610_iotable_2020_xlsx_3[[#This Row],[2029]]</f>
        <v>675.37293592462868</v>
      </c>
      <c r="G8">
        <f>scenario_indirect_prod_4506_iotable_2020_xlsx_3[[#This Row],[2030]]+scenario_indirect_prod_1610_iotable_2020_xlsx_3[[#This Row],[2030]]</f>
        <v>569.44990897874266</v>
      </c>
      <c r="H8">
        <f>scenario_indirect_prod_4506_iotable_2020_xlsx_3[[#This Row],[2031]]+scenario_indirect_prod_1610_iotable_2020_xlsx_3[[#This Row],[2031]]</f>
        <v>614.26430794270323</v>
      </c>
      <c r="I8">
        <f>scenario_indirect_prod_4506_iotable_2020_xlsx_3[[#This Row],[2032]]+scenario_indirect_prod_1610_iotable_2020_xlsx_3[[#This Row],[2032]]</f>
        <v>676.85160417187421</v>
      </c>
      <c r="J8">
        <f>scenario_indirect_prod_4506_iotable_2020_xlsx_3[[#This Row],[2033]]+scenario_indirect_prod_1610_iotable_2020_xlsx_3[[#This Row],[2033]]</f>
        <v>731.4850412282351</v>
      </c>
      <c r="K8">
        <f>scenario_indirect_prod_4506_iotable_2020_xlsx_3[[#This Row],[2034]]+scenario_indirect_prod_1610_iotable_2020_xlsx_3[[#This Row],[2034]]</f>
        <v>789.72578355440601</v>
      </c>
      <c r="L8">
        <f>scenario_indirect_prod_4506_iotable_2020_xlsx_3[[#This Row],[2035]]+scenario_indirect_prod_1610_iotable_2020_xlsx_3[[#This Row],[2035]]</f>
        <v>879.97421594927914</v>
      </c>
      <c r="M8">
        <f>scenario_indirect_prod_4506_iotable_2020_xlsx_3[[#This Row],[2036]]+scenario_indirect_prod_1610_iotable_2020_xlsx_3[[#This Row],[2036]]</f>
        <v>896.07617551080898</v>
      </c>
      <c r="N8">
        <f>scenario_indirect_prod_4506_iotable_2020_xlsx_3[[#This Row],[2037]]+scenario_indirect_prod_1610_iotable_2020_xlsx_3[[#This Row],[2037]]</f>
        <v>912.50583862902045</v>
      </c>
      <c r="O8">
        <f>scenario_indirect_prod_4506_iotable_2020_xlsx_3[[#This Row],[2038]]+scenario_indirect_prod_1610_iotable_2020_xlsx_3[[#This Row],[2038]]</f>
        <v>912.50583862902045</v>
      </c>
      <c r="P8">
        <f>scenario_indirect_prod_4506_iotable_2020_xlsx_3[[#This Row],[2039]]+scenario_indirect_prod_1610_iotable_2020_xlsx_3[[#This Row],[2039]]</f>
        <v>912.50583862902045</v>
      </c>
      <c r="Q8">
        <f>scenario_indirect_prod_4506_iotable_2020_xlsx_3[[#This Row],[2040]]+scenario_indirect_prod_1610_iotable_2020_xlsx_3[[#This Row],[2040]]</f>
        <v>926.52641530680671</v>
      </c>
      <c r="R8">
        <f>scenario_indirect_prod_4506_iotable_2020_xlsx_3[[#This Row],[2041]]+scenario_indirect_prod_1610_iotable_2020_xlsx_3[[#This Row],[2041]]</f>
        <v>926.52641530680671</v>
      </c>
      <c r="S8">
        <f>scenario_indirect_prod_4506_iotable_2020_xlsx_3[[#This Row],[2042]]+scenario_indirect_prod_1610_iotable_2020_xlsx_3[[#This Row],[2042]]</f>
        <v>943.2744638543852</v>
      </c>
      <c r="T8">
        <f>scenario_indirect_prod_4506_iotable_2020_xlsx_3[[#This Row],[2043]]+scenario_indirect_prod_1610_iotable_2020_xlsx_3[[#This Row],[2043]]</f>
        <v>943.2744638543852</v>
      </c>
      <c r="U8">
        <f>scenario_indirect_prod_4506_iotable_2020_xlsx_3[[#This Row],[2044]]+scenario_indirect_prod_1610_iotable_2020_xlsx_3[[#This Row],[2044]]</f>
        <v>955.34946711822386</v>
      </c>
      <c r="V8">
        <f>scenario_indirect_prod_4506_iotable_2020_xlsx_3[[#This Row],[2045]]+scenario_indirect_prod_1610_iotable_2020_xlsx_3[[#This Row],[2045]]</f>
        <v>955.34946711822386</v>
      </c>
      <c r="W8">
        <f>scenario_indirect_prod_4506_iotable_2020_xlsx_3[[#This Row],[2046]]+scenario_indirect_prod_1610_iotable_2020_xlsx_3[[#This Row],[2046]]</f>
        <v>966.85336999412038</v>
      </c>
      <c r="X8">
        <f>scenario_indirect_prod_4506_iotable_2020_xlsx_3[[#This Row],[2047]]+scenario_indirect_prod_1610_iotable_2020_xlsx_3[[#This Row],[2047]]</f>
        <v>966.85336999412038</v>
      </c>
      <c r="Y8">
        <f>scenario_indirect_prod_4506_iotable_2020_xlsx_3[[#This Row],[2048]]+scenario_indirect_prod_1610_iotable_2020_xlsx_3[[#This Row],[2048]]</f>
        <v>966.85336999412038</v>
      </c>
      <c r="Z8">
        <f>scenario_indirect_prod_4506_iotable_2020_xlsx_3[[#This Row],[2049]]+scenario_indirect_prod_1610_iotable_2020_xlsx_3[[#This Row],[2049]]</f>
        <v>966.85336999412038</v>
      </c>
      <c r="AA8">
        <f>scenario_indirect_prod_4506_iotable_2020_xlsx_3[[#This Row],[2050]]+scenario_indirect_prod_1610_iotable_2020_xlsx_3[[#This Row],[2050]]</f>
        <v>966.85336999412038</v>
      </c>
    </row>
    <row r="9" spans="1:27" x14ac:dyDescent="0.2">
      <c r="A9" t="s">
        <v>879</v>
      </c>
      <c r="B9" t="s">
        <v>880</v>
      </c>
      <c r="C9">
        <f>scenario_indirect_prod_4506_iotable_2020_xlsx_3[[#This Row],[2026]]+scenario_indirect_prod_1610_iotable_2020_xlsx_3[[#This Row],[2026]]</f>
        <v>368.49268396285743</v>
      </c>
      <c r="D9">
        <f>scenario_indirect_prod_4506_iotable_2020_xlsx_3[[#This Row],[2027]]+scenario_indirect_prod_1610_iotable_2020_xlsx_3[[#This Row],[2027]]</f>
        <v>339.90739240071048</v>
      </c>
      <c r="E9">
        <f>scenario_indirect_prod_4506_iotable_2020_xlsx_3[[#This Row],[2028]]+scenario_indirect_prod_1610_iotable_2020_xlsx_3[[#This Row],[2028]]</f>
        <v>359.69270306604108</v>
      </c>
      <c r="F9">
        <f>scenario_indirect_prod_4506_iotable_2020_xlsx_3[[#This Row],[2029]]+scenario_indirect_prod_1610_iotable_2020_xlsx_3[[#This Row],[2029]]</f>
        <v>362.34292883818546</v>
      </c>
      <c r="G9">
        <f>scenario_indirect_prod_4506_iotable_2020_xlsx_3[[#This Row],[2030]]+scenario_indirect_prod_1610_iotable_2020_xlsx_3[[#This Row],[2030]]</f>
        <v>247.36676945322768</v>
      </c>
      <c r="H9">
        <f>scenario_indirect_prod_4506_iotable_2020_xlsx_3[[#This Row],[2031]]+scenario_indirect_prod_1610_iotable_2020_xlsx_3[[#This Row],[2031]]</f>
        <v>274.06110308573625</v>
      </c>
      <c r="I9">
        <f>scenario_indirect_prod_4506_iotable_2020_xlsx_3[[#This Row],[2032]]+scenario_indirect_prod_1610_iotable_2020_xlsx_3[[#This Row],[2032]]</f>
        <v>311.34211555768138</v>
      </c>
      <c r="J9">
        <f>scenario_indirect_prod_4506_iotable_2020_xlsx_3[[#This Row],[2033]]+scenario_indirect_prod_1610_iotable_2020_xlsx_3[[#This Row],[2033]]</f>
        <v>314.94307180197552</v>
      </c>
      <c r="K9">
        <f>scenario_indirect_prod_4506_iotable_2020_xlsx_3[[#This Row],[2034]]+scenario_indirect_prod_1610_iotable_2020_xlsx_3[[#This Row],[2034]]</f>
        <v>349.63499766959785</v>
      </c>
      <c r="L9">
        <f>scenario_indirect_prod_4506_iotable_2020_xlsx_3[[#This Row],[2035]]+scenario_indirect_prod_1610_iotable_2020_xlsx_3[[#This Row],[2035]]</f>
        <v>366.75535320206075</v>
      </c>
      <c r="M9">
        <f>scenario_indirect_prod_4506_iotable_2020_xlsx_3[[#This Row],[2036]]+scenario_indirect_prod_1610_iotable_2020_xlsx_3[[#This Row],[2036]]</f>
        <v>352.29864228373003</v>
      </c>
      <c r="N9">
        <f>scenario_indirect_prod_4506_iotable_2020_xlsx_3[[#This Row],[2037]]+scenario_indirect_prod_1610_iotable_2020_xlsx_3[[#This Row],[2037]]</f>
        <v>341.06224073484145</v>
      </c>
      <c r="O9">
        <f>scenario_indirect_prod_4506_iotable_2020_xlsx_3[[#This Row],[2038]]+scenario_indirect_prod_1610_iotable_2020_xlsx_3[[#This Row],[2038]]</f>
        <v>341.06224073484145</v>
      </c>
      <c r="P9">
        <f>scenario_indirect_prod_4506_iotable_2020_xlsx_3[[#This Row],[2039]]+scenario_indirect_prod_1610_iotable_2020_xlsx_3[[#This Row],[2039]]</f>
        <v>341.06224073484145</v>
      </c>
      <c r="Q9">
        <f>scenario_indirect_prod_4506_iotable_2020_xlsx_3[[#This Row],[2040]]+scenario_indirect_prod_1610_iotable_2020_xlsx_3[[#This Row],[2040]]</f>
        <v>330.95759187981014</v>
      </c>
      <c r="R9">
        <f>scenario_indirect_prod_4506_iotable_2020_xlsx_3[[#This Row],[2041]]+scenario_indirect_prod_1610_iotable_2020_xlsx_3[[#This Row],[2041]]</f>
        <v>330.95759187981014</v>
      </c>
      <c r="S9">
        <f>scenario_indirect_prod_4506_iotable_2020_xlsx_3[[#This Row],[2042]]+scenario_indirect_prod_1610_iotable_2020_xlsx_3[[#This Row],[2042]]</f>
        <v>320.56271566655641</v>
      </c>
      <c r="T9">
        <f>scenario_indirect_prod_4506_iotable_2020_xlsx_3[[#This Row],[2043]]+scenario_indirect_prod_1610_iotable_2020_xlsx_3[[#This Row],[2043]]</f>
        <v>320.56271566655641</v>
      </c>
      <c r="U9">
        <f>scenario_indirect_prod_4506_iotable_2020_xlsx_3[[#This Row],[2044]]+scenario_indirect_prod_1610_iotable_2020_xlsx_3[[#This Row],[2044]]</f>
        <v>308.3824548377595</v>
      </c>
      <c r="V9">
        <f>scenario_indirect_prod_4506_iotable_2020_xlsx_3[[#This Row],[2045]]+scenario_indirect_prod_1610_iotable_2020_xlsx_3[[#This Row],[2045]]</f>
        <v>308.3824548377595</v>
      </c>
      <c r="W9">
        <f>scenario_indirect_prod_4506_iotable_2020_xlsx_3[[#This Row],[2046]]+scenario_indirect_prod_1610_iotable_2020_xlsx_3[[#This Row],[2046]]</f>
        <v>298.7394301472475</v>
      </c>
      <c r="X9">
        <f>scenario_indirect_prod_4506_iotable_2020_xlsx_3[[#This Row],[2047]]+scenario_indirect_prod_1610_iotable_2020_xlsx_3[[#This Row],[2047]]</f>
        <v>298.7394301472475</v>
      </c>
      <c r="Y9">
        <f>scenario_indirect_prod_4506_iotable_2020_xlsx_3[[#This Row],[2048]]+scenario_indirect_prod_1610_iotable_2020_xlsx_3[[#This Row],[2048]]</f>
        <v>298.7394301472475</v>
      </c>
      <c r="Z9">
        <f>scenario_indirect_prod_4506_iotable_2020_xlsx_3[[#This Row],[2049]]+scenario_indirect_prod_1610_iotable_2020_xlsx_3[[#This Row],[2049]]</f>
        <v>298.7394301472475</v>
      </c>
      <c r="AA9">
        <f>scenario_indirect_prod_4506_iotable_2020_xlsx_3[[#This Row],[2050]]+scenario_indirect_prod_1610_iotable_2020_xlsx_3[[#This Row],[2050]]</f>
        <v>298.7394301472475</v>
      </c>
    </row>
    <row r="10" spans="1:27" x14ac:dyDescent="0.2">
      <c r="A10" t="s">
        <v>996</v>
      </c>
      <c r="B10" t="s">
        <v>997</v>
      </c>
      <c r="C10">
        <f>scenario_indirect_prod_4506_iotable_2020_xlsx_3[[#This Row],[2026]]+scenario_indirect_prod_1610_iotable_2020_xlsx_3[[#This Row],[2026]]</f>
        <v>0</v>
      </c>
      <c r="D10">
        <f>scenario_indirect_prod_4506_iotable_2020_xlsx_3[[#This Row],[2027]]+scenario_indirect_prod_1610_iotable_2020_xlsx_3[[#This Row],[2027]]</f>
        <v>0</v>
      </c>
      <c r="E10">
        <f>scenario_indirect_prod_4506_iotable_2020_xlsx_3[[#This Row],[2028]]+scenario_indirect_prod_1610_iotable_2020_xlsx_3[[#This Row],[2028]]</f>
        <v>0</v>
      </c>
      <c r="F10">
        <f>scenario_indirect_prod_4506_iotable_2020_xlsx_3[[#This Row],[2029]]+scenario_indirect_prod_1610_iotable_2020_xlsx_3[[#This Row],[2029]]</f>
        <v>0</v>
      </c>
      <c r="G10">
        <f>scenario_indirect_prod_4506_iotable_2020_xlsx_3[[#This Row],[2030]]+scenario_indirect_prod_1610_iotable_2020_xlsx_3[[#This Row],[2030]]</f>
        <v>0</v>
      </c>
      <c r="H10">
        <f>scenario_indirect_prod_4506_iotable_2020_xlsx_3[[#This Row],[2031]]+scenario_indirect_prod_1610_iotable_2020_xlsx_3[[#This Row],[2031]]</f>
        <v>0</v>
      </c>
      <c r="I10">
        <f>scenario_indirect_prod_4506_iotable_2020_xlsx_3[[#This Row],[2032]]+scenario_indirect_prod_1610_iotable_2020_xlsx_3[[#This Row],[2032]]</f>
        <v>0</v>
      </c>
      <c r="J10">
        <f>scenario_indirect_prod_4506_iotable_2020_xlsx_3[[#This Row],[2033]]+scenario_indirect_prod_1610_iotable_2020_xlsx_3[[#This Row],[2033]]</f>
        <v>0</v>
      </c>
      <c r="K10">
        <f>scenario_indirect_prod_4506_iotable_2020_xlsx_3[[#This Row],[2034]]+scenario_indirect_prod_1610_iotable_2020_xlsx_3[[#This Row],[2034]]</f>
        <v>0</v>
      </c>
      <c r="L10">
        <f>scenario_indirect_prod_4506_iotable_2020_xlsx_3[[#This Row],[2035]]+scenario_indirect_prod_1610_iotable_2020_xlsx_3[[#This Row],[2035]]</f>
        <v>0</v>
      </c>
      <c r="M10">
        <f>scenario_indirect_prod_4506_iotable_2020_xlsx_3[[#This Row],[2036]]+scenario_indirect_prod_1610_iotable_2020_xlsx_3[[#This Row],[2036]]</f>
        <v>0</v>
      </c>
      <c r="N10">
        <f>scenario_indirect_prod_4506_iotable_2020_xlsx_3[[#This Row],[2037]]+scenario_indirect_prod_1610_iotable_2020_xlsx_3[[#This Row],[2037]]</f>
        <v>0</v>
      </c>
      <c r="O10">
        <f>scenario_indirect_prod_4506_iotable_2020_xlsx_3[[#This Row],[2038]]+scenario_indirect_prod_1610_iotable_2020_xlsx_3[[#This Row],[2038]]</f>
        <v>0</v>
      </c>
      <c r="P10">
        <f>scenario_indirect_prod_4506_iotable_2020_xlsx_3[[#This Row],[2039]]+scenario_indirect_prod_1610_iotable_2020_xlsx_3[[#This Row],[2039]]</f>
        <v>0</v>
      </c>
      <c r="Q10">
        <f>scenario_indirect_prod_4506_iotable_2020_xlsx_3[[#This Row],[2040]]+scenario_indirect_prod_1610_iotable_2020_xlsx_3[[#This Row],[2040]]</f>
        <v>0</v>
      </c>
      <c r="R10">
        <f>scenario_indirect_prod_4506_iotable_2020_xlsx_3[[#This Row],[2041]]+scenario_indirect_prod_1610_iotable_2020_xlsx_3[[#This Row],[2041]]</f>
        <v>0</v>
      </c>
      <c r="S10">
        <f>scenario_indirect_prod_4506_iotable_2020_xlsx_3[[#This Row],[2042]]+scenario_indirect_prod_1610_iotable_2020_xlsx_3[[#This Row],[2042]]</f>
        <v>0</v>
      </c>
      <c r="T10">
        <f>scenario_indirect_prod_4506_iotable_2020_xlsx_3[[#This Row],[2043]]+scenario_indirect_prod_1610_iotable_2020_xlsx_3[[#This Row],[2043]]</f>
        <v>0</v>
      </c>
      <c r="U10">
        <f>scenario_indirect_prod_4506_iotable_2020_xlsx_3[[#This Row],[2044]]+scenario_indirect_prod_1610_iotable_2020_xlsx_3[[#This Row],[2044]]</f>
        <v>0</v>
      </c>
      <c r="V10">
        <f>scenario_indirect_prod_4506_iotable_2020_xlsx_3[[#This Row],[2045]]+scenario_indirect_prod_1610_iotable_2020_xlsx_3[[#This Row],[2045]]</f>
        <v>0</v>
      </c>
      <c r="W10">
        <f>scenario_indirect_prod_4506_iotable_2020_xlsx_3[[#This Row],[2046]]+scenario_indirect_prod_1610_iotable_2020_xlsx_3[[#This Row],[2046]]</f>
        <v>0</v>
      </c>
      <c r="X10">
        <f>scenario_indirect_prod_4506_iotable_2020_xlsx_3[[#This Row],[2047]]+scenario_indirect_prod_1610_iotable_2020_xlsx_3[[#This Row],[2047]]</f>
        <v>0</v>
      </c>
      <c r="Y10">
        <f>scenario_indirect_prod_4506_iotable_2020_xlsx_3[[#This Row],[2048]]+scenario_indirect_prod_1610_iotable_2020_xlsx_3[[#This Row],[2048]]</f>
        <v>0</v>
      </c>
      <c r="Z10">
        <f>scenario_indirect_prod_4506_iotable_2020_xlsx_3[[#This Row],[2049]]+scenario_indirect_prod_1610_iotable_2020_xlsx_3[[#This Row],[2049]]</f>
        <v>0</v>
      </c>
      <c r="AA10">
        <f>scenario_indirect_prod_4506_iotable_2020_xlsx_3[[#This Row],[2050]]+scenario_indirect_prod_1610_iotable_2020_xlsx_3[[#This Row],[2050]]</f>
        <v>0</v>
      </c>
    </row>
    <row r="11" spans="1:27" x14ac:dyDescent="0.2">
      <c r="A11" t="s">
        <v>998</v>
      </c>
      <c r="B11" t="s">
        <v>999</v>
      </c>
      <c r="C11">
        <f>scenario_indirect_prod_4506_iotable_2020_xlsx_3[[#This Row],[2026]]+scenario_indirect_prod_1610_iotable_2020_xlsx_3[[#This Row],[2026]]</f>
        <v>0</v>
      </c>
      <c r="D11">
        <f>scenario_indirect_prod_4506_iotable_2020_xlsx_3[[#This Row],[2027]]+scenario_indirect_prod_1610_iotable_2020_xlsx_3[[#This Row],[2027]]</f>
        <v>0</v>
      </c>
      <c r="E11">
        <f>scenario_indirect_prod_4506_iotable_2020_xlsx_3[[#This Row],[2028]]+scenario_indirect_prod_1610_iotable_2020_xlsx_3[[#This Row],[2028]]</f>
        <v>0</v>
      </c>
      <c r="F11">
        <f>scenario_indirect_prod_4506_iotable_2020_xlsx_3[[#This Row],[2029]]+scenario_indirect_prod_1610_iotable_2020_xlsx_3[[#This Row],[2029]]</f>
        <v>0</v>
      </c>
      <c r="G11">
        <f>scenario_indirect_prod_4506_iotable_2020_xlsx_3[[#This Row],[2030]]+scenario_indirect_prod_1610_iotable_2020_xlsx_3[[#This Row],[2030]]</f>
        <v>0</v>
      </c>
      <c r="H11">
        <f>scenario_indirect_prod_4506_iotable_2020_xlsx_3[[#This Row],[2031]]+scenario_indirect_prod_1610_iotable_2020_xlsx_3[[#This Row],[2031]]</f>
        <v>0</v>
      </c>
      <c r="I11">
        <f>scenario_indirect_prod_4506_iotable_2020_xlsx_3[[#This Row],[2032]]+scenario_indirect_prod_1610_iotable_2020_xlsx_3[[#This Row],[2032]]</f>
        <v>0</v>
      </c>
      <c r="J11">
        <f>scenario_indirect_prod_4506_iotable_2020_xlsx_3[[#This Row],[2033]]+scenario_indirect_prod_1610_iotable_2020_xlsx_3[[#This Row],[2033]]</f>
        <v>0</v>
      </c>
      <c r="K11">
        <f>scenario_indirect_prod_4506_iotable_2020_xlsx_3[[#This Row],[2034]]+scenario_indirect_prod_1610_iotable_2020_xlsx_3[[#This Row],[2034]]</f>
        <v>0</v>
      </c>
      <c r="L11">
        <f>scenario_indirect_prod_4506_iotable_2020_xlsx_3[[#This Row],[2035]]+scenario_indirect_prod_1610_iotable_2020_xlsx_3[[#This Row],[2035]]</f>
        <v>0</v>
      </c>
      <c r="M11">
        <f>scenario_indirect_prod_4506_iotable_2020_xlsx_3[[#This Row],[2036]]+scenario_indirect_prod_1610_iotable_2020_xlsx_3[[#This Row],[2036]]</f>
        <v>0</v>
      </c>
      <c r="N11">
        <f>scenario_indirect_prod_4506_iotable_2020_xlsx_3[[#This Row],[2037]]+scenario_indirect_prod_1610_iotable_2020_xlsx_3[[#This Row],[2037]]</f>
        <v>0</v>
      </c>
      <c r="O11">
        <f>scenario_indirect_prod_4506_iotable_2020_xlsx_3[[#This Row],[2038]]+scenario_indirect_prod_1610_iotable_2020_xlsx_3[[#This Row],[2038]]</f>
        <v>0</v>
      </c>
      <c r="P11">
        <f>scenario_indirect_prod_4506_iotable_2020_xlsx_3[[#This Row],[2039]]+scenario_indirect_prod_1610_iotable_2020_xlsx_3[[#This Row],[2039]]</f>
        <v>0</v>
      </c>
      <c r="Q11">
        <f>scenario_indirect_prod_4506_iotable_2020_xlsx_3[[#This Row],[2040]]+scenario_indirect_prod_1610_iotable_2020_xlsx_3[[#This Row],[2040]]</f>
        <v>0</v>
      </c>
      <c r="R11">
        <f>scenario_indirect_prod_4506_iotable_2020_xlsx_3[[#This Row],[2041]]+scenario_indirect_prod_1610_iotable_2020_xlsx_3[[#This Row],[2041]]</f>
        <v>0</v>
      </c>
      <c r="S11">
        <f>scenario_indirect_prod_4506_iotable_2020_xlsx_3[[#This Row],[2042]]+scenario_indirect_prod_1610_iotable_2020_xlsx_3[[#This Row],[2042]]</f>
        <v>0</v>
      </c>
      <c r="T11">
        <f>scenario_indirect_prod_4506_iotable_2020_xlsx_3[[#This Row],[2043]]+scenario_indirect_prod_1610_iotable_2020_xlsx_3[[#This Row],[2043]]</f>
        <v>0</v>
      </c>
      <c r="U11">
        <f>scenario_indirect_prod_4506_iotable_2020_xlsx_3[[#This Row],[2044]]+scenario_indirect_prod_1610_iotable_2020_xlsx_3[[#This Row],[2044]]</f>
        <v>0</v>
      </c>
      <c r="V11">
        <f>scenario_indirect_prod_4506_iotable_2020_xlsx_3[[#This Row],[2045]]+scenario_indirect_prod_1610_iotable_2020_xlsx_3[[#This Row],[2045]]</f>
        <v>0</v>
      </c>
      <c r="W11">
        <f>scenario_indirect_prod_4506_iotable_2020_xlsx_3[[#This Row],[2046]]+scenario_indirect_prod_1610_iotable_2020_xlsx_3[[#This Row],[2046]]</f>
        <v>0</v>
      </c>
      <c r="X11">
        <f>scenario_indirect_prod_4506_iotable_2020_xlsx_3[[#This Row],[2047]]+scenario_indirect_prod_1610_iotable_2020_xlsx_3[[#This Row],[2047]]</f>
        <v>0</v>
      </c>
      <c r="Y11">
        <f>scenario_indirect_prod_4506_iotable_2020_xlsx_3[[#This Row],[2048]]+scenario_indirect_prod_1610_iotable_2020_xlsx_3[[#This Row],[2048]]</f>
        <v>0</v>
      </c>
      <c r="Z11">
        <f>scenario_indirect_prod_4506_iotable_2020_xlsx_3[[#This Row],[2049]]+scenario_indirect_prod_1610_iotable_2020_xlsx_3[[#This Row],[2049]]</f>
        <v>0</v>
      </c>
      <c r="AA11">
        <f>scenario_indirect_prod_4506_iotable_2020_xlsx_3[[#This Row],[2050]]+scenario_indirect_prod_1610_iotable_2020_xlsx_3[[#This Row],[2050]]</f>
        <v>0</v>
      </c>
    </row>
    <row r="12" spans="1:27" x14ac:dyDescent="0.2">
      <c r="A12" t="s">
        <v>896</v>
      </c>
      <c r="B12" t="s">
        <v>897</v>
      </c>
      <c r="C12">
        <f>scenario_indirect_prod_4506_iotable_2020_xlsx_3[[#This Row],[2026]]+scenario_indirect_prod_1610_iotable_2020_xlsx_3[[#This Row],[2026]]</f>
        <v>244.9355572196913</v>
      </c>
      <c r="D12">
        <f>scenario_indirect_prod_4506_iotable_2020_xlsx_3[[#This Row],[2027]]+scenario_indirect_prod_1610_iotable_2020_xlsx_3[[#This Row],[2027]]</f>
        <v>239.50944753066278</v>
      </c>
      <c r="E12">
        <f>scenario_indirect_prod_4506_iotable_2020_xlsx_3[[#This Row],[2028]]+scenario_indirect_prod_1610_iotable_2020_xlsx_3[[#This Row],[2028]]</f>
        <v>251.85385051047854</v>
      </c>
      <c r="F12">
        <f>scenario_indirect_prod_4506_iotable_2020_xlsx_3[[#This Row],[2029]]+scenario_indirect_prod_1610_iotable_2020_xlsx_3[[#This Row],[2029]]</f>
        <v>258.47087584015912</v>
      </c>
      <c r="G12">
        <f>scenario_indirect_prod_4506_iotable_2020_xlsx_3[[#This Row],[2030]]+scenario_indirect_prod_1610_iotable_2020_xlsx_3[[#This Row],[2030]]</f>
        <v>228.80761347373459</v>
      </c>
      <c r="H12">
        <f>scenario_indirect_prod_4506_iotable_2020_xlsx_3[[#This Row],[2031]]+scenario_indirect_prod_1610_iotable_2020_xlsx_3[[#This Row],[2031]]</f>
        <v>245.46267728401654</v>
      </c>
      <c r="I12">
        <f>scenario_indirect_prod_4506_iotable_2020_xlsx_3[[#This Row],[2032]]+scenario_indirect_prod_1610_iotable_2020_xlsx_3[[#This Row],[2032]]</f>
        <v>268.72295604504944</v>
      </c>
      <c r="J12">
        <f>scenario_indirect_prod_4506_iotable_2020_xlsx_3[[#This Row],[2033]]+scenario_indirect_prod_1610_iotable_2020_xlsx_3[[#This Row],[2033]]</f>
        <v>294.43979579624624</v>
      </c>
      <c r="K12">
        <f>scenario_indirect_prod_4506_iotable_2020_xlsx_3[[#This Row],[2034]]+scenario_indirect_prod_1610_iotable_2020_xlsx_3[[#This Row],[2034]]</f>
        <v>316.08469793095162</v>
      </c>
      <c r="L12">
        <f>scenario_indirect_prod_4506_iotable_2020_xlsx_3[[#This Row],[2035]]+scenario_indirect_prod_1610_iotable_2020_xlsx_3[[#This Row],[2035]]</f>
        <v>356.47678507896887</v>
      </c>
      <c r="M12">
        <f>scenario_indirect_prod_4506_iotable_2020_xlsx_3[[#This Row],[2036]]+scenario_indirect_prod_1610_iotable_2020_xlsx_3[[#This Row],[2036]]</f>
        <v>366.95830852912474</v>
      </c>
      <c r="N12">
        <f>scenario_indirect_prod_4506_iotable_2020_xlsx_3[[#This Row],[2037]]+scenario_indirect_prod_1610_iotable_2020_xlsx_3[[#This Row],[2037]]</f>
        <v>376.9958866128402</v>
      </c>
      <c r="O12">
        <f>scenario_indirect_prod_4506_iotable_2020_xlsx_3[[#This Row],[2038]]+scenario_indirect_prod_1610_iotable_2020_xlsx_3[[#This Row],[2038]]</f>
        <v>376.9958866128402</v>
      </c>
      <c r="P12">
        <f>scenario_indirect_prod_4506_iotable_2020_xlsx_3[[#This Row],[2039]]+scenario_indirect_prod_1610_iotable_2020_xlsx_3[[#This Row],[2039]]</f>
        <v>376.9958866128402</v>
      </c>
      <c r="Q12">
        <f>scenario_indirect_prod_4506_iotable_2020_xlsx_3[[#This Row],[2040]]+scenario_indirect_prod_1610_iotable_2020_xlsx_3[[#This Row],[2040]]</f>
        <v>385.65812124227767</v>
      </c>
      <c r="R12">
        <f>scenario_indirect_prod_4506_iotable_2020_xlsx_3[[#This Row],[2041]]+scenario_indirect_prod_1610_iotable_2020_xlsx_3[[#This Row],[2041]]</f>
        <v>385.65812124227767</v>
      </c>
      <c r="S12">
        <f>scenario_indirect_prod_4506_iotable_2020_xlsx_3[[#This Row],[2042]]+scenario_indirect_prod_1610_iotable_2020_xlsx_3[[#This Row],[2042]]</f>
        <v>395.69211671221177</v>
      </c>
      <c r="T12">
        <f>scenario_indirect_prod_4506_iotable_2020_xlsx_3[[#This Row],[2043]]+scenario_indirect_prod_1610_iotable_2020_xlsx_3[[#This Row],[2043]]</f>
        <v>395.69211671221177</v>
      </c>
      <c r="U12">
        <f>scenario_indirect_prod_4506_iotable_2020_xlsx_3[[#This Row],[2044]]+scenario_indirect_prod_1610_iotable_2020_xlsx_3[[#This Row],[2044]]</f>
        <v>403.80272357088882</v>
      </c>
      <c r="V12">
        <f>scenario_indirect_prod_4506_iotable_2020_xlsx_3[[#This Row],[2045]]+scenario_indirect_prod_1610_iotable_2020_xlsx_3[[#This Row],[2045]]</f>
        <v>403.80272357088882</v>
      </c>
      <c r="W12">
        <f>scenario_indirect_prod_4506_iotable_2020_xlsx_3[[#This Row],[2046]]+scenario_indirect_prod_1610_iotable_2020_xlsx_3[[#This Row],[2046]]</f>
        <v>411.16296831147702</v>
      </c>
      <c r="X12">
        <f>scenario_indirect_prod_4506_iotable_2020_xlsx_3[[#This Row],[2047]]+scenario_indirect_prod_1610_iotable_2020_xlsx_3[[#This Row],[2047]]</f>
        <v>411.16296831147702</v>
      </c>
      <c r="Y12">
        <f>scenario_indirect_prod_4506_iotable_2020_xlsx_3[[#This Row],[2048]]+scenario_indirect_prod_1610_iotable_2020_xlsx_3[[#This Row],[2048]]</f>
        <v>411.16296831147702</v>
      </c>
      <c r="Z12">
        <f>scenario_indirect_prod_4506_iotable_2020_xlsx_3[[#This Row],[2049]]+scenario_indirect_prod_1610_iotable_2020_xlsx_3[[#This Row],[2049]]</f>
        <v>411.16296831147702</v>
      </c>
      <c r="AA12">
        <f>scenario_indirect_prod_4506_iotable_2020_xlsx_3[[#This Row],[2050]]+scenario_indirect_prod_1610_iotable_2020_xlsx_3[[#This Row],[2050]]</f>
        <v>411.16296831147702</v>
      </c>
    </row>
    <row r="13" spans="1:27" x14ac:dyDescent="0.2">
      <c r="A13" t="s">
        <v>562</v>
      </c>
      <c r="B13" t="s">
        <v>563</v>
      </c>
      <c r="C13">
        <f>scenario_indirect_prod_4506_iotable_2020_xlsx_3[[#This Row],[2026]]+scenario_indirect_prod_1610_iotable_2020_xlsx_3[[#This Row],[2026]]</f>
        <v>9206.6151556706827</v>
      </c>
      <c r="D13">
        <f>scenario_indirect_prod_4506_iotable_2020_xlsx_3[[#This Row],[2027]]+scenario_indirect_prod_1610_iotable_2020_xlsx_3[[#This Row],[2027]]</f>
        <v>10006.898053545905</v>
      </c>
      <c r="E13">
        <f>scenario_indirect_prod_4506_iotable_2020_xlsx_3[[#This Row],[2028]]+scenario_indirect_prod_1610_iotable_2020_xlsx_3[[#This Row],[2028]]</f>
        <v>10411.210241035327</v>
      </c>
      <c r="F13">
        <f>scenario_indirect_prod_4506_iotable_2020_xlsx_3[[#This Row],[2029]]+scenario_indirect_prod_1610_iotable_2020_xlsx_3[[#This Row],[2029]]</f>
        <v>11019.136540376621</v>
      </c>
      <c r="G13">
        <f>scenario_indirect_prod_4506_iotable_2020_xlsx_3[[#This Row],[2030]]+scenario_indirect_prod_1610_iotable_2020_xlsx_3[[#This Row],[2030]]</f>
        <v>13363.54200624381</v>
      </c>
      <c r="H13">
        <f>scenario_indirect_prod_4506_iotable_2020_xlsx_3[[#This Row],[2031]]+scenario_indirect_prod_1610_iotable_2020_xlsx_3[[#This Row],[2031]]</f>
        <v>13909.03985599171</v>
      </c>
      <c r="I13">
        <f>scenario_indirect_prod_4506_iotable_2020_xlsx_3[[#This Row],[2032]]+scenario_indirect_prod_1610_iotable_2020_xlsx_3[[#This Row],[2032]]</f>
        <v>14670.876147537283</v>
      </c>
      <c r="J13">
        <f>scenario_indirect_prod_4506_iotable_2020_xlsx_3[[#This Row],[2033]]+scenario_indirect_prod_1610_iotable_2020_xlsx_3[[#This Row],[2033]]</f>
        <v>17362.982531561254</v>
      </c>
      <c r="K13">
        <f>scenario_indirect_prod_4506_iotable_2020_xlsx_3[[#This Row],[2034]]+scenario_indirect_prod_1610_iotable_2020_xlsx_3[[#This Row],[2034]]</f>
        <v>18071.910921568156</v>
      </c>
      <c r="L13">
        <f>scenario_indirect_prod_4506_iotable_2020_xlsx_3[[#This Row],[2035]]+scenario_indirect_prod_1610_iotable_2020_xlsx_3[[#This Row],[2035]]</f>
        <v>21736.499914812597</v>
      </c>
      <c r="M13">
        <f>scenario_indirect_prod_4506_iotable_2020_xlsx_3[[#This Row],[2036]]+scenario_indirect_prod_1610_iotable_2020_xlsx_3[[#This Row],[2036]]</f>
        <v>23616.804346857734</v>
      </c>
      <c r="N13">
        <f>scenario_indirect_prod_4506_iotable_2020_xlsx_3[[#This Row],[2037]]+scenario_indirect_prod_1610_iotable_2020_xlsx_3[[#This Row],[2037]]</f>
        <v>25289.221867906323</v>
      </c>
      <c r="O13">
        <f>scenario_indirect_prod_4506_iotable_2020_xlsx_3[[#This Row],[2038]]+scenario_indirect_prod_1610_iotable_2020_xlsx_3[[#This Row],[2038]]</f>
        <v>25289.221867906323</v>
      </c>
      <c r="P13">
        <f>scenario_indirect_prod_4506_iotable_2020_xlsx_3[[#This Row],[2039]]+scenario_indirect_prod_1610_iotable_2020_xlsx_3[[#This Row],[2039]]</f>
        <v>25289.221867906323</v>
      </c>
      <c r="Q13">
        <f>scenario_indirect_prod_4506_iotable_2020_xlsx_3[[#This Row],[2040]]+scenario_indirect_prod_1610_iotable_2020_xlsx_3[[#This Row],[2040]]</f>
        <v>26752.541570842859</v>
      </c>
      <c r="R13">
        <f>scenario_indirect_prod_4506_iotable_2020_xlsx_3[[#This Row],[2041]]+scenario_indirect_prod_1610_iotable_2020_xlsx_3[[#This Row],[2041]]</f>
        <v>26752.541570842859</v>
      </c>
      <c r="S13">
        <f>scenario_indirect_prod_4506_iotable_2020_xlsx_3[[#This Row],[2042]]+scenario_indirect_prod_1610_iotable_2020_xlsx_3[[#This Row],[2042]]</f>
        <v>28383.177895715889</v>
      </c>
      <c r="T13">
        <f>scenario_indirect_prod_4506_iotable_2020_xlsx_3[[#This Row],[2043]]+scenario_indirect_prod_1610_iotable_2020_xlsx_3[[#This Row],[2043]]</f>
        <v>28383.177895715889</v>
      </c>
      <c r="U13">
        <f>scenario_indirect_prod_4506_iotable_2020_xlsx_3[[#This Row],[2044]]+scenario_indirect_prod_1610_iotable_2020_xlsx_3[[#This Row],[2044]]</f>
        <v>29887.02042961356</v>
      </c>
      <c r="V13">
        <f>scenario_indirect_prod_4506_iotable_2020_xlsx_3[[#This Row],[2045]]+scenario_indirect_prod_1610_iotable_2020_xlsx_3[[#This Row],[2045]]</f>
        <v>29887.02042961356</v>
      </c>
      <c r="W13">
        <f>scenario_indirect_prod_4506_iotable_2020_xlsx_3[[#This Row],[2046]]+scenario_indirect_prod_1610_iotable_2020_xlsx_3[[#This Row],[2046]]</f>
        <v>31182.379396745884</v>
      </c>
      <c r="X13">
        <f>scenario_indirect_prod_4506_iotable_2020_xlsx_3[[#This Row],[2047]]+scenario_indirect_prod_1610_iotable_2020_xlsx_3[[#This Row],[2047]]</f>
        <v>31182.379396745884</v>
      </c>
      <c r="Y13">
        <f>scenario_indirect_prod_4506_iotable_2020_xlsx_3[[#This Row],[2048]]+scenario_indirect_prod_1610_iotable_2020_xlsx_3[[#This Row],[2048]]</f>
        <v>31182.379396745884</v>
      </c>
      <c r="Z13">
        <f>scenario_indirect_prod_4506_iotable_2020_xlsx_3[[#This Row],[2049]]+scenario_indirect_prod_1610_iotable_2020_xlsx_3[[#This Row],[2049]]</f>
        <v>31182.379396745884</v>
      </c>
      <c r="AA13">
        <f>scenario_indirect_prod_4506_iotable_2020_xlsx_3[[#This Row],[2050]]+scenario_indirect_prod_1610_iotable_2020_xlsx_3[[#This Row],[2050]]</f>
        <v>31182.379396745884</v>
      </c>
    </row>
    <row r="14" spans="1:27" x14ac:dyDescent="0.2">
      <c r="A14" t="s">
        <v>930</v>
      </c>
      <c r="B14" t="s">
        <v>931</v>
      </c>
      <c r="C14">
        <f>scenario_indirect_prod_4506_iotable_2020_xlsx_3[[#This Row],[2026]]+scenario_indirect_prod_1610_iotable_2020_xlsx_3[[#This Row],[2026]]</f>
        <v>27.808847083893145</v>
      </c>
      <c r="D14">
        <f>scenario_indirect_prod_4506_iotable_2020_xlsx_3[[#This Row],[2027]]+scenario_indirect_prod_1610_iotable_2020_xlsx_3[[#This Row],[2027]]</f>
        <v>27.975870233618878</v>
      </c>
      <c r="E14">
        <f>scenario_indirect_prod_4506_iotable_2020_xlsx_3[[#This Row],[2028]]+scenario_indirect_prod_1610_iotable_2020_xlsx_3[[#This Row],[2028]]</f>
        <v>29.330853325993292</v>
      </c>
      <c r="F14">
        <f>scenario_indirect_prod_4506_iotable_2020_xlsx_3[[#This Row],[2029]]+scenario_indirect_prod_1610_iotable_2020_xlsx_3[[#This Row],[2029]]</f>
        <v>30.362218960001815</v>
      </c>
      <c r="G14">
        <f>scenario_indirect_prod_4506_iotable_2020_xlsx_3[[#This Row],[2030]]+scenario_indirect_prod_1610_iotable_2020_xlsx_3[[#This Row],[2030]]</f>
        <v>29.691925138067877</v>
      </c>
      <c r="H14">
        <f>scenario_indirect_prod_4506_iotable_2020_xlsx_3[[#This Row],[2031]]+scenario_indirect_prod_1610_iotable_2020_xlsx_3[[#This Row],[2031]]</f>
        <v>31.520067811492332</v>
      </c>
      <c r="I14">
        <f>scenario_indirect_prod_4506_iotable_2020_xlsx_3[[#This Row],[2032]]+scenario_indirect_prod_1610_iotable_2020_xlsx_3[[#This Row],[2032]]</f>
        <v>34.07323174308538</v>
      </c>
      <c r="J14">
        <f>scenario_indirect_prod_4506_iotable_2020_xlsx_3[[#This Row],[2033]]+scenario_indirect_prod_1610_iotable_2020_xlsx_3[[#This Row],[2033]]</f>
        <v>38.338472846417275</v>
      </c>
      <c r="K14">
        <f>scenario_indirect_prod_4506_iotable_2020_xlsx_3[[#This Row],[2034]]+scenario_indirect_prod_1610_iotable_2020_xlsx_3[[#This Row],[2034]]</f>
        <v>40.71432500197146</v>
      </c>
      <c r="L14">
        <f>scenario_indirect_prod_4506_iotable_2020_xlsx_3[[#This Row],[2035]]+scenario_indirect_prod_1610_iotable_2020_xlsx_3[[#This Row],[2035]]</f>
        <v>46.973909288284354</v>
      </c>
      <c r="M14">
        <f>scenario_indirect_prod_4506_iotable_2020_xlsx_3[[#This Row],[2036]]+scenario_indirect_prod_1610_iotable_2020_xlsx_3[[#This Row],[2036]]</f>
        <v>49.322929662751832</v>
      </c>
      <c r="N14">
        <f>scenario_indirect_prod_4506_iotable_2020_xlsx_3[[#This Row],[2037]]+scenario_indirect_prod_1610_iotable_2020_xlsx_3[[#This Row],[2037]]</f>
        <v>51.472453991598314</v>
      </c>
      <c r="O14">
        <f>scenario_indirect_prod_4506_iotable_2020_xlsx_3[[#This Row],[2038]]+scenario_indirect_prod_1610_iotable_2020_xlsx_3[[#This Row],[2038]]</f>
        <v>51.472453991598314</v>
      </c>
      <c r="P14">
        <f>scenario_indirect_prod_4506_iotable_2020_xlsx_3[[#This Row],[2039]]+scenario_indirect_prod_1610_iotable_2020_xlsx_3[[#This Row],[2039]]</f>
        <v>51.472453991598314</v>
      </c>
      <c r="Q14">
        <f>scenario_indirect_prod_4506_iotable_2020_xlsx_3[[#This Row],[2040]]+scenario_indirect_prod_1610_iotable_2020_xlsx_3[[#This Row],[2040]]</f>
        <v>53.343090734913005</v>
      </c>
      <c r="R14">
        <f>scenario_indirect_prod_4506_iotable_2020_xlsx_3[[#This Row],[2041]]+scenario_indirect_prod_1610_iotable_2020_xlsx_3[[#This Row],[2041]]</f>
        <v>53.343090734913005</v>
      </c>
      <c r="S14">
        <f>scenario_indirect_prod_4506_iotable_2020_xlsx_3[[#This Row],[2042]]+scenario_indirect_prod_1610_iotable_2020_xlsx_3[[#This Row],[2042]]</f>
        <v>55.459733467793555</v>
      </c>
      <c r="T14">
        <f>scenario_indirect_prod_4506_iotable_2020_xlsx_3[[#This Row],[2043]]+scenario_indirect_prod_1610_iotable_2020_xlsx_3[[#This Row],[2043]]</f>
        <v>55.459733467793555</v>
      </c>
      <c r="U14">
        <f>scenario_indirect_prod_4506_iotable_2020_xlsx_3[[#This Row],[2044]]+scenario_indirect_prod_1610_iotable_2020_xlsx_3[[#This Row],[2044]]</f>
        <v>57.315507792420206</v>
      </c>
      <c r="V14">
        <f>scenario_indirect_prod_4506_iotable_2020_xlsx_3[[#This Row],[2045]]+scenario_indirect_prod_1610_iotable_2020_xlsx_3[[#This Row],[2045]]</f>
        <v>57.315507792420206</v>
      </c>
      <c r="W14">
        <f>scenario_indirect_prod_4506_iotable_2020_xlsx_3[[#This Row],[2046]]+scenario_indirect_prod_1610_iotable_2020_xlsx_3[[#This Row],[2046]]</f>
        <v>58.945512764679641</v>
      </c>
      <c r="X14">
        <f>scenario_indirect_prod_4506_iotable_2020_xlsx_3[[#This Row],[2047]]+scenario_indirect_prod_1610_iotable_2020_xlsx_3[[#This Row],[2047]]</f>
        <v>58.945512764679641</v>
      </c>
      <c r="Y14">
        <f>scenario_indirect_prod_4506_iotable_2020_xlsx_3[[#This Row],[2048]]+scenario_indirect_prod_1610_iotable_2020_xlsx_3[[#This Row],[2048]]</f>
        <v>58.945512764679641</v>
      </c>
      <c r="Z14">
        <f>scenario_indirect_prod_4506_iotable_2020_xlsx_3[[#This Row],[2049]]+scenario_indirect_prod_1610_iotable_2020_xlsx_3[[#This Row],[2049]]</f>
        <v>58.945512764679641</v>
      </c>
      <c r="AA14">
        <f>scenario_indirect_prod_4506_iotable_2020_xlsx_3[[#This Row],[2050]]+scenario_indirect_prod_1610_iotable_2020_xlsx_3[[#This Row],[2050]]</f>
        <v>58.945512764679641</v>
      </c>
    </row>
    <row r="15" spans="1:27" x14ac:dyDescent="0.2">
      <c r="A15" t="s">
        <v>783</v>
      </c>
      <c r="B15" t="s">
        <v>784</v>
      </c>
      <c r="C15">
        <f>scenario_indirect_prod_4506_iotable_2020_xlsx_3[[#This Row],[2026]]+scenario_indirect_prod_1610_iotable_2020_xlsx_3[[#This Row],[2026]]</f>
        <v>1530.6786690444756</v>
      </c>
      <c r="D15">
        <f>scenario_indirect_prod_4506_iotable_2020_xlsx_3[[#This Row],[2027]]+scenario_indirect_prod_1610_iotable_2020_xlsx_3[[#This Row],[2027]]</f>
        <v>1542.7219966903085</v>
      </c>
      <c r="E15">
        <f>scenario_indirect_prod_4506_iotable_2020_xlsx_3[[#This Row],[2028]]+scenario_indirect_prod_1610_iotable_2020_xlsx_3[[#This Row],[2028]]</f>
        <v>1617.1347639650949</v>
      </c>
      <c r="F15">
        <f>scenario_indirect_prod_4506_iotable_2020_xlsx_3[[#This Row],[2029]]+scenario_indirect_prod_1610_iotable_2020_xlsx_3[[#This Row],[2029]]</f>
        <v>1674.9234638560056</v>
      </c>
      <c r="G15">
        <f>scenario_indirect_prod_4506_iotable_2020_xlsx_3[[#This Row],[2030]]+scenario_indirect_prod_1610_iotable_2020_xlsx_3[[#This Row],[2030]]</f>
        <v>1647.8458387668252</v>
      </c>
      <c r="H15">
        <f>scenario_indirect_prod_4506_iotable_2020_xlsx_3[[#This Row],[2031]]+scenario_indirect_prod_1610_iotable_2020_xlsx_3[[#This Row],[2031]]</f>
        <v>1748.2435161018639</v>
      </c>
      <c r="I15">
        <f>scenario_indirect_prod_4506_iotable_2020_xlsx_3[[#This Row],[2032]]+scenario_indirect_prod_1610_iotable_2020_xlsx_3[[#This Row],[2032]]</f>
        <v>1888.4578069850695</v>
      </c>
      <c r="J15">
        <f>scenario_indirect_prod_4506_iotable_2020_xlsx_3[[#This Row],[2033]]+scenario_indirect_prod_1610_iotable_2020_xlsx_3[[#This Row],[2033]]</f>
        <v>2128.1255396399993</v>
      </c>
      <c r="K15">
        <f>scenario_indirect_prod_4506_iotable_2020_xlsx_3[[#This Row],[2034]]+scenario_indirect_prod_1610_iotable_2020_xlsx_3[[#This Row],[2034]]</f>
        <v>2258.6022478185096</v>
      </c>
      <c r="L15">
        <f>scenario_indirect_prod_4506_iotable_2020_xlsx_3[[#This Row],[2035]]+scenario_indirect_prod_1610_iotable_2020_xlsx_3[[#This Row],[2035]]</f>
        <v>2609.238721240979</v>
      </c>
      <c r="M15">
        <f>scenario_indirect_prod_4506_iotable_2020_xlsx_3[[#This Row],[2036]]+scenario_indirect_prod_1610_iotable_2020_xlsx_3[[#This Row],[2036]]</f>
        <v>2742.753529188672</v>
      </c>
      <c r="N15">
        <f>scenario_indirect_prod_4506_iotable_2020_xlsx_3[[#This Row],[2037]]+scenario_indirect_prod_1610_iotable_2020_xlsx_3[[#This Row],[2037]]</f>
        <v>2864.744903265675</v>
      </c>
      <c r="O15">
        <f>scenario_indirect_prod_4506_iotable_2020_xlsx_3[[#This Row],[2038]]+scenario_indirect_prod_1610_iotable_2020_xlsx_3[[#This Row],[2038]]</f>
        <v>2864.744903265675</v>
      </c>
      <c r="P15">
        <f>scenario_indirect_prod_4506_iotable_2020_xlsx_3[[#This Row],[2039]]+scenario_indirect_prod_1610_iotable_2020_xlsx_3[[#This Row],[2039]]</f>
        <v>2864.744903265675</v>
      </c>
      <c r="Q15">
        <f>scenario_indirect_prod_4506_iotable_2020_xlsx_3[[#This Row],[2040]]+scenario_indirect_prod_1610_iotable_2020_xlsx_3[[#This Row],[2040]]</f>
        <v>2970.9388207954362</v>
      </c>
      <c r="R15">
        <f>scenario_indirect_prod_4506_iotable_2020_xlsx_3[[#This Row],[2041]]+scenario_indirect_prod_1610_iotable_2020_xlsx_3[[#This Row],[2041]]</f>
        <v>2970.9388207954362</v>
      </c>
      <c r="S15">
        <f>scenario_indirect_prod_4506_iotable_2020_xlsx_3[[#This Row],[2042]]+scenario_indirect_prod_1610_iotable_2020_xlsx_3[[#This Row],[2042]]</f>
        <v>3091.0021103265726</v>
      </c>
      <c r="T15">
        <f>scenario_indirect_prod_4506_iotable_2020_xlsx_3[[#This Row],[2043]]+scenario_indirect_prod_1610_iotable_2020_xlsx_3[[#This Row],[2043]]</f>
        <v>3091.0021103265726</v>
      </c>
      <c r="U15">
        <f>scenario_indirect_prod_4506_iotable_2020_xlsx_3[[#This Row],[2044]]+scenario_indirect_prod_1610_iotable_2020_xlsx_3[[#This Row],[2044]]</f>
        <v>3196.5517978484399</v>
      </c>
      <c r="V15">
        <f>scenario_indirect_prod_4506_iotable_2020_xlsx_3[[#This Row],[2045]]+scenario_indirect_prod_1610_iotable_2020_xlsx_3[[#This Row],[2045]]</f>
        <v>3196.5517978484399</v>
      </c>
      <c r="W15">
        <f>scenario_indirect_prod_4506_iotable_2020_xlsx_3[[#This Row],[2046]]+scenario_indirect_prod_1610_iotable_2020_xlsx_3[[#This Row],[2046]]</f>
        <v>3289.1628854370465</v>
      </c>
      <c r="X15">
        <f>scenario_indirect_prod_4506_iotable_2020_xlsx_3[[#This Row],[2047]]+scenario_indirect_prod_1610_iotable_2020_xlsx_3[[#This Row],[2047]]</f>
        <v>3289.1628854370465</v>
      </c>
      <c r="Y15">
        <f>scenario_indirect_prod_4506_iotable_2020_xlsx_3[[#This Row],[2048]]+scenario_indirect_prod_1610_iotable_2020_xlsx_3[[#This Row],[2048]]</f>
        <v>3289.1628854370465</v>
      </c>
      <c r="Z15">
        <f>scenario_indirect_prod_4506_iotable_2020_xlsx_3[[#This Row],[2049]]+scenario_indirect_prod_1610_iotable_2020_xlsx_3[[#This Row],[2049]]</f>
        <v>3289.1628854370465</v>
      </c>
      <c r="AA15">
        <f>scenario_indirect_prod_4506_iotable_2020_xlsx_3[[#This Row],[2050]]+scenario_indirect_prod_1610_iotable_2020_xlsx_3[[#This Row],[2050]]</f>
        <v>3289.1628854370465</v>
      </c>
    </row>
    <row r="16" spans="1:27" x14ac:dyDescent="0.2">
      <c r="A16" t="s">
        <v>465</v>
      </c>
      <c r="B16" t="s">
        <v>466</v>
      </c>
      <c r="C16">
        <f>scenario_indirect_prod_4506_iotable_2020_xlsx_3[[#This Row],[2026]]+scenario_indirect_prod_1610_iotable_2020_xlsx_3[[#This Row],[2026]]</f>
        <v>24252.107694455</v>
      </c>
      <c r="D16">
        <f>scenario_indirect_prod_4506_iotable_2020_xlsx_3[[#This Row],[2027]]+scenario_indirect_prod_1610_iotable_2020_xlsx_3[[#This Row],[2027]]</f>
        <v>26007.632789824278</v>
      </c>
      <c r="E16">
        <f>scenario_indirect_prod_4506_iotable_2020_xlsx_3[[#This Row],[2028]]+scenario_indirect_prod_1610_iotable_2020_xlsx_3[[#This Row],[2028]]</f>
        <v>27093.630020482517</v>
      </c>
      <c r="F16">
        <f>scenario_indirect_prod_4506_iotable_2020_xlsx_3[[#This Row],[2029]]+scenario_indirect_prod_1610_iotable_2020_xlsx_3[[#This Row],[2029]]</f>
        <v>28568.916598045515</v>
      </c>
      <c r="G16">
        <f>scenario_indirect_prod_4506_iotable_2020_xlsx_3[[#This Row],[2030]]+scenario_indirect_prod_1610_iotable_2020_xlsx_3[[#This Row],[2030]]</f>
        <v>33529.985618620165</v>
      </c>
      <c r="H16">
        <f>scenario_indirect_prod_4506_iotable_2020_xlsx_3[[#This Row],[2031]]+scenario_indirect_prod_1610_iotable_2020_xlsx_3[[#This Row],[2031]]</f>
        <v>34995.212669614622</v>
      </c>
      <c r="I16">
        <f>scenario_indirect_prod_4506_iotable_2020_xlsx_3[[#This Row],[2032]]+scenario_indirect_prod_1610_iotable_2020_xlsx_3[[#This Row],[2032]]</f>
        <v>37041.532638277655</v>
      </c>
      <c r="J16">
        <f>scenario_indirect_prod_4506_iotable_2020_xlsx_3[[#This Row],[2033]]+scenario_indirect_prod_1610_iotable_2020_xlsx_3[[#This Row],[2033]]</f>
        <v>43527.288909050432</v>
      </c>
      <c r="K16">
        <f>scenario_indirect_prod_4506_iotable_2020_xlsx_3[[#This Row],[2034]]+scenario_indirect_prod_1610_iotable_2020_xlsx_3[[#This Row],[2034]]</f>
        <v>45431.49633119905</v>
      </c>
      <c r="L16">
        <f>scenario_indirect_prod_4506_iotable_2020_xlsx_3[[#This Row],[2035]]+scenario_indirect_prod_1610_iotable_2020_xlsx_3[[#This Row],[2035]]</f>
        <v>54331.204913784561</v>
      </c>
      <c r="M16">
        <f>scenario_indirect_prod_4506_iotable_2020_xlsx_3[[#This Row],[2036]]+scenario_indirect_prod_1610_iotable_2020_xlsx_3[[#This Row],[2036]]</f>
        <v>58762.469144535789</v>
      </c>
      <c r="N16">
        <f>scenario_indirect_prod_4506_iotable_2020_xlsx_3[[#This Row],[2037]]+scenario_indirect_prod_1610_iotable_2020_xlsx_3[[#This Row],[2037]]</f>
        <v>62713.246155832479</v>
      </c>
      <c r="O16">
        <f>scenario_indirect_prod_4506_iotable_2020_xlsx_3[[#This Row],[2038]]+scenario_indirect_prod_1610_iotable_2020_xlsx_3[[#This Row],[2038]]</f>
        <v>62713.246155832479</v>
      </c>
      <c r="P16">
        <f>scenario_indirect_prod_4506_iotable_2020_xlsx_3[[#This Row],[2039]]+scenario_indirect_prod_1610_iotable_2020_xlsx_3[[#This Row],[2039]]</f>
        <v>62713.246155832479</v>
      </c>
      <c r="Q16">
        <f>scenario_indirect_prod_4506_iotable_2020_xlsx_3[[#This Row],[2040]]+scenario_indirect_prod_1610_iotable_2020_xlsx_3[[#This Row],[2040]]</f>
        <v>66168.479705961814</v>
      </c>
      <c r="R16">
        <f>scenario_indirect_prod_4506_iotable_2020_xlsx_3[[#This Row],[2041]]+scenario_indirect_prod_1610_iotable_2020_xlsx_3[[#This Row],[2041]]</f>
        <v>66168.479705961814</v>
      </c>
      <c r="S16">
        <f>scenario_indirect_prod_4506_iotable_2020_xlsx_3[[#This Row],[2042]]+scenario_indirect_prod_1610_iotable_2020_xlsx_3[[#This Row],[2042]]</f>
        <v>70023.818408722902</v>
      </c>
      <c r="T16">
        <f>scenario_indirect_prod_4506_iotable_2020_xlsx_3[[#This Row],[2043]]+scenario_indirect_prod_1610_iotable_2020_xlsx_3[[#This Row],[2043]]</f>
        <v>70023.818408722902</v>
      </c>
      <c r="U16">
        <f>scenario_indirect_prod_4506_iotable_2020_xlsx_3[[#This Row],[2044]]+scenario_indirect_prod_1610_iotable_2020_xlsx_3[[#This Row],[2044]]</f>
        <v>73564.290201815631</v>
      </c>
      <c r="V16">
        <f>scenario_indirect_prod_4506_iotable_2020_xlsx_3[[#This Row],[2045]]+scenario_indirect_prod_1610_iotable_2020_xlsx_3[[#This Row],[2045]]</f>
        <v>73564.290201815631</v>
      </c>
      <c r="W16">
        <f>scenario_indirect_prod_4506_iotable_2020_xlsx_3[[#This Row],[2046]]+scenario_indirect_prod_1610_iotable_2020_xlsx_3[[#This Row],[2046]]</f>
        <v>76618.86878044474</v>
      </c>
      <c r="X16">
        <f>scenario_indirect_prod_4506_iotable_2020_xlsx_3[[#This Row],[2047]]+scenario_indirect_prod_1610_iotable_2020_xlsx_3[[#This Row],[2047]]</f>
        <v>76618.86878044474</v>
      </c>
      <c r="Y16">
        <f>scenario_indirect_prod_4506_iotable_2020_xlsx_3[[#This Row],[2048]]+scenario_indirect_prod_1610_iotable_2020_xlsx_3[[#This Row],[2048]]</f>
        <v>76618.86878044474</v>
      </c>
      <c r="Z16">
        <f>scenario_indirect_prod_4506_iotable_2020_xlsx_3[[#This Row],[2049]]+scenario_indirect_prod_1610_iotable_2020_xlsx_3[[#This Row],[2049]]</f>
        <v>76618.86878044474</v>
      </c>
      <c r="AA16">
        <f>scenario_indirect_prod_4506_iotable_2020_xlsx_3[[#This Row],[2050]]+scenario_indirect_prod_1610_iotable_2020_xlsx_3[[#This Row],[2050]]</f>
        <v>76618.86878044474</v>
      </c>
    </row>
    <row r="17" spans="1:27" x14ac:dyDescent="0.2">
      <c r="A17" t="s">
        <v>451</v>
      </c>
      <c r="B17" t="s">
        <v>452</v>
      </c>
      <c r="C17">
        <f>scenario_indirect_prod_4506_iotable_2020_xlsx_3[[#This Row],[2026]]+scenario_indirect_prod_1610_iotable_2020_xlsx_3[[#This Row],[2026]]</f>
        <v>26757.413859453718</v>
      </c>
      <c r="D17">
        <f>scenario_indirect_prod_4506_iotable_2020_xlsx_3[[#This Row],[2027]]+scenario_indirect_prod_1610_iotable_2020_xlsx_3[[#This Row],[2027]]</f>
        <v>28694.476577841528</v>
      </c>
      <c r="E17">
        <f>scenario_indirect_prod_4506_iotable_2020_xlsx_3[[#This Row],[2028]]+scenario_indirect_prod_1610_iotable_2020_xlsx_3[[#This Row],[2028]]</f>
        <v>29892.649031541787</v>
      </c>
      <c r="F17">
        <f>scenario_indirect_prod_4506_iotable_2020_xlsx_3[[#This Row],[2029]]+scenario_indirect_prod_1610_iotable_2020_xlsx_3[[#This Row],[2029]]</f>
        <v>31520.403562903786</v>
      </c>
      <c r="G17">
        <f>scenario_indirect_prod_4506_iotable_2020_xlsx_3[[#This Row],[2030]]+scenario_indirect_prod_1610_iotable_2020_xlsx_3[[#This Row],[2030]]</f>
        <v>36994.609158858453</v>
      </c>
      <c r="H17">
        <f>scenario_indirect_prod_4506_iotable_2020_xlsx_3[[#This Row],[2031]]+scenario_indirect_prod_1610_iotable_2020_xlsx_3[[#This Row],[2031]]</f>
        <v>38611.182978161785</v>
      </c>
      <c r="I17">
        <f>scenario_indirect_prod_4506_iotable_2020_xlsx_3[[#This Row],[2032]]+scenario_indirect_prod_1610_iotable_2020_xlsx_3[[#This Row],[2032]]</f>
        <v>40868.872177261059</v>
      </c>
      <c r="J17">
        <f>scenario_indirect_prod_4506_iotable_2020_xlsx_3[[#This Row],[2033]]+scenario_indirect_prod_1610_iotable_2020_xlsx_3[[#This Row],[2033]]</f>
        <v>48024.945832075056</v>
      </c>
      <c r="K17">
        <f>scenario_indirect_prod_4506_iotable_2020_xlsx_3[[#This Row],[2034]]+scenario_indirect_prod_1610_iotable_2020_xlsx_3[[#This Row],[2034]]</f>
        <v>50125.843343542161</v>
      </c>
      <c r="L17">
        <f>scenario_indirect_prod_4506_iotable_2020_xlsx_3[[#This Row],[2035]]+scenario_indirect_prod_1610_iotable_2020_xlsx_3[[#This Row],[2035]]</f>
        <v>59945.315390053736</v>
      </c>
      <c r="M17">
        <f>scenario_indirect_prod_4506_iotable_2020_xlsx_3[[#This Row],[2036]]+scenario_indirect_prod_1610_iotable_2020_xlsx_3[[#This Row],[2036]]</f>
        <v>64834.618004058946</v>
      </c>
      <c r="N17">
        <f>scenario_indirect_prod_4506_iotable_2020_xlsx_3[[#This Row],[2037]]+scenario_indirect_prod_1610_iotable_2020_xlsx_3[[#This Row],[2037]]</f>
        <v>69193.762153567746</v>
      </c>
      <c r="O17">
        <f>scenario_indirect_prod_4506_iotable_2020_xlsx_3[[#This Row],[2038]]+scenario_indirect_prod_1610_iotable_2020_xlsx_3[[#This Row],[2038]]</f>
        <v>69193.762153567746</v>
      </c>
      <c r="P17">
        <f>scenario_indirect_prod_4506_iotable_2020_xlsx_3[[#This Row],[2039]]+scenario_indirect_prod_1610_iotable_2020_xlsx_3[[#This Row],[2039]]</f>
        <v>69193.762153567746</v>
      </c>
      <c r="Q17">
        <f>scenario_indirect_prod_4506_iotable_2020_xlsx_3[[#This Row],[2040]]+scenario_indirect_prod_1610_iotable_2020_xlsx_3[[#This Row],[2040]]</f>
        <v>73006.14255104326</v>
      </c>
      <c r="R17">
        <f>scenario_indirect_prod_4506_iotable_2020_xlsx_3[[#This Row],[2041]]+scenario_indirect_prod_1610_iotable_2020_xlsx_3[[#This Row],[2041]]</f>
        <v>73006.14255104326</v>
      </c>
      <c r="S17">
        <f>scenario_indirect_prod_4506_iotable_2020_xlsx_3[[#This Row],[2042]]+scenario_indirect_prod_1610_iotable_2020_xlsx_3[[#This Row],[2042]]</f>
        <v>77259.981598100741</v>
      </c>
      <c r="T17">
        <f>scenario_indirect_prod_4506_iotable_2020_xlsx_3[[#This Row],[2043]]+scenario_indirect_prod_1610_iotable_2020_xlsx_3[[#This Row],[2043]]</f>
        <v>77259.981598100741</v>
      </c>
      <c r="U17">
        <f>scenario_indirect_prod_4506_iotable_2020_xlsx_3[[#This Row],[2044]]+scenario_indirect_prod_1610_iotable_2020_xlsx_3[[#This Row],[2044]]</f>
        <v>81166.416996378481</v>
      </c>
      <c r="V17">
        <f>scenario_indirect_prod_4506_iotable_2020_xlsx_3[[#This Row],[2045]]+scenario_indirect_prod_1610_iotable_2020_xlsx_3[[#This Row],[2045]]</f>
        <v>81166.416996378481</v>
      </c>
      <c r="W17">
        <f>scenario_indirect_prod_4506_iotable_2020_xlsx_3[[#This Row],[2046]]+scenario_indirect_prod_1610_iotable_2020_xlsx_3[[#This Row],[2046]]</f>
        <v>84536.731518451386</v>
      </c>
      <c r="X17">
        <f>scenario_indirect_prod_4506_iotable_2020_xlsx_3[[#This Row],[2047]]+scenario_indirect_prod_1610_iotable_2020_xlsx_3[[#This Row],[2047]]</f>
        <v>84536.731518451386</v>
      </c>
      <c r="Y17">
        <f>scenario_indirect_prod_4506_iotable_2020_xlsx_3[[#This Row],[2048]]+scenario_indirect_prod_1610_iotable_2020_xlsx_3[[#This Row],[2048]]</f>
        <v>84536.731518451386</v>
      </c>
      <c r="Z17">
        <f>scenario_indirect_prod_4506_iotable_2020_xlsx_3[[#This Row],[2049]]+scenario_indirect_prod_1610_iotable_2020_xlsx_3[[#This Row],[2049]]</f>
        <v>84536.731518451386</v>
      </c>
      <c r="AA17">
        <f>scenario_indirect_prod_4506_iotable_2020_xlsx_3[[#This Row],[2050]]+scenario_indirect_prod_1610_iotable_2020_xlsx_3[[#This Row],[2050]]</f>
        <v>84536.731518451386</v>
      </c>
    </row>
    <row r="18" spans="1:27" x14ac:dyDescent="0.2">
      <c r="A18" t="s">
        <v>687</v>
      </c>
      <c r="B18" t="s">
        <v>688</v>
      </c>
      <c r="C18">
        <f>scenario_indirect_prod_4506_iotable_2020_xlsx_3[[#This Row],[2026]]+scenario_indirect_prod_1610_iotable_2020_xlsx_3[[#This Row],[2026]]</f>
        <v>3058.3486112946075</v>
      </c>
      <c r="D18">
        <f>scenario_indirect_prod_4506_iotable_2020_xlsx_3[[#This Row],[2027]]+scenario_indirect_prod_1610_iotable_2020_xlsx_3[[#This Row],[2027]]</f>
        <v>2995.3305339013777</v>
      </c>
      <c r="E18">
        <f>scenario_indirect_prod_4506_iotable_2020_xlsx_3[[#This Row],[2028]]+scenario_indirect_prod_1610_iotable_2020_xlsx_3[[#This Row],[2028]]</f>
        <v>3149.1855639323853</v>
      </c>
      <c r="F18">
        <f>scenario_indirect_prod_4506_iotable_2020_xlsx_3[[#This Row],[2029]]+scenario_indirect_prod_1610_iotable_2020_xlsx_3[[#This Row],[2029]]</f>
        <v>3233.5013567284786</v>
      </c>
      <c r="G18">
        <f>scenario_indirect_prod_4506_iotable_2020_xlsx_3[[#This Row],[2030]]+scenario_indirect_prod_1610_iotable_2020_xlsx_3[[#This Row],[2030]]</f>
        <v>2879.4239775975552</v>
      </c>
      <c r="H18">
        <f>scenario_indirect_prod_4506_iotable_2020_xlsx_3[[#This Row],[2031]]+scenario_indirect_prod_1610_iotable_2020_xlsx_3[[#This Row],[2031]]</f>
        <v>3087.0051256602974</v>
      </c>
      <c r="I18">
        <f>scenario_indirect_prod_4506_iotable_2020_xlsx_3[[#This Row],[2032]]+scenario_indirect_prod_1610_iotable_2020_xlsx_3[[#This Row],[2032]]</f>
        <v>3376.910671773775</v>
      </c>
      <c r="J18">
        <f>scenario_indirect_prod_4506_iotable_2020_xlsx_3[[#This Row],[2033]]+scenario_indirect_prod_1610_iotable_2020_xlsx_3[[#This Row],[2033]]</f>
        <v>3706.1540369799618</v>
      </c>
      <c r="K18">
        <f>scenario_indirect_prod_4506_iotable_2020_xlsx_3[[#This Row],[2034]]+scenario_indirect_prod_1610_iotable_2020_xlsx_3[[#This Row],[2034]]</f>
        <v>3975.9262627731782</v>
      </c>
      <c r="L18">
        <f>scenario_indirect_prod_4506_iotable_2020_xlsx_3[[#This Row],[2035]]+scenario_indirect_prod_1610_iotable_2020_xlsx_3[[#This Row],[2035]]</f>
        <v>4490.3938187486292</v>
      </c>
      <c r="M18">
        <f>scenario_indirect_prod_4506_iotable_2020_xlsx_3[[#This Row],[2036]]+scenario_indirect_prod_1610_iotable_2020_xlsx_3[[#This Row],[2036]]</f>
        <v>4628.276503706049</v>
      </c>
      <c r="N18">
        <f>scenario_indirect_prod_4506_iotable_2020_xlsx_3[[#This Row],[2037]]+scenario_indirect_prod_1610_iotable_2020_xlsx_3[[#This Row],[2037]]</f>
        <v>4759.7145833510413</v>
      </c>
      <c r="O18">
        <f>scenario_indirect_prod_4506_iotable_2020_xlsx_3[[#This Row],[2038]]+scenario_indirect_prod_1610_iotable_2020_xlsx_3[[#This Row],[2038]]</f>
        <v>4759.7145833510413</v>
      </c>
      <c r="P18">
        <f>scenario_indirect_prod_4506_iotable_2020_xlsx_3[[#This Row],[2039]]+scenario_indirect_prod_1610_iotable_2020_xlsx_3[[#This Row],[2039]]</f>
        <v>4759.7145833510413</v>
      </c>
      <c r="Q18">
        <f>scenario_indirect_prod_4506_iotable_2020_xlsx_3[[#This Row],[2040]]+scenario_indirect_prod_1610_iotable_2020_xlsx_3[[#This Row],[2040]]</f>
        <v>4873.23763664535</v>
      </c>
      <c r="R18">
        <f>scenario_indirect_prod_4506_iotable_2020_xlsx_3[[#This Row],[2041]]+scenario_indirect_prod_1610_iotable_2020_xlsx_3[[#This Row],[2041]]</f>
        <v>4873.23763664535</v>
      </c>
      <c r="S18">
        <f>scenario_indirect_prod_4506_iotable_2020_xlsx_3[[#This Row],[2042]]+scenario_indirect_prod_1610_iotable_2020_xlsx_3[[#This Row],[2042]]</f>
        <v>5004.4346529360191</v>
      </c>
      <c r="T18">
        <f>scenario_indirect_prod_4506_iotable_2020_xlsx_3[[#This Row],[2043]]+scenario_indirect_prod_1610_iotable_2020_xlsx_3[[#This Row],[2043]]</f>
        <v>5004.4346529360191</v>
      </c>
      <c r="U18">
        <f>scenario_indirect_prod_4506_iotable_2020_xlsx_3[[#This Row],[2044]]+scenario_indirect_prod_1610_iotable_2020_xlsx_3[[#This Row],[2044]]</f>
        <v>5111.3586731921314</v>
      </c>
      <c r="V18">
        <f>scenario_indirect_prod_4506_iotable_2020_xlsx_3[[#This Row],[2045]]+scenario_indirect_prod_1610_iotable_2020_xlsx_3[[#This Row],[2045]]</f>
        <v>5111.3586731921314</v>
      </c>
      <c r="W18">
        <f>scenario_indirect_prod_4506_iotable_2020_xlsx_3[[#This Row],[2046]]+scenario_indirect_prod_1610_iotable_2020_xlsx_3[[#This Row],[2046]]</f>
        <v>5208.0635476622565</v>
      </c>
      <c r="X18">
        <f>scenario_indirect_prod_4506_iotable_2020_xlsx_3[[#This Row],[2047]]+scenario_indirect_prod_1610_iotable_2020_xlsx_3[[#This Row],[2047]]</f>
        <v>5208.0635476622565</v>
      </c>
      <c r="Y18">
        <f>scenario_indirect_prod_4506_iotable_2020_xlsx_3[[#This Row],[2048]]+scenario_indirect_prod_1610_iotable_2020_xlsx_3[[#This Row],[2048]]</f>
        <v>5208.0635476622565</v>
      </c>
      <c r="Z18">
        <f>scenario_indirect_prod_4506_iotable_2020_xlsx_3[[#This Row],[2049]]+scenario_indirect_prod_1610_iotable_2020_xlsx_3[[#This Row],[2049]]</f>
        <v>5208.0635476622565</v>
      </c>
      <c r="AA18">
        <f>scenario_indirect_prod_4506_iotable_2020_xlsx_3[[#This Row],[2050]]+scenario_indirect_prod_1610_iotable_2020_xlsx_3[[#This Row],[2050]]</f>
        <v>5208.0635476622565</v>
      </c>
    </row>
    <row r="19" spans="1:27" x14ac:dyDescent="0.2">
      <c r="A19" t="s">
        <v>924</v>
      </c>
      <c r="B19" t="s">
        <v>925</v>
      </c>
      <c r="C19">
        <f>scenario_indirect_prod_4506_iotable_2020_xlsx_3[[#This Row],[2026]]+scenario_indirect_prod_1610_iotable_2020_xlsx_3[[#This Row],[2026]]</f>
        <v>58.4320257051846</v>
      </c>
      <c r="D19">
        <f>scenario_indirect_prod_4506_iotable_2020_xlsx_3[[#This Row],[2027]]+scenario_indirect_prod_1610_iotable_2020_xlsx_3[[#This Row],[2027]]</f>
        <v>56.470914723499732</v>
      </c>
      <c r="E19">
        <f>scenario_indirect_prod_4506_iotable_2020_xlsx_3[[#This Row],[2028]]+scenario_indirect_prod_1610_iotable_2020_xlsx_3[[#This Row],[2028]]</f>
        <v>59.455428870187717</v>
      </c>
      <c r="F19">
        <f>scenario_indirect_prod_4506_iotable_2020_xlsx_3[[#This Row],[2029]]+scenario_indirect_prod_1610_iotable_2020_xlsx_3[[#This Row],[2029]]</f>
        <v>60.79553646073753</v>
      </c>
      <c r="G19">
        <f>scenario_indirect_prod_4506_iotable_2020_xlsx_3[[#This Row],[2030]]+scenario_indirect_prod_1610_iotable_2020_xlsx_3[[#This Row],[2030]]</f>
        <v>51.422566665905272</v>
      </c>
      <c r="H19">
        <f>scenario_indirect_prod_4506_iotable_2020_xlsx_3[[#This Row],[2031]]+scenario_indirect_prod_1610_iotable_2020_xlsx_3[[#This Row],[2031]]</f>
        <v>55.449272018691794</v>
      </c>
      <c r="I19">
        <f>scenario_indirect_prod_4506_iotable_2020_xlsx_3[[#This Row],[2032]]+scenario_indirect_prod_1610_iotable_2020_xlsx_3[[#This Row],[2032]]</f>
        <v>61.072924384198508</v>
      </c>
      <c r="J19">
        <f>scenario_indirect_prod_4506_iotable_2020_xlsx_3[[#This Row],[2033]]+scenario_indirect_prod_1610_iotable_2020_xlsx_3[[#This Row],[2033]]</f>
        <v>66.062522757784976</v>
      </c>
      <c r="K19">
        <f>scenario_indirect_prod_4506_iotable_2020_xlsx_3[[#This Row],[2034]]+scenario_indirect_prod_1610_iotable_2020_xlsx_3[[#This Row],[2034]]</f>
        <v>71.29562449063765</v>
      </c>
      <c r="L19">
        <f>scenario_indirect_prod_4506_iotable_2020_xlsx_3[[#This Row],[2035]]+scenario_indirect_prod_1610_iotable_2020_xlsx_3[[#This Row],[2035]]</f>
        <v>79.506771046049778</v>
      </c>
      <c r="M19">
        <f>scenario_indirect_prod_4506_iotable_2020_xlsx_3[[#This Row],[2036]]+scenario_indirect_prod_1610_iotable_2020_xlsx_3[[#This Row],[2036]]</f>
        <v>81.020569490871154</v>
      </c>
      <c r="N19">
        <f>scenario_indirect_prod_4506_iotable_2020_xlsx_3[[#This Row],[2037]]+scenario_indirect_prod_1610_iotable_2020_xlsx_3[[#This Row],[2037]]</f>
        <v>82.555386097300058</v>
      </c>
      <c r="O19">
        <f>scenario_indirect_prod_4506_iotable_2020_xlsx_3[[#This Row],[2038]]+scenario_indirect_prod_1610_iotable_2020_xlsx_3[[#This Row],[2038]]</f>
        <v>82.555386097300058</v>
      </c>
      <c r="P19">
        <f>scenario_indirect_prod_4506_iotable_2020_xlsx_3[[#This Row],[2039]]+scenario_indirect_prod_1610_iotable_2020_xlsx_3[[#This Row],[2039]]</f>
        <v>82.555386097300058</v>
      </c>
      <c r="Q19">
        <f>scenario_indirect_prod_4506_iotable_2020_xlsx_3[[#This Row],[2040]]+scenario_indirect_prod_1610_iotable_2020_xlsx_3[[#This Row],[2040]]</f>
        <v>83.866589057445665</v>
      </c>
      <c r="R19">
        <f>scenario_indirect_prod_4506_iotable_2020_xlsx_3[[#This Row],[2041]]+scenario_indirect_prod_1610_iotable_2020_xlsx_3[[#This Row],[2041]]</f>
        <v>83.866589057445665</v>
      </c>
      <c r="S19">
        <f>scenario_indirect_prod_4506_iotable_2020_xlsx_3[[#This Row],[2042]]+scenario_indirect_prod_1610_iotable_2020_xlsx_3[[#This Row],[2042]]</f>
        <v>85.428197619692185</v>
      </c>
      <c r="T19">
        <f>scenario_indirect_prod_4506_iotable_2020_xlsx_3[[#This Row],[2043]]+scenario_indirect_prod_1610_iotable_2020_xlsx_3[[#This Row],[2043]]</f>
        <v>85.428197619692185</v>
      </c>
      <c r="U19">
        <f>scenario_indirect_prod_4506_iotable_2020_xlsx_3[[#This Row],[2044]]+scenario_indirect_prod_1610_iotable_2020_xlsx_3[[#This Row],[2044]]</f>
        <v>86.567138732327919</v>
      </c>
      <c r="V19">
        <f>scenario_indirect_prod_4506_iotable_2020_xlsx_3[[#This Row],[2045]]+scenario_indirect_prod_1610_iotable_2020_xlsx_3[[#This Row],[2045]]</f>
        <v>86.567138732327919</v>
      </c>
      <c r="W19">
        <f>scenario_indirect_prod_4506_iotable_2020_xlsx_3[[#This Row],[2046]]+scenario_indirect_prod_1610_iotable_2020_xlsx_3[[#This Row],[2046]]</f>
        <v>87.646749242968525</v>
      </c>
      <c r="X19">
        <f>scenario_indirect_prod_4506_iotable_2020_xlsx_3[[#This Row],[2047]]+scenario_indirect_prod_1610_iotable_2020_xlsx_3[[#This Row],[2047]]</f>
        <v>87.646749242968525</v>
      </c>
      <c r="Y19">
        <f>scenario_indirect_prod_4506_iotable_2020_xlsx_3[[#This Row],[2048]]+scenario_indirect_prod_1610_iotable_2020_xlsx_3[[#This Row],[2048]]</f>
        <v>87.646749242968525</v>
      </c>
      <c r="Z19">
        <f>scenario_indirect_prod_4506_iotable_2020_xlsx_3[[#This Row],[2049]]+scenario_indirect_prod_1610_iotable_2020_xlsx_3[[#This Row],[2049]]</f>
        <v>87.646749242968525</v>
      </c>
      <c r="AA19">
        <f>scenario_indirect_prod_4506_iotable_2020_xlsx_3[[#This Row],[2050]]+scenario_indirect_prod_1610_iotable_2020_xlsx_3[[#This Row],[2050]]</f>
        <v>87.646749242968525</v>
      </c>
    </row>
    <row r="20" spans="1:27" x14ac:dyDescent="0.2">
      <c r="A20" t="s">
        <v>894</v>
      </c>
      <c r="B20" t="s">
        <v>895</v>
      </c>
      <c r="C20">
        <f>scenario_indirect_prod_4506_iotable_2020_xlsx_3[[#This Row],[2026]]+scenario_indirect_prod_1610_iotable_2020_xlsx_3[[#This Row],[2026]]</f>
        <v>244.67059435941812</v>
      </c>
      <c r="D20">
        <f>scenario_indirect_prod_4506_iotable_2020_xlsx_3[[#This Row],[2027]]+scenario_indirect_prod_1610_iotable_2020_xlsx_3[[#This Row],[2027]]</f>
        <v>218.18072498035764</v>
      </c>
      <c r="E20">
        <f>scenario_indirect_prod_4506_iotable_2020_xlsx_3[[#This Row],[2028]]+scenario_indirect_prod_1610_iotable_2020_xlsx_3[[#This Row],[2028]]</f>
        <v>231.76407173917642</v>
      </c>
      <c r="F20">
        <f>scenario_indirect_prod_4506_iotable_2020_xlsx_3[[#This Row],[2029]]+scenario_indirect_prod_1610_iotable_2020_xlsx_3[[#This Row],[2029]]</f>
        <v>230.83754512469656</v>
      </c>
      <c r="G20">
        <f>scenario_indirect_prod_4506_iotable_2020_xlsx_3[[#This Row],[2030]]+scenario_indirect_prod_1610_iotable_2020_xlsx_3[[#This Row],[2030]]</f>
        <v>128.62607061777624</v>
      </c>
      <c r="H20">
        <f>scenario_indirect_prod_4506_iotable_2020_xlsx_3[[#This Row],[2031]]+scenario_indirect_prod_1610_iotable_2020_xlsx_3[[#This Row],[2031]]</f>
        <v>146.95271690396947</v>
      </c>
      <c r="I20">
        <f>scenario_indirect_prod_4506_iotable_2020_xlsx_3[[#This Row],[2032]]+scenario_indirect_prod_1610_iotable_2020_xlsx_3[[#This Row],[2032]]</f>
        <v>172.54750934832737</v>
      </c>
      <c r="J20">
        <f>scenario_indirect_prod_4506_iotable_2020_xlsx_3[[#This Row],[2033]]+scenario_indirect_prod_1610_iotable_2020_xlsx_3[[#This Row],[2033]]</f>
        <v>162.03509674497542</v>
      </c>
      <c r="K20">
        <f>scenario_indirect_prod_4506_iotable_2020_xlsx_3[[#This Row],[2034]]+scenario_indirect_prod_1610_iotable_2020_xlsx_3[[#This Row],[2034]]</f>
        <v>185.8523855792053</v>
      </c>
      <c r="L20">
        <f>scenario_indirect_prod_4506_iotable_2020_xlsx_3[[#This Row],[2035]]+scenario_indirect_prod_1610_iotable_2020_xlsx_3[[#This Row],[2035]]</f>
        <v>181.16918530538067</v>
      </c>
      <c r="M20">
        <f>scenario_indirect_prod_4506_iotable_2020_xlsx_3[[#This Row],[2036]]+scenario_indirect_prod_1610_iotable_2020_xlsx_3[[#This Row],[2036]]</f>
        <v>160.45522421110763</v>
      </c>
      <c r="N20">
        <f>scenario_indirect_prod_4506_iotable_2020_xlsx_3[[#This Row],[2037]]+scenario_indirect_prod_1610_iotable_2020_xlsx_3[[#This Row],[2037]]</f>
        <v>143.3093049343147</v>
      </c>
      <c r="O20">
        <f>scenario_indirect_prod_4506_iotable_2020_xlsx_3[[#This Row],[2038]]+scenario_indirect_prod_1610_iotable_2020_xlsx_3[[#This Row],[2038]]</f>
        <v>143.3093049343147</v>
      </c>
      <c r="P20">
        <f>scenario_indirect_prod_4506_iotable_2020_xlsx_3[[#This Row],[2039]]+scenario_indirect_prod_1610_iotable_2020_xlsx_3[[#This Row],[2039]]</f>
        <v>143.3093049343147</v>
      </c>
      <c r="Q20">
        <f>scenario_indirect_prod_4506_iotable_2020_xlsx_3[[#This Row],[2040]]+scenario_indirect_prod_1610_iotable_2020_xlsx_3[[#This Row],[2040]]</f>
        <v>128.09192315055748</v>
      </c>
      <c r="R20">
        <f>scenario_indirect_prod_4506_iotable_2020_xlsx_3[[#This Row],[2041]]+scenario_indirect_prod_1610_iotable_2020_xlsx_3[[#This Row],[2041]]</f>
        <v>128.09192315055748</v>
      </c>
      <c r="S20">
        <f>scenario_indirect_prod_4506_iotable_2020_xlsx_3[[#This Row],[2042]]+scenario_indirect_prod_1610_iotable_2020_xlsx_3[[#This Row],[2042]]</f>
        <v>111.81619822721257</v>
      </c>
      <c r="T20">
        <f>scenario_indirect_prod_4506_iotable_2020_xlsx_3[[#This Row],[2043]]+scenario_indirect_prod_1610_iotable_2020_xlsx_3[[#This Row],[2043]]</f>
        <v>111.81619822721257</v>
      </c>
      <c r="U20">
        <f>scenario_indirect_prod_4506_iotable_2020_xlsx_3[[#This Row],[2044]]+scenario_indirect_prod_1610_iotable_2020_xlsx_3[[#This Row],[2044]]</f>
        <v>94.762563493597554</v>
      </c>
      <c r="V20">
        <f>scenario_indirect_prod_4506_iotable_2020_xlsx_3[[#This Row],[2045]]+scenario_indirect_prod_1610_iotable_2020_xlsx_3[[#This Row],[2045]]</f>
        <v>94.762563493597554</v>
      </c>
      <c r="W20">
        <f>scenario_indirect_prod_4506_iotable_2020_xlsx_3[[#This Row],[2046]]+scenario_indirect_prod_1610_iotable_2020_xlsx_3[[#This Row],[2046]]</f>
        <v>80.741757070403537</v>
      </c>
      <c r="X20">
        <f>scenario_indirect_prod_4506_iotable_2020_xlsx_3[[#This Row],[2047]]+scenario_indirect_prod_1610_iotable_2020_xlsx_3[[#This Row],[2047]]</f>
        <v>80.741757070403537</v>
      </c>
      <c r="Y20">
        <f>scenario_indirect_prod_4506_iotable_2020_xlsx_3[[#This Row],[2048]]+scenario_indirect_prod_1610_iotable_2020_xlsx_3[[#This Row],[2048]]</f>
        <v>80.741757070403537</v>
      </c>
      <c r="Z20">
        <f>scenario_indirect_prod_4506_iotable_2020_xlsx_3[[#This Row],[2049]]+scenario_indirect_prod_1610_iotable_2020_xlsx_3[[#This Row],[2049]]</f>
        <v>80.741757070403537</v>
      </c>
      <c r="AA20">
        <f>scenario_indirect_prod_4506_iotable_2020_xlsx_3[[#This Row],[2050]]+scenario_indirect_prod_1610_iotable_2020_xlsx_3[[#This Row],[2050]]</f>
        <v>80.741757070403537</v>
      </c>
    </row>
    <row r="21" spans="1:27" x14ac:dyDescent="0.2">
      <c r="A21" t="s">
        <v>855</v>
      </c>
      <c r="B21" t="s">
        <v>856</v>
      </c>
      <c r="C21">
        <f>scenario_indirect_prod_4506_iotable_2020_xlsx_3[[#This Row],[2026]]+scenario_indirect_prod_1610_iotable_2020_xlsx_3[[#This Row],[2026]]</f>
        <v>627.05941035239925</v>
      </c>
      <c r="D21">
        <f>scenario_indirect_prod_4506_iotable_2020_xlsx_3[[#This Row],[2027]]+scenario_indirect_prod_1610_iotable_2020_xlsx_3[[#This Row],[2027]]</f>
        <v>576.36071887121579</v>
      </c>
      <c r="E21">
        <f>scenario_indirect_prod_4506_iotable_2020_xlsx_3[[#This Row],[2028]]+scenario_indirect_prod_1610_iotable_2020_xlsx_3[[#This Row],[2028]]</f>
        <v>610.15130401590386</v>
      </c>
      <c r="F21">
        <f>scenario_indirect_prod_4506_iotable_2020_xlsx_3[[#This Row],[2029]]+scenario_indirect_prod_1610_iotable_2020_xlsx_3[[#This Row],[2029]]</f>
        <v>613.9259440111739</v>
      </c>
      <c r="G21">
        <f>scenario_indirect_prod_4506_iotable_2020_xlsx_3[[#This Row],[2030]]+scenario_indirect_prod_1610_iotable_2020_xlsx_3[[#This Row],[2030]]</f>
        <v>411.19184283891411</v>
      </c>
      <c r="H21">
        <f>scenario_indirect_prod_4506_iotable_2020_xlsx_3[[#This Row],[2031]]+scenario_indirect_prod_1610_iotable_2020_xlsx_3[[#This Row],[2031]]</f>
        <v>456.78208747786073</v>
      </c>
      <c r="I21">
        <f>scenario_indirect_prod_4506_iotable_2020_xlsx_3[[#This Row],[2032]]+scenario_indirect_prod_1610_iotable_2020_xlsx_3[[#This Row],[2032]]</f>
        <v>520.45292123539491</v>
      </c>
      <c r="J21">
        <f>scenario_indirect_prod_4506_iotable_2020_xlsx_3[[#This Row],[2033]]+scenario_indirect_prod_1610_iotable_2020_xlsx_3[[#This Row],[2033]]</f>
        <v>523.04897706713484</v>
      </c>
      <c r="K21">
        <f>scenario_indirect_prod_4506_iotable_2020_xlsx_3[[#This Row],[2034]]+scenario_indirect_prod_1610_iotable_2020_xlsx_3[[#This Row],[2034]]</f>
        <v>582.29800755707413</v>
      </c>
      <c r="L21">
        <f>scenario_indirect_prod_4506_iotable_2020_xlsx_3[[#This Row],[2035]]+scenario_indirect_prod_1610_iotable_2020_xlsx_3[[#This Row],[2035]]</f>
        <v>607.03842666211131</v>
      </c>
      <c r="M21">
        <f>scenario_indirect_prod_4506_iotable_2020_xlsx_3[[#This Row],[2036]]+scenario_indirect_prod_1610_iotable_2020_xlsx_3[[#This Row],[2036]]</f>
        <v>579.39543880774113</v>
      </c>
      <c r="N21">
        <f>scenario_indirect_prod_4506_iotable_2020_xlsx_3[[#This Row],[2037]]+scenario_indirect_prod_1610_iotable_2020_xlsx_3[[#This Row],[2037]]</f>
        <v>557.62375560347664</v>
      </c>
      <c r="O21">
        <f>scenario_indirect_prod_4506_iotable_2020_xlsx_3[[#This Row],[2038]]+scenario_indirect_prod_1610_iotable_2020_xlsx_3[[#This Row],[2038]]</f>
        <v>557.62375560347664</v>
      </c>
      <c r="P21">
        <f>scenario_indirect_prod_4506_iotable_2020_xlsx_3[[#This Row],[2039]]+scenario_indirect_prod_1610_iotable_2020_xlsx_3[[#This Row],[2039]]</f>
        <v>557.62375560347664</v>
      </c>
      <c r="Q21">
        <f>scenario_indirect_prod_4506_iotable_2020_xlsx_3[[#This Row],[2040]]+scenario_indirect_prod_1610_iotable_2020_xlsx_3[[#This Row],[2040]]</f>
        <v>538.10012826451748</v>
      </c>
      <c r="R21">
        <f>scenario_indirect_prod_4506_iotable_2020_xlsx_3[[#This Row],[2041]]+scenario_indirect_prod_1610_iotable_2020_xlsx_3[[#This Row],[2041]]</f>
        <v>538.10012826451748</v>
      </c>
      <c r="S21">
        <f>scenario_indirect_prod_4506_iotable_2020_xlsx_3[[#This Row],[2042]]+scenario_indirect_prod_1610_iotable_2020_xlsx_3[[#This Row],[2042]]</f>
        <v>517.84569955675033</v>
      </c>
      <c r="T21">
        <f>scenario_indirect_prod_4506_iotable_2020_xlsx_3[[#This Row],[2043]]+scenario_indirect_prod_1610_iotable_2020_xlsx_3[[#This Row],[2043]]</f>
        <v>517.84569955675033</v>
      </c>
      <c r="U21">
        <f>scenario_indirect_prod_4506_iotable_2020_xlsx_3[[#This Row],[2044]]+scenario_indirect_prod_1610_iotable_2020_xlsx_3[[#This Row],[2044]]</f>
        <v>494.66464879202704</v>
      </c>
      <c r="V21">
        <f>scenario_indirect_prod_4506_iotable_2020_xlsx_3[[#This Row],[2045]]+scenario_indirect_prod_1610_iotable_2020_xlsx_3[[#This Row],[2045]]</f>
        <v>494.66464879202704</v>
      </c>
      <c r="W21">
        <f>scenario_indirect_prod_4506_iotable_2020_xlsx_3[[#This Row],[2046]]+scenario_indirect_prod_1610_iotable_2020_xlsx_3[[#This Row],[2046]]</f>
        <v>476.17017276428396</v>
      </c>
      <c r="X21">
        <f>scenario_indirect_prod_4506_iotable_2020_xlsx_3[[#This Row],[2047]]+scenario_indirect_prod_1610_iotable_2020_xlsx_3[[#This Row],[2047]]</f>
        <v>476.17017276428396</v>
      </c>
      <c r="Y21">
        <f>scenario_indirect_prod_4506_iotable_2020_xlsx_3[[#This Row],[2048]]+scenario_indirect_prod_1610_iotable_2020_xlsx_3[[#This Row],[2048]]</f>
        <v>476.17017276428396</v>
      </c>
      <c r="Z21">
        <f>scenario_indirect_prod_4506_iotable_2020_xlsx_3[[#This Row],[2049]]+scenario_indirect_prod_1610_iotable_2020_xlsx_3[[#This Row],[2049]]</f>
        <v>476.17017276428396</v>
      </c>
      <c r="AA21">
        <f>scenario_indirect_prod_4506_iotable_2020_xlsx_3[[#This Row],[2050]]+scenario_indirect_prod_1610_iotable_2020_xlsx_3[[#This Row],[2050]]</f>
        <v>476.17017276428396</v>
      </c>
    </row>
    <row r="22" spans="1:27" x14ac:dyDescent="0.2">
      <c r="A22" t="s">
        <v>870</v>
      </c>
      <c r="B22" t="s">
        <v>871</v>
      </c>
      <c r="C22">
        <f>scenario_indirect_prod_4506_iotable_2020_xlsx_3[[#This Row],[2026]]+scenario_indirect_prod_1610_iotable_2020_xlsx_3[[#This Row],[2026]]</f>
        <v>498.33279713565526</v>
      </c>
      <c r="D22">
        <f>scenario_indirect_prod_4506_iotable_2020_xlsx_3[[#This Row],[2027]]+scenario_indirect_prod_1610_iotable_2020_xlsx_3[[#This Row],[2027]]</f>
        <v>483.48036701279511</v>
      </c>
      <c r="E22">
        <f>scenario_indirect_prod_4506_iotable_2020_xlsx_3[[#This Row],[2028]]+scenario_indirect_prod_1610_iotable_2020_xlsx_3[[#This Row],[2028]]</f>
        <v>508.82224531050394</v>
      </c>
      <c r="F22">
        <f>scenario_indirect_prod_4506_iotable_2020_xlsx_3[[#This Row],[2029]]+scenario_indirect_prod_1610_iotable_2020_xlsx_3[[#This Row],[2029]]</f>
        <v>520.92110667045642</v>
      </c>
      <c r="G22">
        <f>scenario_indirect_prod_4506_iotable_2020_xlsx_3[[#This Row],[2030]]+scenario_indirect_prod_1610_iotable_2020_xlsx_3[[#This Row],[2030]]</f>
        <v>447.43569668675798</v>
      </c>
      <c r="H22">
        <f>scenario_indirect_prod_4506_iotable_2020_xlsx_3[[#This Row],[2031]]+scenario_indirect_prod_1610_iotable_2020_xlsx_3[[#This Row],[2031]]</f>
        <v>481.62694925773002</v>
      </c>
      <c r="I22">
        <f>scenario_indirect_prod_4506_iotable_2020_xlsx_3[[#This Row],[2032]]+scenario_indirect_prod_1610_iotable_2020_xlsx_3[[#This Row],[2032]]</f>
        <v>529.37807618518809</v>
      </c>
      <c r="J22">
        <f>scenario_indirect_prod_4506_iotable_2020_xlsx_3[[#This Row],[2033]]+scenario_indirect_prod_1610_iotable_2020_xlsx_3[[#This Row],[2033]]</f>
        <v>575.14917787474837</v>
      </c>
      <c r="K22">
        <f>scenario_indirect_prod_4506_iotable_2020_xlsx_3[[#This Row],[2034]]+scenario_indirect_prod_1610_iotable_2020_xlsx_3[[#This Row],[2034]]</f>
        <v>619.584091135471</v>
      </c>
      <c r="L22">
        <f>scenario_indirect_prod_4506_iotable_2020_xlsx_3[[#This Row],[2035]]+scenario_indirect_prod_1610_iotable_2020_xlsx_3[[#This Row],[2035]]</f>
        <v>693.61476250756948</v>
      </c>
      <c r="M22">
        <f>scenario_indirect_prod_4506_iotable_2020_xlsx_3[[#This Row],[2036]]+scenario_indirect_prod_1610_iotable_2020_xlsx_3[[#This Row],[2036]]</f>
        <v>709.29683124705991</v>
      </c>
      <c r="N22">
        <f>scenario_indirect_prod_4506_iotable_2020_xlsx_3[[#This Row],[2037]]+scenario_indirect_prod_1610_iotable_2020_xlsx_3[[#This Row],[2037]]</f>
        <v>724.80159421504413</v>
      </c>
      <c r="O22">
        <f>scenario_indirect_prod_4506_iotable_2020_xlsx_3[[#This Row],[2038]]+scenario_indirect_prod_1610_iotable_2020_xlsx_3[[#This Row],[2038]]</f>
        <v>724.80159421504413</v>
      </c>
      <c r="P22">
        <f>scenario_indirect_prod_4506_iotable_2020_xlsx_3[[#This Row],[2039]]+scenario_indirect_prod_1610_iotable_2020_xlsx_3[[#This Row],[2039]]</f>
        <v>724.80159421504413</v>
      </c>
      <c r="Q22">
        <f>scenario_indirect_prod_4506_iotable_2020_xlsx_3[[#This Row],[2040]]+scenario_indirect_prod_1610_iotable_2020_xlsx_3[[#This Row],[2040]]</f>
        <v>738.10575749405155</v>
      </c>
      <c r="R22">
        <f>scenario_indirect_prod_4506_iotable_2020_xlsx_3[[#This Row],[2041]]+scenario_indirect_prod_1610_iotable_2020_xlsx_3[[#This Row],[2041]]</f>
        <v>738.10575749405155</v>
      </c>
      <c r="S22">
        <f>scenario_indirect_prod_4506_iotable_2020_xlsx_3[[#This Row],[2042]]+scenario_indirect_prod_1610_iotable_2020_xlsx_3[[#This Row],[2042]]</f>
        <v>753.76134932723539</v>
      </c>
      <c r="T22">
        <f>scenario_indirect_prod_4506_iotable_2020_xlsx_3[[#This Row],[2043]]+scenario_indirect_prod_1610_iotable_2020_xlsx_3[[#This Row],[2043]]</f>
        <v>753.76134932723539</v>
      </c>
      <c r="U22">
        <f>scenario_indirect_prod_4506_iotable_2020_xlsx_3[[#This Row],[2044]]+scenario_indirect_prod_1610_iotable_2020_xlsx_3[[#This Row],[2044]]</f>
        <v>765.71062663671546</v>
      </c>
      <c r="V22">
        <f>scenario_indirect_prod_4506_iotable_2020_xlsx_3[[#This Row],[2045]]+scenario_indirect_prod_1610_iotable_2020_xlsx_3[[#This Row],[2045]]</f>
        <v>765.71062663671546</v>
      </c>
      <c r="W22">
        <f>scenario_indirect_prod_4506_iotable_2020_xlsx_3[[#This Row],[2046]]+scenario_indirect_prod_1610_iotable_2020_xlsx_3[[#This Row],[2046]]</f>
        <v>776.81771601178866</v>
      </c>
      <c r="X22">
        <f>scenario_indirect_prod_4506_iotable_2020_xlsx_3[[#This Row],[2047]]+scenario_indirect_prod_1610_iotable_2020_xlsx_3[[#This Row],[2047]]</f>
        <v>776.81771601178866</v>
      </c>
      <c r="Y22">
        <f>scenario_indirect_prod_4506_iotable_2020_xlsx_3[[#This Row],[2048]]+scenario_indirect_prod_1610_iotable_2020_xlsx_3[[#This Row],[2048]]</f>
        <v>776.81771601178866</v>
      </c>
      <c r="Z22">
        <f>scenario_indirect_prod_4506_iotable_2020_xlsx_3[[#This Row],[2049]]+scenario_indirect_prod_1610_iotable_2020_xlsx_3[[#This Row],[2049]]</f>
        <v>776.81771601178866</v>
      </c>
      <c r="AA22">
        <f>scenario_indirect_prod_4506_iotable_2020_xlsx_3[[#This Row],[2050]]+scenario_indirect_prod_1610_iotable_2020_xlsx_3[[#This Row],[2050]]</f>
        <v>776.81771601178866</v>
      </c>
    </row>
    <row r="23" spans="1:27" x14ac:dyDescent="0.2">
      <c r="A23" t="s">
        <v>912</v>
      </c>
      <c r="B23" t="s">
        <v>913</v>
      </c>
      <c r="C23">
        <f>scenario_indirect_prod_4506_iotable_2020_xlsx_3[[#This Row],[2026]]+scenario_indirect_prod_1610_iotable_2020_xlsx_3[[#This Row],[2026]]</f>
        <v>127.5076020996745</v>
      </c>
      <c r="D23">
        <f>scenario_indirect_prod_4506_iotable_2020_xlsx_3[[#This Row],[2027]]+scenario_indirect_prod_1610_iotable_2020_xlsx_3[[#This Row],[2027]]</f>
        <v>132.08649983845041</v>
      </c>
      <c r="E23">
        <f>scenario_indirect_prod_4506_iotable_2020_xlsx_3[[#This Row],[2028]]+scenario_indirect_prod_1610_iotable_2020_xlsx_3[[#This Row],[2028]]</f>
        <v>138.07265976224198</v>
      </c>
      <c r="F23">
        <f>scenario_indirect_prod_4506_iotable_2020_xlsx_3[[#This Row],[2029]]+scenario_indirect_prod_1610_iotable_2020_xlsx_3[[#This Row],[2029]]</f>
        <v>144.16551846663702</v>
      </c>
      <c r="G23">
        <f>scenario_indirect_prod_4506_iotable_2020_xlsx_3[[#This Row],[2030]]+scenario_indirect_prod_1610_iotable_2020_xlsx_3[[#This Row],[2030]]</f>
        <v>154.22733063947581</v>
      </c>
      <c r="H23">
        <f>scenario_indirect_prod_4506_iotable_2020_xlsx_3[[#This Row],[2031]]+scenario_indirect_prod_1610_iotable_2020_xlsx_3[[#This Row],[2031]]</f>
        <v>162.30385533429663</v>
      </c>
      <c r="I23">
        <f>scenario_indirect_prod_4506_iotable_2020_xlsx_3[[#This Row],[2032]]+scenario_indirect_prod_1610_iotable_2020_xlsx_3[[#This Row],[2032]]</f>
        <v>173.58344080823048</v>
      </c>
      <c r="J23">
        <f>scenario_indirect_prod_4506_iotable_2020_xlsx_3[[#This Row],[2033]]+scenario_indirect_prod_1610_iotable_2020_xlsx_3[[#This Row],[2033]]</f>
        <v>199.69173831694013</v>
      </c>
      <c r="K23">
        <f>scenario_indirect_prod_4506_iotable_2020_xlsx_3[[#This Row],[2034]]+scenario_indirect_prod_1610_iotable_2020_xlsx_3[[#This Row],[2034]]</f>
        <v>210.18798069699068</v>
      </c>
      <c r="L23">
        <f>scenario_indirect_prod_4506_iotable_2020_xlsx_3[[#This Row],[2035]]+scenario_indirect_prod_1610_iotable_2020_xlsx_3[[#This Row],[2035]]</f>
        <v>247.03866787776741</v>
      </c>
      <c r="M23">
        <f>scenario_indirect_prod_4506_iotable_2020_xlsx_3[[#This Row],[2036]]+scenario_indirect_prod_1610_iotable_2020_xlsx_3[[#This Row],[2036]]</f>
        <v>263.45281252725198</v>
      </c>
      <c r="N23">
        <f>scenario_indirect_prod_4506_iotable_2020_xlsx_3[[#This Row],[2037]]+scenario_indirect_prod_1610_iotable_2020_xlsx_3[[#This Row],[2037]]</f>
        <v>278.2262571027278</v>
      </c>
      <c r="O23">
        <f>scenario_indirect_prod_4506_iotable_2020_xlsx_3[[#This Row],[2038]]+scenario_indirect_prod_1610_iotable_2020_xlsx_3[[#This Row],[2038]]</f>
        <v>278.2262571027278</v>
      </c>
      <c r="P23">
        <f>scenario_indirect_prod_4506_iotable_2020_xlsx_3[[#This Row],[2039]]+scenario_indirect_prod_1610_iotable_2020_xlsx_3[[#This Row],[2039]]</f>
        <v>278.2262571027278</v>
      </c>
      <c r="Q23">
        <f>scenario_indirect_prod_4506_iotable_2020_xlsx_3[[#This Row],[2040]]+scenario_indirect_prod_1610_iotable_2020_xlsx_3[[#This Row],[2040]]</f>
        <v>291.12331160374032</v>
      </c>
      <c r="R23">
        <f>scenario_indirect_prod_4506_iotable_2020_xlsx_3[[#This Row],[2041]]+scenario_indirect_prod_1610_iotable_2020_xlsx_3[[#This Row],[2041]]</f>
        <v>291.12331160374032</v>
      </c>
      <c r="S23">
        <f>scenario_indirect_prod_4506_iotable_2020_xlsx_3[[#This Row],[2042]]+scenario_indirect_prod_1610_iotable_2020_xlsx_3[[#This Row],[2042]]</f>
        <v>305.58785836125014</v>
      </c>
      <c r="T23">
        <f>scenario_indirect_prod_4506_iotable_2020_xlsx_3[[#This Row],[2043]]+scenario_indirect_prod_1610_iotable_2020_xlsx_3[[#This Row],[2043]]</f>
        <v>305.58785836125014</v>
      </c>
      <c r="U23">
        <f>scenario_indirect_prod_4506_iotable_2020_xlsx_3[[#This Row],[2044]]+scenario_indirect_prod_1610_iotable_2020_xlsx_3[[#This Row],[2044]]</f>
        <v>318.64935931486878</v>
      </c>
      <c r="V23">
        <f>scenario_indirect_prod_4506_iotable_2020_xlsx_3[[#This Row],[2045]]+scenario_indirect_prod_1610_iotable_2020_xlsx_3[[#This Row],[2045]]</f>
        <v>318.64935931486878</v>
      </c>
      <c r="W23">
        <f>scenario_indirect_prod_4506_iotable_2020_xlsx_3[[#This Row],[2046]]+scenario_indirect_prod_1610_iotable_2020_xlsx_3[[#This Row],[2046]]</f>
        <v>329.991159706735</v>
      </c>
      <c r="X23">
        <f>scenario_indirect_prod_4506_iotable_2020_xlsx_3[[#This Row],[2047]]+scenario_indirect_prod_1610_iotable_2020_xlsx_3[[#This Row],[2047]]</f>
        <v>329.991159706735</v>
      </c>
      <c r="Y23">
        <f>scenario_indirect_prod_4506_iotable_2020_xlsx_3[[#This Row],[2048]]+scenario_indirect_prod_1610_iotable_2020_xlsx_3[[#This Row],[2048]]</f>
        <v>329.991159706735</v>
      </c>
      <c r="Z23">
        <f>scenario_indirect_prod_4506_iotable_2020_xlsx_3[[#This Row],[2049]]+scenario_indirect_prod_1610_iotable_2020_xlsx_3[[#This Row],[2049]]</f>
        <v>329.991159706735</v>
      </c>
      <c r="AA23">
        <f>scenario_indirect_prod_4506_iotable_2020_xlsx_3[[#This Row],[2050]]+scenario_indirect_prod_1610_iotable_2020_xlsx_3[[#This Row],[2050]]</f>
        <v>329.991159706735</v>
      </c>
    </row>
    <row r="24" spans="1:27" x14ac:dyDescent="0.2">
      <c r="A24" t="s">
        <v>663</v>
      </c>
      <c r="B24" t="s">
        <v>664</v>
      </c>
      <c r="C24">
        <f>scenario_indirect_prod_4506_iotable_2020_xlsx_3[[#This Row],[2026]]+scenario_indirect_prod_1610_iotable_2020_xlsx_3[[#This Row],[2026]]</f>
        <v>3531.709143619044</v>
      </c>
      <c r="D24">
        <f>scenario_indirect_prod_4506_iotable_2020_xlsx_3[[#This Row],[2027]]+scenario_indirect_prod_1610_iotable_2020_xlsx_3[[#This Row],[2027]]</f>
        <v>3493.0139754935367</v>
      </c>
      <c r="E24">
        <f>scenario_indirect_prod_4506_iotable_2020_xlsx_3[[#This Row],[2028]]+scenario_indirect_prod_1610_iotable_2020_xlsx_3[[#This Row],[2028]]</f>
        <v>3668.6567671788844</v>
      </c>
      <c r="F24">
        <f>scenario_indirect_prod_4506_iotable_2020_xlsx_3[[#This Row],[2029]]+scenario_indirect_prod_1610_iotable_2020_xlsx_3[[#This Row],[2029]]</f>
        <v>3778.2115301778576</v>
      </c>
      <c r="G24">
        <f>scenario_indirect_prod_4506_iotable_2020_xlsx_3[[#This Row],[2030]]+scenario_indirect_prod_1610_iotable_2020_xlsx_3[[#This Row],[2030]]</f>
        <v>3486.7178753587873</v>
      </c>
      <c r="H24">
        <f>scenario_indirect_prod_4506_iotable_2020_xlsx_3[[#This Row],[2031]]+scenario_indirect_prod_1610_iotable_2020_xlsx_3[[#This Row],[2031]]</f>
        <v>3723.6950631676054</v>
      </c>
      <c r="I24">
        <f>scenario_indirect_prod_4506_iotable_2020_xlsx_3[[#This Row],[2032]]+scenario_indirect_prod_1610_iotable_2020_xlsx_3[[#This Row],[2032]]</f>
        <v>4054.6547947680219</v>
      </c>
      <c r="J24">
        <f>scenario_indirect_prod_4506_iotable_2020_xlsx_3[[#This Row],[2033]]+scenario_indirect_prod_1610_iotable_2020_xlsx_3[[#This Row],[2033]]</f>
        <v>4493.407106871764</v>
      </c>
      <c r="K24">
        <f>scenario_indirect_prod_4506_iotable_2020_xlsx_3[[#This Row],[2034]]+scenario_indirect_prod_1610_iotable_2020_xlsx_3[[#This Row],[2034]]</f>
        <v>4801.3823927492604</v>
      </c>
      <c r="L24">
        <f>scenario_indirect_prod_4506_iotable_2020_xlsx_3[[#This Row],[2035]]+scenario_indirect_prod_1610_iotable_2020_xlsx_3[[#This Row],[2035]]</f>
        <v>5468.3085674828844</v>
      </c>
      <c r="M24">
        <f>scenario_indirect_prod_4506_iotable_2020_xlsx_3[[#This Row],[2036]]+scenario_indirect_prod_1610_iotable_2020_xlsx_3[[#This Row],[2036]]</f>
        <v>5677.9674322645415</v>
      </c>
      <c r="N24">
        <f>scenario_indirect_prod_4506_iotable_2020_xlsx_3[[#This Row],[2037]]+scenario_indirect_prod_1610_iotable_2020_xlsx_3[[#This Row],[2037]]</f>
        <v>5873.6962717472034</v>
      </c>
      <c r="O24">
        <f>scenario_indirect_prod_4506_iotable_2020_xlsx_3[[#This Row],[2038]]+scenario_indirect_prod_1610_iotable_2020_xlsx_3[[#This Row],[2038]]</f>
        <v>5873.6962717472034</v>
      </c>
      <c r="P24">
        <f>scenario_indirect_prod_4506_iotable_2020_xlsx_3[[#This Row],[2039]]+scenario_indirect_prod_1610_iotable_2020_xlsx_3[[#This Row],[2039]]</f>
        <v>5873.6962717472034</v>
      </c>
      <c r="Q24">
        <f>scenario_indirect_prod_4506_iotable_2020_xlsx_3[[#This Row],[2040]]+scenario_indirect_prod_1610_iotable_2020_xlsx_3[[#This Row],[2040]]</f>
        <v>6043.3961869506256</v>
      </c>
      <c r="R24">
        <f>scenario_indirect_prod_4506_iotable_2020_xlsx_3[[#This Row],[2041]]+scenario_indirect_prod_1610_iotable_2020_xlsx_3[[#This Row],[2041]]</f>
        <v>6043.3961869506256</v>
      </c>
      <c r="S24">
        <f>scenario_indirect_prod_4506_iotable_2020_xlsx_3[[#This Row],[2042]]+scenario_indirect_prod_1610_iotable_2020_xlsx_3[[#This Row],[2042]]</f>
        <v>6237.4334692287157</v>
      </c>
      <c r="T24">
        <f>scenario_indirect_prod_4506_iotable_2020_xlsx_3[[#This Row],[2043]]+scenario_indirect_prod_1610_iotable_2020_xlsx_3[[#This Row],[2043]]</f>
        <v>6237.4334692287157</v>
      </c>
      <c r="U24">
        <f>scenario_indirect_prod_4506_iotable_2020_xlsx_3[[#This Row],[2044]]+scenario_indirect_prod_1610_iotable_2020_xlsx_3[[#This Row],[2044]]</f>
        <v>6401.5916091320914</v>
      </c>
      <c r="V24">
        <f>scenario_indirect_prod_4506_iotable_2020_xlsx_3[[#This Row],[2045]]+scenario_indirect_prod_1610_iotable_2020_xlsx_3[[#This Row],[2045]]</f>
        <v>6401.5916091320914</v>
      </c>
      <c r="W24">
        <f>scenario_indirect_prod_4506_iotable_2020_xlsx_3[[#This Row],[2046]]+scenario_indirect_prod_1610_iotable_2020_xlsx_3[[#This Row],[2046]]</f>
        <v>6547.8315499164764</v>
      </c>
      <c r="X24">
        <f>scenario_indirect_prod_4506_iotable_2020_xlsx_3[[#This Row],[2047]]+scenario_indirect_prod_1610_iotable_2020_xlsx_3[[#This Row],[2047]]</f>
        <v>6547.8315499164764</v>
      </c>
      <c r="Y24">
        <f>scenario_indirect_prod_4506_iotable_2020_xlsx_3[[#This Row],[2048]]+scenario_indirect_prod_1610_iotable_2020_xlsx_3[[#This Row],[2048]]</f>
        <v>6547.8315499164764</v>
      </c>
      <c r="Z24">
        <f>scenario_indirect_prod_4506_iotable_2020_xlsx_3[[#This Row],[2049]]+scenario_indirect_prod_1610_iotable_2020_xlsx_3[[#This Row],[2049]]</f>
        <v>6547.8315499164764</v>
      </c>
      <c r="AA24">
        <f>scenario_indirect_prod_4506_iotable_2020_xlsx_3[[#This Row],[2050]]+scenario_indirect_prod_1610_iotable_2020_xlsx_3[[#This Row],[2050]]</f>
        <v>6547.8315499164764</v>
      </c>
    </row>
    <row r="25" spans="1:27" x14ac:dyDescent="0.2">
      <c r="A25" t="s">
        <v>722</v>
      </c>
      <c r="B25" t="s">
        <v>723</v>
      </c>
      <c r="C25">
        <f>scenario_indirect_prod_4506_iotable_2020_xlsx_3[[#This Row],[2026]]+scenario_indirect_prod_1610_iotable_2020_xlsx_3[[#This Row],[2026]]</f>
        <v>2569.4308862414623</v>
      </c>
      <c r="D25">
        <f>scenario_indirect_prod_4506_iotable_2020_xlsx_3[[#This Row],[2027]]+scenario_indirect_prod_1610_iotable_2020_xlsx_3[[#This Row],[2027]]</f>
        <v>2530.380391155084</v>
      </c>
      <c r="E25">
        <f>scenario_indirect_prod_4506_iotable_2020_xlsx_3[[#This Row],[2028]]+scenario_indirect_prod_1610_iotable_2020_xlsx_3[[#This Row],[2028]]</f>
        <v>2658.8138827647181</v>
      </c>
      <c r="F25">
        <f>scenario_indirect_prod_4506_iotable_2020_xlsx_3[[#This Row],[2029]]+scenario_indirect_prod_1610_iotable_2020_xlsx_3[[#This Row],[2029]]</f>
        <v>2734.620168699174</v>
      </c>
      <c r="G25">
        <f>scenario_indirect_prod_4506_iotable_2020_xlsx_3[[#This Row],[2030]]+scenario_indirect_prod_1610_iotable_2020_xlsx_3[[#This Row],[2030]]</f>
        <v>2485.0061876647778</v>
      </c>
      <c r="H25">
        <f>scenario_indirect_prod_4506_iotable_2020_xlsx_3[[#This Row],[2031]]+scenario_indirect_prod_1610_iotable_2020_xlsx_3[[#This Row],[2031]]</f>
        <v>2658.2886057479654</v>
      </c>
      <c r="I25">
        <f>scenario_indirect_prod_4506_iotable_2020_xlsx_3[[#This Row],[2032]]+scenario_indirect_prod_1610_iotable_2020_xlsx_3[[#This Row],[2032]]</f>
        <v>2900.2929231683811</v>
      </c>
      <c r="J25">
        <f>scenario_indirect_prod_4506_iotable_2020_xlsx_3[[#This Row],[2033]]+scenario_indirect_prod_1610_iotable_2020_xlsx_3[[#This Row],[2033]]</f>
        <v>3200.773563143679</v>
      </c>
      <c r="K25">
        <f>scenario_indirect_prod_4506_iotable_2020_xlsx_3[[#This Row],[2034]]+scenario_indirect_prod_1610_iotable_2020_xlsx_3[[#This Row],[2034]]</f>
        <v>3425.9711981572536</v>
      </c>
      <c r="L25">
        <f>scenario_indirect_prod_4506_iotable_2020_xlsx_3[[#This Row],[2035]]+scenario_indirect_prod_1610_iotable_2020_xlsx_3[[#This Row],[2035]]</f>
        <v>3887.8880804845944</v>
      </c>
      <c r="M25">
        <f>scenario_indirect_prod_4506_iotable_2020_xlsx_3[[#This Row],[2036]]+scenario_indirect_prod_1610_iotable_2020_xlsx_3[[#This Row],[2036]]</f>
        <v>4024.2911949214463</v>
      </c>
      <c r="N25">
        <f>scenario_indirect_prod_4506_iotable_2020_xlsx_3[[#This Row],[2037]]+scenario_indirect_prod_1610_iotable_2020_xlsx_3[[#This Row],[2037]]</f>
        <v>4152.6347741315594</v>
      </c>
      <c r="O25">
        <f>scenario_indirect_prod_4506_iotable_2020_xlsx_3[[#This Row],[2038]]+scenario_indirect_prod_1610_iotable_2020_xlsx_3[[#This Row],[2038]]</f>
        <v>4152.6347741315594</v>
      </c>
      <c r="P25">
        <f>scenario_indirect_prod_4506_iotable_2020_xlsx_3[[#This Row],[2039]]+scenario_indirect_prod_1610_iotable_2020_xlsx_3[[#This Row],[2039]]</f>
        <v>4152.6347741315594</v>
      </c>
      <c r="Q25">
        <f>scenario_indirect_prod_4506_iotable_2020_xlsx_3[[#This Row],[2040]]+scenario_indirect_prod_1610_iotable_2020_xlsx_3[[#This Row],[2040]]</f>
        <v>4263.7496858330396</v>
      </c>
      <c r="R25">
        <f>scenario_indirect_prod_4506_iotable_2020_xlsx_3[[#This Row],[2041]]+scenario_indirect_prod_1610_iotable_2020_xlsx_3[[#This Row],[2041]]</f>
        <v>4263.7496858330396</v>
      </c>
      <c r="S25">
        <f>scenario_indirect_prod_4506_iotable_2020_xlsx_3[[#This Row],[2042]]+scenario_indirect_prod_1610_iotable_2020_xlsx_3[[#This Row],[2042]]</f>
        <v>4391.3145732980038</v>
      </c>
      <c r="T25">
        <f>scenario_indirect_prod_4506_iotable_2020_xlsx_3[[#This Row],[2043]]+scenario_indirect_prod_1610_iotable_2020_xlsx_3[[#This Row],[2043]]</f>
        <v>4391.3145732980038</v>
      </c>
      <c r="U25">
        <f>scenario_indirect_prod_4506_iotable_2020_xlsx_3[[#This Row],[2044]]+scenario_indirect_prod_1610_iotable_2020_xlsx_3[[#This Row],[2044]]</f>
        <v>4497.73286994913</v>
      </c>
      <c r="V25">
        <f>scenario_indirect_prod_4506_iotable_2020_xlsx_3[[#This Row],[2045]]+scenario_indirect_prod_1610_iotable_2020_xlsx_3[[#This Row],[2045]]</f>
        <v>4497.73286994913</v>
      </c>
      <c r="W25">
        <f>scenario_indirect_prod_4506_iotable_2020_xlsx_3[[#This Row],[2046]]+scenario_indirect_prod_1610_iotable_2020_xlsx_3[[#This Row],[2046]]</f>
        <v>4593.0715884725523</v>
      </c>
      <c r="X25">
        <f>scenario_indirect_prod_4506_iotable_2020_xlsx_3[[#This Row],[2047]]+scenario_indirect_prod_1610_iotable_2020_xlsx_3[[#This Row],[2047]]</f>
        <v>4593.0715884725523</v>
      </c>
      <c r="Y25">
        <f>scenario_indirect_prod_4506_iotable_2020_xlsx_3[[#This Row],[2048]]+scenario_indirect_prod_1610_iotable_2020_xlsx_3[[#This Row],[2048]]</f>
        <v>4593.0715884725523</v>
      </c>
      <c r="Z25">
        <f>scenario_indirect_prod_4506_iotable_2020_xlsx_3[[#This Row],[2049]]+scenario_indirect_prod_1610_iotable_2020_xlsx_3[[#This Row],[2049]]</f>
        <v>4593.0715884725523</v>
      </c>
      <c r="AA25">
        <f>scenario_indirect_prod_4506_iotable_2020_xlsx_3[[#This Row],[2050]]+scenario_indirect_prod_1610_iotable_2020_xlsx_3[[#This Row],[2050]]</f>
        <v>4593.0715884725523</v>
      </c>
    </row>
    <row r="26" spans="1:27" x14ac:dyDescent="0.2">
      <c r="A26" t="s">
        <v>758</v>
      </c>
      <c r="B26" t="s">
        <v>263</v>
      </c>
      <c r="C26">
        <f>scenario_indirect_prod_4506_iotable_2020_xlsx_3[[#This Row],[2026]]+scenario_indirect_prod_1610_iotable_2020_xlsx_3[[#This Row],[2026]]</f>
        <v>2036.9632196759417</v>
      </c>
      <c r="D26">
        <f>scenario_indirect_prod_4506_iotable_2020_xlsx_3[[#This Row],[2027]]+scenario_indirect_prod_1610_iotable_2020_xlsx_3[[#This Row],[2027]]</f>
        <v>2134.0033336949641</v>
      </c>
      <c r="E26">
        <f>scenario_indirect_prod_4506_iotable_2020_xlsx_3[[#This Row],[2028]]+scenario_indirect_prod_1610_iotable_2020_xlsx_3[[#This Row],[2028]]</f>
        <v>2228.2136138214191</v>
      </c>
      <c r="F26">
        <f>scenario_indirect_prod_4506_iotable_2020_xlsx_3[[#This Row],[2029]]+scenario_indirect_prod_1610_iotable_2020_xlsx_3[[#This Row],[2029]]</f>
        <v>2334.0940614859055</v>
      </c>
      <c r="G26">
        <f>scenario_indirect_prod_4506_iotable_2020_xlsx_3[[#This Row],[2030]]+scenario_indirect_prod_1610_iotable_2020_xlsx_3[[#This Row],[2030]]</f>
        <v>2577.133721309578</v>
      </c>
      <c r="H26">
        <f>scenario_indirect_prod_4506_iotable_2020_xlsx_3[[#This Row],[2031]]+scenario_indirect_prod_1610_iotable_2020_xlsx_3[[#This Row],[2031]]</f>
        <v>2704.2421954622969</v>
      </c>
      <c r="I26">
        <f>scenario_indirect_prod_4506_iotable_2020_xlsx_3[[#This Row],[2032]]+scenario_indirect_prod_1610_iotable_2020_xlsx_3[[#This Row],[2032]]</f>
        <v>2881.760491120614</v>
      </c>
      <c r="J26">
        <f>scenario_indirect_prod_4506_iotable_2020_xlsx_3[[#This Row],[2033]]+scenario_indirect_prod_1610_iotable_2020_xlsx_3[[#This Row],[2033]]</f>
        <v>3339.8958901448818</v>
      </c>
      <c r="K26">
        <f>scenario_indirect_prod_4506_iotable_2020_xlsx_3[[#This Row],[2034]]+scenario_indirect_prod_1610_iotable_2020_xlsx_3[[#This Row],[2034]]</f>
        <v>3505.0859197278864</v>
      </c>
      <c r="L26">
        <f>scenario_indirect_prod_4506_iotable_2020_xlsx_3[[#This Row],[2035]]+scenario_indirect_prod_1610_iotable_2020_xlsx_3[[#This Row],[2035]]</f>
        <v>4144.846112011588</v>
      </c>
      <c r="M26">
        <f>scenario_indirect_prod_4506_iotable_2020_xlsx_3[[#This Row],[2036]]+scenario_indirect_prod_1610_iotable_2020_xlsx_3[[#This Row],[2036]]</f>
        <v>4442.426016001169</v>
      </c>
      <c r="N26">
        <f>scenario_indirect_prod_4506_iotable_2020_xlsx_3[[#This Row],[2037]]+scenario_indirect_prod_1610_iotable_2020_xlsx_3[[#This Row],[2037]]</f>
        <v>4709.246651248267</v>
      </c>
      <c r="O26">
        <f>scenario_indirect_prod_4506_iotable_2020_xlsx_3[[#This Row],[2038]]+scenario_indirect_prod_1610_iotable_2020_xlsx_3[[#This Row],[2038]]</f>
        <v>4709.246651248267</v>
      </c>
      <c r="P26">
        <f>scenario_indirect_prod_4506_iotable_2020_xlsx_3[[#This Row],[2039]]+scenario_indirect_prod_1610_iotable_2020_xlsx_3[[#This Row],[2039]]</f>
        <v>4709.246651248267</v>
      </c>
      <c r="Q26">
        <f>scenario_indirect_prod_4506_iotable_2020_xlsx_3[[#This Row],[2040]]+scenario_indirect_prod_1610_iotable_2020_xlsx_3[[#This Row],[2040]]</f>
        <v>4942.3468907260676</v>
      </c>
      <c r="R26">
        <f>scenario_indirect_prod_4506_iotable_2020_xlsx_3[[#This Row],[2041]]+scenario_indirect_prod_1610_iotable_2020_xlsx_3[[#This Row],[2041]]</f>
        <v>4942.3468907260676</v>
      </c>
      <c r="S26">
        <f>scenario_indirect_prod_4506_iotable_2020_xlsx_3[[#This Row],[2042]]+scenario_indirect_prod_1610_iotable_2020_xlsx_3[[#This Row],[2042]]</f>
        <v>5203.2420278919135</v>
      </c>
      <c r="T26">
        <f>scenario_indirect_prod_4506_iotable_2020_xlsx_3[[#This Row],[2043]]+scenario_indirect_prod_1610_iotable_2020_xlsx_3[[#This Row],[2043]]</f>
        <v>5203.2420278919135</v>
      </c>
      <c r="U26">
        <f>scenario_indirect_prod_4506_iotable_2020_xlsx_3[[#This Row],[2044]]+scenario_indirect_prod_1610_iotable_2020_xlsx_3[[#This Row],[2044]]</f>
        <v>5440.4266697580188</v>
      </c>
      <c r="V26">
        <f>scenario_indirect_prod_4506_iotable_2020_xlsx_3[[#This Row],[2045]]+scenario_indirect_prod_1610_iotable_2020_xlsx_3[[#This Row],[2045]]</f>
        <v>5440.4266697580188</v>
      </c>
      <c r="W26">
        <f>scenario_indirect_prod_4506_iotable_2020_xlsx_3[[#This Row],[2046]]+scenario_indirect_prod_1610_iotable_2020_xlsx_3[[#This Row],[2046]]</f>
        <v>5645.8498039104034</v>
      </c>
      <c r="X26">
        <f>scenario_indirect_prod_4506_iotable_2020_xlsx_3[[#This Row],[2047]]+scenario_indirect_prod_1610_iotable_2020_xlsx_3[[#This Row],[2047]]</f>
        <v>5645.8498039104034</v>
      </c>
      <c r="Y26">
        <f>scenario_indirect_prod_4506_iotable_2020_xlsx_3[[#This Row],[2048]]+scenario_indirect_prod_1610_iotable_2020_xlsx_3[[#This Row],[2048]]</f>
        <v>5645.8498039104034</v>
      </c>
      <c r="Z26">
        <f>scenario_indirect_prod_4506_iotable_2020_xlsx_3[[#This Row],[2049]]+scenario_indirect_prod_1610_iotable_2020_xlsx_3[[#This Row],[2049]]</f>
        <v>5645.8498039104034</v>
      </c>
      <c r="AA26">
        <f>scenario_indirect_prod_4506_iotable_2020_xlsx_3[[#This Row],[2050]]+scenario_indirect_prod_1610_iotable_2020_xlsx_3[[#This Row],[2050]]</f>
        <v>5645.8498039104034</v>
      </c>
    </row>
    <row r="27" spans="1:27" x14ac:dyDescent="0.2">
      <c r="A27" t="s">
        <v>868</v>
      </c>
      <c r="B27" t="s">
        <v>869</v>
      </c>
      <c r="C27">
        <f>scenario_indirect_prod_4506_iotable_2020_xlsx_3[[#This Row],[2026]]+scenario_indirect_prod_1610_iotable_2020_xlsx_3[[#This Row],[2026]]</f>
        <v>-42931.007772257864</v>
      </c>
      <c r="D27">
        <f>scenario_indirect_prod_4506_iotable_2020_xlsx_3[[#This Row],[2027]]+scenario_indirect_prod_1610_iotable_2020_xlsx_3[[#This Row],[2027]]</f>
        <v>-78809.553477440902</v>
      </c>
      <c r="E27">
        <f>scenario_indirect_prod_4506_iotable_2020_xlsx_3[[#This Row],[2028]]+scenario_indirect_prod_1610_iotable_2020_xlsx_3[[#This Row],[2028]]</f>
        <v>-78784.205347794312</v>
      </c>
      <c r="F27">
        <f>scenario_indirect_prod_4506_iotable_2020_xlsx_3[[#This Row],[2029]]+scenario_indirect_prod_1610_iotable_2020_xlsx_3[[#This Row],[2029]]</f>
        <v>-93117.580797578921</v>
      </c>
      <c r="G27">
        <f>scenario_indirect_prod_4506_iotable_2020_xlsx_3[[#This Row],[2030]]+scenario_indirect_prod_1610_iotable_2020_xlsx_3[[#This Row],[2030]]</f>
        <v>-214788.35907936297</v>
      </c>
      <c r="H27">
        <f>scenario_indirect_prod_4506_iotable_2020_xlsx_3[[#This Row],[2031]]+scenario_indirect_prod_1610_iotable_2020_xlsx_3[[#This Row],[2031]]</f>
        <v>-214754.15939247463</v>
      </c>
      <c r="I27">
        <f>scenario_indirect_prod_4506_iotable_2020_xlsx_3[[#This Row],[2032]]+scenario_indirect_prod_1610_iotable_2020_xlsx_3[[#This Row],[2032]]</f>
        <v>-214706.39648627222</v>
      </c>
      <c r="J27">
        <f>scenario_indirect_prod_4506_iotable_2020_xlsx_3[[#This Row],[2033]]+scenario_indirect_prod_1610_iotable_2020_xlsx_3[[#This Row],[2033]]</f>
        <v>-282493.82893340249</v>
      </c>
      <c r="K27">
        <f>scenario_indirect_prod_4506_iotable_2020_xlsx_3[[#This Row],[2034]]+scenario_indirect_prod_1610_iotable_2020_xlsx_3[[#This Row],[2034]]</f>
        <v>-282449.38305891224</v>
      </c>
      <c r="L27">
        <f>scenario_indirect_prod_4506_iotable_2020_xlsx_3[[#This Row],[2035]]+scenario_indirect_prod_1610_iotable_2020_xlsx_3[[#This Row],[2035]]</f>
        <v>-368244.08989510615</v>
      </c>
      <c r="M27">
        <f>scenario_indirect_prod_4506_iotable_2020_xlsx_3[[#This Row],[2036]]+scenario_indirect_prod_1610_iotable_2020_xlsx_3[[#This Row],[2036]]</f>
        <v>-424590.96492338984</v>
      </c>
      <c r="N27">
        <f>scenario_indirect_prod_4506_iotable_2020_xlsx_3[[#This Row],[2037]]+scenario_indirect_prod_1610_iotable_2020_xlsx_3[[#This Row],[2037]]</f>
        <v>-473847.93376748933</v>
      </c>
      <c r="O27">
        <f>scenario_indirect_prod_4506_iotable_2020_xlsx_3[[#This Row],[2038]]+scenario_indirect_prod_1610_iotable_2020_xlsx_3[[#This Row],[2038]]</f>
        <v>-473847.93376748933</v>
      </c>
      <c r="P27">
        <f>scenario_indirect_prod_4506_iotable_2020_xlsx_3[[#This Row],[2039]]+scenario_indirect_prod_1610_iotable_2020_xlsx_3[[#This Row],[2039]]</f>
        <v>-473847.93376748933</v>
      </c>
      <c r="Q27">
        <f>scenario_indirect_prod_4506_iotable_2020_xlsx_3[[#This Row],[2040]]+scenario_indirect_prod_1610_iotable_2020_xlsx_3[[#This Row],[2040]]</f>
        <v>-517091.27321281342</v>
      </c>
      <c r="R27">
        <f>scenario_indirect_prod_4506_iotable_2020_xlsx_3[[#This Row],[2041]]+scenario_indirect_prod_1610_iotable_2020_xlsx_3[[#This Row],[2041]]</f>
        <v>-517091.27321281342</v>
      </c>
      <c r="S27">
        <f>scenario_indirect_prod_4506_iotable_2020_xlsx_3[[#This Row],[2042]]+scenario_indirect_prod_1610_iotable_2020_xlsx_3[[#This Row],[2042]]</f>
        <v>-564820.2631812332</v>
      </c>
      <c r="T27">
        <f>scenario_indirect_prod_4506_iotable_2020_xlsx_3[[#This Row],[2043]]+scenario_indirect_prod_1610_iotable_2020_xlsx_3[[#This Row],[2043]]</f>
        <v>-564820.2631812332</v>
      </c>
      <c r="U27">
        <f>scenario_indirect_prod_4506_iotable_2020_xlsx_3[[#This Row],[2044]]+scenario_indirect_prod_1610_iotable_2020_xlsx_3[[#This Row],[2044]]</f>
        <v>-610213.47761547926</v>
      </c>
      <c r="V27">
        <f>scenario_indirect_prod_4506_iotable_2020_xlsx_3[[#This Row],[2045]]+scenario_indirect_prod_1610_iotable_2020_xlsx_3[[#This Row],[2045]]</f>
        <v>-610213.47761547926</v>
      </c>
      <c r="W27">
        <f>scenario_indirect_prod_4506_iotable_2020_xlsx_3[[#This Row],[2046]]+scenario_indirect_prod_1610_iotable_2020_xlsx_3[[#This Row],[2046]]</f>
        <v>-648863.59373772307</v>
      </c>
      <c r="X27">
        <f>scenario_indirect_prod_4506_iotable_2020_xlsx_3[[#This Row],[2047]]+scenario_indirect_prod_1610_iotable_2020_xlsx_3[[#This Row],[2047]]</f>
        <v>-648863.59373772307</v>
      </c>
      <c r="Y27">
        <f>scenario_indirect_prod_4506_iotable_2020_xlsx_3[[#This Row],[2048]]+scenario_indirect_prod_1610_iotable_2020_xlsx_3[[#This Row],[2048]]</f>
        <v>-648863.59373772307</v>
      </c>
      <c r="Z27">
        <f>scenario_indirect_prod_4506_iotable_2020_xlsx_3[[#This Row],[2049]]+scenario_indirect_prod_1610_iotable_2020_xlsx_3[[#This Row],[2049]]</f>
        <v>-648863.59373772307</v>
      </c>
      <c r="AA27">
        <f>scenario_indirect_prod_4506_iotable_2020_xlsx_3[[#This Row],[2050]]+scenario_indirect_prod_1610_iotable_2020_xlsx_3[[#This Row],[2050]]</f>
        <v>-648863.59373772307</v>
      </c>
    </row>
    <row r="28" spans="1:27" x14ac:dyDescent="0.2">
      <c r="A28" t="s">
        <v>1000</v>
      </c>
      <c r="B28" t="s">
        <v>1001</v>
      </c>
      <c r="C28">
        <f>scenario_indirect_prod_4506_iotable_2020_xlsx_3[[#This Row],[2026]]+scenario_indirect_prod_1610_iotable_2020_xlsx_3[[#This Row],[2026]]</f>
        <v>0</v>
      </c>
      <c r="D28">
        <f>scenario_indirect_prod_4506_iotable_2020_xlsx_3[[#This Row],[2027]]+scenario_indirect_prod_1610_iotable_2020_xlsx_3[[#This Row],[2027]]</f>
        <v>0</v>
      </c>
      <c r="E28">
        <f>scenario_indirect_prod_4506_iotable_2020_xlsx_3[[#This Row],[2028]]+scenario_indirect_prod_1610_iotable_2020_xlsx_3[[#This Row],[2028]]</f>
        <v>0</v>
      </c>
      <c r="F28">
        <f>scenario_indirect_prod_4506_iotable_2020_xlsx_3[[#This Row],[2029]]+scenario_indirect_prod_1610_iotable_2020_xlsx_3[[#This Row],[2029]]</f>
        <v>0</v>
      </c>
      <c r="G28">
        <f>scenario_indirect_prod_4506_iotable_2020_xlsx_3[[#This Row],[2030]]+scenario_indirect_prod_1610_iotable_2020_xlsx_3[[#This Row],[2030]]</f>
        <v>0</v>
      </c>
      <c r="H28">
        <f>scenario_indirect_prod_4506_iotable_2020_xlsx_3[[#This Row],[2031]]+scenario_indirect_prod_1610_iotable_2020_xlsx_3[[#This Row],[2031]]</f>
        <v>0</v>
      </c>
      <c r="I28">
        <f>scenario_indirect_prod_4506_iotable_2020_xlsx_3[[#This Row],[2032]]+scenario_indirect_prod_1610_iotable_2020_xlsx_3[[#This Row],[2032]]</f>
        <v>0</v>
      </c>
      <c r="J28">
        <f>scenario_indirect_prod_4506_iotable_2020_xlsx_3[[#This Row],[2033]]+scenario_indirect_prod_1610_iotable_2020_xlsx_3[[#This Row],[2033]]</f>
        <v>0</v>
      </c>
      <c r="K28">
        <f>scenario_indirect_prod_4506_iotable_2020_xlsx_3[[#This Row],[2034]]+scenario_indirect_prod_1610_iotable_2020_xlsx_3[[#This Row],[2034]]</f>
        <v>0</v>
      </c>
      <c r="L28">
        <f>scenario_indirect_prod_4506_iotable_2020_xlsx_3[[#This Row],[2035]]+scenario_indirect_prod_1610_iotable_2020_xlsx_3[[#This Row],[2035]]</f>
        <v>0</v>
      </c>
      <c r="M28">
        <f>scenario_indirect_prod_4506_iotable_2020_xlsx_3[[#This Row],[2036]]+scenario_indirect_prod_1610_iotable_2020_xlsx_3[[#This Row],[2036]]</f>
        <v>0</v>
      </c>
      <c r="N28">
        <f>scenario_indirect_prod_4506_iotable_2020_xlsx_3[[#This Row],[2037]]+scenario_indirect_prod_1610_iotable_2020_xlsx_3[[#This Row],[2037]]</f>
        <v>0</v>
      </c>
      <c r="O28">
        <f>scenario_indirect_prod_4506_iotable_2020_xlsx_3[[#This Row],[2038]]+scenario_indirect_prod_1610_iotable_2020_xlsx_3[[#This Row],[2038]]</f>
        <v>0</v>
      </c>
      <c r="P28">
        <f>scenario_indirect_prod_4506_iotable_2020_xlsx_3[[#This Row],[2039]]+scenario_indirect_prod_1610_iotable_2020_xlsx_3[[#This Row],[2039]]</f>
        <v>0</v>
      </c>
      <c r="Q28">
        <f>scenario_indirect_prod_4506_iotable_2020_xlsx_3[[#This Row],[2040]]+scenario_indirect_prod_1610_iotable_2020_xlsx_3[[#This Row],[2040]]</f>
        <v>0</v>
      </c>
      <c r="R28">
        <f>scenario_indirect_prod_4506_iotable_2020_xlsx_3[[#This Row],[2041]]+scenario_indirect_prod_1610_iotable_2020_xlsx_3[[#This Row],[2041]]</f>
        <v>0</v>
      </c>
      <c r="S28">
        <f>scenario_indirect_prod_4506_iotable_2020_xlsx_3[[#This Row],[2042]]+scenario_indirect_prod_1610_iotable_2020_xlsx_3[[#This Row],[2042]]</f>
        <v>0</v>
      </c>
      <c r="T28">
        <f>scenario_indirect_prod_4506_iotable_2020_xlsx_3[[#This Row],[2043]]+scenario_indirect_prod_1610_iotable_2020_xlsx_3[[#This Row],[2043]]</f>
        <v>0</v>
      </c>
      <c r="U28">
        <f>scenario_indirect_prod_4506_iotable_2020_xlsx_3[[#This Row],[2044]]+scenario_indirect_prod_1610_iotable_2020_xlsx_3[[#This Row],[2044]]</f>
        <v>0</v>
      </c>
      <c r="V28">
        <f>scenario_indirect_prod_4506_iotable_2020_xlsx_3[[#This Row],[2045]]+scenario_indirect_prod_1610_iotable_2020_xlsx_3[[#This Row],[2045]]</f>
        <v>0</v>
      </c>
      <c r="W28">
        <f>scenario_indirect_prod_4506_iotable_2020_xlsx_3[[#This Row],[2046]]+scenario_indirect_prod_1610_iotable_2020_xlsx_3[[#This Row],[2046]]</f>
        <v>0</v>
      </c>
      <c r="X28">
        <f>scenario_indirect_prod_4506_iotable_2020_xlsx_3[[#This Row],[2047]]+scenario_indirect_prod_1610_iotable_2020_xlsx_3[[#This Row],[2047]]</f>
        <v>0</v>
      </c>
      <c r="Y28">
        <f>scenario_indirect_prod_4506_iotable_2020_xlsx_3[[#This Row],[2048]]+scenario_indirect_prod_1610_iotable_2020_xlsx_3[[#This Row],[2048]]</f>
        <v>0</v>
      </c>
      <c r="Z28">
        <f>scenario_indirect_prod_4506_iotable_2020_xlsx_3[[#This Row],[2049]]+scenario_indirect_prod_1610_iotable_2020_xlsx_3[[#This Row],[2049]]</f>
        <v>0</v>
      </c>
      <c r="AA28">
        <f>scenario_indirect_prod_4506_iotable_2020_xlsx_3[[#This Row],[2050]]+scenario_indirect_prod_1610_iotable_2020_xlsx_3[[#This Row],[2050]]</f>
        <v>0</v>
      </c>
    </row>
    <row r="29" spans="1:27" x14ac:dyDescent="0.2">
      <c r="A29" t="s">
        <v>900</v>
      </c>
      <c r="B29" t="s">
        <v>901</v>
      </c>
      <c r="C29">
        <f>scenario_indirect_prod_4506_iotable_2020_xlsx_3[[#This Row],[2026]]+scenario_indirect_prod_1610_iotable_2020_xlsx_3[[#This Row],[2026]]</f>
        <v>197.09996373583584</v>
      </c>
      <c r="D29">
        <f>scenario_indirect_prod_4506_iotable_2020_xlsx_3[[#This Row],[2027]]+scenario_indirect_prod_1610_iotable_2020_xlsx_3[[#This Row],[2027]]</f>
        <v>197.64909391430058</v>
      </c>
      <c r="E29">
        <f>scenario_indirect_prod_4506_iotable_2020_xlsx_3[[#This Row],[2028]]+scenario_indirect_prod_1610_iotable_2020_xlsx_3[[#This Row],[2028]]</f>
        <v>207.29049114711734</v>
      </c>
      <c r="F29">
        <f>scenario_indirect_prod_4506_iotable_2020_xlsx_3[[#This Row],[2029]]+scenario_indirect_prod_1610_iotable_2020_xlsx_3[[#This Row],[2029]]</f>
        <v>214.37345477833225</v>
      </c>
      <c r="G29">
        <f>scenario_indirect_prod_4506_iotable_2020_xlsx_3[[#This Row],[2030]]+scenario_indirect_prod_1610_iotable_2020_xlsx_3[[#This Row],[2030]]</f>
        <v>207.43631500160083</v>
      </c>
      <c r="H29">
        <f>scenario_indirect_prod_4506_iotable_2020_xlsx_3[[#This Row],[2031]]+scenario_indirect_prod_1610_iotable_2020_xlsx_3[[#This Row],[2031]]</f>
        <v>220.44448448500151</v>
      </c>
      <c r="I29">
        <f>scenario_indirect_prod_4506_iotable_2020_xlsx_3[[#This Row],[2032]]+scenario_indirect_prod_1610_iotable_2020_xlsx_3[[#This Row],[2032]]</f>
        <v>238.61155077794882</v>
      </c>
      <c r="J29">
        <f>scenario_indirect_prod_4506_iotable_2020_xlsx_3[[#This Row],[2033]]+scenario_indirect_prod_1610_iotable_2020_xlsx_3[[#This Row],[2033]]</f>
        <v>267.75169080638841</v>
      </c>
      <c r="K29">
        <f>scenario_indirect_prod_4506_iotable_2020_xlsx_3[[#This Row],[2034]]+scenario_indirect_prod_1610_iotable_2020_xlsx_3[[#This Row],[2034]]</f>
        <v>284.65709318893869</v>
      </c>
      <c r="L29">
        <f>scenario_indirect_prod_4506_iotable_2020_xlsx_3[[#This Row],[2035]]+scenario_indirect_prod_1610_iotable_2020_xlsx_3[[#This Row],[2035]]</f>
        <v>327.66649328122224</v>
      </c>
      <c r="M29">
        <f>scenario_indirect_prod_4506_iotable_2020_xlsx_3[[#This Row],[2036]]+scenario_indirect_prod_1610_iotable_2020_xlsx_3[[#This Row],[2036]]</f>
        <v>343.37622532334251</v>
      </c>
      <c r="N29">
        <f>scenario_indirect_prod_4506_iotable_2020_xlsx_3[[#This Row],[2037]]+scenario_indirect_prod_1610_iotable_2020_xlsx_3[[#This Row],[2037]]</f>
        <v>357.79283257769094</v>
      </c>
      <c r="O29">
        <f>scenario_indirect_prod_4506_iotable_2020_xlsx_3[[#This Row],[2038]]+scenario_indirect_prod_1610_iotable_2020_xlsx_3[[#This Row],[2038]]</f>
        <v>357.79283257769094</v>
      </c>
      <c r="P29">
        <f>scenario_indirect_prod_4506_iotable_2020_xlsx_3[[#This Row],[2039]]+scenario_indirect_prod_1610_iotable_2020_xlsx_3[[#This Row],[2039]]</f>
        <v>357.79283257769094</v>
      </c>
      <c r="Q29">
        <f>scenario_indirect_prod_4506_iotable_2020_xlsx_3[[#This Row],[2040]]+scenario_indirect_prod_1610_iotable_2020_xlsx_3[[#This Row],[2040]]</f>
        <v>370.33225346490025</v>
      </c>
      <c r="R29">
        <f>scenario_indirect_prod_4506_iotable_2020_xlsx_3[[#This Row],[2041]]+scenario_indirect_prod_1610_iotable_2020_xlsx_3[[#This Row],[2041]]</f>
        <v>370.33225346490025</v>
      </c>
      <c r="S29">
        <f>scenario_indirect_prod_4506_iotable_2020_xlsx_3[[#This Row],[2042]]+scenario_indirect_prod_1610_iotable_2020_xlsx_3[[#This Row],[2042]]</f>
        <v>384.54212721975603</v>
      </c>
      <c r="T29">
        <f>scenario_indirect_prod_4506_iotable_2020_xlsx_3[[#This Row],[2043]]+scenario_indirect_prod_1610_iotable_2020_xlsx_3[[#This Row],[2043]]</f>
        <v>384.54212721975603</v>
      </c>
      <c r="U29">
        <f>scenario_indirect_prod_4506_iotable_2020_xlsx_3[[#This Row],[2044]]+scenario_indirect_prod_1610_iotable_2020_xlsx_3[[#This Row],[2044]]</f>
        <v>396.93749376419044</v>
      </c>
      <c r="V29">
        <f>scenario_indirect_prod_4506_iotable_2020_xlsx_3[[#This Row],[2045]]+scenario_indirect_prod_1610_iotable_2020_xlsx_3[[#This Row],[2045]]</f>
        <v>396.93749376419044</v>
      </c>
      <c r="W29">
        <f>scenario_indirect_prod_4506_iotable_2020_xlsx_3[[#This Row],[2046]]+scenario_indirect_prod_1610_iotable_2020_xlsx_3[[#This Row],[2046]]</f>
        <v>407.84661699195055</v>
      </c>
      <c r="X29">
        <f>scenario_indirect_prod_4506_iotable_2020_xlsx_3[[#This Row],[2047]]+scenario_indirect_prod_1610_iotable_2020_xlsx_3[[#This Row],[2047]]</f>
        <v>407.84661699195055</v>
      </c>
      <c r="Y29">
        <f>scenario_indirect_prod_4506_iotable_2020_xlsx_3[[#This Row],[2048]]+scenario_indirect_prod_1610_iotable_2020_xlsx_3[[#This Row],[2048]]</f>
        <v>407.84661699195055</v>
      </c>
      <c r="Z29">
        <f>scenario_indirect_prod_4506_iotable_2020_xlsx_3[[#This Row],[2049]]+scenario_indirect_prod_1610_iotable_2020_xlsx_3[[#This Row],[2049]]</f>
        <v>407.84661699195055</v>
      </c>
      <c r="AA29">
        <f>scenario_indirect_prod_4506_iotable_2020_xlsx_3[[#This Row],[2050]]+scenario_indirect_prod_1610_iotable_2020_xlsx_3[[#This Row],[2050]]</f>
        <v>407.84661699195055</v>
      </c>
    </row>
    <row r="30" spans="1:27" x14ac:dyDescent="0.2">
      <c r="A30" t="s">
        <v>902</v>
      </c>
      <c r="B30" t="s">
        <v>903</v>
      </c>
      <c r="C30">
        <f>scenario_indirect_prod_4506_iotable_2020_xlsx_3[[#This Row],[2026]]+scenario_indirect_prod_1610_iotable_2020_xlsx_3[[#This Row],[2026]]</f>
        <v>177.0944263200594</v>
      </c>
      <c r="D30">
        <f>scenario_indirect_prod_4506_iotable_2020_xlsx_3[[#This Row],[2027]]+scenario_indirect_prod_1610_iotable_2020_xlsx_3[[#This Row],[2027]]</f>
        <v>166.29087397052803</v>
      </c>
      <c r="E30">
        <f>scenario_indirect_prod_4506_iotable_2020_xlsx_3[[#This Row],[2028]]+scenario_indirect_prod_1610_iotable_2020_xlsx_3[[#This Row],[2028]]</f>
        <v>175.62512162673974</v>
      </c>
      <c r="F30">
        <f>scenario_indirect_prod_4506_iotable_2020_xlsx_3[[#This Row],[2029]]+scenario_indirect_prod_1610_iotable_2020_xlsx_3[[#This Row],[2029]]</f>
        <v>177.94836471974088</v>
      </c>
      <c r="G30">
        <f>scenario_indirect_prod_4506_iotable_2020_xlsx_3[[#This Row],[2030]]+scenario_indirect_prod_1610_iotable_2020_xlsx_3[[#This Row],[2030]]</f>
        <v>132.79981316451617</v>
      </c>
      <c r="H30">
        <f>scenario_indirect_prod_4506_iotable_2020_xlsx_3[[#This Row],[2031]]+scenario_indirect_prod_1610_iotable_2020_xlsx_3[[#This Row],[2031]]</f>
        <v>145.39357655585846</v>
      </c>
      <c r="I30">
        <f>scenario_indirect_prod_4506_iotable_2020_xlsx_3[[#This Row],[2032]]+scenario_indirect_prod_1610_iotable_2020_xlsx_3[[#This Row],[2032]]</f>
        <v>162.98188786285388</v>
      </c>
      <c r="J30">
        <f>scenario_indirect_prod_4506_iotable_2020_xlsx_3[[#This Row],[2033]]+scenario_indirect_prod_1610_iotable_2020_xlsx_3[[#This Row],[2033]]</f>
        <v>169.75412388933202</v>
      </c>
      <c r="K30">
        <f>scenario_indirect_prod_4506_iotable_2020_xlsx_3[[#This Row],[2034]]+scenario_indirect_prod_1610_iotable_2020_xlsx_3[[#This Row],[2034]]</f>
        <v>186.12096458224826</v>
      </c>
      <c r="L30">
        <f>scenario_indirect_prod_4506_iotable_2020_xlsx_3[[#This Row],[2035]]+scenario_indirect_prod_1610_iotable_2020_xlsx_3[[#This Row],[2035]]</f>
        <v>200.62025363805003</v>
      </c>
      <c r="M30">
        <f>scenario_indirect_prod_4506_iotable_2020_xlsx_3[[#This Row],[2036]]+scenario_indirect_prod_1610_iotable_2020_xlsx_3[[#This Row],[2036]]</f>
        <v>198.01538952747097</v>
      </c>
      <c r="N30">
        <f>scenario_indirect_prod_4506_iotable_2020_xlsx_3[[#This Row],[2037]]+scenario_indirect_prod_1610_iotable_2020_xlsx_3[[#This Row],[2037]]</f>
        <v>196.39950992130906</v>
      </c>
      <c r="O30">
        <f>scenario_indirect_prod_4506_iotable_2020_xlsx_3[[#This Row],[2038]]+scenario_indirect_prod_1610_iotable_2020_xlsx_3[[#This Row],[2038]]</f>
        <v>196.39950992130906</v>
      </c>
      <c r="P30">
        <f>scenario_indirect_prod_4506_iotable_2020_xlsx_3[[#This Row],[2039]]+scenario_indirect_prod_1610_iotable_2020_xlsx_3[[#This Row],[2039]]</f>
        <v>196.39950992130906</v>
      </c>
      <c r="Q30">
        <f>scenario_indirect_prod_4506_iotable_2020_xlsx_3[[#This Row],[2040]]+scenario_indirect_prod_1610_iotable_2020_xlsx_3[[#This Row],[2040]]</f>
        <v>194.86762818310257</v>
      </c>
      <c r="R30">
        <f>scenario_indirect_prod_4506_iotable_2020_xlsx_3[[#This Row],[2041]]+scenario_indirect_prod_1610_iotable_2020_xlsx_3[[#This Row],[2041]]</f>
        <v>194.86762818310257</v>
      </c>
      <c r="S30">
        <f>scenario_indirect_prod_4506_iotable_2020_xlsx_3[[#This Row],[2042]]+scenario_indirect_prod_1610_iotable_2020_xlsx_3[[#This Row],[2042]]</f>
        <v>193.53449111050048</v>
      </c>
      <c r="T30">
        <f>scenario_indirect_prod_4506_iotable_2020_xlsx_3[[#This Row],[2043]]+scenario_indirect_prod_1610_iotable_2020_xlsx_3[[#This Row],[2043]]</f>
        <v>193.53449111050048</v>
      </c>
      <c r="U30">
        <f>scenario_indirect_prod_4506_iotable_2020_xlsx_3[[#This Row],[2044]]+scenario_indirect_prod_1610_iotable_2020_xlsx_3[[#This Row],[2044]]</f>
        <v>191.18407641767863</v>
      </c>
      <c r="V30">
        <f>scenario_indirect_prod_4506_iotable_2020_xlsx_3[[#This Row],[2045]]+scenario_indirect_prod_1610_iotable_2020_xlsx_3[[#This Row],[2045]]</f>
        <v>191.18407641767863</v>
      </c>
      <c r="W30">
        <f>scenario_indirect_prod_4506_iotable_2020_xlsx_3[[#This Row],[2046]]+scenario_indirect_prod_1610_iotable_2020_xlsx_3[[#This Row],[2046]]</f>
        <v>189.52627697676598</v>
      </c>
      <c r="X30">
        <f>scenario_indirect_prod_4506_iotable_2020_xlsx_3[[#This Row],[2047]]+scenario_indirect_prod_1610_iotable_2020_xlsx_3[[#This Row],[2047]]</f>
        <v>189.52627697676598</v>
      </c>
      <c r="Y30">
        <f>scenario_indirect_prod_4506_iotable_2020_xlsx_3[[#This Row],[2048]]+scenario_indirect_prod_1610_iotable_2020_xlsx_3[[#This Row],[2048]]</f>
        <v>189.52627697676598</v>
      </c>
      <c r="Z30">
        <f>scenario_indirect_prod_4506_iotable_2020_xlsx_3[[#This Row],[2049]]+scenario_indirect_prod_1610_iotable_2020_xlsx_3[[#This Row],[2049]]</f>
        <v>189.52627697676598</v>
      </c>
      <c r="AA30">
        <f>scenario_indirect_prod_4506_iotable_2020_xlsx_3[[#This Row],[2050]]+scenario_indirect_prod_1610_iotable_2020_xlsx_3[[#This Row],[2050]]</f>
        <v>189.52627697676598</v>
      </c>
    </row>
    <row r="31" spans="1:27" x14ac:dyDescent="0.2">
      <c r="A31" t="s">
        <v>906</v>
      </c>
      <c r="B31" t="s">
        <v>907</v>
      </c>
      <c r="C31">
        <f>scenario_indirect_prod_4506_iotable_2020_xlsx_3[[#This Row],[2026]]+scenario_indirect_prod_1610_iotable_2020_xlsx_3[[#This Row],[2026]]</f>
        <v>184.10962661458484</v>
      </c>
      <c r="D31">
        <f>scenario_indirect_prod_4506_iotable_2020_xlsx_3[[#This Row],[2027]]+scenario_indirect_prod_1610_iotable_2020_xlsx_3[[#This Row],[2027]]</f>
        <v>189.26947508149837</v>
      </c>
      <c r="E31">
        <f>scenario_indirect_prod_4506_iotable_2020_xlsx_3[[#This Row],[2028]]+scenario_indirect_prod_1610_iotable_2020_xlsx_3[[#This Row],[2028]]</f>
        <v>197.99923892009139</v>
      </c>
      <c r="F31">
        <f>scenario_indirect_prod_4506_iotable_2020_xlsx_3[[#This Row],[2029]]+scenario_indirect_prod_1610_iotable_2020_xlsx_3[[#This Row],[2029]]</f>
        <v>206.27753598139611</v>
      </c>
      <c r="G31">
        <f>scenario_indirect_prod_4506_iotable_2020_xlsx_3[[#This Row],[2030]]+scenario_indirect_prod_1610_iotable_2020_xlsx_3[[#This Row],[2030]]</f>
        <v>215.80520119647244</v>
      </c>
      <c r="H31">
        <f>scenario_indirect_prod_4506_iotable_2020_xlsx_3[[#This Row],[2031]]+scenario_indirect_prod_1610_iotable_2020_xlsx_3[[#This Row],[2031]]</f>
        <v>227.58339525074899</v>
      </c>
      <c r="I31">
        <f>scenario_indirect_prod_4506_iotable_2020_xlsx_3[[#This Row],[2032]]+scenario_indirect_prod_1610_iotable_2020_xlsx_3[[#This Row],[2032]]</f>
        <v>244.03269140024076</v>
      </c>
      <c r="J31">
        <f>scenario_indirect_prod_4506_iotable_2020_xlsx_3[[#This Row],[2033]]+scenario_indirect_prod_1610_iotable_2020_xlsx_3[[#This Row],[2033]]</f>
        <v>279.23651343756251</v>
      </c>
      <c r="K31">
        <f>scenario_indirect_prod_4506_iotable_2020_xlsx_3[[#This Row],[2034]]+scenario_indirect_prod_1610_iotable_2020_xlsx_3[[#This Row],[2034]]</f>
        <v>294.54344114029499</v>
      </c>
      <c r="L31">
        <f>scenario_indirect_prod_4506_iotable_2020_xlsx_3[[#This Row],[2035]]+scenario_indirect_prod_1610_iotable_2020_xlsx_3[[#This Row],[2035]]</f>
        <v>344.64993012177877</v>
      </c>
      <c r="M31">
        <f>scenario_indirect_prod_4506_iotable_2020_xlsx_3[[#This Row],[2036]]+scenario_indirect_prod_1610_iotable_2020_xlsx_3[[#This Row],[2036]]</f>
        <v>366.20194346370914</v>
      </c>
      <c r="N31">
        <f>scenario_indirect_prod_4506_iotable_2020_xlsx_3[[#This Row],[2037]]+scenario_indirect_prod_1610_iotable_2020_xlsx_3[[#This Row],[2037]]</f>
        <v>385.66131998159494</v>
      </c>
      <c r="O31">
        <f>scenario_indirect_prod_4506_iotable_2020_xlsx_3[[#This Row],[2038]]+scenario_indirect_prod_1610_iotable_2020_xlsx_3[[#This Row],[2038]]</f>
        <v>385.66131998159494</v>
      </c>
      <c r="P31">
        <f>scenario_indirect_prod_4506_iotable_2020_xlsx_3[[#This Row],[2039]]+scenario_indirect_prod_1610_iotable_2020_xlsx_3[[#This Row],[2039]]</f>
        <v>385.66131998159494</v>
      </c>
      <c r="Q31">
        <f>scenario_indirect_prod_4506_iotable_2020_xlsx_3[[#This Row],[2040]]+scenario_indirect_prod_1610_iotable_2020_xlsx_3[[#This Row],[2040]]</f>
        <v>402.6388872046424</v>
      </c>
      <c r="R31">
        <f>scenario_indirect_prod_4506_iotable_2020_xlsx_3[[#This Row],[2041]]+scenario_indirect_prod_1610_iotable_2020_xlsx_3[[#This Row],[2041]]</f>
        <v>402.6388872046424</v>
      </c>
      <c r="S31">
        <f>scenario_indirect_prod_4506_iotable_2020_xlsx_3[[#This Row],[2042]]+scenario_indirect_prod_1610_iotable_2020_xlsx_3[[#This Row],[2042]]</f>
        <v>421.71244469184427</v>
      </c>
      <c r="T31">
        <f>scenario_indirect_prod_4506_iotable_2020_xlsx_3[[#This Row],[2043]]+scenario_indirect_prod_1610_iotable_2020_xlsx_3[[#This Row],[2043]]</f>
        <v>421.71244469184427</v>
      </c>
      <c r="U31">
        <f>scenario_indirect_prod_4506_iotable_2020_xlsx_3[[#This Row],[2044]]+scenario_indirect_prod_1610_iotable_2020_xlsx_3[[#This Row],[2044]]</f>
        <v>438.83890770198798</v>
      </c>
      <c r="V31">
        <f>scenario_indirect_prod_4506_iotable_2020_xlsx_3[[#This Row],[2045]]+scenario_indirect_prod_1610_iotable_2020_xlsx_3[[#This Row],[2045]]</f>
        <v>438.83890770198798</v>
      </c>
      <c r="W31">
        <f>scenario_indirect_prod_4506_iotable_2020_xlsx_3[[#This Row],[2046]]+scenario_indirect_prod_1610_iotable_2020_xlsx_3[[#This Row],[2046]]</f>
        <v>453.74287755591297</v>
      </c>
      <c r="X31">
        <f>scenario_indirect_prod_4506_iotable_2020_xlsx_3[[#This Row],[2047]]+scenario_indirect_prod_1610_iotable_2020_xlsx_3[[#This Row],[2047]]</f>
        <v>453.74287755591297</v>
      </c>
      <c r="Y31">
        <f>scenario_indirect_prod_4506_iotable_2020_xlsx_3[[#This Row],[2048]]+scenario_indirect_prod_1610_iotable_2020_xlsx_3[[#This Row],[2048]]</f>
        <v>453.74287755591297</v>
      </c>
      <c r="Z31">
        <f>scenario_indirect_prod_4506_iotable_2020_xlsx_3[[#This Row],[2049]]+scenario_indirect_prod_1610_iotable_2020_xlsx_3[[#This Row],[2049]]</f>
        <v>453.74287755591297</v>
      </c>
      <c r="AA31">
        <f>scenario_indirect_prod_4506_iotable_2020_xlsx_3[[#This Row],[2050]]+scenario_indirect_prod_1610_iotable_2020_xlsx_3[[#This Row],[2050]]</f>
        <v>453.74287755591297</v>
      </c>
    </row>
    <row r="32" spans="1:27" x14ac:dyDescent="0.2">
      <c r="A32" t="s">
        <v>940</v>
      </c>
      <c r="B32" t="s">
        <v>941</v>
      </c>
      <c r="C32">
        <f>scenario_indirect_prod_4506_iotable_2020_xlsx_3[[#This Row],[2026]]+scenario_indirect_prod_1610_iotable_2020_xlsx_3[[#This Row],[2026]]</f>
        <v>8.4626250589270473</v>
      </c>
      <c r="D32">
        <f>scenario_indirect_prod_4506_iotable_2020_xlsx_3[[#This Row],[2027]]+scenario_indirect_prod_1610_iotable_2020_xlsx_3[[#This Row],[2027]]</f>
        <v>8.7434995492090195</v>
      </c>
      <c r="E32">
        <f>scenario_indirect_prod_4506_iotable_2020_xlsx_3[[#This Row],[2028]]+scenario_indirect_prod_1610_iotable_2020_xlsx_3[[#This Row],[2028]]</f>
        <v>9.1421669420318654</v>
      </c>
      <c r="F32">
        <f>scenario_indirect_prod_4506_iotable_2020_xlsx_3[[#This Row],[2029]]+scenario_indirect_prod_1610_iotable_2020_xlsx_3[[#This Row],[2029]]</f>
        <v>9.538311561688932</v>
      </c>
      <c r="G32">
        <f>scenario_indirect_prod_4506_iotable_2020_xlsx_3[[#This Row],[2030]]+scenario_indirect_prod_1610_iotable_2020_xlsx_3[[#This Row],[2030]]</f>
        <v>10.126793622128814</v>
      </c>
      <c r="H32">
        <f>scenario_indirect_prod_4506_iotable_2020_xlsx_3[[#This Row],[2031]]+scenario_indirect_prod_1610_iotable_2020_xlsx_3[[#This Row],[2031]]</f>
        <v>10.664675517057226</v>
      </c>
      <c r="I32">
        <f>scenario_indirect_prod_4506_iotable_2020_xlsx_3[[#This Row],[2032]]+scenario_indirect_prod_1610_iotable_2020_xlsx_3[[#This Row],[2032]]</f>
        <v>11.41587544994632</v>
      </c>
      <c r="J32">
        <f>scenario_indirect_prod_4506_iotable_2020_xlsx_3[[#This Row],[2033]]+scenario_indirect_prod_1610_iotable_2020_xlsx_3[[#This Row],[2033]]</f>
        <v>13.10911089219691</v>
      </c>
      <c r="K32">
        <f>scenario_indirect_prod_4506_iotable_2020_xlsx_3[[#This Row],[2034]]+scenario_indirect_prod_1610_iotable_2020_xlsx_3[[#This Row],[2034]]</f>
        <v>13.808141595914051</v>
      </c>
      <c r="L32">
        <f>scenario_indirect_prod_4506_iotable_2020_xlsx_3[[#This Row],[2035]]+scenario_indirect_prod_1610_iotable_2020_xlsx_3[[#This Row],[2035]]</f>
        <v>16.204695207163674</v>
      </c>
      <c r="M32">
        <f>scenario_indirect_prod_4506_iotable_2020_xlsx_3[[#This Row],[2036]]+scenario_indirect_prod_1610_iotable_2020_xlsx_3[[#This Row],[2036]]</f>
        <v>17.260016783011139</v>
      </c>
      <c r="N32">
        <f>scenario_indirect_prod_4506_iotable_2020_xlsx_3[[#This Row],[2037]]+scenario_indirect_prod_1610_iotable_2020_xlsx_3[[#This Row],[2037]]</f>
        <v>18.210829590841769</v>
      </c>
      <c r="O32">
        <f>scenario_indirect_prod_4506_iotable_2020_xlsx_3[[#This Row],[2038]]+scenario_indirect_prod_1610_iotable_2020_xlsx_3[[#This Row],[2038]]</f>
        <v>18.210829590841769</v>
      </c>
      <c r="P32">
        <f>scenario_indirect_prod_4506_iotable_2020_xlsx_3[[#This Row],[2039]]+scenario_indirect_prod_1610_iotable_2020_xlsx_3[[#This Row],[2039]]</f>
        <v>18.210829590841769</v>
      </c>
      <c r="Q32">
        <f>scenario_indirect_prod_4506_iotable_2020_xlsx_3[[#This Row],[2040]]+scenario_indirect_prod_1610_iotable_2020_xlsx_3[[#This Row],[2040]]</f>
        <v>19.04071606297704</v>
      </c>
      <c r="R32">
        <f>scenario_indirect_prod_4506_iotable_2020_xlsx_3[[#This Row],[2041]]+scenario_indirect_prod_1610_iotable_2020_xlsx_3[[#This Row],[2041]]</f>
        <v>19.04071606297704</v>
      </c>
      <c r="S32">
        <f>scenario_indirect_prod_4506_iotable_2020_xlsx_3[[#This Row],[2042]]+scenario_indirect_prod_1610_iotable_2020_xlsx_3[[#This Row],[2042]]</f>
        <v>19.97198231821794</v>
      </c>
      <c r="T32">
        <f>scenario_indirect_prod_4506_iotable_2020_xlsx_3[[#This Row],[2043]]+scenario_indirect_prod_1610_iotable_2020_xlsx_3[[#This Row],[2043]]</f>
        <v>19.97198231821794</v>
      </c>
      <c r="U32">
        <f>scenario_indirect_prod_4506_iotable_2020_xlsx_3[[#This Row],[2044]]+scenario_indirect_prod_1610_iotable_2020_xlsx_3[[#This Row],[2044]]</f>
        <v>20.811378534243403</v>
      </c>
      <c r="V32">
        <f>scenario_indirect_prod_4506_iotable_2020_xlsx_3[[#This Row],[2045]]+scenario_indirect_prod_1610_iotable_2020_xlsx_3[[#This Row],[2045]]</f>
        <v>20.811378534243403</v>
      </c>
      <c r="W32">
        <f>scenario_indirect_prod_4506_iotable_2020_xlsx_3[[#This Row],[2046]]+scenario_indirect_prod_1610_iotable_2020_xlsx_3[[#This Row],[2046]]</f>
        <v>21.540772361178192</v>
      </c>
      <c r="X32">
        <f>scenario_indirect_prod_4506_iotable_2020_xlsx_3[[#This Row],[2047]]+scenario_indirect_prod_1610_iotable_2020_xlsx_3[[#This Row],[2047]]</f>
        <v>21.540772361178192</v>
      </c>
      <c r="Y32">
        <f>scenario_indirect_prod_4506_iotable_2020_xlsx_3[[#This Row],[2048]]+scenario_indirect_prod_1610_iotable_2020_xlsx_3[[#This Row],[2048]]</f>
        <v>21.540772361178192</v>
      </c>
      <c r="Z32">
        <f>scenario_indirect_prod_4506_iotable_2020_xlsx_3[[#This Row],[2049]]+scenario_indirect_prod_1610_iotable_2020_xlsx_3[[#This Row],[2049]]</f>
        <v>21.540772361178192</v>
      </c>
      <c r="AA32">
        <f>scenario_indirect_prod_4506_iotable_2020_xlsx_3[[#This Row],[2050]]+scenario_indirect_prod_1610_iotable_2020_xlsx_3[[#This Row],[2050]]</f>
        <v>21.540772361178192</v>
      </c>
    </row>
    <row r="33" spans="1:27" x14ac:dyDescent="0.2">
      <c r="A33" t="s">
        <v>835</v>
      </c>
      <c r="B33" t="s">
        <v>836</v>
      </c>
      <c r="C33">
        <f>scenario_indirect_prod_4506_iotable_2020_xlsx_3[[#This Row],[2026]]+scenario_indirect_prod_1610_iotable_2020_xlsx_3[[#This Row],[2026]]</f>
        <v>778.04362001340007</v>
      </c>
      <c r="D33">
        <f>scenario_indirect_prod_4506_iotable_2020_xlsx_3[[#This Row],[2027]]+scenario_indirect_prod_1610_iotable_2020_xlsx_3[[#This Row],[2027]]</f>
        <v>739.05298917709297</v>
      </c>
      <c r="E33">
        <f>scenario_indirect_prod_4506_iotable_2020_xlsx_3[[#This Row],[2028]]+scenario_indirect_prod_1610_iotable_2020_xlsx_3[[#This Row],[2028]]</f>
        <v>779.5582801667797</v>
      </c>
      <c r="F33">
        <f>scenario_indirect_prod_4506_iotable_2020_xlsx_3[[#This Row],[2029]]+scenario_indirect_prod_1610_iotable_2020_xlsx_3[[#This Row],[2029]]</f>
        <v>792.79606599697411</v>
      </c>
      <c r="G33">
        <f>scenario_indirect_prod_4506_iotable_2020_xlsx_3[[#This Row],[2030]]+scenario_indirect_prod_1610_iotable_2020_xlsx_3[[#This Row],[2030]]</f>
        <v>623.63059932458305</v>
      </c>
      <c r="H33">
        <f>scenario_indirect_prod_4506_iotable_2020_xlsx_3[[#This Row],[2031]]+scenario_indirect_prod_1610_iotable_2020_xlsx_3[[#This Row],[2031]]</f>
        <v>678.28032253844242</v>
      </c>
      <c r="I33">
        <f>scenario_indirect_prod_4506_iotable_2020_xlsx_3[[#This Row],[2032]]+scenario_indirect_prod_1610_iotable_2020_xlsx_3[[#This Row],[2032]]</f>
        <v>754.60352433745936</v>
      </c>
      <c r="J33">
        <f>scenario_indirect_prod_4506_iotable_2020_xlsx_3[[#This Row],[2033]]+scenario_indirect_prod_1610_iotable_2020_xlsx_3[[#This Row],[2033]]</f>
        <v>798.91557410933626</v>
      </c>
      <c r="K33">
        <f>scenario_indirect_prod_4506_iotable_2020_xlsx_3[[#This Row],[2034]]+scenario_indirect_prod_1610_iotable_2020_xlsx_3[[#This Row],[2034]]</f>
        <v>869.93829273275367</v>
      </c>
      <c r="L33">
        <f>scenario_indirect_prod_4506_iotable_2020_xlsx_3[[#This Row],[2035]]+scenario_indirect_prod_1610_iotable_2020_xlsx_3[[#This Row],[2035]]</f>
        <v>951.74944445573169</v>
      </c>
      <c r="M33">
        <f>scenario_indirect_prod_4506_iotable_2020_xlsx_3[[#This Row],[2036]]+scenario_indirect_prod_1610_iotable_2020_xlsx_3[[#This Row],[2036]]</f>
        <v>952.84651556300423</v>
      </c>
      <c r="N33">
        <f>scenario_indirect_prod_4506_iotable_2020_xlsx_3[[#This Row],[2037]]+scenario_indirect_prod_1610_iotable_2020_xlsx_3[[#This Row],[2037]]</f>
        <v>956.67527828250786</v>
      </c>
      <c r="O33">
        <f>scenario_indirect_prod_4506_iotable_2020_xlsx_3[[#This Row],[2038]]+scenario_indirect_prod_1610_iotable_2020_xlsx_3[[#This Row],[2038]]</f>
        <v>956.67527828250786</v>
      </c>
      <c r="P33">
        <f>scenario_indirect_prod_4506_iotable_2020_xlsx_3[[#This Row],[2039]]+scenario_indirect_prod_1610_iotable_2020_xlsx_3[[#This Row],[2039]]</f>
        <v>956.67527828250786</v>
      </c>
      <c r="Q33">
        <f>scenario_indirect_prod_4506_iotable_2020_xlsx_3[[#This Row],[2040]]+scenario_indirect_prod_1610_iotable_2020_xlsx_3[[#This Row],[2040]]</f>
        <v>959.54496203514054</v>
      </c>
      <c r="R33">
        <f>scenario_indirect_prod_4506_iotable_2020_xlsx_3[[#This Row],[2041]]+scenario_indirect_prod_1610_iotable_2020_xlsx_3[[#This Row],[2041]]</f>
        <v>959.54496203514054</v>
      </c>
      <c r="S33">
        <f>scenario_indirect_prod_4506_iotable_2020_xlsx_3[[#This Row],[2042]]+scenario_indirect_prod_1610_iotable_2020_xlsx_3[[#This Row],[2042]]</f>
        <v>964.26451819966405</v>
      </c>
      <c r="T33">
        <f>scenario_indirect_prod_4506_iotable_2020_xlsx_3[[#This Row],[2043]]+scenario_indirect_prod_1610_iotable_2020_xlsx_3[[#This Row],[2043]]</f>
        <v>964.26451819966405</v>
      </c>
      <c r="U33">
        <f>scenario_indirect_prod_4506_iotable_2020_xlsx_3[[#This Row],[2044]]+scenario_indirect_prod_1610_iotable_2020_xlsx_3[[#This Row],[2044]]</f>
        <v>964.05494721063133</v>
      </c>
      <c r="V33">
        <f>scenario_indirect_prod_4506_iotable_2020_xlsx_3[[#This Row],[2045]]+scenario_indirect_prod_1610_iotable_2020_xlsx_3[[#This Row],[2045]]</f>
        <v>964.05494721063133</v>
      </c>
      <c r="W33">
        <f>scenario_indirect_prod_4506_iotable_2020_xlsx_3[[#This Row],[2046]]+scenario_indirect_prod_1610_iotable_2020_xlsx_3[[#This Row],[2046]]</f>
        <v>965.36715206139888</v>
      </c>
      <c r="X33">
        <f>scenario_indirect_prod_4506_iotable_2020_xlsx_3[[#This Row],[2047]]+scenario_indirect_prod_1610_iotable_2020_xlsx_3[[#This Row],[2047]]</f>
        <v>965.36715206139888</v>
      </c>
      <c r="Y33">
        <f>scenario_indirect_prod_4506_iotable_2020_xlsx_3[[#This Row],[2048]]+scenario_indirect_prod_1610_iotable_2020_xlsx_3[[#This Row],[2048]]</f>
        <v>965.36715206139888</v>
      </c>
      <c r="Z33">
        <f>scenario_indirect_prod_4506_iotable_2020_xlsx_3[[#This Row],[2049]]+scenario_indirect_prod_1610_iotable_2020_xlsx_3[[#This Row],[2049]]</f>
        <v>965.36715206139888</v>
      </c>
      <c r="AA33">
        <f>scenario_indirect_prod_4506_iotable_2020_xlsx_3[[#This Row],[2050]]+scenario_indirect_prod_1610_iotable_2020_xlsx_3[[#This Row],[2050]]</f>
        <v>965.36715206139888</v>
      </c>
    </row>
    <row r="34" spans="1:27" x14ac:dyDescent="0.2">
      <c r="A34" t="s">
        <v>803</v>
      </c>
      <c r="B34" t="s">
        <v>804</v>
      </c>
      <c r="C34">
        <f>scenario_indirect_prod_4506_iotable_2020_xlsx_3[[#This Row],[2026]]+scenario_indirect_prod_1610_iotable_2020_xlsx_3[[#This Row],[2026]]</f>
        <v>1156.9614025560466</v>
      </c>
      <c r="D34">
        <f>scenario_indirect_prod_4506_iotable_2020_xlsx_3[[#This Row],[2027]]+scenario_indirect_prod_1610_iotable_2020_xlsx_3[[#This Row],[2027]]</f>
        <v>1102.9336563465567</v>
      </c>
      <c r="E34">
        <f>scenario_indirect_prod_4506_iotable_2020_xlsx_3[[#This Row],[2028]]+scenario_indirect_prod_1610_iotable_2020_xlsx_3[[#This Row],[2028]]</f>
        <v>1162.9306900175288</v>
      </c>
      <c r="F34">
        <f>scenario_indirect_prod_4506_iotable_2020_xlsx_3[[#This Row],[2029]]+scenario_indirect_prod_1610_iotable_2020_xlsx_3[[#This Row],[2029]]</f>
        <v>1184.0289937494993</v>
      </c>
      <c r="G34">
        <f>scenario_indirect_prod_4506_iotable_2020_xlsx_3[[#This Row],[2030]]+scenario_indirect_prod_1610_iotable_2020_xlsx_3[[#This Row],[2030]]</f>
        <v>946.09091891207208</v>
      </c>
      <c r="H34">
        <f>scenario_indirect_prod_4506_iotable_2020_xlsx_3[[#This Row],[2031]]+scenario_indirect_prod_1610_iotable_2020_xlsx_3[[#This Row],[2031]]</f>
        <v>1027.0388939459035</v>
      </c>
      <c r="I34">
        <f>scenario_indirect_prod_4506_iotable_2020_xlsx_3[[#This Row],[2032]]+scenario_indirect_prod_1610_iotable_2020_xlsx_3[[#This Row],[2032]]</f>
        <v>1140.0899447179609</v>
      </c>
      <c r="J34">
        <f>scenario_indirect_prod_4506_iotable_2020_xlsx_3[[#This Row],[2033]]+scenario_indirect_prod_1610_iotable_2020_xlsx_3[[#This Row],[2033]]</f>
        <v>1212.7725558143129</v>
      </c>
      <c r="K34">
        <f>scenario_indirect_prod_4506_iotable_2020_xlsx_3[[#This Row],[2034]]+scenario_indirect_prod_1610_iotable_2020_xlsx_3[[#This Row],[2034]]</f>
        <v>1317.9724528287079</v>
      </c>
      <c r="L34">
        <f>scenario_indirect_prod_4506_iotable_2020_xlsx_3[[#This Row],[2035]]+scenario_indirect_prod_1610_iotable_2020_xlsx_3[[#This Row],[2035]]</f>
        <v>1448.0729339949962</v>
      </c>
      <c r="M34">
        <f>scenario_indirect_prod_4506_iotable_2020_xlsx_3[[#This Row],[2036]]+scenario_indirect_prod_1610_iotable_2020_xlsx_3[[#This Row],[2036]]</f>
        <v>1455.5532368887116</v>
      </c>
      <c r="N34">
        <f>scenario_indirect_prod_4506_iotable_2020_xlsx_3[[#This Row],[2037]]+scenario_indirect_prod_1610_iotable_2020_xlsx_3[[#This Row],[2037]]</f>
        <v>1466.3431982000757</v>
      </c>
      <c r="O34">
        <f>scenario_indirect_prod_4506_iotable_2020_xlsx_3[[#This Row],[2038]]+scenario_indirect_prod_1610_iotable_2020_xlsx_3[[#This Row],[2038]]</f>
        <v>1466.3431982000757</v>
      </c>
      <c r="P34">
        <f>scenario_indirect_prod_4506_iotable_2020_xlsx_3[[#This Row],[2039]]+scenario_indirect_prod_1610_iotable_2020_xlsx_3[[#This Row],[2039]]</f>
        <v>1466.3431982000757</v>
      </c>
      <c r="Q34">
        <f>scenario_indirect_prod_4506_iotable_2020_xlsx_3[[#This Row],[2040]]+scenario_indirect_prod_1610_iotable_2020_xlsx_3[[#This Row],[2040]]</f>
        <v>1475.0875944848008</v>
      </c>
      <c r="R34">
        <f>scenario_indirect_prod_4506_iotable_2020_xlsx_3[[#This Row],[2041]]+scenario_indirect_prod_1610_iotable_2020_xlsx_3[[#This Row],[2041]]</f>
        <v>1475.0875944848008</v>
      </c>
      <c r="S34">
        <f>scenario_indirect_prod_4506_iotable_2020_xlsx_3[[#This Row],[2042]]+scenario_indirect_prod_1610_iotable_2020_xlsx_3[[#This Row],[2042]]</f>
        <v>1487.0382915774221</v>
      </c>
      <c r="T34">
        <f>scenario_indirect_prod_4506_iotable_2020_xlsx_3[[#This Row],[2043]]+scenario_indirect_prod_1610_iotable_2020_xlsx_3[[#This Row],[2043]]</f>
        <v>1487.0382915774221</v>
      </c>
      <c r="U34">
        <f>scenario_indirect_prod_4506_iotable_2020_xlsx_3[[#This Row],[2044]]+scenario_indirect_prod_1610_iotable_2020_xlsx_3[[#This Row],[2044]]</f>
        <v>1491.4448524198983</v>
      </c>
      <c r="V34">
        <f>scenario_indirect_prod_4506_iotable_2020_xlsx_3[[#This Row],[2045]]+scenario_indirect_prod_1610_iotable_2020_xlsx_3[[#This Row],[2045]]</f>
        <v>1491.4448524198983</v>
      </c>
      <c r="W34">
        <f>scenario_indirect_prod_4506_iotable_2020_xlsx_3[[#This Row],[2046]]+scenario_indirect_prod_1610_iotable_2020_xlsx_3[[#This Row],[2046]]</f>
        <v>1497.4048861564374</v>
      </c>
      <c r="X34">
        <f>scenario_indirect_prod_4506_iotable_2020_xlsx_3[[#This Row],[2047]]+scenario_indirect_prod_1610_iotable_2020_xlsx_3[[#This Row],[2047]]</f>
        <v>1497.4048861564374</v>
      </c>
      <c r="Y34">
        <f>scenario_indirect_prod_4506_iotable_2020_xlsx_3[[#This Row],[2048]]+scenario_indirect_prod_1610_iotable_2020_xlsx_3[[#This Row],[2048]]</f>
        <v>1497.4048861564374</v>
      </c>
      <c r="Z34">
        <f>scenario_indirect_prod_4506_iotable_2020_xlsx_3[[#This Row],[2049]]+scenario_indirect_prod_1610_iotable_2020_xlsx_3[[#This Row],[2049]]</f>
        <v>1497.4048861564374</v>
      </c>
      <c r="AA34">
        <f>scenario_indirect_prod_4506_iotable_2020_xlsx_3[[#This Row],[2050]]+scenario_indirect_prod_1610_iotable_2020_xlsx_3[[#This Row],[2050]]</f>
        <v>1497.4048861564374</v>
      </c>
    </row>
    <row r="35" spans="1:27" x14ac:dyDescent="0.2">
      <c r="A35" t="s">
        <v>859</v>
      </c>
      <c r="B35" t="s">
        <v>860</v>
      </c>
      <c r="C35">
        <f>scenario_indirect_prod_4506_iotable_2020_xlsx_3[[#This Row],[2026]]+scenario_indirect_prod_1610_iotable_2020_xlsx_3[[#This Row],[2026]]</f>
        <v>692.26944702546734</v>
      </c>
      <c r="D35">
        <f>scenario_indirect_prod_4506_iotable_2020_xlsx_3[[#This Row],[2027]]+scenario_indirect_prod_1610_iotable_2020_xlsx_3[[#This Row],[2027]]</f>
        <v>711.27241916086598</v>
      </c>
      <c r="E35">
        <f>scenario_indirect_prod_4506_iotable_2020_xlsx_3[[#This Row],[2028]]+scenario_indirect_prod_1610_iotable_2020_xlsx_3[[#This Row],[2028]]</f>
        <v>744.12083694167495</v>
      </c>
      <c r="F35">
        <f>scenario_indirect_prod_4506_iotable_2020_xlsx_3[[#This Row],[2029]]+scenario_indirect_prod_1610_iotable_2020_xlsx_3[[#This Row],[2029]]</f>
        <v>775.10545526324779</v>
      </c>
      <c r="G35">
        <f>scenario_indirect_prod_4506_iotable_2020_xlsx_3[[#This Row],[2030]]+scenario_indirect_prod_1610_iotable_2020_xlsx_3[[#This Row],[2030]]</f>
        <v>809.55747997758647</v>
      </c>
      <c r="H35">
        <f>scenario_indirect_prod_4506_iotable_2020_xlsx_3[[#This Row],[2031]]+scenario_indirect_prod_1610_iotable_2020_xlsx_3[[#This Row],[2031]]</f>
        <v>853.87655276715168</v>
      </c>
      <c r="I35">
        <f>scenario_indirect_prod_4506_iotable_2020_xlsx_3[[#This Row],[2032]]+scenario_indirect_prod_1610_iotable_2020_xlsx_3[[#This Row],[2032]]</f>
        <v>915.77208191423165</v>
      </c>
      <c r="J35">
        <f>scenario_indirect_prod_4506_iotable_2020_xlsx_3[[#This Row],[2033]]+scenario_indirect_prod_1610_iotable_2020_xlsx_3[[#This Row],[2033]]</f>
        <v>1047.4569848696076</v>
      </c>
      <c r="K35">
        <f>scenario_indirect_prod_4506_iotable_2020_xlsx_3[[#This Row],[2034]]+scenario_indirect_prod_1610_iotable_2020_xlsx_3[[#This Row],[2034]]</f>
        <v>1105.0540018584468</v>
      </c>
      <c r="L35">
        <f>scenario_indirect_prod_4506_iotable_2020_xlsx_3[[#This Row],[2035]]+scenario_indirect_prod_1610_iotable_2020_xlsx_3[[#This Row],[2035]]</f>
        <v>1292.6073024246007</v>
      </c>
      <c r="M35">
        <f>scenario_indirect_prod_4506_iotable_2020_xlsx_3[[#This Row],[2036]]+scenario_indirect_prod_1610_iotable_2020_xlsx_3[[#This Row],[2036]]</f>
        <v>1373.0550297689256</v>
      </c>
      <c r="N35">
        <f>scenario_indirect_prod_4506_iotable_2020_xlsx_3[[#This Row],[2037]]+scenario_indirect_prod_1610_iotable_2020_xlsx_3[[#This Row],[2037]]</f>
        <v>1445.7101260449326</v>
      </c>
      <c r="O35">
        <f>scenario_indirect_prod_4506_iotable_2020_xlsx_3[[#This Row],[2038]]+scenario_indirect_prod_1610_iotable_2020_xlsx_3[[#This Row],[2038]]</f>
        <v>1445.7101260449326</v>
      </c>
      <c r="P35">
        <f>scenario_indirect_prod_4506_iotable_2020_xlsx_3[[#This Row],[2039]]+scenario_indirect_prod_1610_iotable_2020_xlsx_3[[#This Row],[2039]]</f>
        <v>1445.7101260449326</v>
      </c>
      <c r="Q35">
        <f>scenario_indirect_prod_4506_iotable_2020_xlsx_3[[#This Row],[2040]]+scenario_indirect_prod_1610_iotable_2020_xlsx_3[[#This Row],[2040]]</f>
        <v>1509.095853089018</v>
      </c>
      <c r="R35">
        <f>scenario_indirect_prod_4506_iotable_2020_xlsx_3[[#This Row],[2041]]+scenario_indirect_prod_1610_iotable_2020_xlsx_3[[#This Row],[2041]]</f>
        <v>1509.095853089018</v>
      </c>
      <c r="S35">
        <f>scenario_indirect_prod_4506_iotable_2020_xlsx_3[[#This Row],[2042]]+scenario_indirect_prod_1610_iotable_2020_xlsx_3[[#This Row],[2042]]</f>
        <v>1580.3167614720387</v>
      </c>
      <c r="T35">
        <f>scenario_indirect_prod_4506_iotable_2020_xlsx_3[[#This Row],[2043]]+scenario_indirect_prod_1610_iotable_2020_xlsx_3[[#This Row],[2043]]</f>
        <v>1580.3167614720387</v>
      </c>
      <c r="U35">
        <f>scenario_indirect_prod_4506_iotable_2020_xlsx_3[[#This Row],[2044]]+scenario_indirect_prod_1610_iotable_2020_xlsx_3[[#This Row],[2044]]</f>
        <v>1644.2380400730788</v>
      </c>
      <c r="V35">
        <f>scenario_indirect_prod_4506_iotable_2020_xlsx_3[[#This Row],[2045]]+scenario_indirect_prod_1610_iotable_2020_xlsx_3[[#This Row],[2045]]</f>
        <v>1644.2380400730788</v>
      </c>
      <c r="W35">
        <f>scenario_indirect_prod_4506_iotable_2020_xlsx_3[[#This Row],[2046]]+scenario_indirect_prod_1610_iotable_2020_xlsx_3[[#This Row],[2046]]</f>
        <v>1699.8740815652934</v>
      </c>
      <c r="X35">
        <f>scenario_indirect_prod_4506_iotable_2020_xlsx_3[[#This Row],[2047]]+scenario_indirect_prod_1610_iotable_2020_xlsx_3[[#This Row],[2047]]</f>
        <v>1699.8740815652934</v>
      </c>
      <c r="Y35">
        <f>scenario_indirect_prod_4506_iotable_2020_xlsx_3[[#This Row],[2048]]+scenario_indirect_prod_1610_iotable_2020_xlsx_3[[#This Row],[2048]]</f>
        <v>1699.8740815652934</v>
      </c>
      <c r="Z35">
        <f>scenario_indirect_prod_4506_iotable_2020_xlsx_3[[#This Row],[2049]]+scenario_indirect_prod_1610_iotable_2020_xlsx_3[[#This Row],[2049]]</f>
        <v>1699.8740815652934</v>
      </c>
      <c r="AA35">
        <f>scenario_indirect_prod_4506_iotable_2020_xlsx_3[[#This Row],[2050]]+scenario_indirect_prod_1610_iotable_2020_xlsx_3[[#This Row],[2050]]</f>
        <v>1699.8740815652934</v>
      </c>
    </row>
    <row r="36" spans="1:27" x14ac:dyDescent="0.2">
      <c r="A36" t="s">
        <v>405</v>
      </c>
      <c r="B36" t="s">
        <v>406</v>
      </c>
      <c r="C36">
        <f>scenario_indirect_prod_4506_iotable_2020_xlsx_3[[#This Row],[2026]]+scenario_indirect_prod_1610_iotable_2020_xlsx_3[[#This Row],[2026]]</f>
        <v>60512.333966989812</v>
      </c>
      <c r="D36">
        <f>scenario_indirect_prod_4506_iotable_2020_xlsx_3[[#This Row],[2027]]+scenario_indirect_prod_1610_iotable_2020_xlsx_3[[#This Row],[2027]]</f>
        <v>64893.091954970281</v>
      </c>
      <c r="E36">
        <f>scenario_indirect_prod_4506_iotable_2020_xlsx_3[[#This Row],[2028]]+scenario_indirect_prod_1610_iotable_2020_xlsx_3[[#This Row],[2028]]</f>
        <v>67602.77529100512</v>
      </c>
      <c r="F36">
        <f>scenario_indirect_prod_4506_iotable_2020_xlsx_3[[#This Row],[2029]]+scenario_indirect_prod_1610_iotable_2020_xlsx_3[[#This Row],[2029]]</f>
        <v>71283.99004989129</v>
      </c>
      <c r="G36">
        <f>scenario_indirect_prod_4506_iotable_2020_xlsx_3[[#This Row],[2030]]+scenario_indirect_prod_1610_iotable_2020_xlsx_3[[#This Row],[2030]]</f>
        <v>83664.198453773279</v>
      </c>
      <c r="H36">
        <f>scenario_indirect_prod_4506_iotable_2020_xlsx_3[[#This Row],[2031]]+scenario_indirect_prod_1610_iotable_2020_xlsx_3[[#This Row],[2031]]</f>
        <v>87320.102181244758</v>
      </c>
      <c r="I36">
        <f>scenario_indirect_prod_4506_iotable_2020_xlsx_3[[#This Row],[2032]]+scenario_indirect_prod_1610_iotable_2020_xlsx_3[[#This Row],[2032]]</f>
        <v>92425.897079009577</v>
      </c>
      <c r="J36">
        <f>scenario_indirect_prod_4506_iotable_2020_xlsx_3[[#This Row],[2033]]+scenario_indirect_prod_1610_iotable_2020_xlsx_3[[#This Row],[2033]]</f>
        <v>108609.57670942534</v>
      </c>
      <c r="K36">
        <f>scenario_indirect_prod_4506_iotable_2020_xlsx_3[[#This Row],[2034]]+scenario_indirect_prod_1610_iotable_2020_xlsx_3[[#This Row],[2034]]</f>
        <v>113360.78506842138</v>
      </c>
      <c r="L36">
        <f>scenario_indirect_prod_4506_iotable_2020_xlsx_3[[#This Row],[2035]]+scenario_indirect_prod_1610_iotable_2020_xlsx_3[[#This Row],[2035]]</f>
        <v>135567.80877490953</v>
      </c>
      <c r="M36">
        <f>scenario_indirect_prod_4506_iotable_2020_xlsx_3[[#This Row],[2036]]+scenario_indirect_prod_1610_iotable_2020_xlsx_3[[#This Row],[2036]]</f>
        <v>146625.13425004928</v>
      </c>
      <c r="N36">
        <f>scenario_indirect_prod_4506_iotable_2020_xlsx_3[[#This Row],[2037]]+scenario_indirect_prod_1610_iotable_2020_xlsx_3[[#This Row],[2037]]</f>
        <v>156483.48642999504</v>
      </c>
      <c r="O36">
        <f>scenario_indirect_prod_4506_iotable_2020_xlsx_3[[#This Row],[2038]]+scenario_indirect_prod_1610_iotable_2020_xlsx_3[[#This Row],[2038]]</f>
        <v>156483.48642999504</v>
      </c>
      <c r="P36">
        <f>scenario_indirect_prod_4506_iotable_2020_xlsx_3[[#This Row],[2039]]+scenario_indirect_prod_1610_iotable_2020_xlsx_3[[#This Row],[2039]]</f>
        <v>156483.48642999504</v>
      </c>
      <c r="Q36">
        <f>scenario_indirect_prod_4506_iotable_2020_xlsx_3[[#This Row],[2040]]+scenario_indirect_prod_1610_iotable_2020_xlsx_3[[#This Row],[2040]]</f>
        <v>165105.3141550718</v>
      </c>
      <c r="R36">
        <f>scenario_indirect_prod_4506_iotable_2020_xlsx_3[[#This Row],[2041]]+scenario_indirect_prod_1610_iotable_2020_xlsx_3[[#This Row],[2041]]</f>
        <v>165105.3141550718</v>
      </c>
      <c r="S36">
        <f>scenario_indirect_prod_4506_iotable_2020_xlsx_3[[#This Row],[2042]]+scenario_indirect_prod_1610_iotable_2020_xlsx_3[[#This Row],[2042]]</f>
        <v>174725.51467346327</v>
      </c>
      <c r="T36">
        <f>scenario_indirect_prod_4506_iotable_2020_xlsx_3[[#This Row],[2043]]+scenario_indirect_prod_1610_iotable_2020_xlsx_3[[#This Row],[2043]]</f>
        <v>174725.51467346327</v>
      </c>
      <c r="U36">
        <f>scenario_indirect_prod_4506_iotable_2020_xlsx_3[[#This Row],[2044]]+scenario_indirect_prod_1610_iotable_2020_xlsx_3[[#This Row],[2044]]</f>
        <v>183560.05291378367</v>
      </c>
      <c r="V36">
        <f>scenario_indirect_prod_4506_iotable_2020_xlsx_3[[#This Row],[2045]]+scenario_indirect_prod_1610_iotable_2020_xlsx_3[[#This Row],[2045]]</f>
        <v>183560.05291378367</v>
      </c>
      <c r="W36">
        <f>scenario_indirect_prod_4506_iotable_2020_xlsx_3[[#This Row],[2046]]+scenario_indirect_prod_1610_iotable_2020_xlsx_3[[#This Row],[2046]]</f>
        <v>191182.13440364448</v>
      </c>
      <c r="X36">
        <f>scenario_indirect_prod_4506_iotable_2020_xlsx_3[[#This Row],[2047]]+scenario_indirect_prod_1610_iotable_2020_xlsx_3[[#This Row],[2047]]</f>
        <v>191182.13440364448</v>
      </c>
      <c r="Y36">
        <f>scenario_indirect_prod_4506_iotable_2020_xlsx_3[[#This Row],[2048]]+scenario_indirect_prod_1610_iotable_2020_xlsx_3[[#This Row],[2048]]</f>
        <v>191182.13440364448</v>
      </c>
      <c r="Z36">
        <f>scenario_indirect_prod_4506_iotable_2020_xlsx_3[[#This Row],[2049]]+scenario_indirect_prod_1610_iotable_2020_xlsx_3[[#This Row],[2049]]</f>
        <v>191182.13440364448</v>
      </c>
      <c r="AA36">
        <f>scenario_indirect_prod_4506_iotable_2020_xlsx_3[[#This Row],[2050]]+scenario_indirect_prod_1610_iotable_2020_xlsx_3[[#This Row],[2050]]</f>
        <v>191182.13440364448</v>
      </c>
    </row>
    <row r="37" spans="1:27" x14ac:dyDescent="0.2">
      <c r="A37" t="s">
        <v>683</v>
      </c>
      <c r="B37" t="s">
        <v>684</v>
      </c>
      <c r="C37">
        <f>scenario_indirect_prod_4506_iotable_2020_xlsx_3[[#This Row],[2026]]+scenario_indirect_prod_1610_iotable_2020_xlsx_3[[#This Row],[2026]]</f>
        <v>3097.6118423348798</v>
      </c>
      <c r="D37">
        <f>scenario_indirect_prod_4506_iotable_2020_xlsx_3[[#This Row],[2027]]+scenario_indirect_prod_1610_iotable_2020_xlsx_3[[#This Row],[2027]]</f>
        <v>3023.1008129878442</v>
      </c>
      <c r="E37">
        <f>scenario_indirect_prod_4506_iotable_2020_xlsx_3[[#This Row],[2028]]+scenario_indirect_prod_1610_iotable_2020_xlsx_3[[#This Row],[2028]]</f>
        <v>3179.5660526896954</v>
      </c>
      <c r="F37">
        <f>scenario_indirect_prod_4506_iotable_2020_xlsx_3[[#This Row],[2029]]+scenario_indirect_prod_1610_iotable_2020_xlsx_3[[#This Row],[2029]]</f>
        <v>3261.1427644415894</v>
      </c>
      <c r="G37">
        <f>scenario_indirect_prod_4506_iotable_2020_xlsx_3[[#This Row],[2030]]+scenario_indirect_prod_1610_iotable_2020_xlsx_3[[#This Row],[2030]]</f>
        <v>2865.7159271870842</v>
      </c>
      <c r="H37">
        <f>scenario_indirect_prod_4506_iotable_2020_xlsx_3[[#This Row],[2031]]+scenario_indirect_prod_1610_iotable_2020_xlsx_3[[#This Row],[2031]]</f>
        <v>3076.8187691460157</v>
      </c>
      <c r="I37">
        <f>scenario_indirect_prod_4506_iotable_2020_xlsx_3[[#This Row],[2032]]+scenario_indirect_prod_1610_iotable_2020_xlsx_3[[#This Row],[2032]]</f>
        <v>3371.642674184412</v>
      </c>
      <c r="J37">
        <f>scenario_indirect_prod_4506_iotable_2020_xlsx_3[[#This Row],[2033]]+scenario_indirect_prod_1610_iotable_2020_xlsx_3[[#This Row],[2033]]</f>
        <v>3686.7559711146187</v>
      </c>
      <c r="K37">
        <f>scenario_indirect_prod_4506_iotable_2020_xlsx_3[[#This Row],[2034]]+scenario_indirect_prod_1610_iotable_2020_xlsx_3[[#This Row],[2034]]</f>
        <v>3961.1049863215367</v>
      </c>
      <c r="L37">
        <f>scenario_indirect_prod_4506_iotable_2020_xlsx_3[[#This Row],[2035]]+scenario_indirect_prod_1610_iotable_2020_xlsx_3[[#This Row],[2035]]</f>
        <v>4459.3428211083565</v>
      </c>
      <c r="M37">
        <f>scenario_indirect_prod_4506_iotable_2020_xlsx_3[[#This Row],[2036]]+scenario_indirect_prod_1610_iotable_2020_xlsx_3[[#This Row],[2036]]</f>
        <v>4583.1828901996096</v>
      </c>
      <c r="N37">
        <f>scenario_indirect_prod_4506_iotable_2020_xlsx_3[[#This Row],[2037]]+scenario_indirect_prod_1610_iotable_2020_xlsx_3[[#This Row],[2037]]</f>
        <v>4702.5297603871986</v>
      </c>
      <c r="O37">
        <f>scenario_indirect_prod_4506_iotable_2020_xlsx_3[[#This Row],[2038]]+scenario_indirect_prod_1610_iotable_2020_xlsx_3[[#This Row],[2038]]</f>
        <v>4702.5297603871986</v>
      </c>
      <c r="P37">
        <f>scenario_indirect_prod_4506_iotable_2020_xlsx_3[[#This Row],[2039]]+scenario_indirect_prod_1610_iotable_2020_xlsx_3[[#This Row],[2039]]</f>
        <v>4702.5297603871986</v>
      </c>
      <c r="Q37">
        <f>scenario_indirect_prod_4506_iotable_2020_xlsx_3[[#This Row],[2040]]+scenario_indirect_prod_1610_iotable_2020_xlsx_3[[#This Row],[2040]]</f>
        <v>4805.4061775641658</v>
      </c>
      <c r="R37">
        <f>scenario_indirect_prod_4506_iotable_2020_xlsx_3[[#This Row],[2041]]+scenario_indirect_prod_1610_iotable_2020_xlsx_3[[#This Row],[2041]]</f>
        <v>4805.4061775641658</v>
      </c>
      <c r="S37">
        <f>scenario_indirect_prod_4506_iotable_2020_xlsx_3[[#This Row],[2042]]+scenario_indirect_prod_1610_iotable_2020_xlsx_3[[#This Row],[2042]]</f>
        <v>4924.9519597796179</v>
      </c>
      <c r="T37">
        <f>scenario_indirect_prod_4506_iotable_2020_xlsx_3[[#This Row],[2043]]+scenario_indirect_prod_1610_iotable_2020_xlsx_3[[#This Row],[2043]]</f>
        <v>4924.9519597796179</v>
      </c>
      <c r="U37">
        <f>scenario_indirect_prod_4506_iotable_2020_xlsx_3[[#This Row],[2044]]+scenario_indirect_prod_1610_iotable_2020_xlsx_3[[#This Row],[2044]]</f>
        <v>5020.4929188409078</v>
      </c>
      <c r="V37">
        <f>scenario_indirect_prod_4506_iotable_2020_xlsx_3[[#This Row],[2045]]+scenario_indirect_prod_1610_iotable_2020_xlsx_3[[#This Row],[2045]]</f>
        <v>5020.4929188409078</v>
      </c>
      <c r="W37">
        <f>scenario_indirect_prod_4506_iotable_2020_xlsx_3[[#This Row],[2046]]+scenario_indirect_prod_1610_iotable_2020_xlsx_3[[#This Row],[2046]]</f>
        <v>5107.6014951526158</v>
      </c>
      <c r="X37">
        <f>scenario_indirect_prod_4506_iotable_2020_xlsx_3[[#This Row],[2047]]+scenario_indirect_prod_1610_iotable_2020_xlsx_3[[#This Row],[2047]]</f>
        <v>5107.6014951526158</v>
      </c>
      <c r="Y37">
        <f>scenario_indirect_prod_4506_iotable_2020_xlsx_3[[#This Row],[2048]]+scenario_indirect_prod_1610_iotable_2020_xlsx_3[[#This Row],[2048]]</f>
        <v>5107.6014951526158</v>
      </c>
      <c r="Z37">
        <f>scenario_indirect_prod_4506_iotable_2020_xlsx_3[[#This Row],[2049]]+scenario_indirect_prod_1610_iotable_2020_xlsx_3[[#This Row],[2049]]</f>
        <v>5107.6014951526158</v>
      </c>
      <c r="AA37">
        <f>scenario_indirect_prod_4506_iotable_2020_xlsx_3[[#This Row],[2050]]+scenario_indirect_prod_1610_iotable_2020_xlsx_3[[#This Row],[2050]]</f>
        <v>5107.6014951526158</v>
      </c>
    </row>
    <row r="38" spans="1:27" x14ac:dyDescent="0.2">
      <c r="A38" t="s">
        <v>671</v>
      </c>
      <c r="B38" t="s">
        <v>672</v>
      </c>
      <c r="C38">
        <f>scenario_indirect_prod_4506_iotable_2020_xlsx_3[[#This Row],[2026]]+scenario_indirect_prod_1610_iotable_2020_xlsx_3[[#This Row],[2026]]</f>
        <v>3270.4382211478223</v>
      </c>
      <c r="D38">
        <f>scenario_indirect_prod_4506_iotable_2020_xlsx_3[[#This Row],[2027]]+scenario_indirect_prod_1610_iotable_2020_xlsx_3[[#This Row],[2027]]</f>
        <v>3134.110359539126</v>
      </c>
      <c r="E38">
        <f>scenario_indirect_prod_4506_iotable_2020_xlsx_3[[#This Row],[2028]]+scenario_indirect_prod_1610_iotable_2020_xlsx_3[[#This Row],[2028]]</f>
        <v>3302.732395777788</v>
      </c>
      <c r="F38">
        <f>scenario_indirect_prod_4506_iotable_2020_xlsx_3[[#This Row],[2029]]+scenario_indirect_prod_1610_iotable_2020_xlsx_3[[#This Row],[2029]]</f>
        <v>3368.2362922886045</v>
      </c>
      <c r="G38">
        <f>scenario_indirect_prod_4506_iotable_2020_xlsx_3[[#This Row],[2030]]+scenario_indirect_prod_1610_iotable_2020_xlsx_3[[#This Row],[2030]]</f>
        <v>2752.1224057356999</v>
      </c>
      <c r="H38">
        <f>scenario_indirect_prod_4506_iotable_2020_xlsx_3[[#This Row],[2031]]+scenario_indirect_prod_1610_iotable_2020_xlsx_3[[#This Row],[2031]]</f>
        <v>2979.6271929632885</v>
      </c>
      <c r="I38">
        <f>scenario_indirect_prod_4506_iotable_2020_xlsx_3[[#This Row],[2032]]+scenario_indirect_prod_1610_iotable_2020_xlsx_3[[#This Row],[2032]]</f>
        <v>3297.3578741940773</v>
      </c>
      <c r="J38">
        <f>scenario_indirect_prod_4506_iotable_2020_xlsx_3[[#This Row],[2033]]+scenario_indirect_prod_1610_iotable_2020_xlsx_3[[#This Row],[2033]]</f>
        <v>3530.9827928341037</v>
      </c>
      <c r="K38">
        <f>scenario_indirect_prod_4506_iotable_2020_xlsx_3[[#This Row],[2034]]+scenario_indirect_prod_1610_iotable_2020_xlsx_3[[#This Row],[2034]]</f>
        <v>3826.6477576046427</v>
      </c>
      <c r="L38">
        <f>scenario_indirect_prod_4506_iotable_2020_xlsx_3[[#This Row],[2035]]+scenario_indirect_prod_1610_iotable_2020_xlsx_3[[#This Row],[2035]]</f>
        <v>4229.4495517981022</v>
      </c>
      <c r="M38">
        <f>scenario_indirect_prod_4506_iotable_2020_xlsx_3[[#This Row],[2036]]+scenario_indirect_prod_1610_iotable_2020_xlsx_3[[#This Row],[2036]]</f>
        <v>4274.8598699916602</v>
      </c>
      <c r="N38">
        <f>scenario_indirect_prod_4506_iotable_2020_xlsx_3[[#This Row],[2037]]+scenario_indirect_prod_1610_iotable_2020_xlsx_3[[#This Row],[2037]]</f>
        <v>4326.5042755248924</v>
      </c>
      <c r="O38">
        <f>scenario_indirect_prod_4506_iotable_2020_xlsx_3[[#This Row],[2038]]+scenario_indirect_prod_1610_iotable_2020_xlsx_3[[#This Row],[2038]]</f>
        <v>4326.5042755248924</v>
      </c>
      <c r="P38">
        <f>scenario_indirect_prod_4506_iotable_2020_xlsx_3[[#This Row],[2039]]+scenario_indirect_prod_1610_iotable_2020_xlsx_3[[#This Row],[2039]]</f>
        <v>4326.5042755248924</v>
      </c>
      <c r="Q38">
        <f>scenario_indirect_prod_4506_iotable_2020_xlsx_3[[#This Row],[2040]]+scenario_indirect_prod_1610_iotable_2020_xlsx_3[[#This Row],[2040]]</f>
        <v>4369.7966860080396</v>
      </c>
      <c r="R38">
        <f>scenario_indirect_prod_4506_iotable_2020_xlsx_3[[#This Row],[2041]]+scenario_indirect_prod_1610_iotable_2020_xlsx_3[[#This Row],[2041]]</f>
        <v>4369.7966860080396</v>
      </c>
      <c r="S38">
        <f>scenario_indirect_prod_4506_iotable_2020_xlsx_3[[#This Row],[2042]]+scenario_indirect_prod_1610_iotable_2020_xlsx_3[[#This Row],[2042]]</f>
        <v>4424.0422880145079</v>
      </c>
      <c r="T38">
        <f>scenario_indirect_prod_4506_iotable_2020_xlsx_3[[#This Row],[2043]]+scenario_indirect_prod_1610_iotable_2020_xlsx_3[[#This Row],[2043]]</f>
        <v>4424.0422880145079</v>
      </c>
      <c r="U38">
        <f>scenario_indirect_prod_4506_iotable_2020_xlsx_3[[#This Row],[2044]]+scenario_indirect_prod_1610_iotable_2020_xlsx_3[[#This Row],[2044]]</f>
        <v>4456.072803781708</v>
      </c>
      <c r="V38">
        <f>scenario_indirect_prod_4506_iotable_2020_xlsx_3[[#This Row],[2045]]+scenario_indirect_prod_1610_iotable_2020_xlsx_3[[#This Row],[2045]]</f>
        <v>4456.072803781708</v>
      </c>
      <c r="W38">
        <f>scenario_indirect_prod_4506_iotable_2020_xlsx_3[[#This Row],[2046]]+scenario_indirect_prod_1610_iotable_2020_xlsx_3[[#This Row],[2046]]</f>
        <v>4489.55140518607</v>
      </c>
      <c r="X38">
        <f>scenario_indirect_prod_4506_iotable_2020_xlsx_3[[#This Row],[2047]]+scenario_indirect_prod_1610_iotable_2020_xlsx_3[[#This Row],[2047]]</f>
        <v>4489.55140518607</v>
      </c>
      <c r="Y38">
        <f>scenario_indirect_prod_4506_iotable_2020_xlsx_3[[#This Row],[2048]]+scenario_indirect_prod_1610_iotable_2020_xlsx_3[[#This Row],[2048]]</f>
        <v>4489.55140518607</v>
      </c>
      <c r="Z38">
        <f>scenario_indirect_prod_4506_iotable_2020_xlsx_3[[#This Row],[2049]]+scenario_indirect_prod_1610_iotable_2020_xlsx_3[[#This Row],[2049]]</f>
        <v>4489.55140518607</v>
      </c>
      <c r="AA38">
        <f>scenario_indirect_prod_4506_iotable_2020_xlsx_3[[#This Row],[2050]]+scenario_indirect_prod_1610_iotable_2020_xlsx_3[[#This Row],[2050]]</f>
        <v>4489.55140518607</v>
      </c>
    </row>
    <row r="39" spans="1:27" x14ac:dyDescent="0.2">
      <c r="A39" t="s">
        <v>677</v>
      </c>
      <c r="B39" t="s">
        <v>678</v>
      </c>
      <c r="C39">
        <f>scenario_indirect_prod_4506_iotable_2020_xlsx_3[[#This Row],[2026]]+scenario_indirect_prod_1610_iotable_2020_xlsx_3[[#This Row],[2026]]</f>
        <v>3170.6820787259039</v>
      </c>
      <c r="D39">
        <f>scenario_indirect_prod_4506_iotable_2020_xlsx_3[[#This Row],[2027]]+scenario_indirect_prod_1610_iotable_2020_xlsx_3[[#This Row],[2027]]</f>
        <v>3063.6085190937083</v>
      </c>
      <c r="E39">
        <f>scenario_indirect_prod_4506_iotable_2020_xlsx_3[[#This Row],[2028]]+scenario_indirect_prod_1610_iotable_2020_xlsx_3[[#This Row],[2028]]</f>
        <v>3225.5955741038815</v>
      </c>
      <c r="F39">
        <f>scenario_indirect_prod_4506_iotable_2020_xlsx_3[[#This Row],[2029]]+scenario_indirect_prod_1610_iotable_2020_xlsx_3[[#This Row],[2029]]</f>
        <v>3298.0780241397424</v>
      </c>
      <c r="G39">
        <f>scenario_indirect_prod_4506_iotable_2020_xlsx_3[[#This Row],[2030]]+scenario_indirect_prod_1610_iotable_2020_xlsx_3[[#This Row],[2030]]</f>
        <v>2787.207273960179</v>
      </c>
      <c r="H39">
        <f>scenario_indirect_prod_4506_iotable_2020_xlsx_3[[#This Row],[2031]]+scenario_indirect_prod_1610_iotable_2020_xlsx_3[[#This Row],[2031]]</f>
        <v>3005.7601470351601</v>
      </c>
      <c r="I39">
        <f>scenario_indirect_prod_4506_iotable_2020_xlsx_3[[#This Row],[2032]]+scenario_indirect_prod_1610_iotable_2020_xlsx_3[[#This Row],[2032]]</f>
        <v>3310.9886835124771</v>
      </c>
      <c r="J39">
        <f>scenario_indirect_prod_4506_iotable_2020_xlsx_3[[#This Row],[2033]]+scenario_indirect_prod_1610_iotable_2020_xlsx_3[[#This Row],[2033]]</f>
        <v>3580.6069141434173</v>
      </c>
      <c r="K39">
        <f>scenario_indirect_prod_4506_iotable_2020_xlsx_3[[#This Row],[2034]]+scenario_indirect_prod_1610_iotable_2020_xlsx_3[[#This Row],[2034]]</f>
        <v>3864.6379813823341</v>
      </c>
      <c r="L39">
        <f>scenario_indirect_prod_4506_iotable_2020_xlsx_3[[#This Row],[2035]]+scenario_indirect_prod_1610_iotable_2020_xlsx_3[[#This Row],[2035]]</f>
        <v>4308.7903698724749</v>
      </c>
      <c r="M39">
        <f>scenario_indirect_prod_4506_iotable_2020_xlsx_3[[#This Row],[2036]]+scenario_indirect_prod_1610_iotable_2020_xlsx_3[[#This Row],[2036]]</f>
        <v>4389.9589163738719</v>
      </c>
      <c r="N39">
        <f>scenario_indirect_prod_4506_iotable_2020_xlsx_3[[#This Row],[2037]]+scenario_indirect_prod_1610_iotable_2020_xlsx_3[[#This Row],[2037]]</f>
        <v>4472.3933007849564</v>
      </c>
      <c r="O39">
        <f>scenario_indirect_prod_4506_iotable_2020_xlsx_3[[#This Row],[2038]]+scenario_indirect_prod_1610_iotable_2020_xlsx_3[[#This Row],[2038]]</f>
        <v>4472.3933007849564</v>
      </c>
      <c r="P39">
        <f>scenario_indirect_prod_4506_iotable_2020_xlsx_3[[#This Row],[2039]]+scenario_indirect_prod_1610_iotable_2020_xlsx_3[[#This Row],[2039]]</f>
        <v>4472.3933007849564</v>
      </c>
      <c r="Q39">
        <f>scenario_indirect_prod_4506_iotable_2020_xlsx_3[[#This Row],[2040]]+scenario_indirect_prod_1610_iotable_2020_xlsx_3[[#This Row],[2040]]</f>
        <v>4542.7969744094744</v>
      </c>
      <c r="R39">
        <f>scenario_indirect_prod_4506_iotable_2020_xlsx_3[[#This Row],[2041]]+scenario_indirect_prod_1610_iotable_2020_xlsx_3[[#This Row],[2041]]</f>
        <v>4542.7969744094744</v>
      </c>
      <c r="S39">
        <f>scenario_indirect_prod_4506_iotable_2020_xlsx_3[[#This Row],[2042]]+scenario_indirect_prod_1610_iotable_2020_xlsx_3[[#This Row],[2042]]</f>
        <v>4626.71246387663</v>
      </c>
      <c r="T39">
        <f>scenario_indirect_prod_4506_iotable_2020_xlsx_3[[#This Row],[2043]]+scenario_indirect_prod_1610_iotable_2020_xlsx_3[[#This Row],[2043]]</f>
        <v>4626.71246387663</v>
      </c>
      <c r="U39">
        <f>scenario_indirect_prod_4506_iotable_2020_xlsx_3[[#This Row],[2044]]+scenario_indirect_prod_1610_iotable_2020_xlsx_3[[#This Row],[2044]]</f>
        <v>4687.7285816560707</v>
      </c>
      <c r="V39">
        <f>scenario_indirect_prod_4506_iotable_2020_xlsx_3[[#This Row],[2045]]+scenario_indirect_prod_1610_iotable_2020_xlsx_3[[#This Row],[2045]]</f>
        <v>4687.7285816560707</v>
      </c>
      <c r="W39">
        <f>scenario_indirect_prod_4506_iotable_2020_xlsx_3[[#This Row],[2046]]+scenario_indirect_prod_1610_iotable_2020_xlsx_3[[#This Row],[2046]]</f>
        <v>4745.6434340789565</v>
      </c>
      <c r="X39">
        <f>scenario_indirect_prod_4506_iotable_2020_xlsx_3[[#This Row],[2047]]+scenario_indirect_prod_1610_iotable_2020_xlsx_3[[#This Row],[2047]]</f>
        <v>4745.6434340789565</v>
      </c>
      <c r="Y39">
        <f>scenario_indirect_prod_4506_iotable_2020_xlsx_3[[#This Row],[2048]]+scenario_indirect_prod_1610_iotable_2020_xlsx_3[[#This Row],[2048]]</f>
        <v>4745.6434340789565</v>
      </c>
      <c r="Z39">
        <f>scenario_indirect_prod_4506_iotable_2020_xlsx_3[[#This Row],[2049]]+scenario_indirect_prod_1610_iotable_2020_xlsx_3[[#This Row],[2049]]</f>
        <v>4745.6434340789565</v>
      </c>
      <c r="AA39">
        <f>scenario_indirect_prod_4506_iotable_2020_xlsx_3[[#This Row],[2050]]+scenario_indirect_prod_1610_iotable_2020_xlsx_3[[#This Row],[2050]]</f>
        <v>4745.6434340789565</v>
      </c>
    </row>
    <row r="40" spans="1:27" x14ac:dyDescent="0.2">
      <c r="A40" t="s">
        <v>720</v>
      </c>
      <c r="B40" t="s">
        <v>721</v>
      </c>
      <c r="C40">
        <f>scenario_indirect_prod_4506_iotable_2020_xlsx_3[[#This Row],[2026]]+scenario_indirect_prod_1610_iotable_2020_xlsx_3[[#This Row],[2026]]</f>
        <v>2532.5076555670307</v>
      </c>
      <c r="D40">
        <f>scenario_indirect_prod_4506_iotable_2020_xlsx_3[[#This Row],[2027]]+scenario_indirect_prod_1610_iotable_2020_xlsx_3[[#This Row],[2027]]</f>
        <v>2448.2922868631581</v>
      </c>
      <c r="E40">
        <f>scenario_indirect_prod_4506_iotable_2020_xlsx_3[[#This Row],[2028]]+scenario_indirect_prod_1610_iotable_2020_xlsx_3[[#This Row],[2028]]</f>
        <v>2577.5979430780321</v>
      </c>
      <c r="F40">
        <f>scenario_indirect_prod_4506_iotable_2020_xlsx_3[[#This Row],[2029]]+scenario_indirect_prod_1610_iotable_2020_xlsx_3[[#This Row],[2029]]</f>
        <v>2635.9591356129117</v>
      </c>
      <c r="G40">
        <f>scenario_indirect_prod_4506_iotable_2020_xlsx_3[[#This Row],[2030]]+scenario_indirect_prod_1610_iotable_2020_xlsx_3[[#This Row],[2030]]</f>
        <v>2232.4158833671354</v>
      </c>
      <c r="H40">
        <f>scenario_indirect_prod_4506_iotable_2020_xlsx_3[[#This Row],[2031]]+scenario_indirect_prod_1610_iotable_2020_xlsx_3[[#This Row],[2031]]</f>
        <v>2406.8750256043454</v>
      </c>
      <c r="I40">
        <f>scenario_indirect_prod_4506_iotable_2020_xlsx_3[[#This Row],[2032]]+scenario_indirect_prod_1610_iotable_2020_xlsx_3[[#This Row],[2032]]</f>
        <v>2650.5227430236569</v>
      </c>
      <c r="J40">
        <f>scenario_indirect_prod_4506_iotable_2020_xlsx_3[[#This Row],[2033]]+scenario_indirect_prod_1610_iotable_2020_xlsx_3[[#This Row],[2033]]</f>
        <v>2868.1198180411325</v>
      </c>
      <c r="K40">
        <f>scenario_indirect_prod_4506_iotable_2020_xlsx_3[[#This Row],[2034]]+scenario_indirect_prod_1610_iotable_2020_xlsx_3[[#This Row],[2034]]</f>
        <v>3094.8467224374904</v>
      </c>
      <c r="L40">
        <f>scenario_indirect_prod_4506_iotable_2020_xlsx_3[[#This Row],[2035]]+scenario_indirect_prod_1610_iotable_2020_xlsx_3[[#This Row],[2035]]</f>
        <v>3452.3966513220794</v>
      </c>
      <c r="M40">
        <f>scenario_indirect_prod_4506_iotable_2020_xlsx_3[[#This Row],[2036]]+scenario_indirect_prod_1610_iotable_2020_xlsx_3[[#This Row],[2036]]</f>
        <v>3519.1627162240338</v>
      </c>
      <c r="N40">
        <f>scenario_indirect_prod_4506_iotable_2020_xlsx_3[[#This Row],[2037]]+scenario_indirect_prod_1610_iotable_2020_xlsx_3[[#This Row],[2037]]</f>
        <v>3586.6909738088807</v>
      </c>
      <c r="O40">
        <f>scenario_indirect_prod_4506_iotable_2020_xlsx_3[[#This Row],[2038]]+scenario_indirect_prod_1610_iotable_2020_xlsx_3[[#This Row],[2038]]</f>
        <v>3586.6909738088807</v>
      </c>
      <c r="P40">
        <f>scenario_indirect_prod_4506_iotable_2020_xlsx_3[[#This Row],[2039]]+scenario_indirect_prod_1610_iotable_2020_xlsx_3[[#This Row],[2039]]</f>
        <v>3586.6909738088807</v>
      </c>
      <c r="Q40">
        <f>scenario_indirect_prod_4506_iotable_2020_xlsx_3[[#This Row],[2040]]+scenario_indirect_prod_1610_iotable_2020_xlsx_3[[#This Row],[2040]]</f>
        <v>3644.4051108213462</v>
      </c>
      <c r="R40">
        <f>scenario_indirect_prod_4506_iotable_2020_xlsx_3[[#This Row],[2041]]+scenario_indirect_prod_1610_iotable_2020_xlsx_3[[#This Row],[2041]]</f>
        <v>3644.4051108213462</v>
      </c>
      <c r="S40">
        <f>scenario_indirect_prod_4506_iotable_2020_xlsx_3[[#This Row],[2042]]+scenario_indirect_prod_1610_iotable_2020_xlsx_3[[#This Row],[2042]]</f>
        <v>3713.062159132237</v>
      </c>
      <c r="T40">
        <f>scenario_indirect_prod_4506_iotable_2020_xlsx_3[[#This Row],[2043]]+scenario_indirect_prod_1610_iotable_2020_xlsx_3[[#This Row],[2043]]</f>
        <v>3713.062159132237</v>
      </c>
      <c r="U40">
        <f>scenario_indirect_prod_4506_iotable_2020_xlsx_3[[#This Row],[2044]]+scenario_indirect_prod_1610_iotable_2020_xlsx_3[[#This Row],[2044]]</f>
        <v>3763.3579394396402</v>
      </c>
      <c r="V40">
        <f>scenario_indirect_prod_4506_iotable_2020_xlsx_3[[#This Row],[2045]]+scenario_indirect_prod_1610_iotable_2020_xlsx_3[[#This Row],[2045]]</f>
        <v>3763.3579394396402</v>
      </c>
      <c r="W40">
        <f>scenario_indirect_prod_4506_iotable_2020_xlsx_3[[#This Row],[2046]]+scenario_indirect_prod_1610_iotable_2020_xlsx_3[[#This Row],[2046]]</f>
        <v>3810.9420061593673</v>
      </c>
      <c r="X40">
        <f>scenario_indirect_prod_4506_iotable_2020_xlsx_3[[#This Row],[2047]]+scenario_indirect_prod_1610_iotable_2020_xlsx_3[[#This Row],[2047]]</f>
        <v>3810.9420061593673</v>
      </c>
      <c r="Y40">
        <f>scenario_indirect_prod_4506_iotable_2020_xlsx_3[[#This Row],[2048]]+scenario_indirect_prod_1610_iotable_2020_xlsx_3[[#This Row],[2048]]</f>
        <v>3810.9420061593673</v>
      </c>
      <c r="Z40">
        <f>scenario_indirect_prod_4506_iotable_2020_xlsx_3[[#This Row],[2049]]+scenario_indirect_prod_1610_iotable_2020_xlsx_3[[#This Row],[2049]]</f>
        <v>3810.9420061593673</v>
      </c>
      <c r="AA40">
        <f>scenario_indirect_prod_4506_iotable_2020_xlsx_3[[#This Row],[2050]]+scenario_indirect_prod_1610_iotable_2020_xlsx_3[[#This Row],[2050]]</f>
        <v>3810.9420061593673</v>
      </c>
    </row>
    <row r="41" spans="1:27" x14ac:dyDescent="0.2">
      <c r="A41" t="s">
        <v>681</v>
      </c>
      <c r="B41" t="s">
        <v>682</v>
      </c>
      <c r="C41">
        <f>scenario_indirect_prod_4506_iotable_2020_xlsx_3[[#This Row],[2026]]+scenario_indirect_prod_1610_iotable_2020_xlsx_3[[#This Row],[2026]]</f>
        <v>3178.4803931986962</v>
      </c>
      <c r="D41">
        <f>scenario_indirect_prod_4506_iotable_2020_xlsx_3[[#This Row],[2027]]+scenario_indirect_prod_1610_iotable_2020_xlsx_3[[#This Row],[2027]]</f>
        <v>3160.5230413583567</v>
      </c>
      <c r="E41">
        <f>scenario_indirect_prod_4506_iotable_2020_xlsx_3[[#This Row],[2028]]+scenario_indirect_prod_1610_iotable_2020_xlsx_3[[#This Row],[2028]]</f>
        <v>3317.596128497898</v>
      </c>
      <c r="F41">
        <f>scenario_indirect_prod_4506_iotable_2020_xlsx_3[[#This Row],[2029]]+scenario_indirect_prod_1610_iotable_2020_xlsx_3[[#This Row],[2029]]</f>
        <v>3422.2270149669675</v>
      </c>
      <c r="G41">
        <f>scenario_indirect_prod_4506_iotable_2020_xlsx_3[[#This Row],[2030]]+scenario_indirect_prod_1610_iotable_2020_xlsx_3[[#This Row],[2030]]</f>
        <v>3217.9929471057517</v>
      </c>
      <c r="H41">
        <f>scenario_indirect_prod_4506_iotable_2020_xlsx_3[[#This Row],[2031]]+scenario_indirect_prod_1610_iotable_2020_xlsx_3[[#This Row],[2031]]</f>
        <v>3429.9158965966708</v>
      </c>
      <c r="I41">
        <f>scenario_indirect_prod_4506_iotable_2020_xlsx_3[[#This Row],[2032]]+scenario_indirect_prod_1610_iotable_2020_xlsx_3[[#This Row],[2032]]</f>
        <v>3725.8851547856366</v>
      </c>
      <c r="J41">
        <f>scenario_indirect_prod_4506_iotable_2020_xlsx_3[[#This Row],[2033]]+scenario_indirect_prod_1610_iotable_2020_xlsx_3[[#This Row],[2033]]</f>
        <v>4149.736750033846</v>
      </c>
      <c r="K41">
        <f>scenario_indirect_prod_4506_iotable_2020_xlsx_3[[#This Row],[2034]]+scenario_indirect_prod_1610_iotable_2020_xlsx_3[[#This Row],[2034]]</f>
        <v>4425.1515760639468</v>
      </c>
      <c r="L41">
        <f>scenario_indirect_prod_4506_iotable_2020_xlsx_3[[#This Row],[2035]]+scenario_indirect_prod_1610_iotable_2020_xlsx_3[[#This Row],[2035]]</f>
        <v>5061.4250522603525</v>
      </c>
      <c r="M41">
        <f>scenario_indirect_prod_4506_iotable_2020_xlsx_3[[#This Row],[2036]]+scenario_indirect_prod_1610_iotable_2020_xlsx_3[[#This Row],[2036]]</f>
        <v>5275.0796186399612</v>
      </c>
      <c r="N41">
        <f>scenario_indirect_prod_4506_iotable_2020_xlsx_3[[#This Row],[2037]]+scenario_indirect_prod_1610_iotable_2020_xlsx_3[[#This Row],[2037]]</f>
        <v>5472.985907299776</v>
      </c>
      <c r="O41">
        <f>scenario_indirect_prod_4506_iotable_2020_xlsx_3[[#This Row],[2038]]+scenario_indirect_prod_1610_iotable_2020_xlsx_3[[#This Row],[2038]]</f>
        <v>5472.985907299776</v>
      </c>
      <c r="P41">
        <f>scenario_indirect_prod_4506_iotable_2020_xlsx_3[[#This Row],[2039]]+scenario_indirect_prod_1610_iotable_2020_xlsx_3[[#This Row],[2039]]</f>
        <v>5472.985907299776</v>
      </c>
      <c r="Q41">
        <f>scenario_indirect_prod_4506_iotable_2020_xlsx_3[[#This Row],[2040]]+scenario_indirect_prod_1610_iotable_2020_xlsx_3[[#This Row],[2040]]</f>
        <v>5644.8228009218274</v>
      </c>
      <c r="R41">
        <f>scenario_indirect_prod_4506_iotable_2020_xlsx_3[[#This Row],[2041]]+scenario_indirect_prod_1610_iotable_2020_xlsx_3[[#This Row],[2041]]</f>
        <v>5644.8228009218274</v>
      </c>
      <c r="S41">
        <f>scenario_indirect_prod_4506_iotable_2020_xlsx_3[[#This Row],[2042]]+scenario_indirect_prod_1610_iotable_2020_xlsx_3[[#This Row],[2042]]</f>
        <v>5840.5072012435376</v>
      </c>
      <c r="T41">
        <f>scenario_indirect_prod_4506_iotable_2020_xlsx_3[[#This Row],[2043]]+scenario_indirect_prod_1610_iotable_2020_xlsx_3[[#This Row],[2043]]</f>
        <v>5840.5072012435376</v>
      </c>
      <c r="U41">
        <f>scenario_indirect_prod_4506_iotable_2020_xlsx_3[[#This Row],[2044]]+scenario_indirect_prod_1610_iotable_2020_xlsx_3[[#This Row],[2044]]</f>
        <v>6008.3854950584891</v>
      </c>
      <c r="V41">
        <f>scenario_indirect_prod_4506_iotable_2020_xlsx_3[[#This Row],[2045]]+scenario_indirect_prod_1610_iotable_2020_xlsx_3[[#This Row],[2045]]</f>
        <v>6008.3854950584891</v>
      </c>
      <c r="W41">
        <f>scenario_indirect_prod_4506_iotable_2020_xlsx_3[[#This Row],[2046]]+scenario_indirect_prod_1610_iotable_2020_xlsx_3[[#This Row],[2046]]</f>
        <v>6157.1096526949286</v>
      </c>
      <c r="X41">
        <f>scenario_indirect_prod_4506_iotable_2020_xlsx_3[[#This Row],[2047]]+scenario_indirect_prod_1610_iotable_2020_xlsx_3[[#This Row],[2047]]</f>
        <v>6157.1096526949286</v>
      </c>
      <c r="Y41">
        <f>scenario_indirect_prod_4506_iotable_2020_xlsx_3[[#This Row],[2048]]+scenario_indirect_prod_1610_iotable_2020_xlsx_3[[#This Row],[2048]]</f>
        <v>6157.1096526949286</v>
      </c>
      <c r="Z41">
        <f>scenario_indirect_prod_4506_iotable_2020_xlsx_3[[#This Row],[2049]]+scenario_indirect_prod_1610_iotable_2020_xlsx_3[[#This Row],[2049]]</f>
        <v>6157.1096526949286</v>
      </c>
      <c r="AA41">
        <f>scenario_indirect_prod_4506_iotable_2020_xlsx_3[[#This Row],[2050]]+scenario_indirect_prod_1610_iotable_2020_xlsx_3[[#This Row],[2050]]</f>
        <v>6157.1096526949286</v>
      </c>
    </row>
    <row r="42" spans="1:27" x14ac:dyDescent="0.2">
      <c r="A42" t="s">
        <v>571</v>
      </c>
      <c r="B42" t="s">
        <v>572</v>
      </c>
      <c r="C42">
        <f>scenario_indirect_prod_4506_iotable_2020_xlsx_3[[#This Row],[2026]]+scenario_indirect_prod_1610_iotable_2020_xlsx_3[[#This Row],[2026]]</f>
        <v>7566.2380868871023</v>
      </c>
      <c r="D42">
        <f>scenario_indirect_prod_4506_iotable_2020_xlsx_3[[#This Row],[2027]]+scenario_indirect_prod_1610_iotable_2020_xlsx_3[[#This Row],[2027]]</f>
        <v>7421.0477294898719</v>
      </c>
      <c r="E42">
        <f>scenario_indirect_prod_4506_iotable_2020_xlsx_3[[#This Row],[2028]]+scenario_indirect_prod_1610_iotable_2020_xlsx_3[[#This Row],[2028]]</f>
        <v>7801.042422286785</v>
      </c>
      <c r="F42">
        <f>scenario_indirect_prod_4506_iotable_2020_xlsx_3[[#This Row],[2029]]+scenario_indirect_prod_1610_iotable_2020_xlsx_3[[#This Row],[2029]]</f>
        <v>8013.4687635303681</v>
      </c>
      <c r="G42">
        <f>scenario_indirect_prod_4506_iotable_2020_xlsx_3[[#This Row],[2030]]+scenario_indirect_prod_1610_iotable_2020_xlsx_3[[#This Row],[2030]]</f>
        <v>7174.4020958809842</v>
      </c>
      <c r="H42">
        <f>scenario_indirect_prod_4506_iotable_2020_xlsx_3[[#This Row],[2031]]+scenario_indirect_prod_1610_iotable_2020_xlsx_3[[#This Row],[2031]]</f>
        <v>7687.0907910288433</v>
      </c>
      <c r="I42">
        <f>scenario_indirect_prod_4506_iotable_2020_xlsx_3[[#This Row],[2032]]+scenario_indirect_prod_1610_iotable_2020_xlsx_3[[#This Row],[2032]]</f>
        <v>8403.1061784575832</v>
      </c>
      <c r="J42">
        <f>scenario_indirect_prod_4506_iotable_2020_xlsx_3[[#This Row],[2033]]+scenario_indirect_prod_1610_iotable_2020_xlsx_3[[#This Row],[2033]]</f>
        <v>9236.0502697113807</v>
      </c>
      <c r="K42">
        <f>scenario_indirect_prod_4506_iotable_2020_xlsx_3[[#This Row],[2034]]+scenario_indirect_prod_1610_iotable_2020_xlsx_3[[#This Row],[2034]]</f>
        <v>9902.3399194210651</v>
      </c>
      <c r="L42">
        <f>scenario_indirect_prod_4506_iotable_2020_xlsx_3[[#This Row],[2035]]+scenario_indirect_prod_1610_iotable_2020_xlsx_3[[#This Row],[2035]]</f>
        <v>11198.011772494347</v>
      </c>
      <c r="M42">
        <f>scenario_indirect_prod_4506_iotable_2020_xlsx_3[[#This Row],[2036]]+scenario_indirect_prod_1610_iotable_2020_xlsx_3[[#This Row],[2036]]</f>
        <v>11554.985517575658</v>
      </c>
      <c r="N42">
        <f>scenario_indirect_prod_4506_iotable_2020_xlsx_3[[#This Row],[2037]]+scenario_indirect_prod_1610_iotable_2020_xlsx_3[[#This Row],[2037]]</f>
        <v>11893.97569135881</v>
      </c>
      <c r="O42">
        <f>scenario_indirect_prod_4506_iotable_2020_xlsx_3[[#This Row],[2038]]+scenario_indirect_prod_1610_iotable_2020_xlsx_3[[#This Row],[2038]]</f>
        <v>11893.97569135881</v>
      </c>
      <c r="P42">
        <f>scenario_indirect_prod_4506_iotable_2020_xlsx_3[[#This Row],[2039]]+scenario_indirect_prod_1610_iotable_2020_xlsx_3[[#This Row],[2039]]</f>
        <v>11893.97569135881</v>
      </c>
      <c r="Q42">
        <f>scenario_indirect_prod_4506_iotable_2020_xlsx_3[[#This Row],[2040]]+scenario_indirect_prod_1610_iotable_2020_xlsx_3[[#This Row],[2040]]</f>
        <v>12186.965495104603</v>
      </c>
      <c r="R42">
        <f>scenario_indirect_prod_4506_iotable_2020_xlsx_3[[#This Row],[2041]]+scenario_indirect_prod_1610_iotable_2020_xlsx_3[[#This Row],[2041]]</f>
        <v>12186.965495104603</v>
      </c>
      <c r="S42">
        <f>scenario_indirect_prod_4506_iotable_2020_xlsx_3[[#This Row],[2042]]+scenario_indirect_prod_1610_iotable_2020_xlsx_3[[#This Row],[2042]]</f>
        <v>12524.9149711546</v>
      </c>
      <c r="T42">
        <f>scenario_indirect_prod_4506_iotable_2020_xlsx_3[[#This Row],[2043]]+scenario_indirect_prod_1610_iotable_2020_xlsx_3[[#This Row],[2043]]</f>
        <v>12524.9149711546</v>
      </c>
      <c r="U42">
        <f>scenario_indirect_prod_4506_iotable_2020_xlsx_3[[#This Row],[2044]]+scenario_indirect_prod_1610_iotable_2020_xlsx_3[[#This Row],[2044]]</f>
        <v>12802.232557366062</v>
      </c>
      <c r="V42">
        <f>scenario_indirect_prod_4506_iotable_2020_xlsx_3[[#This Row],[2045]]+scenario_indirect_prod_1610_iotable_2020_xlsx_3[[#This Row],[2045]]</f>
        <v>12802.232557366062</v>
      </c>
      <c r="W42">
        <f>scenario_indirect_prod_4506_iotable_2020_xlsx_3[[#This Row],[2046]]+scenario_indirect_prod_1610_iotable_2020_xlsx_3[[#This Row],[2046]]</f>
        <v>13052.345015150036</v>
      </c>
      <c r="X42">
        <f>scenario_indirect_prod_4506_iotable_2020_xlsx_3[[#This Row],[2047]]+scenario_indirect_prod_1610_iotable_2020_xlsx_3[[#This Row],[2047]]</f>
        <v>13052.345015150036</v>
      </c>
      <c r="Y42">
        <f>scenario_indirect_prod_4506_iotable_2020_xlsx_3[[#This Row],[2048]]+scenario_indirect_prod_1610_iotable_2020_xlsx_3[[#This Row],[2048]]</f>
        <v>13052.345015150036</v>
      </c>
      <c r="Z42">
        <f>scenario_indirect_prod_4506_iotable_2020_xlsx_3[[#This Row],[2049]]+scenario_indirect_prod_1610_iotable_2020_xlsx_3[[#This Row],[2049]]</f>
        <v>13052.345015150036</v>
      </c>
      <c r="AA42">
        <f>scenario_indirect_prod_4506_iotable_2020_xlsx_3[[#This Row],[2050]]+scenario_indirect_prod_1610_iotable_2020_xlsx_3[[#This Row],[2050]]</f>
        <v>13052.345015150036</v>
      </c>
    </row>
    <row r="43" spans="1:27" x14ac:dyDescent="0.2">
      <c r="A43" t="s">
        <v>761</v>
      </c>
      <c r="B43" t="s">
        <v>762</v>
      </c>
      <c r="C43">
        <f>scenario_indirect_prod_4506_iotable_2020_xlsx_3[[#This Row],[2026]]+scenario_indirect_prod_1610_iotable_2020_xlsx_3[[#This Row],[2026]]</f>
        <v>1801.146796884208</v>
      </c>
      <c r="D43">
        <f>scenario_indirect_prod_4506_iotable_2020_xlsx_3[[#This Row],[2027]]+scenario_indirect_prod_1610_iotable_2020_xlsx_3[[#This Row],[2027]]</f>
        <v>1768.6616804900907</v>
      </c>
      <c r="E43">
        <f>scenario_indirect_prod_4506_iotable_2020_xlsx_3[[#This Row],[2028]]+scenario_indirect_prod_1610_iotable_2020_xlsx_3[[#This Row],[2028]]</f>
        <v>1858.9961291086379</v>
      </c>
      <c r="F43">
        <f>scenario_indirect_prod_4506_iotable_2020_xlsx_3[[#This Row],[2029]]+scenario_indirect_prod_1610_iotable_2020_xlsx_3[[#This Row],[2029]]</f>
        <v>1910.3074353751063</v>
      </c>
      <c r="G43">
        <f>scenario_indirect_prod_4506_iotable_2020_xlsx_3[[#This Row],[2030]]+scenario_indirect_prod_1610_iotable_2020_xlsx_3[[#This Row],[2030]]</f>
        <v>1717.7238021490932</v>
      </c>
      <c r="H43">
        <f>scenario_indirect_prod_4506_iotable_2020_xlsx_3[[#This Row],[2031]]+scenario_indirect_prod_1610_iotable_2020_xlsx_3[[#This Row],[2031]]</f>
        <v>1839.6030059039106</v>
      </c>
      <c r="I43">
        <f>scenario_indirect_prod_4506_iotable_2020_xlsx_3[[#This Row],[2032]]+scenario_indirect_prod_1610_iotable_2020_xlsx_3[[#This Row],[2032]]</f>
        <v>2009.8181600938112</v>
      </c>
      <c r="J43">
        <f>scenario_indirect_prod_4506_iotable_2020_xlsx_3[[#This Row],[2033]]+scenario_indirect_prod_1610_iotable_2020_xlsx_3[[#This Row],[2033]]</f>
        <v>2211.670479117457</v>
      </c>
      <c r="K43">
        <f>scenario_indirect_prod_4506_iotable_2020_xlsx_3[[#This Row],[2034]]+scenario_indirect_prod_1610_iotable_2020_xlsx_3[[#This Row],[2034]]</f>
        <v>2370.0645547919212</v>
      </c>
      <c r="L43">
        <f>scenario_indirect_prod_4506_iotable_2020_xlsx_3[[#This Row],[2035]]+scenario_indirect_prod_1610_iotable_2020_xlsx_3[[#This Row],[2035]]</f>
        <v>2682.9401284003261</v>
      </c>
      <c r="M43">
        <f>scenario_indirect_prod_4506_iotable_2020_xlsx_3[[#This Row],[2036]]+scenario_indirect_prod_1610_iotable_2020_xlsx_3[[#This Row],[2036]]</f>
        <v>2770.9927483762945</v>
      </c>
      <c r="N43">
        <f>scenario_indirect_prod_4506_iotable_2020_xlsx_3[[#This Row],[2037]]+scenario_indirect_prod_1610_iotable_2020_xlsx_3[[#This Row],[2037]]</f>
        <v>2854.3688248731773</v>
      </c>
      <c r="O43">
        <f>scenario_indirect_prod_4506_iotable_2020_xlsx_3[[#This Row],[2038]]+scenario_indirect_prod_1610_iotable_2020_xlsx_3[[#This Row],[2038]]</f>
        <v>2854.3688248731773</v>
      </c>
      <c r="P43">
        <f>scenario_indirect_prod_4506_iotable_2020_xlsx_3[[#This Row],[2039]]+scenario_indirect_prod_1610_iotable_2020_xlsx_3[[#This Row],[2039]]</f>
        <v>2854.3688248731773</v>
      </c>
      <c r="Q43">
        <f>scenario_indirect_prod_4506_iotable_2020_xlsx_3[[#This Row],[2040]]+scenario_indirect_prod_1610_iotable_2020_xlsx_3[[#This Row],[2040]]</f>
        <v>2926.4688653104645</v>
      </c>
      <c r="R43">
        <f>scenario_indirect_prod_4506_iotable_2020_xlsx_3[[#This Row],[2041]]+scenario_indirect_prod_1610_iotable_2020_xlsx_3[[#This Row],[2041]]</f>
        <v>2926.4688653104645</v>
      </c>
      <c r="S43">
        <f>scenario_indirect_prod_4506_iotable_2020_xlsx_3[[#This Row],[2042]]+scenario_indirect_prod_1610_iotable_2020_xlsx_3[[#This Row],[2042]]</f>
        <v>3009.5110468361722</v>
      </c>
      <c r="T43">
        <f>scenario_indirect_prod_4506_iotable_2020_xlsx_3[[#This Row],[2043]]+scenario_indirect_prod_1610_iotable_2020_xlsx_3[[#This Row],[2043]]</f>
        <v>3009.5110468361722</v>
      </c>
      <c r="U43">
        <f>scenario_indirect_prod_4506_iotable_2020_xlsx_3[[#This Row],[2044]]+scenario_indirect_prod_1610_iotable_2020_xlsx_3[[#This Row],[2044]]</f>
        <v>3078.007034274317</v>
      </c>
      <c r="V43">
        <f>scenario_indirect_prod_4506_iotable_2020_xlsx_3[[#This Row],[2045]]+scenario_indirect_prod_1610_iotable_2020_xlsx_3[[#This Row],[2045]]</f>
        <v>3078.007034274317</v>
      </c>
      <c r="W43">
        <f>scenario_indirect_prod_4506_iotable_2020_xlsx_3[[#This Row],[2046]]+scenario_indirect_prod_1610_iotable_2020_xlsx_3[[#This Row],[2046]]</f>
        <v>3139.6538745550652</v>
      </c>
      <c r="X43">
        <f>scenario_indirect_prod_4506_iotable_2020_xlsx_3[[#This Row],[2047]]+scenario_indirect_prod_1610_iotable_2020_xlsx_3[[#This Row],[2047]]</f>
        <v>3139.6538745550652</v>
      </c>
      <c r="Y43">
        <f>scenario_indirect_prod_4506_iotable_2020_xlsx_3[[#This Row],[2048]]+scenario_indirect_prod_1610_iotable_2020_xlsx_3[[#This Row],[2048]]</f>
        <v>3139.6538745550652</v>
      </c>
      <c r="Z43">
        <f>scenario_indirect_prod_4506_iotable_2020_xlsx_3[[#This Row],[2049]]+scenario_indirect_prod_1610_iotable_2020_xlsx_3[[#This Row],[2049]]</f>
        <v>3139.6538745550652</v>
      </c>
      <c r="AA43">
        <f>scenario_indirect_prod_4506_iotable_2020_xlsx_3[[#This Row],[2050]]+scenario_indirect_prod_1610_iotable_2020_xlsx_3[[#This Row],[2050]]</f>
        <v>3139.6538745550652</v>
      </c>
    </row>
    <row r="44" spans="1:27" x14ac:dyDescent="0.2">
      <c r="A44" t="s">
        <v>1002</v>
      </c>
      <c r="B44" t="s">
        <v>1003</v>
      </c>
      <c r="C44">
        <f>scenario_indirect_prod_4506_iotable_2020_xlsx_3[[#This Row],[2026]]+scenario_indirect_prod_1610_iotable_2020_xlsx_3[[#This Row],[2026]]</f>
        <v>0</v>
      </c>
      <c r="D44">
        <f>scenario_indirect_prod_4506_iotable_2020_xlsx_3[[#This Row],[2027]]+scenario_indirect_prod_1610_iotable_2020_xlsx_3[[#This Row],[2027]]</f>
        <v>0</v>
      </c>
      <c r="E44">
        <f>scenario_indirect_prod_4506_iotable_2020_xlsx_3[[#This Row],[2028]]+scenario_indirect_prod_1610_iotable_2020_xlsx_3[[#This Row],[2028]]</f>
        <v>0</v>
      </c>
      <c r="F44">
        <f>scenario_indirect_prod_4506_iotable_2020_xlsx_3[[#This Row],[2029]]+scenario_indirect_prod_1610_iotable_2020_xlsx_3[[#This Row],[2029]]</f>
        <v>0</v>
      </c>
      <c r="G44">
        <f>scenario_indirect_prod_4506_iotable_2020_xlsx_3[[#This Row],[2030]]+scenario_indirect_prod_1610_iotable_2020_xlsx_3[[#This Row],[2030]]</f>
        <v>0</v>
      </c>
      <c r="H44">
        <f>scenario_indirect_prod_4506_iotable_2020_xlsx_3[[#This Row],[2031]]+scenario_indirect_prod_1610_iotable_2020_xlsx_3[[#This Row],[2031]]</f>
        <v>0</v>
      </c>
      <c r="I44">
        <f>scenario_indirect_prod_4506_iotable_2020_xlsx_3[[#This Row],[2032]]+scenario_indirect_prod_1610_iotable_2020_xlsx_3[[#This Row],[2032]]</f>
        <v>0</v>
      </c>
      <c r="J44">
        <f>scenario_indirect_prod_4506_iotable_2020_xlsx_3[[#This Row],[2033]]+scenario_indirect_prod_1610_iotable_2020_xlsx_3[[#This Row],[2033]]</f>
        <v>0</v>
      </c>
      <c r="K44">
        <f>scenario_indirect_prod_4506_iotable_2020_xlsx_3[[#This Row],[2034]]+scenario_indirect_prod_1610_iotable_2020_xlsx_3[[#This Row],[2034]]</f>
        <v>0</v>
      </c>
      <c r="L44">
        <f>scenario_indirect_prod_4506_iotable_2020_xlsx_3[[#This Row],[2035]]+scenario_indirect_prod_1610_iotable_2020_xlsx_3[[#This Row],[2035]]</f>
        <v>0</v>
      </c>
      <c r="M44">
        <f>scenario_indirect_prod_4506_iotable_2020_xlsx_3[[#This Row],[2036]]+scenario_indirect_prod_1610_iotable_2020_xlsx_3[[#This Row],[2036]]</f>
        <v>0</v>
      </c>
      <c r="N44">
        <f>scenario_indirect_prod_4506_iotable_2020_xlsx_3[[#This Row],[2037]]+scenario_indirect_prod_1610_iotable_2020_xlsx_3[[#This Row],[2037]]</f>
        <v>0</v>
      </c>
      <c r="O44">
        <f>scenario_indirect_prod_4506_iotable_2020_xlsx_3[[#This Row],[2038]]+scenario_indirect_prod_1610_iotable_2020_xlsx_3[[#This Row],[2038]]</f>
        <v>0</v>
      </c>
      <c r="P44">
        <f>scenario_indirect_prod_4506_iotable_2020_xlsx_3[[#This Row],[2039]]+scenario_indirect_prod_1610_iotable_2020_xlsx_3[[#This Row],[2039]]</f>
        <v>0</v>
      </c>
      <c r="Q44">
        <f>scenario_indirect_prod_4506_iotable_2020_xlsx_3[[#This Row],[2040]]+scenario_indirect_prod_1610_iotable_2020_xlsx_3[[#This Row],[2040]]</f>
        <v>0</v>
      </c>
      <c r="R44">
        <f>scenario_indirect_prod_4506_iotable_2020_xlsx_3[[#This Row],[2041]]+scenario_indirect_prod_1610_iotable_2020_xlsx_3[[#This Row],[2041]]</f>
        <v>0</v>
      </c>
      <c r="S44">
        <f>scenario_indirect_prod_4506_iotable_2020_xlsx_3[[#This Row],[2042]]+scenario_indirect_prod_1610_iotable_2020_xlsx_3[[#This Row],[2042]]</f>
        <v>0</v>
      </c>
      <c r="T44">
        <f>scenario_indirect_prod_4506_iotable_2020_xlsx_3[[#This Row],[2043]]+scenario_indirect_prod_1610_iotable_2020_xlsx_3[[#This Row],[2043]]</f>
        <v>0</v>
      </c>
      <c r="U44">
        <f>scenario_indirect_prod_4506_iotable_2020_xlsx_3[[#This Row],[2044]]+scenario_indirect_prod_1610_iotable_2020_xlsx_3[[#This Row],[2044]]</f>
        <v>0</v>
      </c>
      <c r="V44">
        <f>scenario_indirect_prod_4506_iotable_2020_xlsx_3[[#This Row],[2045]]+scenario_indirect_prod_1610_iotable_2020_xlsx_3[[#This Row],[2045]]</f>
        <v>0</v>
      </c>
      <c r="W44">
        <f>scenario_indirect_prod_4506_iotable_2020_xlsx_3[[#This Row],[2046]]+scenario_indirect_prod_1610_iotable_2020_xlsx_3[[#This Row],[2046]]</f>
        <v>0</v>
      </c>
      <c r="X44">
        <f>scenario_indirect_prod_4506_iotable_2020_xlsx_3[[#This Row],[2047]]+scenario_indirect_prod_1610_iotable_2020_xlsx_3[[#This Row],[2047]]</f>
        <v>0</v>
      </c>
      <c r="Y44">
        <f>scenario_indirect_prod_4506_iotable_2020_xlsx_3[[#This Row],[2048]]+scenario_indirect_prod_1610_iotable_2020_xlsx_3[[#This Row],[2048]]</f>
        <v>0</v>
      </c>
      <c r="Z44">
        <f>scenario_indirect_prod_4506_iotable_2020_xlsx_3[[#This Row],[2049]]+scenario_indirect_prod_1610_iotable_2020_xlsx_3[[#This Row],[2049]]</f>
        <v>0</v>
      </c>
      <c r="AA44">
        <f>scenario_indirect_prod_4506_iotable_2020_xlsx_3[[#This Row],[2050]]+scenario_indirect_prod_1610_iotable_2020_xlsx_3[[#This Row],[2050]]</f>
        <v>0</v>
      </c>
    </row>
    <row r="45" spans="1:27" x14ac:dyDescent="0.2">
      <c r="A45" t="s">
        <v>843</v>
      </c>
      <c r="B45" t="s">
        <v>844</v>
      </c>
      <c r="C45">
        <f>scenario_indirect_prod_4506_iotable_2020_xlsx_3[[#This Row],[2026]]+scenario_indirect_prod_1610_iotable_2020_xlsx_3[[#This Row],[2026]]</f>
        <v>755.49713703413693</v>
      </c>
      <c r="D45">
        <f>scenario_indirect_prod_4506_iotable_2020_xlsx_3[[#This Row],[2027]]+scenario_indirect_prod_1610_iotable_2020_xlsx_3[[#This Row],[2027]]</f>
        <v>722.2077313207742</v>
      </c>
      <c r="E45">
        <f>scenario_indirect_prod_4506_iotable_2020_xlsx_3[[#This Row],[2028]]+scenario_indirect_prod_1610_iotable_2020_xlsx_3[[#This Row],[2028]]</f>
        <v>761.26753985650078</v>
      </c>
      <c r="F45">
        <f>scenario_indirect_prod_4506_iotable_2020_xlsx_3[[#This Row],[2029]]+scenario_indirect_prod_1610_iotable_2020_xlsx_3[[#This Row],[2029]]</f>
        <v>775.75683685035619</v>
      </c>
      <c r="G45">
        <f>scenario_indirect_prod_4506_iotable_2020_xlsx_3[[#This Row],[2030]]+scenario_indirect_prod_1610_iotable_2020_xlsx_3[[#This Row],[2030]]</f>
        <v>627.24078664155354</v>
      </c>
      <c r="H45">
        <f>scenario_indirect_prod_4506_iotable_2020_xlsx_3[[#This Row],[2031]]+scenario_indirect_prod_1610_iotable_2020_xlsx_3[[#This Row],[2031]]</f>
        <v>679.94026547772091</v>
      </c>
      <c r="I45">
        <f>scenario_indirect_prod_4506_iotable_2020_xlsx_3[[#This Row],[2032]]+scenario_indirect_prod_1610_iotable_2020_xlsx_3[[#This Row],[2032]]</f>
        <v>753.53977744918848</v>
      </c>
      <c r="J45">
        <f>scenario_indirect_prod_4506_iotable_2020_xlsx_3[[#This Row],[2033]]+scenario_indirect_prod_1610_iotable_2020_xlsx_3[[#This Row],[2033]]</f>
        <v>804.42211845509416</v>
      </c>
      <c r="K45">
        <f>scenario_indirect_prod_4506_iotable_2020_xlsx_3[[#This Row],[2034]]+scenario_indirect_prod_1610_iotable_2020_xlsx_3[[#This Row],[2034]]</f>
        <v>872.91030168586769</v>
      </c>
      <c r="L45">
        <f>scenario_indirect_prod_4506_iotable_2020_xlsx_3[[#This Row],[2035]]+scenario_indirect_prod_1610_iotable_2020_xlsx_3[[#This Row],[2035]]</f>
        <v>962.12090077928201</v>
      </c>
      <c r="M45">
        <f>scenario_indirect_prod_4506_iotable_2020_xlsx_3[[#This Row],[2036]]+scenario_indirect_prod_1610_iotable_2020_xlsx_3[[#This Row],[2036]]</f>
        <v>969.95199792598351</v>
      </c>
      <c r="N45">
        <f>scenario_indirect_prod_4506_iotable_2020_xlsx_3[[#This Row],[2037]]+scenario_indirect_prod_1610_iotable_2020_xlsx_3[[#This Row],[2037]]</f>
        <v>979.56527648080555</v>
      </c>
      <c r="O45">
        <f>scenario_indirect_prod_4506_iotable_2020_xlsx_3[[#This Row],[2038]]+scenario_indirect_prod_1610_iotable_2020_xlsx_3[[#This Row],[2038]]</f>
        <v>979.56527648080555</v>
      </c>
      <c r="P45">
        <f>scenario_indirect_prod_4506_iotable_2020_xlsx_3[[#This Row],[2039]]+scenario_indirect_prod_1610_iotable_2020_xlsx_3[[#This Row],[2039]]</f>
        <v>979.56527648080555</v>
      </c>
      <c r="Q45">
        <f>scenario_indirect_prod_4506_iotable_2020_xlsx_3[[#This Row],[2040]]+scenario_indirect_prod_1610_iotable_2020_xlsx_3[[#This Row],[2040]]</f>
        <v>987.53077032198098</v>
      </c>
      <c r="R45">
        <f>scenario_indirect_prod_4506_iotable_2020_xlsx_3[[#This Row],[2041]]+scenario_indirect_prod_1610_iotable_2020_xlsx_3[[#This Row],[2041]]</f>
        <v>987.53077032198098</v>
      </c>
      <c r="S45">
        <f>scenario_indirect_prod_4506_iotable_2020_xlsx_3[[#This Row],[2042]]+scenario_indirect_prod_1610_iotable_2020_xlsx_3[[#This Row],[2042]]</f>
        <v>997.81945177036073</v>
      </c>
      <c r="T45">
        <f>scenario_indirect_prod_4506_iotable_2020_xlsx_3[[#This Row],[2043]]+scenario_indirect_prod_1610_iotable_2020_xlsx_3[[#This Row],[2043]]</f>
        <v>997.81945177036073</v>
      </c>
      <c r="U45">
        <f>scenario_indirect_prod_4506_iotable_2020_xlsx_3[[#This Row],[2044]]+scenario_indirect_prod_1610_iotable_2020_xlsx_3[[#This Row],[2044]]</f>
        <v>1003.0737689178172</v>
      </c>
      <c r="V45">
        <f>scenario_indirect_prod_4506_iotable_2020_xlsx_3[[#This Row],[2045]]+scenario_indirect_prod_1610_iotable_2020_xlsx_3[[#This Row],[2045]]</f>
        <v>1003.0737689178172</v>
      </c>
      <c r="W45">
        <f>scenario_indirect_prod_4506_iotable_2020_xlsx_3[[#This Row],[2046]]+scenario_indirect_prod_1610_iotable_2020_xlsx_3[[#This Row],[2046]]</f>
        <v>1008.9851255935323</v>
      </c>
      <c r="X45">
        <f>scenario_indirect_prod_4506_iotable_2020_xlsx_3[[#This Row],[2047]]+scenario_indirect_prod_1610_iotable_2020_xlsx_3[[#This Row],[2047]]</f>
        <v>1008.9851255935323</v>
      </c>
      <c r="Y45">
        <f>scenario_indirect_prod_4506_iotable_2020_xlsx_3[[#This Row],[2048]]+scenario_indirect_prod_1610_iotable_2020_xlsx_3[[#This Row],[2048]]</f>
        <v>1008.9851255935323</v>
      </c>
      <c r="Z45">
        <f>scenario_indirect_prod_4506_iotable_2020_xlsx_3[[#This Row],[2049]]+scenario_indirect_prod_1610_iotable_2020_xlsx_3[[#This Row],[2049]]</f>
        <v>1008.9851255935323</v>
      </c>
      <c r="AA45">
        <f>scenario_indirect_prod_4506_iotable_2020_xlsx_3[[#This Row],[2050]]+scenario_indirect_prod_1610_iotable_2020_xlsx_3[[#This Row],[2050]]</f>
        <v>1008.9851255935323</v>
      </c>
    </row>
    <row r="46" spans="1:27" x14ac:dyDescent="0.2">
      <c r="A46" t="s">
        <v>797</v>
      </c>
      <c r="B46" t="s">
        <v>798</v>
      </c>
      <c r="C46">
        <f>scenario_indirect_prod_4506_iotable_2020_xlsx_3[[#This Row],[2026]]+scenario_indirect_prod_1610_iotable_2020_xlsx_3[[#This Row],[2026]]</f>
        <v>1255.4578318250772</v>
      </c>
      <c r="D46">
        <f>scenario_indirect_prod_4506_iotable_2020_xlsx_3[[#This Row],[2027]]+scenario_indirect_prod_1610_iotable_2020_xlsx_3[[#This Row],[2027]]</f>
        <v>1229.6848197310565</v>
      </c>
      <c r="E46">
        <f>scenario_indirect_prod_4506_iotable_2020_xlsx_3[[#This Row],[2028]]+scenario_indirect_prod_1610_iotable_2020_xlsx_3[[#This Row],[2028]]</f>
        <v>1292.8368902033426</v>
      </c>
      <c r="F46">
        <f>scenario_indirect_prod_4506_iotable_2020_xlsx_3[[#This Row],[2029]]+scenario_indirect_prod_1610_iotable_2020_xlsx_3[[#This Row],[2029]]</f>
        <v>1327.483028805601</v>
      </c>
      <c r="G46">
        <f>scenario_indirect_prod_4506_iotable_2020_xlsx_3[[#This Row],[2030]]+scenario_indirect_prod_1610_iotable_2020_xlsx_3[[#This Row],[2030]]</f>
        <v>1182.4643927193274</v>
      </c>
      <c r="H46">
        <f>scenario_indirect_prod_4506_iotable_2020_xlsx_3[[#This Row],[2031]]+scenario_indirect_prod_1610_iotable_2020_xlsx_3[[#This Row],[2031]]</f>
        <v>1267.6691422067788</v>
      </c>
      <c r="I46">
        <f>scenario_indirect_prod_4506_iotable_2020_xlsx_3[[#This Row],[2032]]+scenario_indirect_prod_1610_iotable_2020_xlsx_3[[#This Row],[2032]]</f>
        <v>1386.6651573177255</v>
      </c>
      <c r="J46">
        <f>scenario_indirect_prod_4506_iotable_2020_xlsx_3[[#This Row],[2033]]+scenario_indirect_prod_1610_iotable_2020_xlsx_3[[#This Row],[2033]]</f>
        <v>1521.9851664546775</v>
      </c>
      <c r="K46">
        <f>scenario_indirect_prod_4506_iotable_2020_xlsx_3[[#This Row],[2034]]+scenario_indirect_prod_1610_iotable_2020_xlsx_3[[#This Row],[2034]]</f>
        <v>1632.7171627457653</v>
      </c>
      <c r="L46">
        <f>scenario_indirect_prod_4506_iotable_2020_xlsx_3[[#This Row],[2035]]+scenario_indirect_prod_1610_iotable_2020_xlsx_3[[#This Row],[2035]]</f>
        <v>1844.1122932600795</v>
      </c>
      <c r="M46">
        <f>scenario_indirect_prod_4506_iotable_2020_xlsx_3[[#This Row],[2036]]+scenario_indirect_prod_1610_iotable_2020_xlsx_3[[#This Row],[2036]]</f>
        <v>1900.8555181003771</v>
      </c>
      <c r="N46">
        <f>scenario_indirect_prod_4506_iotable_2020_xlsx_3[[#This Row],[2037]]+scenario_indirect_prod_1610_iotable_2020_xlsx_3[[#This Row],[2037]]</f>
        <v>1954.9349375982333</v>
      </c>
      <c r="O46">
        <f>scenario_indirect_prod_4506_iotable_2020_xlsx_3[[#This Row],[2038]]+scenario_indirect_prod_1610_iotable_2020_xlsx_3[[#This Row],[2038]]</f>
        <v>1954.9349375982333</v>
      </c>
      <c r="P46">
        <f>scenario_indirect_prod_4506_iotable_2020_xlsx_3[[#This Row],[2039]]+scenario_indirect_prod_1610_iotable_2020_xlsx_3[[#This Row],[2039]]</f>
        <v>1954.9349375982333</v>
      </c>
      <c r="Q46">
        <f>scenario_indirect_prod_4506_iotable_2020_xlsx_3[[#This Row],[2040]]+scenario_indirect_prod_1610_iotable_2020_xlsx_3[[#This Row],[2040]]</f>
        <v>2001.6451542867394</v>
      </c>
      <c r="R46">
        <f>scenario_indirect_prod_4506_iotable_2020_xlsx_3[[#This Row],[2041]]+scenario_indirect_prod_1610_iotable_2020_xlsx_3[[#This Row],[2041]]</f>
        <v>2001.6451542867394</v>
      </c>
      <c r="S46">
        <f>scenario_indirect_prod_4506_iotable_2020_xlsx_3[[#This Row],[2042]]+scenario_indirect_prod_1610_iotable_2020_xlsx_3[[#This Row],[2042]]</f>
        <v>2055.6216345289217</v>
      </c>
      <c r="T46">
        <f>scenario_indirect_prod_4506_iotable_2020_xlsx_3[[#This Row],[2043]]+scenario_indirect_prod_1610_iotable_2020_xlsx_3[[#This Row],[2043]]</f>
        <v>2055.6216345289217</v>
      </c>
      <c r="U46">
        <f>scenario_indirect_prod_4506_iotable_2020_xlsx_3[[#This Row],[2044]]+scenario_indirect_prod_1610_iotable_2020_xlsx_3[[#This Row],[2044]]</f>
        <v>2099.6287933095964</v>
      </c>
      <c r="V46">
        <f>scenario_indirect_prod_4506_iotable_2020_xlsx_3[[#This Row],[2045]]+scenario_indirect_prod_1610_iotable_2020_xlsx_3[[#This Row],[2045]]</f>
        <v>2099.6287933095964</v>
      </c>
      <c r="W46">
        <f>scenario_indirect_prod_4506_iotable_2020_xlsx_3[[#This Row],[2046]]+scenario_indirect_prod_1610_iotable_2020_xlsx_3[[#This Row],[2046]]</f>
        <v>2139.4237350873868</v>
      </c>
      <c r="X46">
        <f>scenario_indirect_prod_4506_iotable_2020_xlsx_3[[#This Row],[2047]]+scenario_indirect_prod_1610_iotable_2020_xlsx_3[[#This Row],[2047]]</f>
        <v>2139.4237350873868</v>
      </c>
      <c r="Y46">
        <f>scenario_indirect_prod_4506_iotable_2020_xlsx_3[[#This Row],[2048]]+scenario_indirect_prod_1610_iotable_2020_xlsx_3[[#This Row],[2048]]</f>
        <v>2139.4237350873868</v>
      </c>
      <c r="Z46">
        <f>scenario_indirect_prod_4506_iotable_2020_xlsx_3[[#This Row],[2049]]+scenario_indirect_prod_1610_iotable_2020_xlsx_3[[#This Row],[2049]]</f>
        <v>2139.4237350873868</v>
      </c>
      <c r="AA46">
        <f>scenario_indirect_prod_4506_iotable_2020_xlsx_3[[#This Row],[2050]]+scenario_indirect_prod_1610_iotable_2020_xlsx_3[[#This Row],[2050]]</f>
        <v>2139.4237350873868</v>
      </c>
    </row>
    <row r="47" spans="1:27" x14ac:dyDescent="0.2">
      <c r="A47" t="s">
        <v>634</v>
      </c>
      <c r="B47" t="s">
        <v>635</v>
      </c>
      <c r="C47">
        <f>scenario_indirect_prod_4506_iotable_2020_xlsx_3[[#This Row],[2026]]+scenario_indirect_prod_1610_iotable_2020_xlsx_3[[#This Row],[2026]]</f>
        <v>4446.0184052511941</v>
      </c>
      <c r="D47">
        <f>scenario_indirect_prod_4506_iotable_2020_xlsx_3[[#This Row],[2027]]+scenario_indirect_prod_1610_iotable_2020_xlsx_3[[#This Row],[2027]]</f>
        <v>3914.4858928999465</v>
      </c>
      <c r="E47">
        <f>scenario_indirect_prod_4506_iotable_2020_xlsx_3[[#This Row],[2028]]+scenario_indirect_prod_1610_iotable_2020_xlsx_3[[#This Row],[2028]]</f>
        <v>4164.297047084232</v>
      </c>
      <c r="F47">
        <f>scenario_indirect_prod_4506_iotable_2020_xlsx_3[[#This Row],[2029]]+scenario_indirect_prod_1610_iotable_2020_xlsx_3[[#This Row],[2029]]</f>
        <v>4129.5142391542722</v>
      </c>
      <c r="G47">
        <f>scenario_indirect_prod_4506_iotable_2020_xlsx_3[[#This Row],[2030]]+scenario_indirect_prod_1610_iotable_2020_xlsx_3[[#This Row],[2030]]</f>
        <v>2099.3478881145138</v>
      </c>
      <c r="H47">
        <f>scenario_indirect_prod_4506_iotable_2020_xlsx_3[[#This Row],[2031]]+scenario_indirect_prod_1610_iotable_2020_xlsx_3[[#This Row],[2031]]</f>
        <v>2436.3930024276524</v>
      </c>
      <c r="I47">
        <f>scenario_indirect_prod_4506_iotable_2020_xlsx_3[[#This Row],[2032]]+scenario_indirect_prod_1610_iotable_2020_xlsx_3[[#This Row],[2032]]</f>
        <v>2907.1064985313387</v>
      </c>
      <c r="J47">
        <f>scenario_indirect_prod_4506_iotable_2020_xlsx_3[[#This Row],[2033]]+scenario_indirect_prod_1610_iotable_2020_xlsx_3[[#This Row],[2033]]</f>
        <v>2629.8739793847908</v>
      </c>
      <c r="K47">
        <f>scenario_indirect_prod_4506_iotable_2020_xlsx_3[[#This Row],[2034]]+scenario_indirect_prod_1610_iotable_2020_xlsx_3[[#This Row],[2034]]</f>
        <v>3067.8974296332817</v>
      </c>
      <c r="L47">
        <f>scenario_indirect_prod_4506_iotable_2020_xlsx_3[[#This Row],[2035]]+scenario_indirect_prod_1610_iotable_2020_xlsx_3[[#This Row],[2035]]</f>
        <v>2875.5627893356959</v>
      </c>
      <c r="M47">
        <f>scenario_indirect_prod_4506_iotable_2020_xlsx_3[[#This Row],[2036]]+scenario_indirect_prod_1610_iotable_2020_xlsx_3[[#This Row],[2036]]</f>
        <v>2424.9010947185197</v>
      </c>
      <c r="N47">
        <f>scenario_indirect_prod_4506_iotable_2020_xlsx_3[[#This Row],[2037]]+scenario_indirect_prod_1610_iotable_2020_xlsx_3[[#This Row],[2037]]</f>
        <v>2048.628514204047</v>
      </c>
      <c r="O47">
        <f>scenario_indirect_prod_4506_iotable_2020_xlsx_3[[#This Row],[2038]]+scenario_indirect_prod_1610_iotable_2020_xlsx_3[[#This Row],[2038]]</f>
        <v>2048.628514204047</v>
      </c>
      <c r="P47">
        <f>scenario_indirect_prod_4506_iotable_2020_xlsx_3[[#This Row],[2039]]+scenario_indirect_prod_1610_iotable_2020_xlsx_3[[#This Row],[2039]]</f>
        <v>2048.628514204047</v>
      </c>
      <c r="Q47">
        <f>scenario_indirect_prod_4506_iotable_2020_xlsx_3[[#This Row],[2040]]+scenario_indirect_prod_1610_iotable_2020_xlsx_3[[#This Row],[2040]]</f>
        <v>1715.2642652788545</v>
      </c>
      <c r="R47">
        <f>scenario_indirect_prod_4506_iotable_2020_xlsx_3[[#This Row],[2041]]+scenario_indirect_prod_1610_iotable_2020_xlsx_3[[#This Row],[2041]]</f>
        <v>1715.2642652788545</v>
      </c>
      <c r="S47">
        <f>scenario_indirect_prod_4506_iotable_2020_xlsx_3[[#This Row],[2042]]+scenario_indirect_prod_1610_iotable_2020_xlsx_3[[#This Row],[2042]]</f>
        <v>1356.8850975760433</v>
      </c>
      <c r="T47">
        <f>scenario_indirect_prod_4506_iotable_2020_xlsx_3[[#This Row],[2043]]+scenario_indirect_prod_1610_iotable_2020_xlsx_3[[#This Row],[2043]]</f>
        <v>1356.8850975760433</v>
      </c>
      <c r="U47">
        <f>scenario_indirect_prod_4506_iotable_2020_xlsx_3[[#This Row],[2044]]+scenario_indirect_prod_1610_iotable_2020_xlsx_3[[#This Row],[2044]]</f>
        <v>987.09296793638714</v>
      </c>
      <c r="V47">
        <f>scenario_indirect_prod_4506_iotable_2020_xlsx_3[[#This Row],[2045]]+scenario_indirect_prod_1610_iotable_2020_xlsx_3[[#This Row],[2045]]</f>
        <v>987.09296793638714</v>
      </c>
      <c r="W47">
        <f>scenario_indirect_prod_4506_iotable_2020_xlsx_3[[#This Row],[2046]]+scenario_indirect_prod_1610_iotable_2020_xlsx_3[[#This Row],[2046]]</f>
        <v>681.41872422209053</v>
      </c>
      <c r="X47">
        <f>scenario_indirect_prod_4506_iotable_2020_xlsx_3[[#This Row],[2047]]+scenario_indirect_prod_1610_iotable_2020_xlsx_3[[#This Row],[2047]]</f>
        <v>681.41872422209053</v>
      </c>
      <c r="Y47">
        <f>scenario_indirect_prod_4506_iotable_2020_xlsx_3[[#This Row],[2048]]+scenario_indirect_prod_1610_iotable_2020_xlsx_3[[#This Row],[2048]]</f>
        <v>681.41872422209053</v>
      </c>
      <c r="Z47">
        <f>scenario_indirect_prod_4506_iotable_2020_xlsx_3[[#This Row],[2049]]+scenario_indirect_prod_1610_iotable_2020_xlsx_3[[#This Row],[2049]]</f>
        <v>681.41872422209053</v>
      </c>
      <c r="AA47">
        <f>scenario_indirect_prod_4506_iotable_2020_xlsx_3[[#This Row],[2050]]+scenario_indirect_prod_1610_iotable_2020_xlsx_3[[#This Row],[2050]]</f>
        <v>681.41872422209053</v>
      </c>
    </row>
    <row r="48" spans="1:27" x14ac:dyDescent="0.2">
      <c r="A48" t="s">
        <v>811</v>
      </c>
      <c r="B48" t="s">
        <v>812</v>
      </c>
      <c r="C48">
        <f>scenario_indirect_prod_4506_iotable_2020_xlsx_3[[#This Row],[2026]]+scenario_indirect_prod_1610_iotable_2020_xlsx_3[[#This Row],[2026]]</f>
        <v>1119.0812306818123</v>
      </c>
      <c r="D48">
        <f>scenario_indirect_prod_4506_iotable_2020_xlsx_3[[#This Row],[2027]]+scenario_indirect_prod_1610_iotable_2020_xlsx_3[[#This Row],[2027]]</f>
        <v>1086.3480853872061</v>
      </c>
      <c r="E48">
        <f>scenario_indirect_prod_4506_iotable_2020_xlsx_3[[#This Row],[2028]]+scenario_indirect_prod_1610_iotable_2020_xlsx_3[[#This Row],[2028]]</f>
        <v>1143.2202203035145</v>
      </c>
      <c r="F48">
        <f>scenario_indirect_prod_4506_iotable_2020_xlsx_3[[#This Row],[2029]]+scenario_indirect_prod_1610_iotable_2020_xlsx_3[[#This Row],[2029]]</f>
        <v>1170.6118792100142</v>
      </c>
      <c r="G48">
        <f>scenario_indirect_prod_4506_iotable_2020_xlsx_3[[#This Row],[2030]]+scenario_indirect_prod_1610_iotable_2020_xlsx_3[[#This Row],[2030]]</f>
        <v>1007.7258640443536</v>
      </c>
      <c r="H48">
        <f>scenario_indirect_prod_4506_iotable_2020_xlsx_3[[#This Row],[2031]]+scenario_indirect_prod_1610_iotable_2020_xlsx_3[[#This Row],[2031]]</f>
        <v>1084.4577268656551</v>
      </c>
      <c r="I48">
        <f>scenario_indirect_prod_4506_iotable_2020_xlsx_3[[#This Row],[2032]]+scenario_indirect_prod_1610_iotable_2020_xlsx_3[[#This Row],[2032]]</f>
        <v>1191.6206017370775</v>
      </c>
      <c r="J48">
        <f>scenario_indirect_prod_4506_iotable_2020_xlsx_3[[#This Row],[2033]]+scenario_indirect_prod_1610_iotable_2020_xlsx_3[[#This Row],[2033]]</f>
        <v>1295.4721431733358</v>
      </c>
      <c r="K48">
        <f>scenario_indirect_prod_4506_iotable_2020_xlsx_3[[#This Row],[2034]]+scenario_indirect_prod_1610_iotable_2020_xlsx_3[[#This Row],[2034]]</f>
        <v>1395.192785513678</v>
      </c>
      <c r="L48">
        <f>scenario_indirect_prod_4506_iotable_2020_xlsx_3[[#This Row],[2035]]+scenario_indirect_prod_1610_iotable_2020_xlsx_3[[#This Row],[2035]]</f>
        <v>1562.765370668692</v>
      </c>
      <c r="M48">
        <f>scenario_indirect_prod_4506_iotable_2020_xlsx_3[[#This Row],[2036]]+scenario_indirect_prod_1610_iotable_2020_xlsx_3[[#This Row],[2036]]</f>
        <v>1598.8997718430073</v>
      </c>
      <c r="N48">
        <f>scenario_indirect_prod_4506_iotable_2020_xlsx_3[[#This Row],[2037]]+scenario_indirect_prod_1610_iotable_2020_xlsx_3[[#This Row],[2037]]</f>
        <v>1634.5179208038853</v>
      </c>
      <c r="O48">
        <f>scenario_indirect_prod_4506_iotable_2020_xlsx_3[[#This Row],[2038]]+scenario_indirect_prod_1610_iotable_2020_xlsx_3[[#This Row],[2038]]</f>
        <v>1634.5179208038853</v>
      </c>
      <c r="P48">
        <f>scenario_indirect_prod_4506_iotable_2020_xlsx_3[[#This Row],[2039]]+scenario_indirect_prod_1610_iotable_2020_xlsx_3[[#This Row],[2039]]</f>
        <v>1634.5179208038853</v>
      </c>
      <c r="Q48">
        <f>scenario_indirect_prod_4506_iotable_2020_xlsx_3[[#This Row],[2040]]+scenario_indirect_prod_1610_iotable_2020_xlsx_3[[#This Row],[2040]]</f>
        <v>1665.097080770282</v>
      </c>
      <c r="R48">
        <f>scenario_indirect_prod_4506_iotable_2020_xlsx_3[[#This Row],[2041]]+scenario_indirect_prod_1610_iotable_2020_xlsx_3[[#This Row],[2041]]</f>
        <v>1665.097080770282</v>
      </c>
      <c r="S48">
        <f>scenario_indirect_prod_4506_iotable_2020_xlsx_3[[#This Row],[2042]]+scenario_indirect_prod_1610_iotable_2020_xlsx_3[[#This Row],[2042]]</f>
        <v>1701.0282176502456</v>
      </c>
      <c r="T48">
        <f>scenario_indirect_prod_4506_iotable_2020_xlsx_3[[#This Row],[2043]]+scenario_indirect_prod_1610_iotable_2020_xlsx_3[[#This Row],[2043]]</f>
        <v>1701.0282176502456</v>
      </c>
      <c r="U48">
        <f>scenario_indirect_prod_4506_iotable_2020_xlsx_3[[#This Row],[2044]]+scenario_indirect_prod_1610_iotable_2020_xlsx_3[[#This Row],[2044]]</f>
        <v>1728.6026101015332</v>
      </c>
      <c r="V48">
        <f>scenario_indirect_prod_4506_iotable_2020_xlsx_3[[#This Row],[2045]]+scenario_indirect_prod_1610_iotable_2020_xlsx_3[[#This Row],[2045]]</f>
        <v>1728.6026101015332</v>
      </c>
      <c r="W48">
        <f>scenario_indirect_prod_4506_iotable_2020_xlsx_3[[#This Row],[2046]]+scenario_indirect_prod_1610_iotable_2020_xlsx_3[[#This Row],[2046]]</f>
        <v>1754.1744022377561</v>
      </c>
      <c r="X48">
        <f>scenario_indirect_prod_4506_iotable_2020_xlsx_3[[#This Row],[2047]]+scenario_indirect_prod_1610_iotable_2020_xlsx_3[[#This Row],[2047]]</f>
        <v>1754.1744022377561</v>
      </c>
      <c r="Y48">
        <f>scenario_indirect_prod_4506_iotable_2020_xlsx_3[[#This Row],[2048]]+scenario_indirect_prod_1610_iotable_2020_xlsx_3[[#This Row],[2048]]</f>
        <v>1754.1744022377561</v>
      </c>
      <c r="Z48">
        <f>scenario_indirect_prod_4506_iotable_2020_xlsx_3[[#This Row],[2049]]+scenario_indirect_prod_1610_iotable_2020_xlsx_3[[#This Row],[2049]]</f>
        <v>1754.1744022377561</v>
      </c>
      <c r="AA48">
        <f>scenario_indirect_prod_4506_iotable_2020_xlsx_3[[#This Row],[2050]]+scenario_indirect_prod_1610_iotable_2020_xlsx_3[[#This Row],[2050]]</f>
        <v>1754.1744022377561</v>
      </c>
    </row>
    <row r="49" spans="1:27" x14ac:dyDescent="0.2">
      <c r="A49" t="s">
        <v>559</v>
      </c>
      <c r="B49" t="s">
        <v>560</v>
      </c>
      <c r="C49">
        <f>scenario_indirect_prod_4506_iotable_2020_xlsx_3[[#This Row],[2026]]+scenario_indirect_prod_1610_iotable_2020_xlsx_3[[#This Row],[2026]]</f>
        <v>8981.172433089776</v>
      </c>
      <c r="D49">
        <f>scenario_indirect_prod_4506_iotable_2020_xlsx_3[[#This Row],[2027]]+scenario_indirect_prod_1610_iotable_2020_xlsx_3[[#This Row],[2027]]</f>
        <v>9156.3358020008618</v>
      </c>
      <c r="E49">
        <f>scenario_indirect_prod_4506_iotable_2020_xlsx_3[[#This Row],[2028]]+scenario_indirect_prod_1610_iotable_2020_xlsx_3[[#This Row],[2028]]</f>
        <v>9586.7375326760066</v>
      </c>
      <c r="F49">
        <f>scenario_indirect_prod_4506_iotable_2020_xlsx_3[[#This Row],[2029]]+scenario_indirect_prod_1610_iotable_2020_xlsx_3[[#This Row],[2029]]</f>
        <v>9963.188060827315</v>
      </c>
      <c r="G49">
        <f>scenario_indirect_prod_4506_iotable_2020_xlsx_3[[#This Row],[2030]]+scenario_indirect_prod_1610_iotable_2020_xlsx_3[[#This Row],[2030]]</f>
        <v>10164.290759461215</v>
      </c>
      <c r="H49">
        <f>scenario_indirect_prod_4506_iotable_2020_xlsx_3[[#This Row],[2031]]+scenario_indirect_prod_1610_iotable_2020_xlsx_3[[#This Row],[2031]]</f>
        <v>10744.988610962931</v>
      </c>
      <c r="I49">
        <f>scenario_indirect_prod_4506_iotable_2020_xlsx_3[[#This Row],[2032]]+scenario_indirect_prod_1610_iotable_2020_xlsx_3[[#This Row],[2032]]</f>
        <v>11555.984837439355</v>
      </c>
      <c r="J49">
        <f>scenario_indirect_prod_4506_iotable_2020_xlsx_3[[#This Row],[2033]]+scenario_indirect_prod_1610_iotable_2020_xlsx_3[[#This Row],[2033]]</f>
        <v>13141.771570374112</v>
      </c>
      <c r="K49">
        <f>scenario_indirect_prod_4506_iotable_2020_xlsx_3[[#This Row],[2034]]+scenario_indirect_prod_1610_iotable_2020_xlsx_3[[#This Row],[2034]]</f>
        <v>13896.445842941514</v>
      </c>
      <c r="L49">
        <f>scenario_indirect_prod_4506_iotable_2020_xlsx_3[[#This Row],[2035]]+scenario_indirect_prod_1610_iotable_2020_xlsx_3[[#This Row],[2035]]</f>
        <v>16177.130791145748</v>
      </c>
      <c r="M49">
        <f>scenario_indirect_prod_4506_iotable_2020_xlsx_3[[#This Row],[2036]]+scenario_indirect_prod_1610_iotable_2020_xlsx_3[[#This Row],[2036]]</f>
        <v>17115.186689129157</v>
      </c>
      <c r="N49">
        <f>scenario_indirect_prod_4506_iotable_2020_xlsx_3[[#This Row],[2037]]+scenario_indirect_prod_1610_iotable_2020_xlsx_3[[#This Row],[2037]]</f>
        <v>17965.733458873678</v>
      </c>
      <c r="O49">
        <f>scenario_indirect_prod_4506_iotable_2020_xlsx_3[[#This Row],[2038]]+scenario_indirect_prod_1610_iotable_2020_xlsx_3[[#This Row],[2038]]</f>
        <v>17965.733458873678</v>
      </c>
      <c r="P49">
        <f>scenario_indirect_prod_4506_iotable_2020_xlsx_3[[#This Row],[2039]]+scenario_indirect_prod_1610_iotable_2020_xlsx_3[[#This Row],[2039]]</f>
        <v>17965.733458873678</v>
      </c>
      <c r="Q49">
        <f>scenario_indirect_prod_4506_iotable_2020_xlsx_3[[#This Row],[2040]]+scenario_indirect_prod_1610_iotable_2020_xlsx_3[[#This Row],[2040]]</f>
        <v>18707.210526251147</v>
      </c>
      <c r="R49">
        <f>scenario_indirect_prod_4506_iotable_2020_xlsx_3[[#This Row],[2041]]+scenario_indirect_prod_1610_iotable_2020_xlsx_3[[#This Row],[2041]]</f>
        <v>18707.210526251147</v>
      </c>
      <c r="S49">
        <f>scenario_indirect_prod_4506_iotable_2020_xlsx_3[[#This Row],[2042]]+scenario_indirect_prod_1610_iotable_2020_xlsx_3[[#This Row],[2042]]</f>
        <v>19542.110682276078</v>
      </c>
      <c r="T49">
        <f>scenario_indirect_prod_4506_iotable_2020_xlsx_3[[#This Row],[2043]]+scenario_indirect_prod_1610_iotable_2020_xlsx_3[[#This Row],[2043]]</f>
        <v>19542.110682276078</v>
      </c>
      <c r="U49">
        <f>scenario_indirect_prod_4506_iotable_2020_xlsx_3[[#This Row],[2044]]+scenario_indirect_prod_1610_iotable_2020_xlsx_3[[#This Row],[2044]]</f>
        <v>20286.182127718108</v>
      </c>
      <c r="V49">
        <f>scenario_indirect_prod_4506_iotable_2020_xlsx_3[[#This Row],[2045]]+scenario_indirect_prod_1610_iotable_2020_xlsx_3[[#This Row],[2045]]</f>
        <v>20286.182127718108</v>
      </c>
      <c r="W49">
        <f>scenario_indirect_prod_4506_iotable_2020_xlsx_3[[#This Row],[2046]]+scenario_indirect_prod_1610_iotable_2020_xlsx_3[[#This Row],[2046]]</f>
        <v>20935.577451943074</v>
      </c>
      <c r="X49">
        <f>scenario_indirect_prod_4506_iotable_2020_xlsx_3[[#This Row],[2047]]+scenario_indirect_prod_1610_iotable_2020_xlsx_3[[#This Row],[2047]]</f>
        <v>20935.577451943074</v>
      </c>
      <c r="Y49">
        <f>scenario_indirect_prod_4506_iotable_2020_xlsx_3[[#This Row],[2048]]+scenario_indirect_prod_1610_iotable_2020_xlsx_3[[#This Row],[2048]]</f>
        <v>20935.577451943074</v>
      </c>
      <c r="Z49">
        <f>scenario_indirect_prod_4506_iotable_2020_xlsx_3[[#This Row],[2049]]+scenario_indirect_prod_1610_iotable_2020_xlsx_3[[#This Row],[2049]]</f>
        <v>20935.577451943074</v>
      </c>
      <c r="AA49">
        <f>scenario_indirect_prod_4506_iotable_2020_xlsx_3[[#This Row],[2050]]+scenario_indirect_prod_1610_iotable_2020_xlsx_3[[#This Row],[2050]]</f>
        <v>20935.577451943074</v>
      </c>
    </row>
    <row r="50" spans="1:27" x14ac:dyDescent="0.2">
      <c r="A50" t="s">
        <v>336</v>
      </c>
      <c r="B50" t="s">
        <v>337</v>
      </c>
      <c r="C50">
        <f>scenario_indirect_prod_4506_iotable_2020_xlsx_3[[#This Row],[2026]]+scenario_indirect_prod_1610_iotable_2020_xlsx_3[[#This Row],[2026]]</f>
        <v>1036044.5722191925</v>
      </c>
      <c r="D50">
        <f>scenario_indirect_prod_4506_iotable_2020_xlsx_3[[#This Row],[2027]]+scenario_indirect_prod_1610_iotable_2020_xlsx_3[[#This Row],[2027]]</f>
        <v>1130191.179837554</v>
      </c>
      <c r="E50">
        <f>scenario_indirect_prod_4506_iotable_2020_xlsx_3[[#This Row],[2028]]+scenario_indirect_prod_1610_iotable_2020_xlsx_3[[#This Row],[2028]]</f>
        <v>1175446.476763393</v>
      </c>
      <c r="F50">
        <f>scenario_indirect_prod_4506_iotable_2020_xlsx_3[[#This Row],[2029]]+scenario_indirect_prod_1610_iotable_2020_xlsx_3[[#This Row],[2029]]</f>
        <v>1245320.4959391479</v>
      </c>
      <c r="G50">
        <f>scenario_indirect_prod_4506_iotable_2020_xlsx_3[[#This Row],[2030]]+scenario_indirect_prod_1610_iotable_2020_xlsx_3[[#This Row],[2030]]</f>
        <v>1523227.1860039807</v>
      </c>
      <c r="H50">
        <f>scenario_indirect_prod_4506_iotable_2020_xlsx_3[[#This Row],[2031]]+scenario_indirect_prod_1610_iotable_2020_xlsx_3[[#This Row],[2031]]</f>
        <v>1584285.6154221983</v>
      </c>
      <c r="I50">
        <f>scenario_indirect_prod_4506_iotable_2020_xlsx_3[[#This Row],[2032]]+scenario_indirect_prod_1610_iotable_2020_xlsx_3[[#This Row],[2032]]</f>
        <v>1669559.1457524633</v>
      </c>
      <c r="J50">
        <f>scenario_indirect_prod_4506_iotable_2020_xlsx_3[[#This Row],[2033]]+scenario_indirect_prod_1610_iotable_2020_xlsx_3[[#This Row],[2033]]</f>
        <v>1979534.0224908676</v>
      </c>
      <c r="K50">
        <f>scenario_indirect_prod_4506_iotable_2020_xlsx_3[[#This Row],[2034]]+scenario_indirect_prod_1610_iotable_2020_xlsx_3[[#This Row],[2034]]</f>
        <v>2058885.4884660526</v>
      </c>
      <c r="L50">
        <f>scenario_indirect_prod_4506_iotable_2020_xlsx_3[[#This Row],[2035]]+scenario_indirect_prod_1610_iotable_2020_xlsx_3[[#This Row],[2035]]</f>
        <v>2480009.9250364187</v>
      </c>
      <c r="M50">
        <f>scenario_indirect_prod_4506_iotable_2020_xlsx_3[[#This Row],[2036]]+scenario_indirect_prod_1610_iotable_2020_xlsx_3[[#This Row],[2036]]</f>
        <v>2697656.9661676381</v>
      </c>
      <c r="N50">
        <f>scenario_indirect_prod_4506_iotable_2020_xlsx_3[[#This Row],[2037]]+scenario_indirect_prod_1610_iotable_2020_xlsx_3[[#This Row],[2037]]</f>
        <v>2891131.4934797678</v>
      </c>
      <c r="O50">
        <f>scenario_indirect_prod_4506_iotable_2020_xlsx_3[[#This Row],[2038]]+scenario_indirect_prod_1610_iotable_2020_xlsx_3[[#This Row],[2038]]</f>
        <v>2891131.4934797678</v>
      </c>
      <c r="P50">
        <f>scenario_indirect_prod_4506_iotable_2020_xlsx_3[[#This Row],[2039]]+scenario_indirect_prod_1610_iotable_2020_xlsx_3[[#This Row],[2039]]</f>
        <v>2891131.4934797678</v>
      </c>
      <c r="Q50">
        <f>scenario_indirect_prod_4506_iotable_2020_xlsx_3[[#This Row],[2040]]+scenario_indirect_prod_1610_iotable_2020_xlsx_3[[#This Row],[2040]]</f>
        <v>3060434.8476717416</v>
      </c>
      <c r="R50">
        <f>scenario_indirect_prod_4506_iotable_2020_xlsx_3[[#This Row],[2041]]+scenario_indirect_prod_1610_iotable_2020_xlsx_3[[#This Row],[2041]]</f>
        <v>3060434.8476717416</v>
      </c>
      <c r="S50">
        <f>scenario_indirect_prod_4506_iotable_2020_xlsx_3[[#This Row],[2042]]+scenario_indirect_prod_1610_iotable_2020_xlsx_3[[#This Row],[2042]]</f>
        <v>3249038.0670387568</v>
      </c>
      <c r="T50">
        <f>scenario_indirect_prod_4506_iotable_2020_xlsx_3[[#This Row],[2043]]+scenario_indirect_prod_1610_iotable_2020_xlsx_3[[#This Row],[2043]]</f>
        <v>3249038.0670387568</v>
      </c>
      <c r="U50">
        <f>scenario_indirect_prod_4506_iotable_2020_xlsx_3[[#This Row],[2044]]+scenario_indirect_prod_1610_iotable_2020_xlsx_3[[#This Row],[2044]]</f>
        <v>3423150.9658392174</v>
      </c>
      <c r="V50">
        <f>scenario_indirect_prod_4506_iotable_2020_xlsx_3[[#This Row],[2045]]+scenario_indirect_prod_1610_iotable_2020_xlsx_3[[#This Row],[2045]]</f>
        <v>3423150.9658392174</v>
      </c>
      <c r="W50">
        <f>scenario_indirect_prod_4506_iotable_2020_xlsx_3[[#This Row],[2046]]+scenario_indirect_prod_1610_iotable_2020_xlsx_3[[#This Row],[2046]]</f>
        <v>3573068.6711163651</v>
      </c>
      <c r="X50">
        <f>scenario_indirect_prod_4506_iotable_2020_xlsx_3[[#This Row],[2047]]+scenario_indirect_prod_1610_iotable_2020_xlsx_3[[#This Row],[2047]]</f>
        <v>3573068.6711163651</v>
      </c>
      <c r="Y50">
        <f>scenario_indirect_prod_4506_iotable_2020_xlsx_3[[#This Row],[2048]]+scenario_indirect_prod_1610_iotable_2020_xlsx_3[[#This Row],[2048]]</f>
        <v>3573068.6711163651</v>
      </c>
      <c r="Z50">
        <f>scenario_indirect_prod_4506_iotable_2020_xlsx_3[[#This Row],[2049]]+scenario_indirect_prod_1610_iotable_2020_xlsx_3[[#This Row],[2049]]</f>
        <v>3573068.6711163651</v>
      </c>
      <c r="AA50">
        <f>scenario_indirect_prod_4506_iotable_2020_xlsx_3[[#This Row],[2050]]+scenario_indirect_prod_1610_iotable_2020_xlsx_3[[#This Row],[2050]]</f>
        <v>3573068.6711163651</v>
      </c>
    </row>
    <row r="51" spans="1:27" x14ac:dyDescent="0.2">
      <c r="A51" t="s">
        <v>575</v>
      </c>
      <c r="B51" t="s">
        <v>576</v>
      </c>
      <c r="C51">
        <f>scenario_indirect_prod_4506_iotable_2020_xlsx_3[[#This Row],[2026]]+scenario_indirect_prod_1610_iotable_2020_xlsx_3[[#This Row],[2026]]</f>
        <v>7274.5811584823969</v>
      </c>
      <c r="D51">
        <f>scenario_indirect_prod_4506_iotable_2020_xlsx_3[[#This Row],[2027]]+scenario_indirect_prod_1610_iotable_2020_xlsx_3[[#This Row],[2027]]</f>
        <v>6908.9676907874191</v>
      </c>
      <c r="E51">
        <f>scenario_indirect_prod_4506_iotable_2020_xlsx_3[[#This Row],[2028]]+scenario_indirect_prod_1610_iotable_2020_xlsx_3[[#This Row],[2028]]</f>
        <v>7287.7484149357679</v>
      </c>
      <c r="F51">
        <f>scenario_indirect_prod_4506_iotable_2020_xlsx_3[[#This Row],[2029]]+scenario_indirect_prod_1610_iotable_2020_xlsx_3[[#This Row],[2029]]</f>
        <v>7411.1413291182125</v>
      </c>
      <c r="G51">
        <f>scenario_indirect_prod_4506_iotable_2020_xlsx_3[[#This Row],[2030]]+scenario_indirect_prod_1610_iotable_2020_xlsx_3[[#This Row],[2030]]</f>
        <v>5825.8291846562242</v>
      </c>
      <c r="H51">
        <f>scenario_indirect_prod_4506_iotable_2020_xlsx_3[[#This Row],[2031]]+scenario_indirect_prod_1610_iotable_2020_xlsx_3[[#This Row],[2031]]</f>
        <v>6336.8799937646727</v>
      </c>
      <c r="I51">
        <f>scenario_indirect_prod_4506_iotable_2020_xlsx_3[[#This Row],[2032]]+scenario_indirect_prod_1610_iotable_2020_xlsx_3[[#This Row],[2032]]</f>
        <v>7050.607927582334</v>
      </c>
      <c r="J51">
        <f>scenario_indirect_prod_4506_iotable_2020_xlsx_3[[#This Row],[2033]]+scenario_indirect_prod_1610_iotable_2020_xlsx_3[[#This Row],[2033]]</f>
        <v>7463.1015419665873</v>
      </c>
      <c r="K51">
        <f>scenario_indirect_prod_4506_iotable_2020_xlsx_3[[#This Row],[2034]]+scenario_indirect_prod_1610_iotable_2020_xlsx_3[[#This Row],[2034]]</f>
        <v>8127.2625968275952</v>
      </c>
      <c r="L51">
        <f>scenario_indirect_prod_4506_iotable_2020_xlsx_3[[#This Row],[2035]]+scenario_indirect_prod_1610_iotable_2020_xlsx_3[[#This Row],[2035]]</f>
        <v>8889.9235506275309</v>
      </c>
      <c r="M51">
        <f>scenario_indirect_prod_4506_iotable_2020_xlsx_3[[#This Row],[2036]]+scenario_indirect_prod_1610_iotable_2020_xlsx_3[[#This Row],[2036]]</f>
        <v>8898.6159529706183</v>
      </c>
      <c r="N51">
        <f>scenario_indirect_prod_4506_iotable_2020_xlsx_3[[#This Row],[2037]]+scenario_indirect_prod_1610_iotable_2020_xlsx_3[[#This Row],[2037]]</f>
        <v>8933.0505519608796</v>
      </c>
      <c r="O51">
        <f>scenario_indirect_prod_4506_iotable_2020_xlsx_3[[#This Row],[2038]]+scenario_indirect_prod_1610_iotable_2020_xlsx_3[[#This Row],[2038]]</f>
        <v>8933.0505519608796</v>
      </c>
      <c r="P51">
        <f>scenario_indirect_prod_4506_iotable_2020_xlsx_3[[#This Row],[2039]]+scenario_indirect_prod_1610_iotable_2020_xlsx_3[[#This Row],[2039]]</f>
        <v>8933.0505519608796</v>
      </c>
      <c r="Q51">
        <f>scenario_indirect_prod_4506_iotable_2020_xlsx_3[[#This Row],[2040]]+scenario_indirect_prod_1610_iotable_2020_xlsx_3[[#This Row],[2040]]</f>
        <v>8958.6836554676411</v>
      </c>
      <c r="R51">
        <f>scenario_indirect_prod_4506_iotable_2020_xlsx_3[[#This Row],[2041]]+scenario_indirect_prod_1610_iotable_2020_xlsx_3[[#This Row],[2041]]</f>
        <v>8958.6836554676411</v>
      </c>
      <c r="S51">
        <f>scenario_indirect_prod_4506_iotable_2020_xlsx_3[[#This Row],[2042]]+scenario_indirect_prod_1610_iotable_2020_xlsx_3[[#This Row],[2042]]</f>
        <v>9001.4908800351222</v>
      </c>
      <c r="T51">
        <f>scenario_indirect_prod_4506_iotable_2020_xlsx_3[[#This Row],[2043]]+scenario_indirect_prod_1610_iotable_2020_xlsx_3[[#This Row],[2043]]</f>
        <v>9001.4908800351222</v>
      </c>
      <c r="U51">
        <f>scenario_indirect_prod_4506_iotable_2020_xlsx_3[[#This Row],[2044]]+scenario_indirect_prod_1610_iotable_2020_xlsx_3[[#This Row],[2044]]</f>
        <v>8998.2689518698535</v>
      </c>
      <c r="V51">
        <f>scenario_indirect_prod_4506_iotable_2020_xlsx_3[[#This Row],[2045]]+scenario_indirect_prod_1610_iotable_2020_xlsx_3[[#This Row],[2045]]</f>
        <v>8998.2689518698535</v>
      </c>
      <c r="W51">
        <f>scenario_indirect_prod_4506_iotable_2020_xlsx_3[[#This Row],[2046]]+scenario_indirect_prod_1610_iotable_2020_xlsx_3[[#This Row],[2046]]</f>
        <v>9009.4652056672203</v>
      </c>
      <c r="X51">
        <f>scenario_indirect_prod_4506_iotable_2020_xlsx_3[[#This Row],[2047]]+scenario_indirect_prod_1610_iotable_2020_xlsx_3[[#This Row],[2047]]</f>
        <v>9009.4652056672203</v>
      </c>
      <c r="Y51">
        <f>scenario_indirect_prod_4506_iotable_2020_xlsx_3[[#This Row],[2048]]+scenario_indirect_prod_1610_iotable_2020_xlsx_3[[#This Row],[2048]]</f>
        <v>9009.4652056672203</v>
      </c>
      <c r="Z51">
        <f>scenario_indirect_prod_4506_iotable_2020_xlsx_3[[#This Row],[2049]]+scenario_indirect_prod_1610_iotable_2020_xlsx_3[[#This Row],[2049]]</f>
        <v>9009.4652056672203</v>
      </c>
      <c r="AA51">
        <f>scenario_indirect_prod_4506_iotable_2020_xlsx_3[[#This Row],[2050]]+scenario_indirect_prod_1610_iotable_2020_xlsx_3[[#This Row],[2050]]</f>
        <v>9009.4652056672203</v>
      </c>
    </row>
    <row r="52" spans="1:27" x14ac:dyDescent="0.2">
      <c r="A52" t="s">
        <v>706</v>
      </c>
      <c r="B52" t="s">
        <v>707</v>
      </c>
      <c r="C52">
        <f>scenario_indirect_prod_4506_iotable_2020_xlsx_3[[#This Row],[2026]]+scenario_indirect_prod_1610_iotable_2020_xlsx_3[[#This Row],[2026]]</f>
        <v>2663.2676370120489</v>
      </c>
      <c r="D52">
        <f>scenario_indirect_prod_4506_iotable_2020_xlsx_3[[#This Row],[2027]]+scenario_indirect_prod_1610_iotable_2020_xlsx_3[[#This Row],[2027]]</f>
        <v>2447.6543621956898</v>
      </c>
      <c r="E52">
        <f>scenario_indirect_prod_4506_iotable_2020_xlsx_3[[#This Row],[2028]]+scenario_indirect_prod_1610_iotable_2020_xlsx_3[[#This Row],[2028]]</f>
        <v>2591.1877480886187</v>
      </c>
      <c r="F52">
        <f>scenario_indirect_prod_4506_iotable_2020_xlsx_3[[#This Row],[2029]]+scenario_indirect_prod_1610_iotable_2020_xlsx_3[[#This Row],[2029]]</f>
        <v>2607.1179045934696</v>
      </c>
      <c r="G52">
        <f>scenario_indirect_prod_4506_iotable_2020_xlsx_3[[#This Row],[2030]]+scenario_indirect_prod_1610_iotable_2020_xlsx_3[[#This Row],[2030]]</f>
        <v>1745.0802008467431</v>
      </c>
      <c r="H52">
        <f>scenario_indirect_prod_4506_iotable_2020_xlsx_3[[#This Row],[2031]]+scenario_indirect_prod_1610_iotable_2020_xlsx_3[[#This Row],[2031]]</f>
        <v>1938.7353905599543</v>
      </c>
      <c r="I52">
        <f>scenario_indirect_prod_4506_iotable_2020_xlsx_3[[#This Row],[2032]]+scenario_indirect_prod_1610_iotable_2020_xlsx_3[[#This Row],[2032]]</f>
        <v>2209.1920965540298</v>
      </c>
      <c r="J52">
        <f>scenario_indirect_prod_4506_iotable_2020_xlsx_3[[#This Row],[2033]]+scenario_indirect_prod_1610_iotable_2020_xlsx_3[[#This Row],[2033]]</f>
        <v>2219.7300131839233</v>
      </c>
      <c r="K52">
        <f>scenario_indirect_prod_4506_iotable_2020_xlsx_3[[#This Row],[2034]]+scenario_indirect_prod_1610_iotable_2020_xlsx_3[[#This Row],[2034]]</f>
        <v>2471.4040792197761</v>
      </c>
      <c r="L52">
        <f>scenario_indirect_prod_4506_iotable_2020_xlsx_3[[#This Row],[2035]]+scenario_indirect_prod_1610_iotable_2020_xlsx_3[[#This Row],[2035]]</f>
        <v>2575.8752085266879</v>
      </c>
      <c r="M52">
        <f>scenario_indirect_prod_4506_iotable_2020_xlsx_3[[#This Row],[2036]]+scenario_indirect_prod_1610_iotable_2020_xlsx_3[[#This Row],[2036]]</f>
        <v>2458.0485033264904</v>
      </c>
      <c r="N52">
        <f>scenario_indirect_prod_4506_iotable_2020_xlsx_3[[#This Row],[2037]]+scenario_indirect_prod_1610_iotable_2020_xlsx_3[[#This Row],[2037]]</f>
        <v>2365.212689969524</v>
      </c>
      <c r="O52">
        <f>scenario_indirect_prod_4506_iotable_2020_xlsx_3[[#This Row],[2038]]+scenario_indirect_prod_1610_iotable_2020_xlsx_3[[#This Row],[2038]]</f>
        <v>2365.212689969524</v>
      </c>
      <c r="P52">
        <f>scenario_indirect_prod_4506_iotable_2020_xlsx_3[[#This Row],[2039]]+scenario_indirect_prod_1610_iotable_2020_xlsx_3[[#This Row],[2039]]</f>
        <v>2365.212689969524</v>
      </c>
      <c r="Q52">
        <f>scenario_indirect_prod_4506_iotable_2020_xlsx_3[[#This Row],[2040]]+scenario_indirect_prod_1610_iotable_2020_xlsx_3[[#This Row],[2040]]</f>
        <v>2281.9694237453441</v>
      </c>
      <c r="R52">
        <f>scenario_indirect_prod_4506_iotable_2020_xlsx_3[[#This Row],[2041]]+scenario_indirect_prod_1610_iotable_2020_xlsx_3[[#This Row],[2041]]</f>
        <v>2281.9694237453441</v>
      </c>
      <c r="S52">
        <f>scenario_indirect_prod_4506_iotable_2020_xlsx_3[[#This Row],[2042]]+scenario_indirect_prod_1610_iotable_2020_xlsx_3[[#This Row],[2042]]</f>
        <v>2195.5895261905143</v>
      </c>
      <c r="T52">
        <f>scenario_indirect_prod_4506_iotable_2020_xlsx_3[[#This Row],[2043]]+scenario_indirect_prod_1610_iotable_2020_xlsx_3[[#This Row],[2043]]</f>
        <v>2195.5895261905143</v>
      </c>
      <c r="U52">
        <f>scenario_indirect_prod_4506_iotable_2020_xlsx_3[[#This Row],[2044]]+scenario_indirect_prod_1610_iotable_2020_xlsx_3[[#This Row],[2044]]</f>
        <v>2096.794999368858</v>
      </c>
      <c r="V52">
        <f>scenario_indirect_prod_4506_iotable_2020_xlsx_3[[#This Row],[2045]]+scenario_indirect_prod_1610_iotable_2020_xlsx_3[[#This Row],[2045]]</f>
        <v>2096.794999368858</v>
      </c>
      <c r="W52">
        <f>scenario_indirect_prod_4506_iotable_2020_xlsx_3[[#This Row],[2046]]+scenario_indirect_prod_1610_iotable_2020_xlsx_3[[#This Row],[2046]]</f>
        <v>2017.9564504451955</v>
      </c>
      <c r="X52">
        <f>scenario_indirect_prod_4506_iotable_2020_xlsx_3[[#This Row],[2047]]+scenario_indirect_prod_1610_iotable_2020_xlsx_3[[#This Row],[2047]]</f>
        <v>2017.9564504451955</v>
      </c>
      <c r="Y52">
        <f>scenario_indirect_prod_4506_iotable_2020_xlsx_3[[#This Row],[2048]]+scenario_indirect_prod_1610_iotable_2020_xlsx_3[[#This Row],[2048]]</f>
        <v>2017.9564504451955</v>
      </c>
      <c r="Z52">
        <f>scenario_indirect_prod_4506_iotable_2020_xlsx_3[[#This Row],[2049]]+scenario_indirect_prod_1610_iotable_2020_xlsx_3[[#This Row],[2049]]</f>
        <v>2017.9564504451955</v>
      </c>
      <c r="AA52">
        <f>scenario_indirect_prod_4506_iotable_2020_xlsx_3[[#This Row],[2050]]+scenario_indirect_prod_1610_iotable_2020_xlsx_3[[#This Row],[2050]]</f>
        <v>2017.9564504451955</v>
      </c>
    </row>
    <row r="53" spans="1:27" x14ac:dyDescent="0.2">
      <c r="A53" t="s">
        <v>809</v>
      </c>
      <c r="B53" t="s">
        <v>810</v>
      </c>
      <c r="C53">
        <f>scenario_indirect_prod_4506_iotable_2020_xlsx_3[[#This Row],[2026]]+scenario_indirect_prod_1610_iotable_2020_xlsx_3[[#This Row],[2026]]</f>
        <v>998.01783153346287</v>
      </c>
      <c r="D53">
        <f>scenario_indirect_prod_4506_iotable_2020_xlsx_3[[#This Row],[2027]]+scenario_indirect_prod_1610_iotable_2020_xlsx_3[[#This Row],[2027]]</f>
        <v>859.71118583744078</v>
      </c>
      <c r="E53">
        <f>scenario_indirect_prod_4506_iotable_2020_xlsx_3[[#This Row],[2028]]+scenario_indirect_prod_1610_iotable_2020_xlsx_3[[#This Row],[2028]]</f>
        <v>916.91618412090224</v>
      </c>
      <c r="F53">
        <f>scenario_indirect_prod_4506_iotable_2020_xlsx_3[[#This Row],[2029]]+scenario_indirect_prod_1610_iotable_2020_xlsx_3[[#This Row],[2029]]</f>
        <v>902.31539024546601</v>
      </c>
      <c r="G53">
        <f>scenario_indirect_prod_4506_iotable_2020_xlsx_3[[#This Row],[2030]]+scenario_indirect_prod_1610_iotable_2020_xlsx_3[[#This Row],[2030]]</f>
        <v>381.17441766295519</v>
      </c>
      <c r="H53">
        <f>scenario_indirect_prod_4506_iotable_2020_xlsx_3[[#This Row],[2031]]+scenario_indirect_prod_1610_iotable_2020_xlsx_3[[#This Row],[2031]]</f>
        <v>458.3553796127519</v>
      </c>
      <c r="I53">
        <f>scenario_indirect_prod_4506_iotable_2020_xlsx_3[[#This Row],[2032]]+scenario_indirect_prod_1610_iotable_2020_xlsx_3[[#This Row],[2032]]</f>
        <v>566.14546138287687</v>
      </c>
      <c r="J53">
        <f>scenario_indirect_prod_4506_iotable_2020_xlsx_3[[#This Row],[2033]]+scenario_indirect_prod_1610_iotable_2020_xlsx_3[[#This Row],[2033]]</f>
        <v>471.28361016710323</v>
      </c>
      <c r="K53">
        <f>scenario_indirect_prod_4506_iotable_2020_xlsx_3[[#This Row],[2034]]+scenario_indirect_prod_1610_iotable_2020_xlsx_3[[#This Row],[2034]]</f>
        <v>571.58790122808659</v>
      </c>
      <c r="L53">
        <f>scenario_indirect_prod_4506_iotable_2020_xlsx_3[[#This Row],[2035]]+scenario_indirect_prod_1610_iotable_2020_xlsx_3[[#This Row],[2035]]</f>
        <v>487.82438249443294</v>
      </c>
      <c r="M53">
        <f>scenario_indirect_prod_4506_iotable_2020_xlsx_3[[#This Row],[2036]]+scenario_indirect_prod_1610_iotable_2020_xlsx_3[[#This Row],[2036]]</f>
        <v>358.55443991137099</v>
      </c>
      <c r="N53">
        <f>scenario_indirect_prod_4506_iotable_2020_xlsx_3[[#This Row],[2037]]+scenario_indirect_prod_1610_iotable_2020_xlsx_3[[#This Row],[2037]]</f>
        <v>249.59873552074987</v>
      </c>
      <c r="O53">
        <f>scenario_indirect_prod_4506_iotable_2020_xlsx_3[[#This Row],[2038]]+scenario_indirect_prod_1610_iotable_2020_xlsx_3[[#This Row],[2038]]</f>
        <v>249.59873552074987</v>
      </c>
      <c r="P53">
        <f>scenario_indirect_prod_4506_iotable_2020_xlsx_3[[#This Row],[2039]]+scenario_indirect_prod_1610_iotable_2020_xlsx_3[[#This Row],[2039]]</f>
        <v>249.59873552074987</v>
      </c>
      <c r="Q53">
        <f>scenario_indirect_prod_4506_iotable_2020_xlsx_3[[#This Row],[2040]]+scenario_indirect_prod_1610_iotable_2020_xlsx_3[[#This Row],[2040]]</f>
        <v>153.25147511550176</v>
      </c>
      <c r="R53">
        <f>scenario_indirect_prod_4506_iotable_2020_xlsx_3[[#This Row],[2041]]+scenario_indirect_prod_1610_iotable_2020_xlsx_3[[#This Row],[2041]]</f>
        <v>153.25147511550176</v>
      </c>
      <c r="S53">
        <f>scenario_indirect_prod_4506_iotable_2020_xlsx_3[[#This Row],[2042]]+scenario_indirect_prod_1610_iotable_2020_xlsx_3[[#This Row],[2042]]</f>
        <v>49.099962595491888</v>
      </c>
      <c r="T53">
        <f>scenario_indirect_prod_4506_iotable_2020_xlsx_3[[#This Row],[2043]]+scenario_indirect_prod_1610_iotable_2020_xlsx_3[[#This Row],[2043]]</f>
        <v>49.099962595491888</v>
      </c>
      <c r="U53">
        <f>scenario_indirect_prod_4506_iotable_2020_xlsx_3[[#This Row],[2044]]+scenario_indirect_prod_1610_iotable_2020_xlsx_3[[#This Row],[2044]]</f>
        <v>-56.582865408508042</v>
      </c>
      <c r="V53">
        <f>scenario_indirect_prod_4506_iotable_2020_xlsx_3[[#This Row],[2045]]+scenario_indirect_prod_1610_iotable_2020_xlsx_3[[#This Row],[2045]]</f>
        <v>-56.582865408508042</v>
      </c>
      <c r="W53">
        <f>scenario_indirect_prod_4506_iotable_2020_xlsx_3[[#This Row],[2046]]+scenario_indirect_prod_1610_iotable_2020_xlsx_3[[#This Row],[2046]]</f>
        <v>-144.46360926778743</v>
      </c>
      <c r="X53">
        <f>scenario_indirect_prod_4506_iotable_2020_xlsx_3[[#This Row],[2047]]+scenario_indirect_prod_1610_iotable_2020_xlsx_3[[#This Row],[2047]]</f>
        <v>-144.46360926778743</v>
      </c>
      <c r="Y53">
        <f>scenario_indirect_prod_4506_iotable_2020_xlsx_3[[#This Row],[2048]]+scenario_indirect_prod_1610_iotable_2020_xlsx_3[[#This Row],[2048]]</f>
        <v>-144.46360926778743</v>
      </c>
      <c r="Z53">
        <f>scenario_indirect_prod_4506_iotable_2020_xlsx_3[[#This Row],[2049]]+scenario_indirect_prod_1610_iotable_2020_xlsx_3[[#This Row],[2049]]</f>
        <v>-144.46360926778743</v>
      </c>
      <c r="AA53">
        <f>scenario_indirect_prod_4506_iotable_2020_xlsx_3[[#This Row],[2050]]+scenario_indirect_prod_1610_iotable_2020_xlsx_3[[#This Row],[2050]]</f>
        <v>-144.46360926778743</v>
      </c>
    </row>
    <row r="54" spans="1:27" x14ac:dyDescent="0.2">
      <c r="A54" t="s">
        <v>636</v>
      </c>
      <c r="B54" t="s">
        <v>145</v>
      </c>
      <c r="C54">
        <f>scenario_indirect_prod_4506_iotable_2020_xlsx_3[[#This Row],[2026]]+scenario_indirect_prod_1610_iotable_2020_xlsx_3[[#This Row],[2026]]</f>
        <v>4675.8525774986529</v>
      </c>
      <c r="D54">
        <f>scenario_indirect_prod_4506_iotable_2020_xlsx_3[[#This Row],[2027]]+scenario_indirect_prod_1610_iotable_2020_xlsx_3[[#This Row],[2027]]</f>
        <v>4337.5225579666685</v>
      </c>
      <c r="E54">
        <f>scenario_indirect_prod_4506_iotable_2020_xlsx_3[[#This Row],[2028]]+scenario_indirect_prod_1610_iotable_2020_xlsx_3[[#This Row],[2028]]</f>
        <v>4587.1311926636572</v>
      </c>
      <c r="F54">
        <f>scenario_indirect_prod_4506_iotable_2020_xlsx_3[[#This Row],[2029]]+scenario_indirect_prod_1610_iotable_2020_xlsx_3[[#This Row],[2029]]</f>
        <v>4629.4852244404628</v>
      </c>
      <c r="G54">
        <f>scenario_indirect_prod_4506_iotable_2020_xlsx_3[[#This Row],[2030]]+scenario_indirect_prod_1610_iotable_2020_xlsx_3[[#This Row],[2030]]</f>
        <v>3254.564480977936</v>
      </c>
      <c r="H54">
        <f>scenario_indirect_prod_4506_iotable_2020_xlsx_3[[#This Row],[2031]]+scenario_indirect_prod_1610_iotable_2020_xlsx_3[[#This Row],[2031]]</f>
        <v>3591.3363560757571</v>
      </c>
      <c r="I54">
        <f>scenario_indirect_prod_4506_iotable_2020_xlsx_3[[#This Row],[2032]]+scenario_indirect_prod_1610_iotable_2020_xlsx_3[[#This Row],[2032]]</f>
        <v>4061.6682492994369</v>
      </c>
      <c r="J54">
        <f>scenario_indirect_prod_4506_iotable_2020_xlsx_3[[#This Row],[2033]]+scenario_indirect_prod_1610_iotable_2020_xlsx_3[[#This Row],[2033]]</f>
        <v>4149.2720536305824</v>
      </c>
      <c r="K54">
        <f>scenario_indirect_prod_4506_iotable_2020_xlsx_3[[#This Row],[2034]]+scenario_indirect_prod_1610_iotable_2020_xlsx_3[[#This Row],[2034]]</f>
        <v>4586.9404025031617</v>
      </c>
      <c r="L54">
        <f>scenario_indirect_prod_4506_iotable_2020_xlsx_3[[#This Row],[2035]]+scenario_indirect_prod_1610_iotable_2020_xlsx_3[[#This Row],[2035]]</f>
        <v>4856.3164310335706</v>
      </c>
      <c r="M54">
        <f>scenario_indirect_prod_4506_iotable_2020_xlsx_3[[#This Row],[2036]]+scenario_indirect_prod_1610_iotable_2020_xlsx_3[[#This Row],[2036]]</f>
        <v>4708.9755324302751</v>
      </c>
      <c r="N54">
        <f>scenario_indirect_prod_4506_iotable_2020_xlsx_3[[#This Row],[2037]]+scenario_indirect_prod_1610_iotable_2020_xlsx_3[[#This Row],[2037]]</f>
        <v>4597.8534016240319</v>
      </c>
      <c r="O54">
        <f>scenario_indirect_prod_4506_iotable_2020_xlsx_3[[#This Row],[2038]]+scenario_indirect_prod_1610_iotable_2020_xlsx_3[[#This Row],[2038]]</f>
        <v>4597.8534016240319</v>
      </c>
      <c r="P54">
        <f>scenario_indirect_prod_4506_iotable_2020_xlsx_3[[#This Row],[2039]]+scenario_indirect_prod_1610_iotable_2020_xlsx_3[[#This Row],[2039]]</f>
        <v>4597.8534016240319</v>
      </c>
      <c r="Q54">
        <f>scenario_indirect_prod_4506_iotable_2020_xlsx_3[[#This Row],[2040]]+scenario_indirect_prod_1610_iotable_2020_xlsx_3[[#This Row],[2040]]</f>
        <v>4497.269014491605</v>
      </c>
      <c r="R54">
        <f>scenario_indirect_prod_4506_iotable_2020_xlsx_3[[#This Row],[2041]]+scenario_indirect_prod_1610_iotable_2020_xlsx_3[[#This Row],[2041]]</f>
        <v>4497.269014491605</v>
      </c>
      <c r="S54">
        <f>scenario_indirect_prod_4506_iotable_2020_xlsx_3[[#This Row],[2042]]+scenario_indirect_prod_1610_iotable_2020_xlsx_3[[#This Row],[2042]]</f>
        <v>4395.8135337513631</v>
      </c>
      <c r="T54">
        <f>scenario_indirect_prod_4506_iotable_2020_xlsx_3[[#This Row],[2043]]+scenario_indirect_prod_1610_iotable_2020_xlsx_3[[#This Row],[2043]]</f>
        <v>4395.8135337513631</v>
      </c>
      <c r="U54">
        <f>scenario_indirect_prod_4506_iotable_2020_xlsx_3[[#This Row],[2044]]+scenario_indirect_prod_1610_iotable_2020_xlsx_3[[#This Row],[2044]]</f>
        <v>4270.3793461739715</v>
      </c>
      <c r="V54">
        <f>scenario_indirect_prod_4506_iotable_2020_xlsx_3[[#This Row],[2045]]+scenario_indirect_prod_1610_iotable_2020_xlsx_3[[#This Row],[2045]]</f>
        <v>4270.3793461739715</v>
      </c>
      <c r="W54">
        <f>scenario_indirect_prod_4506_iotable_2020_xlsx_3[[#This Row],[2046]]+scenario_indirect_prod_1610_iotable_2020_xlsx_3[[#This Row],[2046]]</f>
        <v>4172.7615837387239</v>
      </c>
      <c r="X54">
        <f>scenario_indirect_prod_4506_iotable_2020_xlsx_3[[#This Row],[2047]]+scenario_indirect_prod_1610_iotable_2020_xlsx_3[[#This Row],[2047]]</f>
        <v>4172.7615837387239</v>
      </c>
      <c r="Y54">
        <f>scenario_indirect_prod_4506_iotable_2020_xlsx_3[[#This Row],[2048]]+scenario_indirect_prod_1610_iotable_2020_xlsx_3[[#This Row],[2048]]</f>
        <v>4172.7615837387239</v>
      </c>
      <c r="Z54">
        <f>scenario_indirect_prod_4506_iotable_2020_xlsx_3[[#This Row],[2049]]+scenario_indirect_prod_1610_iotable_2020_xlsx_3[[#This Row],[2049]]</f>
        <v>4172.7615837387239</v>
      </c>
      <c r="AA54">
        <f>scenario_indirect_prod_4506_iotable_2020_xlsx_3[[#This Row],[2050]]+scenario_indirect_prod_1610_iotable_2020_xlsx_3[[#This Row],[2050]]</f>
        <v>4172.7615837387239</v>
      </c>
    </row>
    <row r="55" spans="1:27" x14ac:dyDescent="0.2">
      <c r="A55" t="s">
        <v>453</v>
      </c>
      <c r="B55" t="s">
        <v>269</v>
      </c>
      <c r="C55">
        <f>scenario_indirect_prod_4506_iotable_2020_xlsx_3[[#This Row],[2026]]+scenario_indirect_prod_1610_iotable_2020_xlsx_3[[#This Row],[2026]]</f>
        <v>26154.524735130035</v>
      </c>
      <c r="D55">
        <f>scenario_indirect_prod_4506_iotable_2020_xlsx_3[[#This Row],[2027]]+scenario_indirect_prod_1610_iotable_2020_xlsx_3[[#This Row],[2027]]</f>
        <v>27673.559210817737</v>
      </c>
      <c r="E55">
        <f>scenario_indirect_prod_4506_iotable_2020_xlsx_3[[#This Row],[2028]]+scenario_indirect_prod_1610_iotable_2020_xlsx_3[[#This Row],[2028]]</f>
        <v>28866.986723806112</v>
      </c>
      <c r="F55">
        <f>scenario_indirect_prod_4506_iotable_2020_xlsx_3[[#This Row],[2029]]+scenario_indirect_prod_1610_iotable_2020_xlsx_3[[#This Row],[2029]]</f>
        <v>30324.152214319933</v>
      </c>
      <c r="G55">
        <f>scenario_indirect_prod_4506_iotable_2020_xlsx_3[[#This Row],[2030]]+scenario_indirect_prod_1610_iotable_2020_xlsx_3[[#This Row],[2030]]</f>
        <v>34385.346680822215</v>
      </c>
      <c r="H55">
        <f>scenario_indirect_prod_4506_iotable_2020_xlsx_3[[#This Row],[2031]]+scenario_indirect_prod_1610_iotable_2020_xlsx_3[[#This Row],[2031]]</f>
        <v>35995.518627919853</v>
      </c>
      <c r="I55">
        <f>scenario_indirect_prod_4506_iotable_2020_xlsx_3[[#This Row],[2032]]+scenario_indirect_prod_1610_iotable_2020_xlsx_3[[#This Row],[2032]]</f>
        <v>38244.267042775165</v>
      </c>
      <c r="J55">
        <f>scenario_indirect_prod_4506_iotable_2020_xlsx_3[[#This Row],[2033]]+scenario_indirect_prod_1610_iotable_2020_xlsx_3[[#This Row],[2033]]</f>
        <v>44595.844765774229</v>
      </c>
      <c r="K55">
        <f>scenario_indirect_prod_4506_iotable_2020_xlsx_3[[#This Row],[2034]]+scenario_indirect_prod_1610_iotable_2020_xlsx_3[[#This Row],[2034]]</f>
        <v>46688.422411346517</v>
      </c>
      <c r="L55">
        <f>scenario_indirect_prod_4506_iotable_2020_xlsx_3[[#This Row],[2035]]+scenario_indirect_prod_1610_iotable_2020_xlsx_3[[#This Row],[2035]]</f>
        <v>55486.485974667812</v>
      </c>
      <c r="M55">
        <f>scenario_indirect_prod_4506_iotable_2020_xlsx_3[[#This Row],[2036]]+scenario_indirect_prod_1610_iotable_2020_xlsx_3[[#This Row],[2036]]</f>
        <v>59711.518179513521</v>
      </c>
      <c r="N55">
        <f>scenario_indirect_prod_4506_iotable_2020_xlsx_3[[#This Row],[2037]]+scenario_indirect_prod_1610_iotable_2020_xlsx_3[[#This Row],[2037]]</f>
        <v>63489.617120738716</v>
      </c>
      <c r="O55">
        <f>scenario_indirect_prod_4506_iotable_2020_xlsx_3[[#This Row],[2038]]+scenario_indirect_prod_1610_iotable_2020_xlsx_3[[#This Row],[2038]]</f>
        <v>63489.617120738716</v>
      </c>
      <c r="P55">
        <f>scenario_indirect_prod_4506_iotable_2020_xlsx_3[[#This Row],[2039]]+scenario_indirect_prod_1610_iotable_2020_xlsx_3[[#This Row],[2039]]</f>
        <v>63489.617120738716</v>
      </c>
      <c r="Q55">
        <f>scenario_indirect_prod_4506_iotable_2020_xlsx_3[[#This Row],[2040]]+scenario_indirect_prod_1610_iotable_2020_xlsx_3[[#This Row],[2040]]</f>
        <v>66791.951522183634</v>
      </c>
      <c r="R55">
        <f>scenario_indirect_prod_4506_iotable_2020_xlsx_3[[#This Row],[2041]]+scenario_indirect_prod_1610_iotable_2020_xlsx_3[[#This Row],[2041]]</f>
        <v>66791.951522183634</v>
      </c>
      <c r="S55">
        <f>scenario_indirect_prod_4506_iotable_2020_xlsx_3[[#This Row],[2042]]+scenario_indirect_prod_1610_iotable_2020_xlsx_3[[#This Row],[2042]]</f>
        <v>70482.643999505512</v>
      </c>
      <c r="T55">
        <f>scenario_indirect_prod_4506_iotable_2020_xlsx_3[[#This Row],[2043]]+scenario_indirect_prod_1610_iotable_2020_xlsx_3[[#This Row],[2043]]</f>
        <v>70482.643999505512</v>
      </c>
      <c r="U55">
        <f>scenario_indirect_prod_4506_iotable_2020_xlsx_3[[#This Row],[2044]]+scenario_indirect_prod_1610_iotable_2020_xlsx_3[[#This Row],[2044]]</f>
        <v>73854.077276223616</v>
      </c>
      <c r="V55">
        <f>scenario_indirect_prod_4506_iotable_2020_xlsx_3[[#This Row],[2045]]+scenario_indirect_prod_1610_iotable_2020_xlsx_3[[#This Row],[2045]]</f>
        <v>73854.077276223616</v>
      </c>
      <c r="W55">
        <f>scenario_indirect_prod_4506_iotable_2020_xlsx_3[[#This Row],[2046]]+scenario_indirect_prod_1610_iotable_2020_xlsx_3[[#This Row],[2046]]</f>
        <v>76768.677876618836</v>
      </c>
      <c r="X55">
        <f>scenario_indirect_prod_4506_iotable_2020_xlsx_3[[#This Row],[2047]]+scenario_indirect_prod_1610_iotable_2020_xlsx_3[[#This Row],[2047]]</f>
        <v>76768.677876618836</v>
      </c>
      <c r="Y55">
        <f>scenario_indirect_prod_4506_iotable_2020_xlsx_3[[#This Row],[2048]]+scenario_indirect_prod_1610_iotable_2020_xlsx_3[[#This Row],[2048]]</f>
        <v>76768.677876618836</v>
      </c>
      <c r="Z55">
        <f>scenario_indirect_prod_4506_iotable_2020_xlsx_3[[#This Row],[2049]]+scenario_indirect_prod_1610_iotable_2020_xlsx_3[[#This Row],[2049]]</f>
        <v>76768.677876618836</v>
      </c>
      <c r="AA55">
        <f>scenario_indirect_prod_4506_iotable_2020_xlsx_3[[#This Row],[2050]]+scenario_indirect_prod_1610_iotable_2020_xlsx_3[[#This Row],[2050]]</f>
        <v>76768.677876618836</v>
      </c>
    </row>
    <row r="56" spans="1:27" x14ac:dyDescent="0.2">
      <c r="A56" t="s">
        <v>864</v>
      </c>
      <c r="B56" t="s">
        <v>865</v>
      </c>
      <c r="C56">
        <f>scenario_indirect_prod_4506_iotable_2020_xlsx_3[[#This Row],[2026]]+scenario_indirect_prod_1610_iotable_2020_xlsx_3[[#This Row],[2026]]</f>
        <v>528.91773846664978</v>
      </c>
      <c r="D56">
        <f>scenario_indirect_prod_4506_iotable_2020_xlsx_3[[#This Row],[2027]]+scenario_indirect_prod_1610_iotable_2020_xlsx_3[[#This Row],[2027]]</f>
        <v>514.14671769164033</v>
      </c>
      <c r="E56">
        <f>scenario_indirect_prod_4506_iotable_2020_xlsx_3[[#This Row],[2028]]+scenario_indirect_prod_1610_iotable_2020_xlsx_3[[#This Row],[2028]]</f>
        <v>540.98492354159441</v>
      </c>
      <c r="F56">
        <f>scenario_indirect_prod_4506_iotable_2020_xlsx_3[[#This Row],[2029]]+scenario_indirect_prod_1610_iotable_2020_xlsx_3[[#This Row],[2029]]</f>
        <v>554.18152228068334</v>
      </c>
      <c r="G56">
        <f>scenario_indirect_prod_4506_iotable_2020_xlsx_3[[#This Row],[2030]]+scenario_indirect_prod_1610_iotable_2020_xlsx_3[[#This Row],[2030]]</f>
        <v>479.60654685666321</v>
      </c>
      <c r="H56">
        <f>scenario_indirect_prod_4506_iotable_2020_xlsx_3[[#This Row],[2031]]+scenario_indirect_prod_1610_iotable_2020_xlsx_3[[#This Row],[2031]]</f>
        <v>515.81664399261558</v>
      </c>
      <c r="I56">
        <f>scenario_indirect_prod_4506_iotable_2020_xlsx_3[[#This Row],[2032]]+scenario_indirect_prod_1610_iotable_2020_xlsx_3[[#This Row],[2032]]</f>
        <v>566.38726701396752</v>
      </c>
      <c r="J56">
        <f>scenario_indirect_prod_4506_iotable_2020_xlsx_3[[#This Row],[2033]]+scenario_indirect_prod_1610_iotable_2020_xlsx_3[[#This Row],[2033]]</f>
        <v>616.67365101837265</v>
      </c>
      <c r="K56">
        <f>scenario_indirect_prod_4506_iotable_2020_xlsx_3[[#This Row],[2034]]+scenario_indirect_prod_1610_iotable_2020_xlsx_3[[#This Row],[2034]]</f>
        <v>663.73225239773262</v>
      </c>
      <c r="L56">
        <f>scenario_indirect_prod_4506_iotable_2020_xlsx_3[[#This Row],[2035]]+scenario_indirect_prod_1610_iotable_2020_xlsx_3[[#This Row],[2035]]</f>
        <v>744.42877199776956</v>
      </c>
      <c r="M56">
        <f>scenario_indirect_prod_4506_iotable_2020_xlsx_3[[#This Row],[2036]]+scenario_indirect_prod_1610_iotable_2020_xlsx_3[[#This Row],[2036]]</f>
        <v>762.54296791449963</v>
      </c>
      <c r="N56">
        <f>scenario_indirect_prod_4506_iotable_2020_xlsx_3[[#This Row],[2037]]+scenario_indirect_prod_1610_iotable_2020_xlsx_3[[#This Row],[2037]]</f>
        <v>780.27992155526567</v>
      </c>
      <c r="O56">
        <f>scenario_indirect_prod_4506_iotable_2020_xlsx_3[[#This Row],[2038]]+scenario_indirect_prod_1610_iotable_2020_xlsx_3[[#This Row],[2038]]</f>
        <v>780.27992155526567</v>
      </c>
      <c r="P56">
        <f>scenario_indirect_prod_4506_iotable_2020_xlsx_3[[#This Row],[2039]]+scenario_indirect_prod_1610_iotable_2020_xlsx_3[[#This Row],[2039]]</f>
        <v>780.27992155526567</v>
      </c>
      <c r="Q56">
        <f>scenario_indirect_prod_4506_iotable_2020_xlsx_3[[#This Row],[2040]]+scenario_indirect_prod_1610_iotable_2020_xlsx_3[[#This Row],[2040]]</f>
        <v>795.52557942958856</v>
      </c>
      <c r="R56">
        <f>scenario_indirect_prod_4506_iotable_2020_xlsx_3[[#This Row],[2041]]+scenario_indirect_prod_1610_iotable_2020_xlsx_3[[#This Row],[2041]]</f>
        <v>795.52557942958856</v>
      </c>
      <c r="S56">
        <f>scenario_indirect_prod_4506_iotable_2020_xlsx_3[[#This Row],[2042]]+scenario_indirect_prod_1610_iotable_2020_xlsx_3[[#This Row],[2042]]</f>
        <v>813.38143977602135</v>
      </c>
      <c r="T56">
        <f>scenario_indirect_prod_4506_iotable_2020_xlsx_3[[#This Row],[2043]]+scenario_indirect_prod_1610_iotable_2020_xlsx_3[[#This Row],[2043]]</f>
        <v>813.38143977602135</v>
      </c>
      <c r="U56">
        <f>scenario_indirect_prod_4506_iotable_2020_xlsx_3[[#This Row],[2044]]+scenario_indirect_prod_1610_iotable_2020_xlsx_3[[#This Row],[2044]]</f>
        <v>827.24962617621713</v>
      </c>
      <c r="V56">
        <f>scenario_indirect_prod_4506_iotable_2020_xlsx_3[[#This Row],[2045]]+scenario_indirect_prod_1610_iotable_2020_xlsx_3[[#This Row],[2045]]</f>
        <v>827.24962617621713</v>
      </c>
      <c r="W56">
        <f>scenario_indirect_prod_4506_iotable_2020_xlsx_3[[#This Row],[2046]]+scenario_indirect_prod_1610_iotable_2020_xlsx_3[[#This Row],[2046]]</f>
        <v>840.04567967058597</v>
      </c>
      <c r="X56">
        <f>scenario_indirect_prod_4506_iotable_2020_xlsx_3[[#This Row],[2047]]+scenario_indirect_prod_1610_iotable_2020_xlsx_3[[#This Row],[2047]]</f>
        <v>840.04567967058597</v>
      </c>
      <c r="Y56">
        <f>scenario_indirect_prod_4506_iotable_2020_xlsx_3[[#This Row],[2048]]+scenario_indirect_prod_1610_iotable_2020_xlsx_3[[#This Row],[2048]]</f>
        <v>840.04567967058597</v>
      </c>
      <c r="Z56">
        <f>scenario_indirect_prod_4506_iotable_2020_xlsx_3[[#This Row],[2049]]+scenario_indirect_prod_1610_iotable_2020_xlsx_3[[#This Row],[2049]]</f>
        <v>840.04567967058597</v>
      </c>
      <c r="AA56">
        <f>scenario_indirect_prod_4506_iotable_2020_xlsx_3[[#This Row],[2050]]+scenario_indirect_prod_1610_iotable_2020_xlsx_3[[#This Row],[2050]]</f>
        <v>840.04567967058597</v>
      </c>
    </row>
    <row r="57" spans="1:27" x14ac:dyDescent="0.2">
      <c r="A57" t="s">
        <v>653</v>
      </c>
      <c r="B57" t="s">
        <v>654</v>
      </c>
      <c r="C57">
        <f>scenario_indirect_prod_4506_iotable_2020_xlsx_3[[#This Row],[2026]]+scenario_indirect_prod_1610_iotable_2020_xlsx_3[[#This Row],[2026]]</f>
        <v>3734.4627613122475</v>
      </c>
      <c r="D57">
        <f>scenario_indirect_prod_4506_iotable_2020_xlsx_3[[#This Row],[2027]]+scenario_indirect_prod_1610_iotable_2020_xlsx_3[[#This Row],[2027]]</f>
        <v>3622.8006020619218</v>
      </c>
      <c r="E57">
        <f>scenario_indirect_prod_4506_iotable_2020_xlsx_3[[#This Row],[2028]]+scenario_indirect_prod_1610_iotable_2020_xlsx_3[[#This Row],[2028]]</f>
        <v>3812.7317976727518</v>
      </c>
      <c r="F57">
        <f>scenario_indirect_prod_4506_iotable_2020_xlsx_3[[#This Row],[2029]]+scenario_indirect_prod_1610_iotable_2020_xlsx_3[[#This Row],[2029]]</f>
        <v>3903.2710844859666</v>
      </c>
      <c r="G57">
        <f>scenario_indirect_prod_4506_iotable_2020_xlsx_3[[#This Row],[2030]]+scenario_indirect_prod_1610_iotable_2020_xlsx_3[[#This Row],[2030]]</f>
        <v>3351.3399607145648</v>
      </c>
      <c r="H57">
        <f>scenario_indirect_prod_4506_iotable_2020_xlsx_3[[#This Row],[2031]]+scenario_indirect_prod_1610_iotable_2020_xlsx_3[[#This Row],[2031]]</f>
        <v>3607.595057670962</v>
      </c>
      <c r="I57">
        <f>scenario_indirect_prod_4506_iotable_2020_xlsx_3[[#This Row],[2032]]+scenario_indirect_prod_1610_iotable_2020_xlsx_3[[#This Row],[2032]]</f>
        <v>3965.4781049554504</v>
      </c>
      <c r="J57">
        <f>scenario_indirect_prod_4506_iotable_2020_xlsx_3[[#This Row],[2033]]+scenario_indirect_prod_1610_iotable_2020_xlsx_3[[#This Row],[2033]]</f>
        <v>4307.8653669670521</v>
      </c>
      <c r="K57">
        <f>scenario_indirect_prod_4506_iotable_2020_xlsx_3[[#This Row],[2034]]+scenario_indirect_prod_1610_iotable_2020_xlsx_3[[#This Row],[2034]]</f>
        <v>4640.8942018200569</v>
      </c>
      <c r="L57">
        <f>scenario_indirect_prod_4506_iotable_2020_xlsx_3[[#This Row],[2035]]+scenario_indirect_prod_1610_iotable_2020_xlsx_3[[#This Row],[2035]]</f>
        <v>5194.9056324133207</v>
      </c>
      <c r="M57">
        <f>scenario_indirect_prod_4506_iotable_2020_xlsx_3[[#This Row],[2036]]+scenario_indirect_prod_1610_iotable_2020_xlsx_3[[#This Row],[2036]]</f>
        <v>5311.8938594054207</v>
      </c>
      <c r="N57">
        <f>scenario_indirect_prod_4506_iotable_2020_xlsx_3[[#This Row],[2037]]+scenario_indirect_prod_1610_iotable_2020_xlsx_3[[#This Row],[2037]]</f>
        <v>5427.621787342754</v>
      </c>
      <c r="O57">
        <f>scenario_indirect_prod_4506_iotable_2020_xlsx_3[[#This Row],[2038]]+scenario_indirect_prod_1610_iotable_2020_xlsx_3[[#This Row],[2038]]</f>
        <v>5427.621787342754</v>
      </c>
      <c r="P57">
        <f>scenario_indirect_prod_4506_iotable_2020_xlsx_3[[#This Row],[2039]]+scenario_indirect_prod_1610_iotable_2020_xlsx_3[[#This Row],[2039]]</f>
        <v>5427.621787342754</v>
      </c>
      <c r="Q57">
        <f>scenario_indirect_prod_4506_iotable_2020_xlsx_3[[#This Row],[2040]]+scenario_indirect_prod_1610_iotable_2020_xlsx_3[[#This Row],[2040]]</f>
        <v>5526.9149333701735</v>
      </c>
      <c r="R57">
        <f>scenario_indirect_prod_4506_iotable_2020_xlsx_3[[#This Row],[2041]]+scenario_indirect_prod_1610_iotable_2020_xlsx_3[[#This Row],[2041]]</f>
        <v>5526.9149333701735</v>
      </c>
      <c r="S57">
        <f>scenario_indirect_prod_4506_iotable_2020_xlsx_3[[#This Row],[2042]]+scenario_indirect_prod_1610_iotable_2020_xlsx_3[[#This Row],[2042]]</f>
        <v>5643.7880616737184</v>
      </c>
      <c r="T57">
        <f>scenario_indirect_prod_4506_iotable_2020_xlsx_3[[#This Row],[2043]]+scenario_indirect_prod_1610_iotable_2020_xlsx_3[[#This Row],[2043]]</f>
        <v>5643.7880616737184</v>
      </c>
      <c r="U57">
        <f>scenario_indirect_prod_4506_iotable_2020_xlsx_3[[#This Row],[2044]]+scenario_indirect_prod_1610_iotable_2020_xlsx_3[[#This Row],[2044]]</f>
        <v>5732.9058906897299</v>
      </c>
      <c r="V57">
        <f>scenario_indirect_prod_4506_iotable_2020_xlsx_3[[#This Row],[2045]]+scenario_indirect_prod_1610_iotable_2020_xlsx_3[[#This Row],[2045]]</f>
        <v>5732.9058906897299</v>
      </c>
      <c r="W57">
        <f>scenario_indirect_prod_4506_iotable_2020_xlsx_3[[#This Row],[2046]]+scenario_indirect_prod_1610_iotable_2020_xlsx_3[[#This Row],[2046]]</f>
        <v>5815.7769436759008</v>
      </c>
      <c r="X57">
        <f>scenario_indirect_prod_4506_iotable_2020_xlsx_3[[#This Row],[2047]]+scenario_indirect_prod_1610_iotable_2020_xlsx_3[[#This Row],[2047]]</f>
        <v>5815.7769436759008</v>
      </c>
      <c r="Y57">
        <f>scenario_indirect_prod_4506_iotable_2020_xlsx_3[[#This Row],[2048]]+scenario_indirect_prod_1610_iotable_2020_xlsx_3[[#This Row],[2048]]</f>
        <v>5815.7769436759008</v>
      </c>
      <c r="Z57">
        <f>scenario_indirect_prod_4506_iotable_2020_xlsx_3[[#This Row],[2049]]+scenario_indirect_prod_1610_iotable_2020_xlsx_3[[#This Row],[2049]]</f>
        <v>5815.7769436759008</v>
      </c>
      <c r="AA57">
        <f>scenario_indirect_prod_4506_iotable_2020_xlsx_3[[#This Row],[2050]]+scenario_indirect_prod_1610_iotable_2020_xlsx_3[[#This Row],[2050]]</f>
        <v>5815.7769436759008</v>
      </c>
    </row>
    <row r="58" spans="1:27" x14ac:dyDescent="0.2">
      <c r="A58" t="s">
        <v>667</v>
      </c>
      <c r="B58" t="s">
        <v>668</v>
      </c>
      <c r="C58">
        <f>scenario_indirect_prod_4506_iotable_2020_xlsx_3[[#This Row],[2026]]+scenario_indirect_prod_1610_iotable_2020_xlsx_3[[#This Row],[2026]]</f>
        <v>3252.0643440896638</v>
      </c>
      <c r="D58">
        <f>scenario_indirect_prod_4506_iotable_2020_xlsx_3[[#This Row],[2027]]+scenario_indirect_prod_1610_iotable_2020_xlsx_3[[#This Row],[2027]]</f>
        <v>3074.1707211521771</v>
      </c>
      <c r="E58">
        <f>scenario_indirect_prod_4506_iotable_2020_xlsx_3[[#This Row],[2028]]+scenario_indirect_prod_1610_iotable_2020_xlsx_3[[#This Row],[2028]]</f>
        <v>3244.361441660847</v>
      </c>
      <c r="F58">
        <f>scenario_indirect_prod_4506_iotable_2020_xlsx_3[[#This Row],[2029]]+scenario_indirect_prod_1610_iotable_2020_xlsx_3[[#This Row],[2029]]</f>
        <v>3294.355713346742</v>
      </c>
      <c r="G58">
        <f>scenario_indirect_prod_4506_iotable_2020_xlsx_3[[#This Row],[2030]]+scenario_indirect_prod_1610_iotable_2020_xlsx_3[[#This Row],[2030]]</f>
        <v>2535.8798280201909</v>
      </c>
      <c r="H58">
        <f>scenario_indirect_prod_4506_iotable_2020_xlsx_3[[#This Row],[2031]]+scenario_indirect_prod_1610_iotable_2020_xlsx_3[[#This Row],[2031]]</f>
        <v>2765.5010834688746</v>
      </c>
      <c r="I58">
        <f>scenario_indirect_prod_4506_iotable_2020_xlsx_3[[#This Row],[2032]]+scenario_indirect_prod_1610_iotable_2020_xlsx_3[[#This Row],[2032]]</f>
        <v>3086.1876009169464</v>
      </c>
      <c r="J58">
        <f>scenario_indirect_prod_4506_iotable_2020_xlsx_3[[#This Row],[2033]]+scenario_indirect_prod_1610_iotable_2020_xlsx_3[[#This Row],[2033]]</f>
        <v>3245.7665050386813</v>
      </c>
      <c r="K58">
        <f>scenario_indirect_prod_4506_iotable_2020_xlsx_3[[#This Row],[2034]]+scenario_indirect_prod_1610_iotable_2020_xlsx_3[[#This Row],[2034]]</f>
        <v>3544.1820295211901</v>
      </c>
      <c r="L58">
        <f>scenario_indirect_prod_4506_iotable_2020_xlsx_3[[#This Row],[2035]]+scenario_indirect_prod_1610_iotable_2020_xlsx_3[[#This Row],[2035]]</f>
        <v>3854.246384808047</v>
      </c>
      <c r="M58">
        <f>scenario_indirect_prod_4506_iotable_2020_xlsx_3[[#This Row],[2036]]+scenario_indirect_prod_1610_iotable_2020_xlsx_3[[#This Row],[2036]]</f>
        <v>3836.7485032676668</v>
      </c>
      <c r="N58">
        <f>scenario_indirect_prod_4506_iotable_2020_xlsx_3[[#This Row],[2037]]+scenario_indirect_prod_1610_iotable_2020_xlsx_3[[#This Row],[2037]]</f>
        <v>3833.5093333130035</v>
      </c>
      <c r="O58">
        <f>scenario_indirect_prod_4506_iotable_2020_xlsx_3[[#This Row],[2038]]+scenario_indirect_prod_1610_iotable_2020_xlsx_3[[#This Row],[2038]]</f>
        <v>3833.5093333130035</v>
      </c>
      <c r="P58">
        <f>scenario_indirect_prod_4506_iotable_2020_xlsx_3[[#This Row],[2039]]+scenario_indirect_prod_1610_iotable_2020_xlsx_3[[#This Row],[2039]]</f>
        <v>3833.5093333130035</v>
      </c>
      <c r="Q58">
        <f>scenario_indirect_prod_4506_iotable_2020_xlsx_3[[#This Row],[2040]]+scenario_indirect_prod_1610_iotable_2020_xlsx_3[[#This Row],[2040]]</f>
        <v>3828.6000361760171</v>
      </c>
      <c r="R58">
        <f>scenario_indirect_prod_4506_iotable_2020_xlsx_3[[#This Row],[2041]]+scenario_indirect_prod_1610_iotable_2020_xlsx_3[[#This Row],[2041]]</f>
        <v>3828.6000361760171</v>
      </c>
      <c r="S58">
        <f>scenario_indirect_prod_4506_iotable_2020_xlsx_3[[#This Row],[2042]]+scenario_indirect_prod_1610_iotable_2020_xlsx_3[[#This Row],[2042]]</f>
        <v>3829.702974525766</v>
      </c>
      <c r="T58">
        <f>scenario_indirect_prod_4506_iotable_2020_xlsx_3[[#This Row],[2043]]+scenario_indirect_prod_1610_iotable_2020_xlsx_3[[#This Row],[2043]]</f>
        <v>3829.702974525766</v>
      </c>
      <c r="U58">
        <f>scenario_indirect_prod_4506_iotable_2020_xlsx_3[[#This Row],[2044]]+scenario_indirect_prod_1610_iotable_2020_xlsx_3[[#This Row],[2044]]</f>
        <v>3811.0128729766766</v>
      </c>
      <c r="V58">
        <f>scenario_indirect_prod_4506_iotable_2020_xlsx_3[[#This Row],[2045]]+scenario_indirect_prod_1610_iotable_2020_xlsx_3[[#This Row],[2045]]</f>
        <v>3811.0128729766766</v>
      </c>
      <c r="W58">
        <f>scenario_indirect_prod_4506_iotable_2020_xlsx_3[[#This Row],[2046]]+scenario_indirect_prod_1610_iotable_2020_xlsx_3[[#This Row],[2046]]</f>
        <v>3801.3620209460896</v>
      </c>
      <c r="X58">
        <f>scenario_indirect_prod_4506_iotable_2020_xlsx_3[[#This Row],[2047]]+scenario_indirect_prod_1610_iotable_2020_xlsx_3[[#This Row],[2047]]</f>
        <v>3801.3620209460896</v>
      </c>
      <c r="Y58">
        <f>scenario_indirect_prod_4506_iotable_2020_xlsx_3[[#This Row],[2048]]+scenario_indirect_prod_1610_iotable_2020_xlsx_3[[#This Row],[2048]]</f>
        <v>3801.3620209460896</v>
      </c>
      <c r="Z58">
        <f>scenario_indirect_prod_4506_iotable_2020_xlsx_3[[#This Row],[2049]]+scenario_indirect_prod_1610_iotable_2020_xlsx_3[[#This Row],[2049]]</f>
        <v>3801.3620209460896</v>
      </c>
      <c r="AA58">
        <f>scenario_indirect_prod_4506_iotable_2020_xlsx_3[[#This Row],[2050]]+scenario_indirect_prod_1610_iotable_2020_xlsx_3[[#This Row],[2050]]</f>
        <v>3801.3620209460896</v>
      </c>
    </row>
    <row r="59" spans="1:27" x14ac:dyDescent="0.2">
      <c r="A59" t="s">
        <v>799</v>
      </c>
      <c r="B59" t="s">
        <v>800</v>
      </c>
      <c r="C59">
        <f>scenario_indirect_prod_4506_iotable_2020_xlsx_3[[#This Row],[2026]]+scenario_indirect_prod_1610_iotable_2020_xlsx_3[[#This Row],[2026]]</f>
        <v>1219.4755871059467</v>
      </c>
      <c r="D59">
        <f>scenario_indirect_prod_4506_iotable_2020_xlsx_3[[#This Row],[2027]]+scenario_indirect_prod_1610_iotable_2020_xlsx_3[[#This Row],[2027]]</f>
        <v>1206.5327788524849</v>
      </c>
      <c r="E59">
        <f>scenario_indirect_prod_4506_iotable_2020_xlsx_3[[#This Row],[2028]]+scenario_indirect_prod_1610_iotable_2020_xlsx_3[[#This Row],[2028]]</f>
        <v>1267.156195512666</v>
      </c>
      <c r="F59">
        <f>scenario_indirect_prod_4506_iotable_2020_xlsx_3[[#This Row],[2029]]+scenario_indirect_prod_1610_iotable_2020_xlsx_3[[#This Row],[2029]]</f>
        <v>1305.1343722073723</v>
      </c>
      <c r="G59">
        <f>scenario_indirect_prod_4506_iotable_2020_xlsx_3[[#This Row],[2030]]+scenario_indirect_prod_1610_iotable_2020_xlsx_3[[#This Row],[2030]]</f>
        <v>1205.9247702992598</v>
      </c>
      <c r="H59">
        <f>scenario_indirect_prod_4506_iotable_2020_xlsx_3[[#This Row],[2031]]+scenario_indirect_prod_1610_iotable_2020_xlsx_3[[#This Row],[2031]]</f>
        <v>1287.7178610241463</v>
      </c>
      <c r="I59">
        <f>scenario_indirect_prod_4506_iotable_2020_xlsx_3[[#This Row],[2032]]+scenario_indirect_prod_1610_iotable_2020_xlsx_3[[#This Row],[2032]]</f>
        <v>1401.9491910664115</v>
      </c>
      <c r="J59">
        <f>scenario_indirect_prod_4506_iotable_2020_xlsx_3[[#This Row],[2033]]+scenario_indirect_prod_1610_iotable_2020_xlsx_3[[#This Row],[2033]]</f>
        <v>1554.1662788102653</v>
      </c>
      <c r="K59">
        <f>scenario_indirect_prod_4506_iotable_2020_xlsx_3[[#This Row],[2034]]+scenario_indirect_prod_1610_iotable_2020_xlsx_3[[#This Row],[2034]]</f>
        <v>1660.4644872231497</v>
      </c>
      <c r="L59">
        <f>scenario_indirect_prod_4506_iotable_2020_xlsx_3[[#This Row],[2035]]+scenario_indirect_prod_1610_iotable_2020_xlsx_3[[#This Row],[2035]]</f>
        <v>1891.6438248032259</v>
      </c>
      <c r="M59">
        <f>scenario_indirect_prod_4506_iotable_2020_xlsx_3[[#This Row],[2036]]+scenario_indirect_prod_1610_iotable_2020_xlsx_3[[#This Row],[2036]]</f>
        <v>1964.6568476295568</v>
      </c>
      <c r="N59">
        <f>scenario_indirect_prod_4506_iotable_2020_xlsx_3[[#This Row],[2037]]+scenario_indirect_prod_1610_iotable_2020_xlsx_3[[#This Row],[2037]]</f>
        <v>2032.7802701261794</v>
      </c>
      <c r="O59">
        <f>scenario_indirect_prod_4506_iotable_2020_xlsx_3[[#This Row],[2038]]+scenario_indirect_prod_1610_iotable_2020_xlsx_3[[#This Row],[2038]]</f>
        <v>2032.7802701261794</v>
      </c>
      <c r="P59">
        <f>scenario_indirect_prod_4506_iotable_2020_xlsx_3[[#This Row],[2039]]+scenario_indirect_prod_1610_iotable_2020_xlsx_3[[#This Row],[2039]]</f>
        <v>2032.7802701261794</v>
      </c>
      <c r="Q59">
        <f>scenario_indirect_prod_4506_iotable_2020_xlsx_3[[#This Row],[2040]]+scenario_indirect_prod_1610_iotable_2020_xlsx_3[[#This Row],[2040]]</f>
        <v>2091.8505039707716</v>
      </c>
      <c r="R59">
        <f>scenario_indirect_prod_4506_iotable_2020_xlsx_3[[#This Row],[2041]]+scenario_indirect_prod_1610_iotable_2020_xlsx_3[[#This Row],[2041]]</f>
        <v>2091.8505039707716</v>
      </c>
      <c r="S59">
        <f>scenario_indirect_prod_4506_iotable_2020_xlsx_3[[#This Row],[2042]]+scenario_indirect_prod_1610_iotable_2020_xlsx_3[[#This Row],[2042]]</f>
        <v>2159.3724927408348</v>
      </c>
      <c r="T59">
        <f>scenario_indirect_prod_4506_iotable_2020_xlsx_3[[#This Row],[2043]]+scenario_indirect_prod_1610_iotable_2020_xlsx_3[[#This Row],[2043]]</f>
        <v>2159.3724927408348</v>
      </c>
      <c r="U59">
        <f>scenario_indirect_prod_4506_iotable_2020_xlsx_3[[#This Row],[2044]]+scenario_indirect_prod_1610_iotable_2020_xlsx_3[[#This Row],[2044]]</f>
        <v>2216.5547089406314</v>
      </c>
      <c r="V59">
        <f>scenario_indirect_prod_4506_iotable_2020_xlsx_3[[#This Row],[2045]]+scenario_indirect_prod_1610_iotable_2020_xlsx_3[[#This Row],[2045]]</f>
        <v>2216.5547089406314</v>
      </c>
      <c r="W59">
        <f>scenario_indirect_prod_4506_iotable_2020_xlsx_3[[#This Row],[2046]]+scenario_indirect_prod_1610_iotable_2020_xlsx_3[[#This Row],[2046]]</f>
        <v>2267.4747847667491</v>
      </c>
      <c r="X59">
        <f>scenario_indirect_prod_4506_iotable_2020_xlsx_3[[#This Row],[2047]]+scenario_indirect_prod_1610_iotable_2020_xlsx_3[[#This Row],[2047]]</f>
        <v>2267.4747847667491</v>
      </c>
      <c r="Y59">
        <f>scenario_indirect_prod_4506_iotable_2020_xlsx_3[[#This Row],[2048]]+scenario_indirect_prod_1610_iotable_2020_xlsx_3[[#This Row],[2048]]</f>
        <v>2267.4747847667491</v>
      </c>
      <c r="Z59">
        <f>scenario_indirect_prod_4506_iotable_2020_xlsx_3[[#This Row],[2049]]+scenario_indirect_prod_1610_iotable_2020_xlsx_3[[#This Row],[2049]]</f>
        <v>2267.4747847667491</v>
      </c>
      <c r="AA59">
        <f>scenario_indirect_prod_4506_iotable_2020_xlsx_3[[#This Row],[2050]]+scenario_indirect_prod_1610_iotable_2020_xlsx_3[[#This Row],[2050]]</f>
        <v>2267.4747847667491</v>
      </c>
    </row>
    <row r="60" spans="1:27" x14ac:dyDescent="0.2">
      <c r="A60" t="s">
        <v>583</v>
      </c>
      <c r="B60" t="s">
        <v>243</v>
      </c>
      <c r="C60">
        <f>scenario_indirect_prod_4506_iotable_2020_xlsx_3[[#This Row],[2026]]+scenario_indirect_prod_1610_iotable_2020_xlsx_3[[#This Row],[2026]]</f>
        <v>7096.0359317764642</v>
      </c>
      <c r="D60">
        <f>scenario_indirect_prod_4506_iotable_2020_xlsx_3[[#This Row],[2027]]+scenario_indirect_prod_1610_iotable_2020_xlsx_3[[#This Row],[2027]]</f>
        <v>6789.274607067111</v>
      </c>
      <c r="E60">
        <f>scenario_indirect_prod_4506_iotable_2020_xlsx_3[[#This Row],[2028]]+scenario_indirect_prod_1610_iotable_2020_xlsx_3[[#This Row],[2028]]</f>
        <v>7155.7940526104394</v>
      </c>
      <c r="F60">
        <f>scenario_indirect_prod_4506_iotable_2020_xlsx_3[[#This Row],[2029]]+scenario_indirect_prod_1610_iotable_2020_xlsx_3[[#This Row],[2029]]</f>
        <v>7293.999529744764</v>
      </c>
      <c r="G60">
        <f>scenario_indirect_prod_4506_iotable_2020_xlsx_3[[#This Row],[2030]]+scenario_indirect_prod_1610_iotable_2020_xlsx_3[[#This Row],[2030]]</f>
        <v>5919.4178899845592</v>
      </c>
      <c r="H60">
        <f>scenario_indirect_prod_4506_iotable_2020_xlsx_3[[#This Row],[2031]]+scenario_indirect_prod_1610_iotable_2020_xlsx_3[[#This Row],[2031]]</f>
        <v>6413.9257866576172</v>
      </c>
      <c r="I60">
        <f>scenario_indirect_prod_4506_iotable_2020_xlsx_3[[#This Row],[2032]]+scenario_indirect_prod_1610_iotable_2020_xlsx_3[[#This Row],[2032]]</f>
        <v>7104.5500710897395</v>
      </c>
      <c r="J60">
        <f>scenario_indirect_prod_4506_iotable_2020_xlsx_3[[#This Row],[2033]]+scenario_indirect_prod_1610_iotable_2020_xlsx_3[[#This Row],[2033]]</f>
        <v>7592.6200672931227</v>
      </c>
      <c r="K60">
        <f>scenario_indirect_prod_4506_iotable_2020_xlsx_3[[#This Row],[2034]]+scenario_indirect_prod_1610_iotable_2020_xlsx_3[[#This Row],[2034]]</f>
        <v>8235.2819718196879</v>
      </c>
      <c r="L60">
        <f>scenario_indirect_prod_4506_iotable_2020_xlsx_3[[#This Row],[2035]]+scenario_indirect_prod_1610_iotable_2020_xlsx_3[[#This Row],[2035]]</f>
        <v>9085.8287469829593</v>
      </c>
      <c r="M60">
        <f>scenario_indirect_prod_4506_iotable_2020_xlsx_3[[#This Row],[2036]]+scenario_indirect_prod_1610_iotable_2020_xlsx_3[[#This Row],[2036]]</f>
        <v>9168.1307704874089</v>
      </c>
      <c r="N60">
        <f>scenario_indirect_prod_4506_iotable_2020_xlsx_3[[#This Row],[2037]]+scenario_indirect_prod_1610_iotable_2020_xlsx_3[[#This Row],[2037]]</f>
        <v>9266.0466464939364</v>
      </c>
      <c r="O60">
        <f>scenario_indirect_prod_4506_iotable_2020_xlsx_3[[#This Row],[2038]]+scenario_indirect_prod_1610_iotable_2020_xlsx_3[[#This Row],[2038]]</f>
        <v>9266.0466464939364</v>
      </c>
      <c r="P60">
        <f>scenario_indirect_prod_4506_iotable_2020_xlsx_3[[#This Row],[2039]]+scenario_indirect_prod_1610_iotable_2020_xlsx_3[[#This Row],[2039]]</f>
        <v>9266.0466464939364</v>
      </c>
      <c r="Q60">
        <f>scenario_indirect_prod_4506_iotable_2020_xlsx_3[[#This Row],[2040]]+scenario_indirect_prod_1610_iotable_2020_xlsx_3[[#This Row],[2040]]</f>
        <v>9347.5592151293931</v>
      </c>
      <c r="R60">
        <f>scenario_indirect_prod_4506_iotable_2020_xlsx_3[[#This Row],[2041]]+scenario_indirect_prod_1610_iotable_2020_xlsx_3[[#This Row],[2041]]</f>
        <v>9347.5592151293931</v>
      </c>
      <c r="S60">
        <f>scenario_indirect_prod_4506_iotable_2020_xlsx_3[[#This Row],[2042]]+scenario_indirect_prod_1610_iotable_2020_xlsx_3[[#This Row],[2042]]</f>
        <v>9451.5737177327974</v>
      </c>
      <c r="T60">
        <f>scenario_indirect_prod_4506_iotable_2020_xlsx_3[[#This Row],[2043]]+scenario_indirect_prod_1610_iotable_2020_xlsx_3[[#This Row],[2043]]</f>
        <v>9451.5737177327974</v>
      </c>
      <c r="U60">
        <f>scenario_indirect_prod_4506_iotable_2020_xlsx_3[[#This Row],[2044]]+scenario_indirect_prod_1610_iotable_2020_xlsx_3[[#This Row],[2044]]</f>
        <v>9507.9820004612629</v>
      </c>
      <c r="V60">
        <f>scenario_indirect_prod_4506_iotable_2020_xlsx_3[[#This Row],[2045]]+scenario_indirect_prod_1610_iotable_2020_xlsx_3[[#This Row],[2045]]</f>
        <v>9507.9820004612629</v>
      </c>
      <c r="W60">
        <f>scenario_indirect_prod_4506_iotable_2020_xlsx_3[[#This Row],[2046]]+scenario_indirect_prod_1610_iotable_2020_xlsx_3[[#This Row],[2046]]</f>
        <v>9569.50047502495</v>
      </c>
      <c r="X60">
        <f>scenario_indirect_prod_4506_iotable_2020_xlsx_3[[#This Row],[2047]]+scenario_indirect_prod_1610_iotable_2020_xlsx_3[[#This Row],[2047]]</f>
        <v>9569.50047502495</v>
      </c>
      <c r="Y60">
        <f>scenario_indirect_prod_4506_iotable_2020_xlsx_3[[#This Row],[2048]]+scenario_indirect_prod_1610_iotable_2020_xlsx_3[[#This Row],[2048]]</f>
        <v>9569.50047502495</v>
      </c>
      <c r="Z60">
        <f>scenario_indirect_prod_4506_iotable_2020_xlsx_3[[#This Row],[2049]]+scenario_indirect_prod_1610_iotable_2020_xlsx_3[[#This Row],[2049]]</f>
        <v>9569.50047502495</v>
      </c>
      <c r="AA60">
        <f>scenario_indirect_prod_4506_iotable_2020_xlsx_3[[#This Row],[2050]]+scenario_indirect_prod_1610_iotable_2020_xlsx_3[[#This Row],[2050]]</f>
        <v>9569.50047502495</v>
      </c>
    </row>
    <row r="61" spans="1:27" x14ac:dyDescent="0.2">
      <c r="A61" t="s">
        <v>1004</v>
      </c>
      <c r="B61" t="s">
        <v>313</v>
      </c>
      <c r="C61">
        <f>scenario_indirect_prod_4506_iotable_2020_xlsx_3[[#This Row],[2026]]+scenario_indirect_prod_1610_iotable_2020_xlsx_3[[#This Row],[2026]]</f>
        <v>0</v>
      </c>
      <c r="D61">
        <f>scenario_indirect_prod_4506_iotable_2020_xlsx_3[[#This Row],[2027]]+scenario_indirect_prod_1610_iotable_2020_xlsx_3[[#This Row],[2027]]</f>
        <v>0</v>
      </c>
      <c r="E61">
        <f>scenario_indirect_prod_4506_iotable_2020_xlsx_3[[#This Row],[2028]]+scenario_indirect_prod_1610_iotable_2020_xlsx_3[[#This Row],[2028]]</f>
        <v>0</v>
      </c>
      <c r="F61">
        <f>scenario_indirect_prod_4506_iotable_2020_xlsx_3[[#This Row],[2029]]+scenario_indirect_prod_1610_iotable_2020_xlsx_3[[#This Row],[2029]]</f>
        <v>0</v>
      </c>
      <c r="G61">
        <f>scenario_indirect_prod_4506_iotable_2020_xlsx_3[[#This Row],[2030]]+scenario_indirect_prod_1610_iotable_2020_xlsx_3[[#This Row],[2030]]</f>
        <v>0</v>
      </c>
      <c r="H61">
        <f>scenario_indirect_prod_4506_iotable_2020_xlsx_3[[#This Row],[2031]]+scenario_indirect_prod_1610_iotable_2020_xlsx_3[[#This Row],[2031]]</f>
        <v>0</v>
      </c>
      <c r="I61">
        <f>scenario_indirect_prod_4506_iotable_2020_xlsx_3[[#This Row],[2032]]+scenario_indirect_prod_1610_iotable_2020_xlsx_3[[#This Row],[2032]]</f>
        <v>0</v>
      </c>
      <c r="J61">
        <f>scenario_indirect_prod_4506_iotable_2020_xlsx_3[[#This Row],[2033]]+scenario_indirect_prod_1610_iotable_2020_xlsx_3[[#This Row],[2033]]</f>
        <v>0</v>
      </c>
      <c r="K61">
        <f>scenario_indirect_prod_4506_iotable_2020_xlsx_3[[#This Row],[2034]]+scenario_indirect_prod_1610_iotable_2020_xlsx_3[[#This Row],[2034]]</f>
        <v>0</v>
      </c>
      <c r="L61">
        <f>scenario_indirect_prod_4506_iotable_2020_xlsx_3[[#This Row],[2035]]+scenario_indirect_prod_1610_iotable_2020_xlsx_3[[#This Row],[2035]]</f>
        <v>0</v>
      </c>
      <c r="M61">
        <f>scenario_indirect_prod_4506_iotable_2020_xlsx_3[[#This Row],[2036]]+scenario_indirect_prod_1610_iotable_2020_xlsx_3[[#This Row],[2036]]</f>
        <v>0</v>
      </c>
      <c r="N61">
        <f>scenario_indirect_prod_4506_iotable_2020_xlsx_3[[#This Row],[2037]]+scenario_indirect_prod_1610_iotable_2020_xlsx_3[[#This Row],[2037]]</f>
        <v>0</v>
      </c>
      <c r="O61">
        <f>scenario_indirect_prod_4506_iotable_2020_xlsx_3[[#This Row],[2038]]+scenario_indirect_prod_1610_iotable_2020_xlsx_3[[#This Row],[2038]]</f>
        <v>0</v>
      </c>
      <c r="P61">
        <f>scenario_indirect_prod_4506_iotable_2020_xlsx_3[[#This Row],[2039]]+scenario_indirect_prod_1610_iotable_2020_xlsx_3[[#This Row],[2039]]</f>
        <v>0</v>
      </c>
      <c r="Q61">
        <f>scenario_indirect_prod_4506_iotable_2020_xlsx_3[[#This Row],[2040]]+scenario_indirect_prod_1610_iotable_2020_xlsx_3[[#This Row],[2040]]</f>
        <v>0</v>
      </c>
      <c r="R61">
        <f>scenario_indirect_prod_4506_iotable_2020_xlsx_3[[#This Row],[2041]]+scenario_indirect_prod_1610_iotable_2020_xlsx_3[[#This Row],[2041]]</f>
        <v>0</v>
      </c>
      <c r="S61">
        <f>scenario_indirect_prod_4506_iotable_2020_xlsx_3[[#This Row],[2042]]+scenario_indirect_prod_1610_iotable_2020_xlsx_3[[#This Row],[2042]]</f>
        <v>0</v>
      </c>
      <c r="T61">
        <f>scenario_indirect_prod_4506_iotable_2020_xlsx_3[[#This Row],[2043]]+scenario_indirect_prod_1610_iotable_2020_xlsx_3[[#This Row],[2043]]</f>
        <v>0</v>
      </c>
      <c r="U61">
        <f>scenario_indirect_prod_4506_iotable_2020_xlsx_3[[#This Row],[2044]]+scenario_indirect_prod_1610_iotable_2020_xlsx_3[[#This Row],[2044]]</f>
        <v>0</v>
      </c>
      <c r="V61">
        <f>scenario_indirect_prod_4506_iotable_2020_xlsx_3[[#This Row],[2045]]+scenario_indirect_prod_1610_iotable_2020_xlsx_3[[#This Row],[2045]]</f>
        <v>0</v>
      </c>
      <c r="W61">
        <f>scenario_indirect_prod_4506_iotable_2020_xlsx_3[[#This Row],[2046]]+scenario_indirect_prod_1610_iotable_2020_xlsx_3[[#This Row],[2046]]</f>
        <v>0</v>
      </c>
      <c r="X61">
        <f>scenario_indirect_prod_4506_iotable_2020_xlsx_3[[#This Row],[2047]]+scenario_indirect_prod_1610_iotable_2020_xlsx_3[[#This Row],[2047]]</f>
        <v>0</v>
      </c>
      <c r="Y61">
        <f>scenario_indirect_prod_4506_iotable_2020_xlsx_3[[#This Row],[2048]]+scenario_indirect_prod_1610_iotable_2020_xlsx_3[[#This Row],[2048]]</f>
        <v>0</v>
      </c>
      <c r="Z61">
        <f>scenario_indirect_prod_4506_iotable_2020_xlsx_3[[#This Row],[2049]]+scenario_indirect_prod_1610_iotable_2020_xlsx_3[[#This Row],[2049]]</f>
        <v>0</v>
      </c>
      <c r="AA61">
        <f>scenario_indirect_prod_4506_iotable_2020_xlsx_3[[#This Row],[2050]]+scenario_indirect_prod_1610_iotable_2020_xlsx_3[[#This Row],[2050]]</f>
        <v>0</v>
      </c>
    </row>
    <row r="62" spans="1:27" x14ac:dyDescent="0.2">
      <c r="A62" t="s">
        <v>837</v>
      </c>
      <c r="B62" t="s">
        <v>838</v>
      </c>
      <c r="C62">
        <f>scenario_indirect_prod_4506_iotable_2020_xlsx_3[[#This Row],[2026]]+scenario_indirect_prod_1610_iotable_2020_xlsx_3[[#This Row],[2026]]</f>
        <v>651.96750223410447</v>
      </c>
      <c r="D62">
        <f>scenario_indirect_prod_4506_iotable_2020_xlsx_3[[#This Row],[2027]]+scenario_indirect_prod_1610_iotable_2020_xlsx_3[[#This Row],[2027]]</f>
        <v>516.30536937518991</v>
      </c>
      <c r="E62">
        <f>scenario_indirect_prod_4506_iotable_2020_xlsx_3[[#This Row],[2028]]+scenario_indirect_prod_1610_iotable_2020_xlsx_3[[#This Row],[2028]]</f>
        <v>556.36838965532695</v>
      </c>
      <c r="F62">
        <f>scenario_indirect_prod_4506_iotable_2020_xlsx_3[[#This Row],[2029]]+scenario_indirect_prod_1610_iotable_2020_xlsx_3[[#This Row],[2029]]</f>
        <v>530.62273655655395</v>
      </c>
      <c r="G62">
        <f>scenario_indirect_prod_4506_iotable_2020_xlsx_3[[#This Row],[2030]]+scenario_indirect_prod_1610_iotable_2020_xlsx_3[[#This Row],[2030]]</f>
        <v>34.092301529444285</v>
      </c>
      <c r="H62">
        <f>scenario_indirect_prod_4506_iotable_2020_xlsx_3[[#This Row],[2031]]+scenario_indirect_prod_1610_iotable_2020_xlsx_3[[#This Row],[2031]]</f>
        <v>88.145313270013276</v>
      </c>
      <c r="I62">
        <f>scenario_indirect_prod_4506_iotable_2020_xlsx_3[[#This Row],[2032]]+scenario_indirect_prod_1610_iotable_2020_xlsx_3[[#This Row],[2032]]</f>
        <v>163.63515439465914</v>
      </c>
      <c r="J62">
        <f>scenario_indirect_prod_4506_iotable_2020_xlsx_3[[#This Row],[2033]]+scenario_indirect_prod_1610_iotable_2020_xlsx_3[[#This Row],[2033]]</f>
        <v>23.811947013010922</v>
      </c>
      <c r="K62">
        <f>scenario_indirect_prod_4506_iotable_2020_xlsx_3[[#This Row],[2034]]+scenario_indirect_prod_1610_iotable_2020_xlsx_3[[#This Row],[2034]]</f>
        <v>94.059180079054158</v>
      </c>
      <c r="L62">
        <f>scenario_indirect_prod_4506_iotable_2020_xlsx_3[[#This Row],[2035]]+scenario_indirect_prod_1610_iotable_2020_xlsx_3[[#This Row],[2035]]</f>
        <v>-57.503735714707545</v>
      </c>
      <c r="M62">
        <f>scenario_indirect_prod_4506_iotable_2020_xlsx_3[[#This Row],[2036]]+scenario_indirect_prod_1610_iotable_2020_xlsx_3[[#This Row],[2036]]</f>
        <v>-209.014454124846</v>
      </c>
      <c r="N62">
        <f>scenario_indirect_prod_4506_iotable_2020_xlsx_3[[#This Row],[2037]]+scenario_indirect_prod_1610_iotable_2020_xlsx_3[[#This Row],[2037]]</f>
        <v>-338.62763915786945</v>
      </c>
      <c r="O62">
        <f>scenario_indirect_prod_4506_iotable_2020_xlsx_3[[#This Row],[2038]]+scenario_indirect_prod_1610_iotable_2020_xlsx_3[[#This Row],[2038]]</f>
        <v>-338.62763915786945</v>
      </c>
      <c r="P62">
        <f>scenario_indirect_prod_4506_iotable_2020_xlsx_3[[#This Row],[2039]]+scenario_indirect_prod_1610_iotable_2020_xlsx_3[[#This Row],[2039]]</f>
        <v>-338.62763915786945</v>
      </c>
      <c r="Q62">
        <f>scenario_indirect_prod_4506_iotable_2020_xlsx_3[[#This Row],[2040]]+scenario_indirect_prod_1610_iotable_2020_xlsx_3[[#This Row],[2040]]</f>
        <v>-452.90219145848459</v>
      </c>
      <c r="R62">
        <f>scenario_indirect_prod_4506_iotable_2020_xlsx_3[[#This Row],[2041]]+scenario_indirect_prod_1610_iotable_2020_xlsx_3[[#This Row],[2041]]</f>
        <v>-452.90219145848459</v>
      </c>
      <c r="S62">
        <f>scenario_indirect_prod_4506_iotable_2020_xlsx_3[[#This Row],[2042]]+scenario_indirect_prod_1610_iotable_2020_xlsx_3[[#This Row],[2042]]</f>
        <v>-577.49787298570573</v>
      </c>
      <c r="T62">
        <f>scenario_indirect_prod_4506_iotable_2020_xlsx_3[[#This Row],[2043]]+scenario_indirect_prod_1610_iotable_2020_xlsx_3[[#This Row],[2043]]</f>
        <v>-577.49787298570573</v>
      </c>
      <c r="U62">
        <f>scenario_indirect_prod_4506_iotable_2020_xlsx_3[[#This Row],[2044]]+scenario_indirect_prod_1610_iotable_2020_xlsx_3[[#This Row],[2044]]</f>
        <v>-700.63495344615694</v>
      </c>
      <c r="V62">
        <f>scenario_indirect_prod_4506_iotable_2020_xlsx_3[[#This Row],[2045]]+scenario_indirect_prod_1610_iotable_2020_xlsx_3[[#This Row],[2045]]</f>
        <v>-700.63495344615694</v>
      </c>
      <c r="W62">
        <f>scenario_indirect_prod_4506_iotable_2020_xlsx_3[[#This Row],[2046]]+scenario_indirect_prod_1610_iotable_2020_xlsx_3[[#This Row],[2046]]</f>
        <v>-804.00835136766955</v>
      </c>
      <c r="X62">
        <f>scenario_indirect_prod_4506_iotable_2020_xlsx_3[[#This Row],[2047]]+scenario_indirect_prod_1610_iotable_2020_xlsx_3[[#This Row],[2047]]</f>
        <v>-804.00835136766955</v>
      </c>
      <c r="Y62">
        <f>scenario_indirect_prod_4506_iotable_2020_xlsx_3[[#This Row],[2048]]+scenario_indirect_prod_1610_iotable_2020_xlsx_3[[#This Row],[2048]]</f>
        <v>-804.00835136766955</v>
      </c>
      <c r="Z62">
        <f>scenario_indirect_prod_4506_iotable_2020_xlsx_3[[#This Row],[2049]]+scenario_indirect_prod_1610_iotable_2020_xlsx_3[[#This Row],[2049]]</f>
        <v>-804.00835136766955</v>
      </c>
      <c r="AA62">
        <f>scenario_indirect_prod_4506_iotable_2020_xlsx_3[[#This Row],[2050]]+scenario_indirect_prod_1610_iotable_2020_xlsx_3[[#This Row],[2050]]</f>
        <v>-804.00835136766955</v>
      </c>
    </row>
    <row r="63" spans="1:27" x14ac:dyDescent="0.2">
      <c r="A63" t="s">
        <v>841</v>
      </c>
      <c r="B63" t="s">
        <v>842</v>
      </c>
      <c r="C63">
        <f>scenario_indirect_prod_4506_iotable_2020_xlsx_3[[#This Row],[2026]]+scenario_indirect_prod_1610_iotable_2020_xlsx_3[[#This Row],[2026]]</f>
        <v>600.22389247697924</v>
      </c>
      <c r="D63">
        <f>scenario_indirect_prod_4506_iotable_2020_xlsx_3[[#This Row],[2027]]+scenario_indirect_prod_1610_iotable_2020_xlsx_3[[#This Row],[2027]]</f>
        <v>434.86375359212877</v>
      </c>
      <c r="E63">
        <f>scenario_indirect_prod_4506_iotable_2020_xlsx_3[[#This Row],[2028]]+scenario_indirect_prod_1610_iotable_2020_xlsx_3[[#This Row],[2028]]</f>
        <v>474.15223554348802</v>
      </c>
      <c r="F63">
        <f>scenario_indirect_prod_4506_iotable_2020_xlsx_3[[#This Row],[2029]]+scenario_indirect_prod_1610_iotable_2020_xlsx_3[[#This Row],[2029]]</f>
        <v>435.97601706215028</v>
      </c>
      <c r="G63">
        <f>scenario_indirect_prod_4506_iotable_2020_xlsx_3[[#This Row],[2030]]+scenario_indirect_prod_1610_iotable_2020_xlsx_3[[#This Row],[2030]]</f>
        <v>-160.53983214551249</v>
      </c>
      <c r="H63">
        <f>scenario_indirect_prod_4506_iotable_2020_xlsx_3[[#This Row],[2031]]+scenario_indirect_prod_1610_iotable_2020_xlsx_3[[#This Row],[2031]]</f>
        <v>-107.53182722385554</v>
      </c>
      <c r="I63">
        <f>scenario_indirect_prod_4506_iotable_2020_xlsx_3[[#This Row],[2032]]+scenario_indirect_prod_1610_iotable_2020_xlsx_3[[#This Row],[2032]]</f>
        <v>-33.501431117970924</v>
      </c>
      <c r="J63">
        <f>scenario_indirect_prod_4506_iotable_2020_xlsx_3[[#This Row],[2033]]+scenario_indirect_prod_1610_iotable_2020_xlsx_3[[#This Row],[2033]]</f>
        <v>-231.75349547537257</v>
      </c>
      <c r="K63">
        <f>scenario_indirect_prod_4506_iotable_2020_xlsx_3[[#This Row],[2034]]+scenario_indirect_prod_1610_iotable_2020_xlsx_3[[#This Row],[2034]]</f>
        <v>-162.86435209202864</v>
      </c>
      <c r="L63">
        <f>scenario_indirect_prod_4506_iotable_2020_xlsx_3[[#This Row],[2035]]+scenario_indirect_prod_1610_iotable_2020_xlsx_3[[#This Row],[2035]]</f>
        <v>-388.88299415746815</v>
      </c>
      <c r="M63">
        <f>scenario_indirect_prod_4506_iotable_2020_xlsx_3[[#This Row],[2036]]+scenario_indirect_prod_1610_iotable_2020_xlsx_3[[#This Row],[2036]]</f>
        <v>-588.2591321559471</v>
      </c>
      <c r="N63">
        <f>scenario_indirect_prod_4506_iotable_2020_xlsx_3[[#This Row],[2037]]+scenario_indirect_prod_1610_iotable_2020_xlsx_3[[#This Row],[2037]]</f>
        <v>-759.77141845546748</v>
      </c>
      <c r="O63">
        <f>scenario_indirect_prod_4506_iotable_2020_xlsx_3[[#This Row],[2038]]+scenario_indirect_prod_1610_iotable_2020_xlsx_3[[#This Row],[2038]]</f>
        <v>-759.77141845546748</v>
      </c>
      <c r="P63">
        <f>scenario_indirect_prod_4506_iotable_2020_xlsx_3[[#This Row],[2039]]+scenario_indirect_prod_1610_iotable_2020_xlsx_3[[#This Row],[2039]]</f>
        <v>-759.77141845546748</v>
      </c>
      <c r="Q63">
        <f>scenario_indirect_prod_4506_iotable_2020_xlsx_3[[#This Row],[2040]]+scenario_indirect_prod_1610_iotable_2020_xlsx_3[[#This Row],[2040]]</f>
        <v>-910.82007940410767</v>
      </c>
      <c r="R63">
        <f>scenario_indirect_prod_4506_iotable_2020_xlsx_3[[#This Row],[2041]]+scenario_indirect_prod_1610_iotable_2020_xlsx_3[[#This Row],[2041]]</f>
        <v>-910.82007940410767</v>
      </c>
      <c r="S63">
        <f>scenario_indirect_prod_4506_iotable_2020_xlsx_3[[#This Row],[2042]]+scenario_indirect_prod_1610_iotable_2020_xlsx_3[[#This Row],[2042]]</f>
        <v>-1076.0349697398383</v>
      </c>
      <c r="T63">
        <f>scenario_indirect_prod_4506_iotable_2020_xlsx_3[[#This Row],[2043]]+scenario_indirect_prod_1610_iotable_2020_xlsx_3[[#This Row],[2043]]</f>
        <v>-1076.0349697398383</v>
      </c>
      <c r="U63">
        <f>scenario_indirect_prod_4506_iotable_2020_xlsx_3[[#This Row],[2044]]+scenario_indirect_prod_1610_iotable_2020_xlsx_3[[#This Row],[2044]]</f>
        <v>-1237.7110898682445</v>
      </c>
      <c r="V63">
        <f>scenario_indirect_prod_4506_iotable_2020_xlsx_3[[#This Row],[2045]]+scenario_indirect_prod_1610_iotable_2020_xlsx_3[[#This Row],[2045]]</f>
        <v>-1237.7110898682445</v>
      </c>
      <c r="W63">
        <f>scenario_indirect_prod_4506_iotable_2020_xlsx_3[[#This Row],[2046]]+scenario_indirect_prod_1610_iotable_2020_xlsx_3[[#This Row],[2046]]</f>
        <v>-1373.9279032218287</v>
      </c>
      <c r="X63">
        <f>scenario_indirect_prod_4506_iotable_2020_xlsx_3[[#This Row],[2047]]+scenario_indirect_prod_1610_iotable_2020_xlsx_3[[#This Row],[2047]]</f>
        <v>-1373.9279032218287</v>
      </c>
      <c r="Y63">
        <f>scenario_indirect_prod_4506_iotable_2020_xlsx_3[[#This Row],[2048]]+scenario_indirect_prod_1610_iotable_2020_xlsx_3[[#This Row],[2048]]</f>
        <v>-1373.9279032218287</v>
      </c>
      <c r="Z63">
        <f>scenario_indirect_prod_4506_iotable_2020_xlsx_3[[#This Row],[2049]]+scenario_indirect_prod_1610_iotable_2020_xlsx_3[[#This Row],[2049]]</f>
        <v>-1373.9279032218287</v>
      </c>
      <c r="AA63">
        <f>scenario_indirect_prod_4506_iotable_2020_xlsx_3[[#This Row],[2050]]+scenario_indirect_prod_1610_iotable_2020_xlsx_3[[#This Row],[2050]]</f>
        <v>-1373.9279032218287</v>
      </c>
    </row>
    <row r="64" spans="1:27" x14ac:dyDescent="0.2">
      <c r="A64" t="s">
        <v>710</v>
      </c>
      <c r="B64" t="s">
        <v>711</v>
      </c>
      <c r="C64">
        <f>scenario_indirect_prod_4506_iotable_2020_xlsx_3[[#This Row],[2026]]+scenario_indirect_prod_1610_iotable_2020_xlsx_3[[#This Row],[2026]]</f>
        <v>1886.0940500308229</v>
      </c>
      <c r="D64">
        <f>scenario_indirect_prod_4506_iotable_2020_xlsx_3[[#This Row],[2027]]+scenario_indirect_prod_1610_iotable_2020_xlsx_3[[#This Row],[2027]]</f>
        <v>1071.8846356366917</v>
      </c>
      <c r="E64">
        <f>scenario_indirect_prod_4506_iotable_2020_xlsx_3[[#This Row],[2028]]+scenario_indirect_prod_1610_iotable_2020_xlsx_3[[#This Row],[2028]]</f>
        <v>1212.8511324404972</v>
      </c>
      <c r="F64">
        <f>scenario_indirect_prod_4506_iotable_2020_xlsx_3[[#This Row],[2029]]+scenario_indirect_prod_1610_iotable_2020_xlsx_3[[#This Row],[2029]]</f>
        <v>987.51554681878997</v>
      </c>
      <c r="G64">
        <f>scenario_indirect_prod_4506_iotable_2020_xlsx_3[[#This Row],[2030]]+scenario_indirect_prod_1610_iotable_2020_xlsx_3[[#This Row],[2030]]</f>
        <v>-1901.743712378955</v>
      </c>
      <c r="H64">
        <f>scenario_indirect_prod_4506_iotable_2020_xlsx_3[[#This Row],[2031]]+scenario_indirect_prod_1610_iotable_2020_xlsx_3[[#This Row],[2031]]</f>
        <v>-1711.551768449538</v>
      </c>
      <c r="I64">
        <f>scenario_indirect_prod_4506_iotable_2020_xlsx_3[[#This Row],[2032]]+scenario_indirect_prod_1610_iotable_2020_xlsx_3[[#This Row],[2032]]</f>
        <v>-1445.9317933900647</v>
      </c>
      <c r="J64">
        <f>scenario_indirect_prod_4506_iotable_2020_xlsx_3[[#This Row],[2033]]+scenario_indirect_prod_1610_iotable_2020_xlsx_3[[#This Row],[2033]]</f>
        <v>-2575.070807359567</v>
      </c>
      <c r="K64">
        <f>scenario_indirect_prod_4506_iotable_2020_xlsx_3[[#This Row],[2034]]+scenario_indirect_prod_1610_iotable_2020_xlsx_3[[#This Row],[2034]]</f>
        <v>-2327.8975716364939</v>
      </c>
      <c r="L64">
        <f>scenario_indirect_prod_4506_iotable_2020_xlsx_3[[#This Row],[2035]]+scenario_indirect_prod_1610_iotable_2020_xlsx_3[[#This Row],[2035]]</f>
        <v>-3667.7511985188885</v>
      </c>
      <c r="M64">
        <f>scenario_indirect_prod_4506_iotable_2020_xlsx_3[[#This Row],[2036]]+scenario_indirect_prod_1610_iotable_2020_xlsx_3[[#This Row],[2036]]</f>
        <v>-4730.2707541044656</v>
      </c>
      <c r="N64">
        <f>scenario_indirect_prod_4506_iotable_2020_xlsx_3[[#This Row],[2037]]+scenario_indirect_prod_1610_iotable_2020_xlsx_3[[#This Row],[2037]]</f>
        <v>-5649.1443895706198</v>
      </c>
      <c r="O64">
        <f>scenario_indirect_prod_4506_iotable_2020_xlsx_3[[#This Row],[2038]]+scenario_indirect_prod_1610_iotable_2020_xlsx_3[[#This Row],[2038]]</f>
        <v>-5649.1443895706198</v>
      </c>
      <c r="P64">
        <f>scenario_indirect_prod_4506_iotable_2020_xlsx_3[[#This Row],[2039]]+scenario_indirect_prod_1610_iotable_2020_xlsx_3[[#This Row],[2039]]</f>
        <v>-5649.1443895706198</v>
      </c>
      <c r="Q64">
        <f>scenario_indirect_prod_4506_iotable_2020_xlsx_3[[#This Row],[2040]]+scenario_indirect_prod_1610_iotable_2020_xlsx_3[[#This Row],[2040]]</f>
        <v>-6457.5407878936458</v>
      </c>
      <c r="R64">
        <f>scenario_indirect_prod_4506_iotable_2020_xlsx_3[[#This Row],[2041]]+scenario_indirect_prod_1610_iotable_2020_xlsx_3[[#This Row],[2041]]</f>
        <v>-6457.5407878936458</v>
      </c>
      <c r="S64">
        <f>scenario_indirect_prod_4506_iotable_2020_xlsx_3[[#This Row],[2042]]+scenario_indirect_prod_1610_iotable_2020_xlsx_3[[#This Row],[2042]]</f>
        <v>-7344.4089188796934</v>
      </c>
      <c r="T64">
        <f>scenario_indirect_prod_4506_iotable_2020_xlsx_3[[#This Row],[2043]]+scenario_indirect_prod_1610_iotable_2020_xlsx_3[[#This Row],[2043]]</f>
        <v>-7344.4089188796934</v>
      </c>
      <c r="U64">
        <f>scenario_indirect_prod_4506_iotable_2020_xlsx_3[[#This Row],[2044]]+scenario_indirect_prod_1610_iotable_2020_xlsx_3[[#This Row],[2044]]</f>
        <v>-8204.170128545582</v>
      </c>
      <c r="V64">
        <f>scenario_indirect_prod_4506_iotable_2020_xlsx_3[[#This Row],[2045]]+scenario_indirect_prod_1610_iotable_2020_xlsx_3[[#This Row],[2045]]</f>
        <v>-8204.170128545582</v>
      </c>
      <c r="W64">
        <f>scenario_indirect_prod_4506_iotable_2020_xlsx_3[[#This Row],[2046]]+scenario_indirect_prod_1610_iotable_2020_xlsx_3[[#This Row],[2046]]</f>
        <v>-8931.0449303504283</v>
      </c>
      <c r="X64">
        <f>scenario_indirect_prod_4506_iotable_2020_xlsx_3[[#This Row],[2047]]+scenario_indirect_prod_1610_iotable_2020_xlsx_3[[#This Row],[2047]]</f>
        <v>-8931.0449303504283</v>
      </c>
      <c r="Y64">
        <f>scenario_indirect_prod_4506_iotable_2020_xlsx_3[[#This Row],[2048]]+scenario_indirect_prod_1610_iotable_2020_xlsx_3[[#This Row],[2048]]</f>
        <v>-8931.0449303504283</v>
      </c>
      <c r="Z64">
        <f>scenario_indirect_prod_4506_iotable_2020_xlsx_3[[#This Row],[2049]]+scenario_indirect_prod_1610_iotable_2020_xlsx_3[[#This Row],[2049]]</f>
        <v>-8931.0449303504283</v>
      </c>
      <c r="AA64">
        <f>scenario_indirect_prod_4506_iotable_2020_xlsx_3[[#This Row],[2050]]+scenario_indirect_prod_1610_iotable_2020_xlsx_3[[#This Row],[2050]]</f>
        <v>-8931.0449303504283</v>
      </c>
    </row>
    <row r="65" spans="1:27" x14ac:dyDescent="0.2">
      <c r="A65" t="s">
        <v>724</v>
      </c>
      <c r="B65" t="s">
        <v>725</v>
      </c>
      <c r="C65">
        <f>scenario_indirect_prod_4506_iotable_2020_xlsx_3[[#This Row],[2026]]+scenario_indirect_prod_1610_iotable_2020_xlsx_3[[#This Row],[2026]]</f>
        <v>2754.7269027890507</v>
      </c>
      <c r="D65">
        <f>scenario_indirect_prod_4506_iotable_2020_xlsx_3[[#This Row],[2027]]+scenario_indirect_prod_1610_iotable_2020_xlsx_3[[#This Row],[2027]]</f>
        <v>2883.7485600097298</v>
      </c>
      <c r="E65">
        <f>scenario_indirect_prod_4506_iotable_2020_xlsx_3[[#This Row],[2028]]+scenario_indirect_prod_1610_iotable_2020_xlsx_3[[#This Row],[2028]]</f>
        <v>3011.2871665602729</v>
      </c>
      <c r="F65">
        <f>scenario_indirect_prod_4506_iotable_2020_xlsx_3[[#This Row],[2029]]+scenario_indirect_prod_1610_iotable_2020_xlsx_3[[#This Row],[2029]]</f>
        <v>3153.6852885930066</v>
      </c>
      <c r="G65">
        <f>scenario_indirect_prod_4506_iotable_2020_xlsx_3[[#This Row],[2030]]+scenario_indirect_prod_1610_iotable_2020_xlsx_3[[#This Row],[2030]]</f>
        <v>3474.7433606827703</v>
      </c>
      <c r="H65">
        <f>scenario_indirect_prod_4506_iotable_2020_xlsx_3[[#This Row],[2031]]+scenario_indirect_prod_1610_iotable_2020_xlsx_3[[#This Row],[2031]]</f>
        <v>3646.8184001842328</v>
      </c>
      <c r="I65">
        <f>scenario_indirect_prod_4506_iotable_2020_xlsx_3[[#This Row],[2032]]+scenario_indirect_prod_1610_iotable_2020_xlsx_3[[#This Row],[2032]]</f>
        <v>3887.1365059694999</v>
      </c>
      <c r="J65">
        <f>scenario_indirect_prod_4506_iotable_2020_xlsx_3[[#This Row],[2033]]+scenario_indirect_prod_1610_iotable_2020_xlsx_3[[#This Row],[2033]]</f>
        <v>4502.9034821225296</v>
      </c>
      <c r="K65">
        <f>scenario_indirect_prod_4506_iotable_2020_xlsx_3[[#This Row],[2034]]+scenario_indirect_prod_1610_iotable_2020_xlsx_3[[#This Row],[2034]]</f>
        <v>4726.5320092936672</v>
      </c>
      <c r="L65">
        <f>scenario_indirect_prod_4506_iotable_2020_xlsx_3[[#This Row],[2035]]+scenario_indirect_prod_1610_iotable_2020_xlsx_3[[#This Row],[2035]]</f>
        <v>5586.9955963631728</v>
      </c>
      <c r="M65">
        <f>scenario_indirect_prod_4506_iotable_2020_xlsx_3[[#This Row],[2036]]+scenario_indirect_prod_1610_iotable_2020_xlsx_3[[#This Row],[2036]]</f>
        <v>5986.1590640722952</v>
      </c>
      <c r="N65">
        <f>scenario_indirect_prod_4506_iotable_2020_xlsx_3[[#This Row],[2037]]+scenario_indirect_prod_1610_iotable_2020_xlsx_3[[#This Row],[2037]]</f>
        <v>6344.1458665485425</v>
      </c>
      <c r="O65">
        <f>scenario_indirect_prod_4506_iotable_2020_xlsx_3[[#This Row],[2038]]+scenario_indirect_prod_1610_iotable_2020_xlsx_3[[#This Row],[2038]]</f>
        <v>6344.1458665485425</v>
      </c>
      <c r="P65">
        <f>scenario_indirect_prod_4506_iotable_2020_xlsx_3[[#This Row],[2039]]+scenario_indirect_prod_1610_iotable_2020_xlsx_3[[#This Row],[2039]]</f>
        <v>6344.1458665485425</v>
      </c>
      <c r="Q65">
        <f>scenario_indirect_prod_4506_iotable_2020_xlsx_3[[#This Row],[2040]]+scenario_indirect_prod_1610_iotable_2020_xlsx_3[[#This Row],[2040]]</f>
        <v>6656.8770049417262</v>
      </c>
      <c r="R65">
        <f>scenario_indirect_prod_4506_iotable_2020_xlsx_3[[#This Row],[2041]]+scenario_indirect_prod_1610_iotable_2020_xlsx_3[[#This Row],[2041]]</f>
        <v>6656.8770049417262</v>
      </c>
      <c r="S65">
        <f>scenario_indirect_prod_4506_iotable_2020_xlsx_3[[#This Row],[2042]]+scenario_indirect_prod_1610_iotable_2020_xlsx_3[[#This Row],[2042]]</f>
        <v>7006.9420958075561</v>
      </c>
      <c r="T65">
        <f>scenario_indirect_prod_4506_iotable_2020_xlsx_3[[#This Row],[2043]]+scenario_indirect_prod_1610_iotable_2020_xlsx_3[[#This Row],[2043]]</f>
        <v>7006.9420958075561</v>
      </c>
      <c r="U65">
        <f>scenario_indirect_prod_4506_iotable_2020_xlsx_3[[#This Row],[2044]]+scenario_indirect_prod_1610_iotable_2020_xlsx_3[[#This Row],[2044]]</f>
        <v>7325.0618996894136</v>
      </c>
      <c r="V65">
        <f>scenario_indirect_prod_4506_iotable_2020_xlsx_3[[#This Row],[2045]]+scenario_indirect_prod_1610_iotable_2020_xlsx_3[[#This Row],[2045]]</f>
        <v>7325.0618996894136</v>
      </c>
      <c r="W65">
        <f>scenario_indirect_prod_4506_iotable_2020_xlsx_3[[#This Row],[2046]]+scenario_indirect_prod_1610_iotable_2020_xlsx_3[[#This Row],[2046]]</f>
        <v>7600.6255811581268</v>
      </c>
      <c r="X65">
        <f>scenario_indirect_prod_4506_iotable_2020_xlsx_3[[#This Row],[2047]]+scenario_indirect_prod_1610_iotable_2020_xlsx_3[[#This Row],[2047]]</f>
        <v>7600.6255811581268</v>
      </c>
      <c r="Y65">
        <f>scenario_indirect_prod_4506_iotable_2020_xlsx_3[[#This Row],[2048]]+scenario_indirect_prod_1610_iotable_2020_xlsx_3[[#This Row],[2048]]</f>
        <v>7600.6255811581268</v>
      </c>
      <c r="Z65">
        <f>scenario_indirect_prod_4506_iotable_2020_xlsx_3[[#This Row],[2049]]+scenario_indirect_prod_1610_iotable_2020_xlsx_3[[#This Row],[2049]]</f>
        <v>7600.6255811581268</v>
      </c>
      <c r="AA65">
        <f>scenario_indirect_prod_4506_iotable_2020_xlsx_3[[#This Row],[2050]]+scenario_indirect_prod_1610_iotable_2020_xlsx_3[[#This Row],[2050]]</f>
        <v>7600.6255811581268</v>
      </c>
    </row>
    <row r="66" spans="1:27" x14ac:dyDescent="0.2">
      <c r="A66" t="s">
        <v>866</v>
      </c>
      <c r="B66" t="s">
        <v>867</v>
      </c>
      <c r="C66">
        <f>scenario_indirect_prod_4506_iotable_2020_xlsx_3[[#This Row],[2026]]+scenario_indirect_prod_1610_iotable_2020_xlsx_3[[#This Row],[2026]]</f>
        <v>307.28128705985222</v>
      </c>
      <c r="D66">
        <f>scenario_indirect_prod_4506_iotable_2020_xlsx_3[[#This Row],[2027]]+scenario_indirect_prod_1610_iotable_2020_xlsx_3[[#This Row],[2027]]</f>
        <v>129.06195511988199</v>
      </c>
      <c r="E66">
        <f>scenario_indirect_prod_4506_iotable_2020_xlsx_3[[#This Row],[2028]]+scenario_indirect_prod_1610_iotable_2020_xlsx_3[[#This Row],[2028]]</f>
        <v>154.73656612824084</v>
      </c>
      <c r="F66">
        <f>scenario_indirect_prod_4506_iotable_2020_xlsx_3[[#This Row],[2029]]+scenario_indirect_prod_1610_iotable_2020_xlsx_3[[#This Row],[2029]]</f>
        <v>101.72551879245862</v>
      </c>
      <c r="G66">
        <f>scenario_indirect_prod_4506_iotable_2020_xlsx_3[[#This Row],[2030]]+scenario_indirect_prod_1610_iotable_2020_xlsx_3[[#This Row],[2030]]</f>
        <v>-525.96556952184244</v>
      </c>
      <c r="H66">
        <f>scenario_indirect_prod_4506_iotable_2020_xlsx_3[[#This Row],[2031]]+scenario_indirect_prod_1610_iotable_2020_xlsx_3[[#This Row],[2031]]</f>
        <v>-491.32539410407924</v>
      </c>
      <c r="I66">
        <f>scenario_indirect_prod_4506_iotable_2020_xlsx_3[[#This Row],[2032]]+scenario_indirect_prod_1610_iotable_2020_xlsx_3[[#This Row],[2032]]</f>
        <v>-442.94730647100528</v>
      </c>
      <c r="J66">
        <f>scenario_indirect_prod_4506_iotable_2020_xlsx_3[[#This Row],[2033]]+scenario_indirect_prod_1610_iotable_2020_xlsx_3[[#This Row],[2033]]</f>
        <v>-705.20143664127795</v>
      </c>
      <c r="K66">
        <f>scenario_indirect_prod_4506_iotable_2020_xlsx_3[[#This Row],[2034]]+scenario_indirect_prod_1610_iotable_2020_xlsx_3[[#This Row],[2034]]</f>
        <v>-660.18310375541773</v>
      </c>
      <c r="L66">
        <f>scenario_indirect_prod_4506_iotable_2020_xlsx_3[[#This Row],[2035]]+scenario_indirect_prod_1610_iotable_2020_xlsx_3[[#This Row],[2035]]</f>
        <v>-975.86436399864715</v>
      </c>
      <c r="M66">
        <f>scenario_indirect_prod_4506_iotable_2020_xlsx_3[[#This Row],[2036]]+scenario_indirect_prod_1610_iotable_2020_xlsx_3[[#This Row],[2036]]</f>
        <v>-1216.4136387390101</v>
      </c>
      <c r="N66">
        <f>scenario_indirect_prod_4506_iotable_2020_xlsx_3[[#This Row],[2037]]+scenario_indirect_prod_1610_iotable_2020_xlsx_3[[#This Row],[2037]]</f>
        <v>-1424.884227902784</v>
      </c>
      <c r="O66">
        <f>scenario_indirect_prod_4506_iotable_2020_xlsx_3[[#This Row],[2038]]+scenario_indirect_prod_1610_iotable_2020_xlsx_3[[#This Row],[2038]]</f>
        <v>-1424.884227902784</v>
      </c>
      <c r="P66">
        <f>scenario_indirect_prod_4506_iotable_2020_xlsx_3[[#This Row],[2039]]+scenario_indirect_prod_1610_iotable_2020_xlsx_3[[#This Row],[2039]]</f>
        <v>-1424.884227902784</v>
      </c>
      <c r="Q66">
        <f>scenario_indirect_prod_4506_iotable_2020_xlsx_3[[#This Row],[2040]]+scenario_indirect_prod_1610_iotable_2020_xlsx_3[[#This Row],[2040]]</f>
        <v>-1608.2136054042139</v>
      </c>
      <c r="R66">
        <f>scenario_indirect_prod_4506_iotable_2020_xlsx_3[[#This Row],[2041]]+scenario_indirect_prod_1610_iotable_2020_xlsx_3[[#This Row],[2041]]</f>
        <v>-1608.2136054042139</v>
      </c>
      <c r="S66">
        <f>scenario_indirect_prod_4506_iotable_2020_xlsx_3[[#This Row],[2042]]+scenario_indirect_prod_1610_iotable_2020_xlsx_3[[#This Row],[2042]]</f>
        <v>-1809.5801042352678</v>
      </c>
      <c r="T66">
        <f>scenario_indirect_prod_4506_iotable_2020_xlsx_3[[#This Row],[2043]]+scenario_indirect_prod_1610_iotable_2020_xlsx_3[[#This Row],[2043]]</f>
        <v>-1809.5801042352678</v>
      </c>
      <c r="U66">
        <f>scenario_indirect_prod_4506_iotable_2020_xlsx_3[[#This Row],[2044]]+scenario_indirect_prod_1610_iotable_2020_xlsx_3[[#This Row],[2044]]</f>
        <v>-2004.057449021642</v>
      </c>
      <c r="V66">
        <f>scenario_indirect_prod_4506_iotable_2020_xlsx_3[[#This Row],[2045]]+scenario_indirect_prod_1610_iotable_2020_xlsx_3[[#This Row],[2045]]</f>
        <v>-2004.057449021642</v>
      </c>
      <c r="W66">
        <f>scenario_indirect_prod_4506_iotable_2020_xlsx_3[[#This Row],[2046]]+scenario_indirect_prod_1610_iotable_2020_xlsx_3[[#This Row],[2046]]</f>
        <v>-2168.7045937972316</v>
      </c>
      <c r="X66">
        <f>scenario_indirect_prod_4506_iotable_2020_xlsx_3[[#This Row],[2047]]+scenario_indirect_prod_1610_iotable_2020_xlsx_3[[#This Row],[2047]]</f>
        <v>-2168.7045937972316</v>
      </c>
      <c r="Y66">
        <f>scenario_indirect_prod_4506_iotable_2020_xlsx_3[[#This Row],[2048]]+scenario_indirect_prod_1610_iotable_2020_xlsx_3[[#This Row],[2048]]</f>
        <v>-2168.7045937972316</v>
      </c>
      <c r="Z66">
        <f>scenario_indirect_prod_4506_iotable_2020_xlsx_3[[#This Row],[2049]]+scenario_indirect_prod_1610_iotable_2020_xlsx_3[[#This Row],[2049]]</f>
        <v>-2168.7045937972316</v>
      </c>
      <c r="AA66">
        <f>scenario_indirect_prod_4506_iotable_2020_xlsx_3[[#This Row],[2050]]+scenario_indirect_prod_1610_iotable_2020_xlsx_3[[#This Row],[2050]]</f>
        <v>-2168.7045937972316</v>
      </c>
    </row>
    <row r="67" spans="1:27" x14ac:dyDescent="0.2">
      <c r="A67" t="s">
        <v>736</v>
      </c>
      <c r="B67" t="s">
        <v>233</v>
      </c>
      <c r="C67">
        <f>scenario_indirect_prod_4506_iotable_2020_xlsx_3[[#This Row],[2026]]+scenario_indirect_prod_1610_iotable_2020_xlsx_3[[#This Row],[2026]]</f>
        <v>1628.3535121882519</v>
      </c>
      <c r="D67">
        <f>scenario_indirect_prod_4506_iotable_2020_xlsx_3[[#This Row],[2027]]+scenario_indirect_prod_1610_iotable_2020_xlsx_3[[#This Row],[2027]]</f>
        <v>1088.4654660018118</v>
      </c>
      <c r="E67">
        <f>scenario_indirect_prod_4506_iotable_2020_xlsx_3[[#This Row],[2028]]+scenario_indirect_prod_1610_iotable_2020_xlsx_3[[#This Row],[2028]]</f>
        <v>1200.4769701059956</v>
      </c>
      <c r="F67">
        <f>scenario_indirect_prod_4506_iotable_2020_xlsx_3[[#This Row],[2029]]+scenario_indirect_prod_1610_iotable_2020_xlsx_3[[#This Row],[2029]]</f>
        <v>1064.2580822971654</v>
      </c>
      <c r="G67">
        <f>scenario_indirect_prod_4506_iotable_2020_xlsx_3[[#This Row],[2030]]+scenario_indirect_prod_1610_iotable_2020_xlsx_3[[#This Row],[2030]]</f>
        <v>-868.47852812919518</v>
      </c>
      <c r="H67">
        <f>scenario_indirect_prod_4506_iotable_2020_xlsx_3[[#This Row],[2031]]+scenario_indirect_prod_1610_iotable_2020_xlsx_3[[#This Row],[2031]]</f>
        <v>-717.35264934905717</v>
      </c>
      <c r="I67">
        <f>scenario_indirect_prod_4506_iotable_2020_xlsx_3[[#This Row],[2032]]+scenario_indirect_prod_1610_iotable_2020_xlsx_3[[#This Row],[2032]]</f>
        <v>-506.29191079685825</v>
      </c>
      <c r="J67">
        <f>scenario_indirect_prod_4506_iotable_2020_xlsx_3[[#This Row],[2033]]+scenario_indirect_prod_1610_iotable_2020_xlsx_3[[#This Row],[2033]]</f>
        <v>-1200.9689437885099</v>
      </c>
      <c r="K67">
        <f>scenario_indirect_prod_4506_iotable_2020_xlsx_3[[#This Row],[2034]]+scenario_indirect_prod_1610_iotable_2020_xlsx_3[[#This Row],[2034]]</f>
        <v>-1004.5659222523173</v>
      </c>
      <c r="L67">
        <f>scenario_indirect_prod_4506_iotable_2020_xlsx_3[[#This Row],[2035]]+scenario_indirect_prod_1610_iotable_2020_xlsx_3[[#This Row],[2035]]</f>
        <v>-1812.8264594233706</v>
      </c>
      <c r="M67">
        <f>scenario_indirect_prod_4506_iotable_2020_xlsx_3[[#This Row],[2036]]+scenario_indirect_prod_1610_iotable_2020_xlsx_3[[#This Row],[2036]]</f>
        <v>-2488.8164009883703</v>
      </c>
      <c r="N67">
        <f>scenario_indirect_prod_4506_iotable_2020_xlsx_3[[#This Row],[2037]]+scenario_indirect_prod_1610_iotable_2020_xlsx_3[[#This Row],[2037]]</f>
        <v>-3071.8349953935849</v>
      </c>
      <c r="O67">
        <f>scenario_indirect_prod_4506_iotable_2020_xlsx_3[[#This Row],[2038]]+scenario_indirect_prod_1610_iotable_2020_xlsx_3[[#This Row],[2038]]</f>
        <v>-3071.8349953935849</v>
      </c>
      <c r="P67">
        <f>scenario_indirect_prod_4506_iotable_2020_xlsx_3[[#This Row],[2039]]+scenario_indirect_prod_1610_iotable_2020_xlsx_3[[#This Row],[2039]]</f>
        <v>-3071.8349953935849</v>
      </c>
      <c r="Q67">
        <f>scenario_indirect_prod_4506_iotable_2020_xlsx_3[[#This Row],[2040]]+scenario_indirect_prod_1610_iotable_2020_xlsx_3[[#This Row],[2040]]</f>
        <v>-3585.0305155509068</v>
      </c>
      <c r="R67">
        <f>scenario_indirect_prod_4506_iotable_2020_xlsx_3[[#This Row],[2041]]+scenario_indirect_prod_1610_iotable_2020_xlsx_3[[#This Row],[2041]]</f>
        <v>-3585.0305155509068</v>
      </c>
      <c r="S67">
        <f>scenario_indirect_prod_4506_iotable_2020_xlsx_3[[#This Row],[2042]]+scenario_indirect_prod_1610_iotable_2020_xlsx_3[[#This Row],[2042]]</f>
        <v>-4147.1793564219479</v>
      </c>
      <c r="T67">
        <f>scenario_indirect_prod_4506_iotable_2020_xlsx_3[[#This Row],[2043]]+scenario_indirect_prod_1610_iotable_2020_xlsx_3[[#This Row],[2043]]</f>
        <v>-4147.1793564219479</v>
      </c>
      <c r="U67">
        <f>scenario_indirect_prod_4506_iotable_2020_xlsx_3[[#This Row],[2044]]+scenario_indirect_prod_1610_iotable_2020_xlsx_3[[#This Row],[2044]]</f>
        <v>-4694.7742397271359</v>
      </c>
      <c r="V67">
        <f>scenario_indirect_prod_4506_iotable_2020_xlsx_3[[#This Row],[2045]]+scenario_indirect_prod_1610_iotable_2020_xlsx_3[[#This Row],[2045]]</f>
        <v>-4694.7742397271359</v>
      </c>
      <c r="W67">
        <f>scenario_indirect_prod_4506_iotable_2020_xlsx_3[[#This Row],[2046]]+scenario_indirect_prod_1610_iotable_2020_xlsx_3[[#This Row],[2046]]</f>
        <v>-5156.9137521335197</v>
      </c>
      <c r="X67">
        <f>scenario_indirect_prod_4506_iotable_2020_xlsx_3[[#This Row],[2047]]+scenario_indirect_prod_1610_iotable_2020_xlsx_3[[#This Row],[2047]]</f>
        <v>-5156.9137521335197</v>
      </c>
      <c r="Y67">
        <f>scenario_indirect_prod_4506_iotable_2020_xlsx_3[[#This Row],[2048]]+scenario_indirect_prod_1610_iotable_2020_xlsx_3[[#This Row],[2048]]</f>
        <v>-5156.9137521335197</v>
      </c>
      <c r="Z67">
        <f>scenario_indirect_prod_4506_iotable_2020_xlsx_3[[#This Row],[2049]]+scenario_indirect_prod_1610_iotable_2020_xlsx_3[[#This Row],[2049]]</f>
        <v>-5156.9137521335197</v>
      </c>
      <c r="AA67">
        <f>scenario_indirect_prod_4506_iotable_2020_xlsx_3[[#This Row],[2050]]+scenario_indirect_prod_1610_iotable_2020_xlsx_3[[#This Row],[2050]]</f>
        <v>-5156.9137521335197</v>
      </c>
    </row>
    <row r="68" spans="1:27" x14ac:dyDescent="0.2">
      <c r="A68" t="s">
        <v>537</v>
      </c>
      <c r="B68" t="s">
        <v>137</v>
      </c>
      <c r="C68">
        <f>scenario_indirect_prod_4506_iotable_2020_xlsx_3[[#This Row],[2026]]+scenario_indirect_prod_1610_iotable_2020_xlsx_3[[#This Row],[2026]]</f>
        <v>4597.3485192651679</v>
      </c>
      <c r="D68">
        <f>scenario_indirect_prod_4506_iotable_2020_xlsx_3[[#This Row],[2027]]+scenario_indirect_prod_1610_iotable_2020_xlsx_3[[#This Row],[2027]]</f>
        <v>-864.42346214448116</v>
      </c>
      <c r="E68">
        <f>scenario_indirect_prod_4506_iotable_2020_xlsx_3[[#This Row],[2028]]+scenario_indirect_prod_1610_iotable_2020_xlsx_3[[#This Row],[2028]]</f>
        <v>-314.15031984680536</v>
      </c>
      <c r="F68">
        <f>scenario_indirect_prod_4506_iotable_2020_xlsx_3[[#This Row],[2029]]+scenario_indirect_prod_1610_iotable_2020_xlsx_3[[#This Row],[2029]]</f>
        <v>-2107.1426646428772</v>
      </c>
      <c r="G68">
        <f>scenario_indirect_prod_4506_iotable_2020_xlsx_3[[#This Row],[2030]]+scenario_indirect_prod_1610_iotable_2020_xlsx_3[[#This Row],[2030]]</f>
        <v>-21127.692578171052</v>
      </c>
      <c r="H68">
        <f>scenario_indirect_prod_4506_iotable_2020_xlsx_3[[#This Row],[2031]]+scenario_indirect_prod_1610_iotable_2020_xlsx_3[[#This Row],[2031]]</f>
        <v>-20385.264263651727</v>
      </c>
      <c r="I68">
        <f>scenario_indirect_prod_4506_iotable_2020_xlsx_3[[#This Row],[2032]]+scenario_indirect_prod_1610_iotable_2020_xlsx_3[[#This Row],[2032]]</f>
        <v>-19348.397053023418</v>
      </c>
      <c r="J68">
        <f>scenario_indirect_prod_4506_iotable_2020_xlsx_3[[#This Row],[2033]]+scenario_indirect_prod_1610_iotable_2020_xlsx_3[[#This Row],[2033]]</f>
        <v>-28075.023441356898</v>
      </c>
      <c r="K68">
        <f>scenario_indirect_prod_4506_iotable_2020_xlsx_3[[#This Row],[2034]]+scenario_indirect_prod_1610_iotable_2020_xlsx_3[[#This Row],[2034]]</f>
        <v>-27110.164441544199</v>
      </c>
      <c r="L68">
        <f>scenario_indirect_prod_4506_iotable_2020_xlsx_3[[#This Row],[2035]]+scenario_indirect_prod_1610_iotable_2020_xlsx_3[[#This Row],[2035]]</f>
        <v>-37807.65591233228</v>
      </c>
      <c r="M68">
        <f>scenario_indirect_prod_4506_iotable_2020_xlsx_3[[#This Row],[2036]]+scenario_indirect_prod_1610_iotable_2020_xlsx_3[[#This Row],[2036]]</f>
        <v>-45543.890438215654</v>
      </c>
      <c r="N68">
        <f>scenario_indirect_prod_4506_iotable_2020_xlsx_3[[#This Row],[2037]]+scenario_indirect_prod_1610_iotable_2020_xlsx_3[[#This Row],[2037]]</f>
        <v>-52267.966042297361</v>
      </c>
      <c r="O68">
        <f>scenario_indirect_prod_4506_iotable_2020_xlsx_3[[#This Row],[2038]]+scenario_indirect_prod_1610_iotable_2020_xlsx_3[[#This Row],[2038]]</f>
        <v>-52267.966042297361</v>
      </c>
      <c r="P68">
        <f>scenario_indirect_prod_4506_iotable_2020_xlsx_3[[#This Row],[2039]]+scenario_indirect_prod_1610_iotable_2020_xlsx_3[[#This Row],[2039]]</f>
        <v>-52267.966042297361</v>
      </c>
      <c r="Q68">
        <f>scenario_indirect_prod_4506_iotable_2020_xlsx_3[[#This Row],[2040]]+scenario_indirect_prod_1610_iotable_2020_xlsx_3[[#This Row],[2040]]</f>
        <v>-58177.756945197354</v>
      </c>
      <c r="R68">
        <f>scenario_indirect_prod_4506_iotable_2020_xlsx_3[[#This Row],[2041]]+scenario_indirect_prod_1610_iotable_2020_xlsx_3[[#This Row],[2041]]</f>
        <v>-58177.756945197354</v>
      </c>
      <c r="S68">
        <f>scenario_indirect_prod_4506_iotable_2020_xlsx_3[[#This Row],[2042]]+scenario_indirect_prod_1610_iotable_2020_xlsx_3[[#This Row],[2042]]</f>
        <v>-64679.619707221653</v>
      </c>
      <c r="T68">
        <f>scenario_indirect_prod_4506_iotable_2020_xlsx_3[[#This Row],[2043]]+scenario_indirect_prod_1610_iotable_2020_xlsx_3[[#This Row],[2043]]</f>
        <v>-64679.619707221653</v>
      </c>
      <c r="U68">
        <f>scenario_indirect_prod_4506_iotable_2020_xlsx_3[[#This Row],[2044]]+scenario_indirect_prod_1610_iotable_2020_xlsx_3[[#This Row],[2044]]</f>
        <v>-70926.713455108547</v>
      </c>
      <c r="V68">
        <f>scenario_indirect_prod_4506_iotable_2020_xlsx_3[[#This Row],[2045]]+scenario_indirect_prod_1610_iotable_2020_xlsx_3[[#This Row],[2045]]</f>
        <v>-70926.713455108547</v>
      </c>
      <c r="W68">
        <f>scenario_indirect_prod_4506_iotable_2020_xlsx_3[[#This Row],[2046]]+scenario_indirect_prod_1610_iotable_2020_xlsx_3[[#This Row],[2046]]</f>
        <v>-76225.687787216972</v>
      </c>
      <c r="X68">
        <f>scenario_indirect_prod_4506_iotable_2020_xlsx_3[[#This Row],[2047]]+scenario_indirect_prod_1610_iotable_2020_xlsx_3[[#This Row],[2047]]</f>
        <v>-76225.687787216972</v>
      </c>
      <c r="Y68">
        <f>scenario_indirect_prod_4506_iotable_2020_xlsx_3[[#This Row],[2048]]+scenario_indirect_prod_1610_iotable_2020_xlsx_3[[#This Row],[2048]]</f>
        <v>-76225.687787216972</v>
      </c>
      <c r="Z68">
        <f>scenario_indirect_prod_4506_iotable_2020_xlsx_3[[#This Row],[2049]]+scenario_indirect_prod_1610_iotable_2020_xlsx_3[[#This Row],[2049]]</f>
        <v>-76225.687787216972</v>
      </c>
      <c r="AA68">
        <f>scenario_indirect_prod_4506_iotable_2020_xlsx_3[[#This Row],[2050]]+scenario_indirect_prod_1610_iotable_2020_xlsx_3[[#This Row],[2050]]</f>
        <v>-76225.687787216972</v>
      </c>
    </row>
    <row r="69" spans="1:27" x14ac:dyDescent="0.2">
      <c r="A69" t="s">
        <v>595</v>
      </c>
      <c r="B69" t="s">
        <v>596</v>
      </c>
      <c r="C69">
        <f>scenario_indirect_prod_4506_iotable_2020_xlsx_3[[#This Row],[2026]]+scenario_indirect_prod_1610_iotable_2020_xlsx_3[[#This Row],[2026]]</f>
        <v>6275.0561211594795</v>
      </c>
      <c r="D69">
        <f>scenario_indirect_prod_4506_iotable_2020_xlsx_3[[#This Row],[2027]]+scenario_indirect_prod_1610_iotable_2020_xlsx_3[[#This Row],[2027]]</f>
        <v>5868.3745319612244</v>
      </c>
      <c r="E69">
        <f>scenario_indirect_prod_4506_iotable_2020_xlsx_3[[#This Row],[2028]]+scenario_indirect_prod_1610_iotable_2020_xlsx_3[[#This Row],[2028]]</f>
        <v>6200.5376258221731</v>
      </c>
      <c r="F69">
        <f>scenario_indirect_prod_4506_iotable_2020_xlsx_3[[#This Row],[2029]]+scenario_indirect_prod_1610_iotable_2020_xlsx_3[[#This Row],[2029]]</f>
        <v>6274.3181287029829</v>
      </c>
      <c r="G69">
        <f>scenario_indirect_prod_4506_iotable_2020_xlsx_3[[#This Row],[2030]]+scenario_indirect_prod_1610_iotable_2020_xlsx_3[[#This Row],[2030]]</f>
        <v>4592.3073258719323</v>
      </c>
      <c r="H69">
        <f>scenario_indirect_prod_4506_iotable_2020_xlsx_3[[#This Row],[2031]]+scenario_indirect_prod_1610_iotable_2020_xlsx_3[[#This Row],[2031]]</f>
        <v>5040.4616459083427</v>
      </c>
      <c r="I69">
        <f>scenario_indirect_prod_4506_iotable_2020_xlsx_3[[#This Row],[2032]]+scenario_indirect_prod_1610_iotable_2020_xlsx_3[[#This Row],[2032]]</f>
        <v>5666.349035518504</v>
      </c>
      <c r="J69">
        <f>scenario_indirect_prod_4506_iotable_2020_xlsx_3[[#This Row],[2033]]+scenario_indirect_prod_1610_iotable_2020_xlsx_3[[#This Row],[2033]]</f>
        <v>5865.2906034304888</v>
      </c>
      <c r="K69">
        <f>scenario_indirect_prod_4506_iotable_2020_xlsx_3[[#This Row],[2034]]+scenario_indirect_prod_1610_iotable_2020_xlsx_3[[#This Row],[2034]]</f>
        <v>6447.7114520642299</v>
      </c>
      <c r="L69">
        <f>scenario_indirect_prod_4506_iotable_2020_xlsx_3[[#This Row],[2035]]+scenario_indirect_prod_1610_iotable_2020_xlsx_3[[#This Row],[2035]]</f>
        <v>6910.4428019384322</v>
      </c>
      <c r="M69">
        <f>scenario_indirect_prod_4506_iotable_2020_xlsx_3[[#This Row],[2036]]+scenario_indirect_prod_1610_iotable_2020_xlsx_3[[#This Row],[2036]]</f>
        <v>6782.8072585365389</v>
      </c>
      <c r="N69">
        <f>scenario_indirect_prod_4506_iotable_2020_xlsx_3[[#This Row],[2037]]+scenario_indirect_prod_1610_iotable_2020_xlsx_3[[#This Row],[2037]]</f>
        <v>6694.760436814553</v>
      </c>
      <c r="O69">
        <f>scenario_indirect_prod_4506_iotable_2020_xlsx_3[[#This Row],[2038]]+scenario_indirect_prod_1610_iotable_2020_xlsx_3[[#This Row],[2038]]</f>
        <v>6694.760436814553</v>
      </c>
      <c r="P69">
        <f>scenario_indirect_prod_4506_iotable_2020_xlsx_3[[#This Row],[2039]]+scenario_indirect_prod_1610_iotable_2020_xlsx_3[[#This Row],[2039]]</f>
        <v>6694.760436814553</v>
      </c>
      <c r="Q69">
        <f>scenario_indirect_prod_4506_iotable_2020_xlsx_3[[#This Row],[2040]]+scenario_indirect_prod_1610_iotable_2020_xlsx_3[[#This Row],[2040]]</f>
        <v>6613.432057448339</v>
      </c>
      <c r="R69">
        <f>scenario_indirect_prod_4506_iotable_2020_xlsx_3[[#This Row],[2041]]+scenario_indirect_prod_1610_iotable_2020_xlsx_3[[#This Row],[2041]]</f>
        <v>6613.432057448339</v>
      </c>
      <c r="S69">
        <f>scenario_indirect_prod_4506_iotable_2020_xlsx_3[[#This Row],[2042]]+scenario_indirect_prod_1610_iotable_2020_xlsx_3[[#This Row],[2042]]</f>
        <v>6536.3938802080411</v>
      </c>
      <c r="T69">
        <f>scenario_indirect_prod_4506_iotable_2020_xlsx_3[[#This Row],[2043]]+scenario_indirect_prod_1610_iotable_2020_xlsx_3[[#This Row],[2043]]</f>
        <v>6536.3938802080411</v>
      </c>
      <c r="U69">
        <f>scenario_indirect_prod_4506_iotable_2020_xlsx_3[[#This Row],[2044]]+scenario_indirect_prod_1610_iotable_2020_xlsx_3[[#This Row],[2044]]</f>
        <v>6424.6057506610377</v>
      </c>
      <c r="V69">
        <f>scenario_indirect_prod_4506_iotable_2020_xlsx_3[[#This Row],[2045]]+scenario_indirect_prod_1610_iotable_2020_xlsx_3[[#This Row],[2045]]</f>
        <v>6424.6057506610377</v>
      </c>
      <c r="W69">
        <f>scenario_indirect_prod_4506_iotable_2020_xlsx_3[[#This Row],[2046]]+scenario_indirect_prod_1610_iotable_2020_xlsx_3[[#This Row],[2046]]</f>
        <v>6341.6453379912055</v>
      </c>
      <c r="X69">
        <f>scenario_indirect_prod_4506_iotable_2020_xlsx_3[[#This Row],[2047]]+scenario_indirect_prod_1610_iotable_2020_xlsx_3[[#This Row],[2047]]</f>
        <v>6341.6453379912055</v>
      </c>
      <c r="Y69">
        <f>scenario_indirect_prod_4506_iotable_2020_xlsx_3[[#This Row],[2048]]+scenario_indirect_prod_1610_iotable_2020_xlsx_3[[#This Row],[2048]]</f>
        <v>6341.6453379912055</v>
      </c>
      <c r="Z69">
        <f>scenario_indirect_prod_4506_iotable_2020_xlsx_3[[#This Row],[2049]]+scenario_indirect_prod_1610_iotable_2020_xlsx_3[[#This Row],[2049]]</f>
        <v>6341.6453379912055</v>
      </c>
      <c r="AA69">
        <f>scenario_indirect_prod_4506_iotable_2020_xlsx_3[[#This Row],[2050]]+scenario_indirect_prod_1610_iotable_2020_xlsx_3[[#This Row],[2050]]</f>
        <v>6341.6453379912055</v>
      </c>
    </row>
    <row r="70" spans="1:27" x14ac:dyDescent="0.2">
      <c r="A70" t="s">
        <v>731</v>
      </c>
      <c r="B70" t="s">
        <v>732</v>
      </c>
      <c r="C70">
        <f>scenario_indirect_prod_4506_iotable_2020_xlsx_3[[#This Row],[2026]]+scenario_indirect_prod_1610_iotable_2020_xlsx_3[[#This Row],[2026]]</f>
        <v>1778.6292578438542</v>
      </c>
      <c r="D70">
        <f>scenario_indirect_prod_4506_iotable_2020_xlsx_3[[#This Row],[2027]]+scenario_indirect_prod_1610_iotable_2020_xlsx_3[[#This Row],[2027]]</f>
        <v>1335.2001424392527</v>
      </c>
      <c r="E70">
        <f>scenario_indirect_prod_4506_iotable_2020_xlsx_3[[#This Row],[2028]]+scenario_indirect_prod_1610_iotable_2020_xlsx_3[[#This Row],[2028]]</f>
        <v>1448.8543147329569</v>
      </c>
      <c r="F70">
        <f>scenario_indirect_prod_4506_iotable_2020_xlsx_3[[#This Row],[2029]]+scenario_indirect_prod_1610_iotable_2020_xlsx_3[[#This Row],[2029]]</f>
        <v>1352.3883506178965</v>
      </c>
      <c r="G70">
        <f>scenario_indirect_prod_4506_iotable_2020_xlsx_3[[#This Row],[2030]]+scenario_indirect_prod_1610_iotable_2020_xlsx_3[[#This Row],[2030]]</f>
        <v>-254.79953643215003</v>
      </c>
      <c r="H70">
        <f>scenario_indirect_prod_4506_iotable_2020_xlsx_3[[#This Row],[2031]]+scenario_indirect_prod_1610_iotable_2020_xlsx_3[[#This Row],[2031]]</f>
        <v>-101.45737035481852</v>
      </c>
      <c r="I70">
        <f>scenario_indirect_prod_4506_iotable_2020_xlsx_3[[#This Row],[2032]]+scenario_indirect_prod_1610_iotable_2020_xlsx_3[[#This Row],[2032]]</f>
        <v>112.69861063742474</v>
      </c>
      <c r="J70">
        <f>scenario_indirect_prod_4506_iotable_2020_xlsx_3[[#This Row],[2033]]+scenario_indirect_prod_1610_iotable_2020_xlsx_3[[#This Row],[2033]]</f>
        <v>-394.74646189559644</v>
      </c>
      <c r="K70">
        <f>scenario_indirect_prod_4506_iotable_2020_xlsx_3[[#This Row],[2034]]+scenario_indirect_prod_1610_iotable_2020_xlsx_3[[#This Row],[2034]]</f>
        <v>-195.46315588877314</v>
      </c>
      <c r="L70">
        <f>scenario_indirect_prod_4506_iotable_2020_xlsx_3[[#This Row],[2035]]+scenario_indirect_prod_1610_iotable_2020_xlsx_3[[#This Row],[2035]]</f>
        <v>-765.6674192730261</v>
      </c>
      <c r="M70">
        <f>scenario_indirect_prod_4506_iotable_2020_xlsx_3[[#This Row],[2036]]+scenario_indirect_prod_1610_iotable_2020_xlsx_3[[#This Row],[2036]]</f>
        <v>-1287.5351583637812</v>
      </c>
      <c r="N70">
        <f>scenario_indirect_prod_4506_iotable_2020_xlsx_3[[#This Row],[2037]]+scenario_indirect_prod_1610_iotable_2020_xlsx_3[[#This Row],[2037]]</f>
        <v>-1735.7028513261776</v>
      </c>
      <c r="O70">
        <f>scenario_indirect_prod_4506_iotable_2020_xlsx_3[[#This Row],[2038]]+scenario_indirect_prod_1610_iotable_2020_xlsx_3[[#This Row],[2038]]</f>
        <v>-1735.7028513261776</v>
      </c>
      <c r="P70">
        <f>scenario_indirect_prod_4506_iotable_2020_xlsx_3[[#This Row],[2039]]+scenario_indirect_prod_1610_iotable_2020_xlsx_3[[#This Row],[2039]]</f>
        <v>-1735.7028513261776</v>
      </c>
      <c r="Q70">
        <f>scenario_indirect_prod_4506_iotable_2020_xlsx_3[[#This Row],[2040]]+scenario_indirect_prod_1610_iotable_2020_xlsx_3[[#This Row],[2040]]</f>
        <v>-2130.5317745369248</v>
      </c>
      <c r="R70">
        <f>scenario_indirect_prod_4506_iotable_2020_xlsx_3[[#This Row],[2041]]+scenario_indirect_prod_1610_iotable_2020_xlsx_3[[#This Row],[2041]]</f>
        <v>-2130.5317745369248</v>
      </c>
      <c r="S70">
        <f>scenario_indirect_prod_4506_iotable_2020_xlsx_3[[#This Row],[2042]]+scenario_indirect_prod_1610_iotable_2020_xlsx_3[[#This Row],[2042]]</f>
        <v>-2561.9701949448336</v>
      </c>
      <c r="T70">
        <f>scenario_indirect_prod_4506_iotable_2020_xlsx_3[[#This Row],[2043]]+scenario_indirect_prod_1610_iotable_2020_xlsx_3[[#This Row],[2043]]</f>
        <v>-2561.9701949448336</v>
      </c>
      <c r="U70">
        <f>scenario_indirect_prod_4506_iotable_2020_xlsx_3[[#This Row],[2044]]+scenario_indirect_prod_1610_iotable_2020_xlsx_3[[#This Row],[2044]]</f>
        <v>-2985.4499738635295</v>
      </c>
      <c r="V70">
        <f>scenario_indirect_prod_4506_iotable_2020_xlsx_3[[#This Row],[2045]]+scenario_indirect_prod_1610_iotable_2020_xlsx_3[[#This Row],[2045]]</f>
        <v>-2985.4499738635295</v>
      </c>
      <c r="W70">
        <f>scenario_indirect_prod_4506_iotable_2020_xlsx_3[[#This Row],[2046]]+scenario_indirect_prod_1610_iotable_2020_xlsx_3[[#This Row],[2046]]</f>
        <v>-3341.8485035089507</v>
      </c>
      <c r="X70">
        <f>scenario_indirect_prod_4506_iotable_2020_xlsx_3[[#This Row],[2047]]+scenario_indirect_prod_1610_iotable_2020_xlsx_3[[#This Row],[2047]]</f>
        <v>-3341.8485035089507</v>
      </c>
      <c r="Y70">
        <f>scenario_indirect_prod_4506_iotable_2020_xlsx_3[[#This Row],[2048]]+scenario_indirect_prod_1610_iotable_2020_xlsx_3[[#This Row],[2048]]</f>
        <v>-3341.8485035089507</v>
      </c>
      <c r="Z70">
        <f>scenario_indirect_prod_4506_iotable_2020_xlsx_3[[#This Row],[2049]]+scenario_indirect_prod_1610_iotable_2020_xlsx_3[[#This Row],[2049]]</f>
        <v>-3341.8485035089507</v>
      </c>
      <c r="AA70">
        <f>scenario_indirect_prod_4506_iotable_2020_xlsx_3[[#This Row],[2050]]+scenario_indirect_prod_1610_iotable_2020_xlsx_3[[#This Row],[2050]]</f>
        <v>-3341.8485035089507</v>
      </c>
    </row>
    <row r="71" spans="1:27" x14ac:dyDescent="0.2">
      <c r="A71" t="s">
        <v>548</v>
      </c>
      <c r="B71" t="s">
        <v>549</v>
      </c>
      <c r="C71">
        <f>scenario_indirect_prod_4506_iotable_2020_xlsx_3[[#This Row],[2026]]+scenario_indirect_prod_1610_iotable_2020_xlsx_3[[#This Row],[2026]]</f>
        <v>2128.1700917204398</v>
      </c>
      <c r="D71">
        <f>scenario_indirect_prod_4506_iotable_2020_xlsx_3[[#This Row],[2027]]+scenario_indirect_prod_1610_iotable_2020_xlsx_3[[#This Row],[2027]]</f>
        <v>-3971.5512809768916</v>
      </c>
      <c r="E71">
        <f>scenario_indirect_prod_4506_iotable_2020_xlsx_3[[#This Row],[2028]]+scenario_indirect_prod_1610_iotable_2020_xlsx_3[[#This Row],[2028]]</f>
        <v>-3504.5527891482579</v>
      </c>
      <c r="F71">
        <f>scenario_indirect_prod_4506_iotable_2020_xlsx_3[[#This Row],[2029]]+scenario_indirect_prod_1610_iotable_2020_xlsx_3[[#This Row],[2029]]</f>
        <v>-5612.0046923841164</v>
      </c>
      <c r="G71">
        <f>scenario_indirect_prod_4506_iotable_2020_xlsx_3[[#This Row],[2030]]+scenario_indirect_prod_1610_iotable_2020_xlsx_3[[#This Row],[2030]]</f>
        <v>-26719.548952771063</v>
      </c>
      <c r="H71">
        <f>scenario_indirect_prod_4506_iotable_2020_xlsx_3[[#This Row],[2031]]+scenario_indirect_prod_1610_iotable_2020_xlsx_3[[#This Row],[2031]]</f>
        <v>-26089.47476502553</v>
      </c>
      <c r="I71">
        <f>scenario_indirect_prod_4506_iotable_2020_xlsx_3[[#This Row],[2032]]+scenario_indirect_prod_1610_iotable_2020_xlsx_3[[#This Row],[2032]]</f>
        <v>-25209.52009093744</v>
      </c>
      <c r="J71">
        <f>scenario_indirect_prod_4506_iotable_2020_xlsx_3[[#This Row],[2033]]+scenario_indirect_prod_1610_iotable_2020_xlsx_3[[#This Row],[2033]]</f>
        <v>-35385.493454173906</v>
      </c>
      <c r="K71">
        <f>scenario_indirect_prod_4506_iotable_2020_xlsx_3[[#This Row],[2034]]+scenario_indirect_prod_1610_iotable_2020_xlsx_3[[#This Row],[2034]]</f>
        <v>-34566.649750738965</v>
      </c>
      <c r="L71">
        <f>scenario_indirect_prod_4506_iotable_2020_xlsx_3[[#This Row],[2035]]+scenario_indirect_prod_1610_iotable_2020_xlsx_3[[#This Row],[2035]]</f>
        <v>-47151.713805761065</v>
      </c>
      <c r="M71">
        <f>scenario_indirect_prod_4506_iotable_2020_xlsx_3[[#This Row],[2036]]+scenario_indirect_prod_1610_iotable_2020_xlsx_3[[#This Row],[2036]]</f>
        <v>-56018.769271867888</v>
      </c>
      <c r="N71">
        <f>scenario_indirect_prod_4506_iotable_2020_xlsx_3[[#This Row],[2037]]+scenario_indirect_prod_1610_iotable_2020_xlsx_3[[#This Row],[2037]]</f>
        <v>-63737.31489238661</v>
      </c>
      <c r="O71">
        <f>scenario_indirect_prod_4506_iotable_2020_xlsx_3[[#This Row],[2038]]+scenario_indirect_prod_1610_iotable_2020_xlsx_3[[#This Row],[2038]]</f>
        <v>-63737.31489238661</v>
      </c>
      <c r="P71">
        <f>scenario_indirect_prod_4506_iotable_2020_xlsx_3[[#This Row],[2039]]+scenario_indirect_prod_1610_iotable_2020_xlsx_3[[#This Row],[2039]]</f>
        <v>-63737.31489238661</v>
      </c>
      <c r="Q71">
        <f>scenario_indirect_prod_4506_iotable_2020_xlsx_3[[#This Row],[2040]]+scenario_indirect_prod_1610_iotable_2020_xlsx_3[[#This Row],[2040]]</f>
        <v>-70519.147158040985</v>
      </c>
      <c r="R71">
        <f>scenario_indirect_prod_4506_iotable_2020_xlsx_3[[#This Row],[2041]]+scenario_indirect_prod_1610_iotable_2020_xlsx_3[[#This Row],[2041]]</f>
        <v>-70519.147158040985</v>
      </c>
      <c r="S71">
        <f>scenario_indirect_prod_4506_iotable_2020_xlsx_3[[#This Row],[2042]]+scenario_indirect_prod_1610_iotable_2020_xlsx_3[[#This Row],[2042]]</f>
        <v>-77986.719128896293</v>
      </c>
      <c r="T71">
        <f>scenario_indirect_prod_4506_iotable_2020_xlsx_3[[#This Row],[2043]]+scenario_indirect_prod_1610_iotable_2020_xlsx_3[[#This Row],[2043]]</f>
        <v>-77986.719128896293</v>
      </c>
      <c r="U71">
        <f>scenario_indirect_prod_4506_iotable_2020_xlsx_3[[#This Row],[2044]]+scenario_indirect_prod_1610_iotable_2020_xlsx_3[[#This Row],[2044]]</f>
        <v>-85142.544107559952</v>
      </c>
      <c r="V71">
        <f>scenario_indirect_prod_4506_iotable_2020_xlsx_3[[#This Row],[2045]]+scenario_indirect_prod_1610_iotable_2020_xlsx_3[[#This Row],[2045]]</f>
        <v>-85142.544107559952</v>
      </c>
      <c r="W71">
        <f>scenario_indirect_prod_4506_iotable_2020_xlsx_3[[#This Row],[2046]]+scenario_indirect_prod_1610_iotable_2020_xlsx_3[[#This Row],[2046]]</f>
        <v>-91218.342213965545</v>
      </c>
      <c r="X71">
        <f>scenario_indirect_prod_4506_iotable_2020_xlsx_3[[#This Row],[2047]]+scenario_indirect_prod_1610_iotable_2020_xlsx_3[[#This Row],[2047]]</f>
        <v>-91218.342213965545</v>
      </c>
      <c r="Y71">
        <f>scenario_indirect_prod_4506_iotable_2020_xlsx_3[[#This Row],[2048]]+scenario_indirect_prod_1610_iotable_2020_xlsx_3[[#This Row],[2048]]</f>
        <v>-91218.342213965545</v>
      </c>
      <c r="Z71">
        <f>scenario_indirect_prod_4506_iotable_2020_xlsx_3[[#This Row],[2049]]+scenario_indirect_prod_1610_iotable_2020_xlsx_3[[#This Row],[2049]]</f>
        <v>-91218.342213965545</v>
      </c>
      <c r="AA71">
        <f>scenario_indirect_prod_4506_iotable_2020_xlsx_3[[#This Row],[2050]]+scenario_indirect_prod_1610_iotable_2020_xlsx_3[[#This Row],[2050]]</f>
        <v>-91218.342213965545</v>
      </c>
    </row>
    <row r="72" spans="1:27" x14ac:dyDescent="0.2">
      <c r="A72" t="s">
        <v>769</v>
      </c>
      <c r="B72" t="s">
        <v>770</v>
      </c>
      <c r="C72">
        <f>scenario_indirect_prod_4506_iotable_2020_xlsx_3[[#This Row],[2026]]+scenario_indirect_prod_1610_iotable_2020_xlsx_3[[#This Row],[2026]]</f>
        <v>1602.2257043183599</v>
      </c>
      <c r="D72">
        <f>scenario_indirect_prod_4506_iotable_2020_xlsx_3[[#This Row],[2027]]+scenario_indirect_prod_1610_iotable_2020_xlsx_3[[#This Row],[2027]]</f>
        <v>1459.2372740171281</v>
      </c>
      <c r="E72">
        <f>scenario_indirect_prod_4506_iotable_2020_xlsx_3[[#This Row],[2028]]+scenario_indirect_prod_1610_iotable_2020_xlsx_3[[#This Row],[2028]]</f>
        <v>1546.3761936776991</v>
      </c>
      <c r="F72">
        <f>scenario_indirect_prod_4506_iotable_2020_xlsx_3[[#This Row],[2029]]+scenario_indirect_prod_1610_iotable_2020_xlsx_3[[#This Row],[2029]]</f>
        <v>1551.2114051391372</v>
      </c>
      <c r="G72">
        <f>scenario_indirect_prod_4506_iotable_2020_xlsx_3[[#This Row],[2030]]+scenario_indirect_prod_1610_iotable_2020_xlsx_3[[#This Row],[2030]]</f>
        <v>986.87818631421737</v>
      </c>
      <c r="H72">
        <f>scenario_indirect_prod_4506_iotable_2020_xlsx_3[[#This Row],[2031]]+scenario_indirect_prod_1610_iotable_2020_xlsx_3[[#This Row],[2031]]</f>
        <v>1104.4459836130295</v>
      </c>
      <c r="I72">
        <f>scenario_indirect_prod_4506_iotable_2020_xlsx_3[[#This Row],[2032]]+scenario_indirect_prod_1610_iotable_2020_xlsx_3[[#This Row],[2032]]</f>
        <v>1268.6398750109565</v>
      </c>
      <c r="J72">
        <f>scenario_indirect_prod_4506_iotable_2020_xlsx_3[[#This Row],[2033]]+scenario_indirect_prod_1610_iotable_2020_xlsx_3[[#This Row],[2033]]</f>
        <v>1252.1703607259092</v>
      </c>
      <c r="K72">
        <f>scenario_indirect_prod_4506_iotable_2020_xlsx_3[[#This Row],[2034]]+scenario_indirect_prod_1610_iotable_2020_xlsx_3[[#This Row],[2034]]</f>
        <v>1404.9613374350274</v>
      </c>
      <c r="L72">
        <f>scenario_indirect_prod_4506_iotable_2020_xlsx_3[[#This Row],[2035]]+scenario_indirect_prod_1610_iotable_2020_xlsx_3[[#This Row],[2035]]</f>
        <v>1439.4386346901165</v>
      </c>
      <c r="M72">
        <f>scenario_indirect_prod_4506_iotable_2020_xlsx_3[[#This Row],[2036]]+scenario_indirect_prod_1610_iotable_2020_xlsx_3[[#This Row],[2036]]</f>
        <v>1348.905977028558</v>
      </c>
      <c r="N72">
        <f>scenario_indirect_prod_4506_iotable_2020_xlsx_3[[#This Row],[2037]]+scenario_indirect_prod_1610_iotable_2020_xlsx_3[[#This Row],[2037]]</f>
        <v>1275.9353737708252</v>
      </c>
      <c r="O72">
        <f>scenario_indirect_prod_4506_iotable_2020_xlsx_3[[#This Row],[2038]]+scenario_indirect_prod_1610_iotable_2020_xlsx_3[[#This Row],[2038]]</f>
        <v>1275.9353737708252</v>
      </c>
      <c r="P72">
        <f>scenario_indirect_prod_4506_iotable_2020_xlsx_3[[#This Row],[2039]]+scenario_indirect_prod_1610_iotable_2020_xlsx_3[[#This Row],[2039]]</f>
        <v>1275.9353737708252</v>
      </c>
      <c r="Q72">
        <f>scenario_indirect_prod_4506_iotable_2020_xlsx_3[[#This Row],[2040]]+scenario_indirect_prod_1610_iotable_2020_xlsx_3[[#This Row],[2040]]</f>
        <v>1210.8163727052543</v>
      </c>
      <c r="R72">
        <f>scenario_indirect_prod_4506_iotable_2020_xlsx_3[[#This Row],[2041]]+scenario_indirect_prod_1610_iotable_2020_xlsx_3[[#This Row],[2041]]</f>
        <v>1210.8163727052543</v>
      </c>
      <c r="S72">
        <f>scenario_indirect_prod_4506_iotable_2020_xlsx_3[[#This Row],[2042]]+scenario_indirect_prod_1610_iotable_2020_xlsx_3[[#This Row],[2042]]</f>
        <v>1142.2801888908625</v>
      </c>
      <c r="T72">
        <f>scenario_indirect_prod_4506_iotable_2020_xlsx_3[[#This Row],[2043]]+scenario_indirect_prod_1610_iotable_2020_xlsx_3[[#This Row],[2043]]</f>
        <v>1142.2801888908625</v>
      </c>
      <c r="U72">
        <f>scenario_indirect_prod_4506_iotable_2020_xlsx_3[[#This Row],[2044]]+scenario_indirect_prod_1610_iotable_2020_xlsx_3[[#This Row],[2044]]</f>
        <v>1066.9957574661839</v>
      </c>
      <c r="V72">
        <f>scenario_indirect_prod_4506_iotable_2020_xlsx_3[[#This Row],[2045]]+scenario_indirect_prod_1610_iotable_2020_xlsx_3[[#This Row],[2045]]</f>
        <v>1066.9957574661839</v>
      </c>
      <c r="W72">
        <f>scenario_indirect_prod_4506_iotable_2020_xlsx_3[[#This Row],[2046]]+scenario_indirect_prod_1610_iotable_2020_xlsx_3[[#This Row],[2046]]</f>
        <v>1006.1000039088003</v>
      </c>
      <c r="X72">
        <f>scenario_indirect_prod_4506_iotable_2020_xlsx_3[[#This Row],[2047]]+scenario_indirect_prod_1610_iotable_2020_xlsx_3[[#This Row],[2047]]</f>
        <v>1006.1000039088003</v>
      </c>
      <c r="Y72">
        <f>scenario_indirect_prod_4506_iotable_2020_xlsx_3[[#This Row],[2048]]+scenario_indirect_prod_1610_iotable_2020_xlsx_3[[#This Row],[2048]]</f>
        <v>1006.1000039088003</v>
      </c>
      <c r="Z72">
        <f>scenario_indirect_prod_4506_iotable_2020_xlsx_3[[#This Row],[2049]]+scenario_indirect_prod_1610_iotable_2020_xlsx_3[[#This Row],[2049]]</f>
        <v>1006.1000039088003</v>
      </c>
      <c r="AA72">
        <f>scenario_indirect_prod_4506_iotable_2020_xlsx_3[[#This Row],[2050]]+scenario_indirect_prod_1610_iotable_2020_xlsx_3[[#This Row],[2050]]</f>
        <v>1006.1000039088003</v>
      </c>
    </row>
    <row r="73" spans="1:27" x14ac:dyDescent="0.2">
      <c r="A73" t="s">
        <v>922</v>
      </c>
      <c r="B73" t="s">
        <v>923</v>
      </c>
      <c r="C73">
        <f>scenario_indirect_prod_4506_iotable_2020_xlsx_3[[#This Row],[2026]]+scenario_indirect_prod_1610_iotable_2020_xlsx_3[[#This Row],[2026]]</f>
        <v>72.050462210318145</v>
      </c>
      <c r="D73">
        <f>scenario_indirect_prod_4506_iotable_2020_xlsx_3[[#This Row],[2027]]+scenario_indirect_prod_1610_iotable_2020_xlsx_3[[#This Row],[2027]]</f>
        <v>66.539991875478449</v>
      </c>
      <c r="E73">
        <f>scenario_indirect_prod_4506_iotable_2020_xlsx_3[[#This Row],[2028]]+scenario_indirect_prod_1610_iotable_2020_xlsx_3[[#This Row],[2028]]</f>
        <v>70.403884628228198</v>
      </c>
      <c r="F73">
        <f>scenario_indirect_prod_4506_iotable_2020_xlsx_3[[#This Row],[2029]]+scenario_indirect_prod_1610_iotable_2020_xlsx_3[[#This Row],[2029]]</f>
        <v>70.950241557403814</v>
      </c>
      <c r="G73">
        <f>scenario_indirect_prod_4506_iotable_2020_xlsx_3[[#This Row],[2030]]+scenario_indirect_prod_1610_iotable_2020_xlsx_3[[#This Row],[2030]]</f>
        <v>48.740483263140149</v>
      </c>
      <c r="H73">
        <f>scenario_indirect_prod_4506_iotable_2020_xlsx_3[[#This Row],[2031]]+scenario_indirect_prod_1610_iotable_2020_xlsx_3[[#This Row],[2031]]</f>
        <v>53.953645897117411</v>
      </c>
      <c r="I73">
        <f>scenario_indirect_prod_4506_iotable_2020_xlsx_3[[#This Row],[2032]]+scenario_indirect_prod_1610_iotable_2020_xlsx_3[[#This Row],[2032]]</f>
        <v>61.234291439769265</v>
      </c>
      <c r="J73">
        <f>scenario_indirect_prod_4506_iotable_2020_xlsx_3[[#This Row],[2033]]+scenario_indirect_prod_1610_iotable_2020_xlsx_3[[#This Row],[2033]]</f>
        <v>62.073668696295769</v>
      </c>
      <c r="K73">
        <f>scenario_indirect_prod_4506_iotable_2020_xlsx_3[[#This Row],[2034]]+scenario_indirect_prod_1610_iotable_2020_xlsx_3[[#This Row],[2034]]</f>
        <v>68.848688973016678</v>
      </c>
      <c r="L73">
        <f>scenario_indirect_prod_4506_iotable_2020_xlsx_3[[#This Row],[2035]]+scenario_indirect_prod_1610_iotable_2020_xlsx_3[[#This Row],[2035]]</f>
        <v>72.364480781123632</v>
      </c>
      <c r="M73">
        <f>scenario_indirect_prod_4506_iotable_2020_xlsx_3[[#This Row],[2036]]+scenario_indirect_prod_1610_iotable_2020_xlsx_3[[#This Row],[2036]]</f>
        <v>69.65433658949317</v>
      </c>
      <c r="N73">
        <f>scenario_indirect_prod_4506_iotable_2020_xlsx_3[[#This Row],[2037]]+scenario_indirect_prod_1610_iotable_2020_xlsx_3[[#This Row],[2037]]</f>
        <v>67.558859800919606</v>
      </c>
      <c r="O73">
        <f>scenario_indirect_prod_4506_iotable_2020_xlsx_3[[#This Row],[2038]]+scenario_indirect_prod_1610_iotable_2020_xlsx_3[[#This Row],[2038]]</f>
        <v>67.558859800919606</v>
      </c>
      <c r="P73">
        <f>scenario_indirect_prod_4506_iotable_2020_xlsx_3[[#This Row],[2039]]+scenario_indirect_prod_1610_iotable_2020_xlsx_3[[#This Row],[2039]]</f>
        <v>67.558859800919606</v>
      </c>
      <c r="Q73">
        <f>scenario_indirect_prod_4506_iotable_2020_xlsx_3[[#This Row],[2040]]+scenario_indirect_prod_1610_iotable_2020_xlsx_3[[#This Row],[2040]]</f>
        <v>65.672330183747448</v>
      </c>
      <c r="R73">
        <f>scenario_indirect_prod_4506_iotable_2020_xlsx_3[[#This Row],[2041]]+scenario_indirect_prod_1610_iotable_2020_xlsx_3[[#This Row],[2041]]</f>
        <v>65.672330183747448</v>
      </c>
      <c r="S73">
        <f>scenario_indirect_prod_4506_iotable_2020_xlsx_3[[#This Row],[2042]]+scenario_indirect_prod_1610_iotable_2020_xlsx_3[[#This Row],[2042]]</f>
        <v>63.738129315118925</v>
      </c>
      <c r="T73">
        <f>scenario_indirect_prod_4506_iotable_2020_xlsx_3[[#This Row],[2043]]+scenario_indirect_prod_1610_iotable_2020_xlsx_3[[#This Row],[2043]]</f>
        <v>63.738129315118925</v>
      </c>
      <c r="U73">
        <f>scenario_indirect_prod_4506_iotable_2020_xlsx_3[[#This Row],[2044]]+scenario_indirect_prod_1610_iotable_2020_xlsx_3[[#This Row],[2044]]</f>
        <v>61.450563530365656</v>
      </c>
      <c r="V73">
        <f>scenario_indirect_prod_4506_iotable_2020_xlsx_3[[#This Row],[2045]]+scenario_indirect_prod_1610_iotable_2020_xlsx_3[[#This Row],[2045]]</f>
        <v>61.450563530365656</v>
      </c>
      <c r="W73">
        <f>scenario_indirect_prod_4506_iotable_2020_xlsx_3[[#This Row],[2046]]+scenario_indirect_prod_1610_iotable_2020_xlsx_3[[#This Row],[2046]]</f>
        <v>59.644961823840362</v>
      </c>
      <c r="X73">
        <f>scenario_indirect_prod_4506_iotable_2020_xlsx_3[[#This Row],[2047]]+scenario_indirect_prod_1610_iotable_2020_xlsx_3[[#This Row],[2047]]</f>
        <v>59.644961823840362</v>
      </c>
      <c r="Y73">
        <f>scenario_indirect_prod_4506_iotable_2020_xlsx_3[[#This Row],[2048]]+scenario_indirect_prod_1610_iotable_2020_xlsx_3[[#This Row],[2048]]</f>
        <v>59.644961823840362</v>
      </c>
      <c r="Z73">
        <f>scenario_indirect_prod_4506_iotable_2020_xlsx_3[[#This Row],[2049]]+scenario_indirect_prod_1610_iotable_2020_xlsx_3[[#This Row],[2049]]</f>
        <v>59.644961823840362</v>
      </c>
      <c r="AA73">
        <f>scenario_indirect_prod_4506_iotable_2020_xlsx_3[[#This Row],[2050]]+scenario_indirect_prod_1610_iotable_2020_xlsx_3[[#This Row],[2050]]</f>
        <v>59.644961823840362</v>
      </c>
    </row>
    <row r="74" spans="1:27" x14ac:dyDescent="0.2">
      <c r="A74" t="s">
        <v>944</v>
      </c>
      <c r="B74" t="s">
        <v>945</v>
      </c>
      <c r="C74">
        <f>scenario_indirect_prod_4506_iotable_2020_xlsx_3[[#This Row],[2026]]+scenario_indirect_prod_1610_iotable_2020_xlsx_3[[#This Row],[2026]]</f>
        <v>3.3071497512405523</v>
      </c>
      <c r="D74">
        <f>scenario_indirect_prod_4506_iotable_2020_xlsx_3[[#This Row],[2027]]+scenario_indirect_prod_1610_iotable_2020_xlsx_3[[#This Row],[2027]]</f>
        <v>3.2044558222853707</v>
      </c>
      <c r="E74">
        <f>scenario_indirect_prod_4506_iotable_2020_xlsx_3[[#This Row],[2028]]+scenario_indirect_prod_1610_iotable_2020_xlsx_3[[#This Row],[2028]]</f>
        <v>3.3728806579244015</v>
      </c>
      <c r="F74">
        <f>scenario_indirect_prod_4506_iotable_2020_xlsx_3[[#This Row],[2029]]+scenario_indirect_prod_1610_iotable_2020_xlsx_3[[#This Row],[2029]]</f>
        <v>3.4516977499147954</v>
      </c>
      <c r="G74">
        <f>scenario_indirect_prod_4506_iotable_2020_xlsx_3[[#This Row],[2030]]+scenario_indirect_prod_1610_iotable_2020_xlsx_3[[#This Row],[2030]]</f>
        <v>2.9498010282653966</v>
      </c>
      <c r="H74">
        <f>scenario_indirect_prod_4506_iotable_2020_xlsx_3[[#This Row],[2031]]+scenario_indirect_prod_1610_iotable_2020_xlsx_3[[#This Row],[2031]]</f>
        <v>3.1770397525188865</v>
      </c>
      <c r="I74">
        <f>scenario_indirect_prod_4506_iotable_2020_xlsx_3[[#This Row],[2032]]+scenario_indirect_prod_1610_iotable_2020_xlsx_3[[#This Row],[2032]]</f>
        <v>3.4943988531291512</v>
      </c>
      <c r="J74">
        <f>scenario_indirect_prod_4506_iotable_2020_xlsx_3[[#This Row],[2033]]+scenario_indirect_prod_1610_iotable_2020_xlsx_3[[#This Row],[2033]]</f>
        <v>3.791064810023077</v>
      </c>
      <c r="K74">
        <f>scenario_indirect_prod_4506_iotable_2020_xlsx_3[[#This Row],[2034]]+scenario_indirect_prod_1610_iotable_2020_xlsx_3[[#This Row],[2034]]</f>
        <v>4.0863839996526981</v>
      </c>
      <c r="L74">
        <f>scenario_indirect_prod_4506_iotable_2020_xlsx_3[[#This Row],[2035]]+scenario_indirect_prod_1610_iotable_2020_xlsx_3[[#This Row],[2035]]</f>
        <v>4.5688630204257512</v>
      </c>
      <c r="M74">
        <f>scenario_indirect_prod_4506_iotable_2020_xlsx_3[[#This Row],[2036]]+scenario_indirect_prod_1610_iotable_2020_xlsx_3[[#This Row],[2036]]</f>
        <v>4.666827996079574</v>
      </c>
      <c r="N74">
        <f>scenario_indirect_prod_4506_iotable_2020_xlsx_3[[#This Row],[2037]]+scenario_indirect_prod_1610_iotable_2020_xlsx_3[[#This Row],[2037]]</f>
        <v>4.7644020165718377</v>
      </c>
      <c r="O74">
        <f>scenario_indirect_prod_4506_iotable_2020_xlsx_3[[#This Row],[2038]]+scenario_indirect_prod_1610_iotable_2020_xlsx_3[[#This Row],[2038]]</f>
        <v>4.7644020165718377</v>
      </c>
      <c r="P74">
        <f>scenario_indirect_prod_4506_iotable_2020_xlsx_3[[#This Row],[2039]]+scenario_indirect_prod_1610_iotable_2020_xlsx_3[[#This Row],[2039]]</f>
        <v>4.7644020165718377</v>
      </c>
      <c r="Q74">
        <f>scenario_indirect_prod_4506_iotable_2020_xlsx_3[[#This Row],[2040]]+scenario_indirect_prod_1610_iotable_2020_xlsx_3[[#This Row],[2040]]</f>
        <v>4.8480187454114487</v>
      </c>
      <c r="R74">
        <f>scenario_indirect_prod_4506_iotable_2020_xlsx_3[[#This Row],[2041]]+scenario_indirect_prod_1610_iotable_2020_xlsx_3[[#This Row],[2041]]</f>
        <v>4.8480187454114487</v>
      </c>
      <c r="S74">
        <f>scenario_indirect_prod_4506_iotable_2020_xlsx_3[[#This Row],[2042]]+scenario_indirect_prod_1610_iotable_2020_xlsx_3[[#This Row],[2042]]</f>
        <v>4.9467648741298262</v>
      </c>
      <c r="T74">
        <f>scenario_indirect_prod_4506_iotable_2020_xlsx_3[[#This Row],[2043]]+scenario_indirect_prod_1610_iotable_2020_xlsx_3[[#This Row],[2043]]</f>
        <v>4.9467648741298262</v>
      </c>
      <c r="U74">
        <f>scenario_indirect_prod_4506_iotable_2020_xlsx_3[[#This Row],[2044]]+scenario_indirect_prod_1610_iotable_2020_xlsx_3[[#This Row],[2044]]</f>
        <v>5.0211382671607003</v>
      </c>
      <c r="V74">
        <f>scenario_indirect_prod_4506_iotable_2020_xlsx_3[[#This Row],[2045]]+scenario_indirect_prod_1610_iotable_2020_xlsx_3[[#This Row],[2045]]</f>
        <v>5.0211382671607003</v>
      </c>
      <c r="W74">
        <f>scenario_indirect_prod_4506_iotable_2020_xlsx_3[[#This Row],[2046]]+scenario_indirect_prod_1610_iotable_2020_xlsx_3[[#This Row],[2046]]</f>
        <v>5.0906633837381925</v>
      </c>
      <c r="X74">
        <f>scenario_indirect_prod_4506_iotable_2020_xlsx_3[[#This Row],[2047]]+scenario_indirect_prod_1610_iotable_2020_xlsx_3[[#This Row],[2047]]</f>
        <v>5.0906633837381925</v>
      </c>
      <c r="Y74">
        <f>scenario_indirect_prod_4506_iotable_2020_xlsx_3[[#This Row],[2048]]+scenario_indirect_prod_1610_iotable_2020_xlsx_3[[#This Row],[2048]]</f>
        <v>5.0906633837381925</v>
      </c>
      <c r="Z74">
        <f>scenario_indirect_prod_4506_iotable_2020_xlsx_3[[#This Row],[2049]]+scenario_indirect_prod_1610_iotable_2020_xlsx_3[[#This Row],[2049]]</f>
        <v>5.0906633837381925</v>
      </c>
      <c r="AA74">
        <f>scenario_indirect_prod_4506_iotable_2020_xlsx_3[[#This Row],[2050]]+scenario_indirect_prod_1610_iotable_2020_xlsx_3[[#This Row],[2050]]</f>
        <v>5.0906633837381925</v>
      </c>
    </row>
    <row r="75" spans="1:27" x14ac:dyDescent="0.2">
      <c r="A75" t="s">
        <v>746</v>
      </c>
      <c r="B75" t="s">
        <v>747</v>
      </c>
      <c r="C75">
        <f>scenario_indirect_prod_4506_iotable_2020_xlsx_3[[#This Row],[2026]]+scenario_indirect_prod_1610_iotable_2020_xlsx_3[[#This Row],[2026]]</f>
        <v>1663.810330566439</v>
      </c>
      <c r="D75">
        <f>scenario_indirect_prod_4506_iotable_2020_xlsx_3[[#This Row],[2027]]+scenario_indirect_prod_1610_iotable_2020_xlsx_3[[#This Row],[2027]]</f>
        <v>1319.5144422727253</v>
      </c>
      <c r="E75">
        <f>scenario_indirect_prod_4506_iotable_2020_xlsx_3[[#This Row],[2028]]+scenario_indirect_prod_1610_iotable_2020_xlsx_3[[#This Row],[2028]]</f>
        <v>1421.6409897912822</v>
      </c>
      <c r="F75">
        <f>scenario_indirect_prod_4506_iotable_2020_xlsx_3[[#This Row],[2029]]+scenario_indirect_prod_1610_iotable_2020_xlsx_3[[#This Row],[2029]]</f>
        <v>1356.6222816964769</v>
      </c>
      <c r="G75">
        <f>scenario_indirect_prod_4506_iotable_2020_xlsx_3[[#This Row],[2030]]+scenario_indirect_prod_1610_iotable_2020_xlsx_3[[#This Row],[2030]]</f>
        <v>96.06997556331271</v>
      </c>
      <c r="H75">
        <f>scenario_indirect_prod_4506_iotable_2020_xlsx_3[[#This Row],[2031]]+scenario_indirect_prod_1610_iotable_2020_xlsx_3[[#This Row],[2031]]</f>
        <v>233.85907467377729</v>
      </c>
      <c r="I75">
        <f>scenario_indirect_prod_4506_iotable_2020_xlsx_3[[#This Row],[2032]]+scenario_indirect_prod_1610_iotable_2020_xlsx_3[[#This Row],[2032]]</f>
        <v>426.29381356456452</v>
      </c>
      <c r="J75">
        <f>scenario_indirect_prod_4506_iotable_2020_xlsx_3[[#This Row],[2033]]+scenario_indirect_prod_1610_iotable_2020_xlsx_3[[#This Row],[2033]]</f>
        <v>72.751835449764258</v>
      </c>
      <c r="K75">
        <f>scenario_indirect_prod_4506_iotable_2020_xlsx_3[[#This Row],[2034]]+scenario_indirect_prod_1610_iotable_2020_xlsx_3[[#This Row],[2034]]</f>
        <v>251.82239317612039</v>
      </c>
      <c r="L75">
        <f>scenario_indirect_prod_4506_iotable_2020_xlsx_3[[#This Row],[2035]]+scenario_indirect_prod_1610_iotable_2020_xlsx_3[[#This Row],[2035]]</f>
        <v>-130.87796981996598</v>
      </c>
      <c r="M75">
        <f>scenario_indirect_prod_4506_iotable_2020_xlsx_3[[#This Row],[2036]]+scenario_indirect_prod_1610_iotable_2020_xlsx_3[[#This Row],[2036]]</f>
        <v>-514.70150051689961</v>
      </c>
      <c r="N75">
        <f>scenario_indirect_prod_4506_iotable_2020_xlsx_3[[#This Row],[2037]]+scenario_indirect_prod_1610_iotable_2020_xlsx_3[[#This Row],[2037]]</f>
        <v>-843.00684938210725</v>
      </c>
      <c r="O75">
        <f>scenario_indirect_prod_4506_iotable_2020_xlsx_3[[#This Row],[2038]]+scenario_indirect_prod_1610_iotable_2020_xlsx_3[[#This Row],[2038]]</f>
        <v>-843.00684938210725</v>
      </c>
      <c r="P75">
        <f>scenario_indirect_prod_4506_iotable_2020_xlsx_3[[#This Row],[2039]]+scenario_indirect_prod_1610_iotable_2020_xlsx_3[[#This Row],[2039]]</f>
        <v>-843.00684938210725</v>
      </c>
      <c r="Q75">
        <f>scenario_indirect_prod_4506_iotable_2020_xlsx_3[[#This Row],[2040]]+scenario_indirect_prod_1610_iotable_2020_xlsx_3[[#This Row],[2040]]</f>
        <v>-1132.467885188099</v>
      </c>
      <c r="R75">
        <f>scenario_indirect_prod_4506_iotable_2020_xlsx_3[[#This Row],[2041]]+scenario_indirect_prod_1610_iotable_2020_xlsx_3[[#This Row],[2041]]</f>
        <v>-1132.467885188099</v>
      </c>
      <c r="S75">
        <f>scenario_indirect_prod_4506_iotable_2020_xlsx_3[[#This Row],[2042]]+scenario_indirect_prod_1610_iotable_2020_xlsx_3[[#This Row],[2042]]</f>
        <v>-1448.0479248865759</v>
      </c>
      <c r="T75">
        <f>scenario_indirect_prod_4506_iotable_2020_xlsx_3[[#This Row],[2043]]+scenario_indirect_prod_1610_iotable_2020_xlsx_3[[#This Row],[2043]]</f>
        <v>-1448.0479248865759</v>
      </c>
      <c r="U75">
        <f>scenario_indirect_prod_4506_iotable_2020_xlsx_3[[#This Row],[2044]]+scenario_indirect_prod_1610_iotable_2020_xlsx_3[[#This Row],[2044]]</f>
        <v>-1760.0093788406921</v>
      </c>
      <c r="V75">
        <f>scenario_indirect_prod_4506_iotable_2020_xlsx_3[[#This Row],[2045]]+scenario_indirect_prod_1610_iotable_2020_xlsx_3[[#This Row],[2045]]</f>
        <v>-1760.0093788406921</v>
      </c>
      <c r="W75">
        <f>scenario_indirect_prod_4506_iotable_2020_xlsx_3[[#This Row],[2046]]+scenario_indirect_prod_1610_iotable_2020_xlsx_3[[#This Row],[2046]]</f>
        <v>-2021.8774144333256</v>
      </c>
      <c r="X75">
        <f>scenario_indirect_prod_4506_iotable_2020_xlsx_3[[#This Row],[2047]]+scenario_indirect_prod_1610_iotable_2020_xlsx_3[[#This Row],[2047]]</f>
        <v>-2021.8774144333256</v>
      </c>
      <c r="Y75">
        <f>scenario_indirect_prod_4506_iotable_2020_xlsx_3[[#This Row],[2048]]+scenario_indirect_prod_1610_iotable_2020_xlsx_3[[#This Row],[2048]]</f>
        <v>-2021.8774144333256</v>
      </c>
      <c r="Z75">
        <f>scenario_indirect_prod_4506_iotable_2020_xlsx_3[[#This Row],[2049]]+scenario_indirect_prod_1610_iotable_2020_xlsx_3[[#This Row],[2049]]</f>
        <v>-2021.8774144333256</v>
      </c>
      <c r="AA75">
        <f>scenario_indirect_prod_4506_iotable_2020_xlsx_3[[#This Row],[2050]]+scenario_indirect_prod_1610_iotable_2020_xlsx_3[[#This Row],[2050]]</f>
        <v>-2021.8774144333256</v>
      </c>
    </row>
    <row r="76" spans="1:27" x14ac:dyDescent="0.2">
      <c r="A76" t="s">
        <v>820</v>
      </c>
      <c r="B76" t="s">
        <v>821</v>
      </c>
      <c r="C76">
        <f>scenario_indirect_prod_4506_iotable_2020_xlsx_3[[#This Row],[2026]]+scenario_indirect_prod_1610_iotable_2020_xlsx_3[[#This Row],[2026]]</f>
        <v>991.42305638285757</v>
      </c>
      <c r="D76">
        <f>scenario_indirect_prod_4506_iotable_2020_xlsx_3[[#This Row],[2027]]+scenario_indirect_prod_1610_iotable_2020_xlsx_3[[#This Row],[2027]]</f>
        <v>896.65332237813232</v>
      </c>
      <c r="E76">
        <f>scenario_indirect_prod_4506_iotable_2020_xlsx_3[[#This Row],[2028]]+scenario_indirect_prod_1610_iotable_2020_xlsx_3[[#This Row],[2028]]</f>
        <v>950.94697059511782</v>
      </c>
      <c r="F76">
        <f>scenario_indirect_prod_4506_iotable_2020_xlsx_3[[#This Row],[2029]]+scenario_indirect_prod_1610_iotable_2020_xlsx_3[[#This Row],[2029]]</f>
        <v>951.68847357503046</v>
      </c>
      <c r="G76">
        <f>scenario_indirect_prod_4506_iotable_2020_xlsx_3[[#This Row],[2030]]+scenario_indirect_prod_1610_iotable_2020_xlsx_3[[#This Row],[2030]]</f>
        <v>580.81811536051487</v>
      </c>
      <c r="H76">
        <f>scenario_indirect_prod_4506_iotable_2020_xlsx_3[[#This Row],[2031]]+scenario_indirect_prod_1610_iotable_2020_xlsx_3[[#This Row],[2031]]</f>
        <v>654.07108490674977</v>
      </c>
      <c r="I76">
        <f>scenario_indirect_prod_4506_iotable_2020_xlsx_3[[#This Row],[2032]]+scenario_indirect_prod_1610_iotable_2020_xlsx_3[[#This Row],[2032]]</f>
        <v>756.37537572951987</v>
      </c>
      <c r="J76">
        <f>scenario_indirect_prod_4506_iotable_2020_xlsx_3[[#This Row],[2033]]+scenario_indirect_prod_1610_iotable_2020_xlsx_3[[#This Row],[2033]]</f>
        <v>735.37437787872682</v>
      </c>
      <c r="K76">
        <f>scenario_indirect_prod_4506_iotable_2020_xlsx_3[[#This Row],[2034]]+scenario_indirect_prod_1610_iotable_2020_xlsx_3[[#This Row],[2034]]</f>
        <v>830.57385444428451</v>
      </c>
      <c r="L76">
        <f>scenario_indirect_prod_4506_iotable_2020_xlsx_3[[#This Row],[2035]]+scenario_indirect_prod_1610_iotable_2020_xlsx_3[[#This Row],[2035]]</f>
        <v>838.46090511698321</v>
      </c>
      <c r="M76">
        <f>scenario_indirect_prod_4506_iotable_2020_xlsx_3[[#This Row],[2036]]+scenario_indirect_prod_1610_iotable_2020_xlsx_3[[#This Row],[2036]]</f>
        <v>773.12941420950256</v>
      </c>
      <c r="N76">
        <f>scenario_indirect_prod_4506_iotable_2020_xlsx_3[[#This Row],[2037]]+scenario_indirect_prod_1610_iotable_2020_xlsx_3[[#This Row],[2037]]</f>
        <v>719.8628130695115</v>
      </c>
      <c r="O76">
        <f>scenario_indirect_prod_4506_iotable_2020_xlsx_3[[#This Row],[2038]]+scenario_indirect_prod_1610_iotable_2020_xlsx_3[[#This Row],[2038]]</f>
        <v>719.8628130695115</v>
      </c>
      <c r="P76">
        <f>scenario_indirect_prod_4506_iotable_2020_xlsx_3[[#This Row],[2039]]+scenario_indirect_prod_1610_iotable_2020_xlsx_3[[#This Row],[2039]]</f>
        <v>719.8628130695115</v>
      </c>
      <c r="Q76">
        <f>scenario_indirect_prod_4506_iotable_2020_xlsx_3[[#This Row],[2040]]+scenario_indirect_prod_1610_iotable_2020_xlsx_3[[#This Row],[2040]]</f>
        <v>672.44073460532809</v>
      </c>
      <c r="R76">
        <f>scenario_indirect_prod_4506_iotable_2020_xlsx_3[[#This Row],[2041]]+scenario_indirect_prod_1610_iotable_2020_xlsx_3[[#This Row],[2041]]</f>
        <v>672.44073460532809</v>
      </c>
      <c r="S76">
        <f>scenario_indirect_prod_4506_iotable_2020_xlsx_3[[#This Row],[2042]]+scenario_indirect_prod_1610_iotable_2020_xlsx_3[[#This Row],[2042]]</f>
        <v>622.17897260775362</v>
      </c>
      <c r="T76">
        <f>scenario_indirect_prod_4506_iotable_2020_xlsx_3[[#This Row],[2043]]+scenario_indirect_prod_1610_iotable_2020_xlsx_3[[#This Row],[2043]]</f>
        <v>622.17897260775362</v>
      </c>
      <c r="U76">
        <f>scenario_indirect_prod_4506_iotable_2020_xlsx_3[[#This Row],[2044]]+scenario_indirect_prod_1610_iotable_2020_xlsx_3[[#This Row],[2044]]</f>
        <v>568.08296616712869</v>
      </c>
      <c r="V76">
        <f>scenario_indirect_prod_4506_iotable_2020_xlsx_3[[#This Row],[2045]]+scenario_indirect_prod_1610_iotable_2020_xlsx_3[[#This Row],[2045]]</f>
        <v>568.08296616712869</v>
      </c>
      <c r="W76">
        <f>scenario_indirect_prod_4506_iotable_2020_xlsx_3[[#This Row],[2046]]+scenario_indirect_prod_1610_iotable_2020_xlsx_3[[#This Row],[2046]]</f>
        <v>524.01981247511003</v>
      </c>
      <c r="X76">
        <f>scenario_indirect_prod_4506_iotable_2020_xlsx_3[[#This Row],[2047]]+scenario_indirect_prod_1610_iotable_2020_xlsx_3[[#This Row],[2047]]</f>
        <v>524.01981247511003</v>
      </c>
      <c r="Y76">
        <f>scenario_indirect_prod_4506_iotable_2020_xlsx_3[[#This Row],[2048]]+scenario_indirect_prod_1610_iotable_2020_xlsx_3[[#This Row],[2048]]</f>
        <v>524.01981247511003</v>
      </c>
      <c r="Z76">
        <f>scenario_indirect_prod_4506_iotable_2020_xlsx_3[[#This Row],[2049]]+scenario_indirect_prod_1610_iotable_2020_xlsx_3[[#This Row],[2049]]</f>
        <v>524.01981247511003</v>
      </c>
      <c r="AA76">
        <f>scenario_indirect_prod_4506_iotable_2020_xlsx_3[[#This Row],[2050]]+scenario_indirect_prod_1610_iotable_2020_xlsx_3[[#This Row],[2050]]</f>
        <v>524.01981247511003</v>
      </c>
    </row>
    <row r="77" spans="1:27" x14ac:dyDescent="0.2">
      <c r="A77" t="s">
        <v>928</v>
      </c>
      <c r="B77" t="s">
        <v>929</v>
      </c>
      <c r="C77">
        <f>scenario_indirect_prod_4506_iotable_2020_xlsx_3[[#This Row],[2026]]+scenario_indirect_prod_1610_iotable_2020_xlsx_3[[#This Row],[2026]]</f>
        <v>36.989184271344442</v>
      </c>
      <c r="D77">
        <f>scenario_indirect_prod_4506_iotable_2020_xlsx_3[[#This Row],[2027]]+scenario_indirect_prod_1610_iotable_2020_xlsx_3[[#This Row],[2027]]</f>
        <v>32.023485793139301</v>
      </c>
      <c r="E77">
        <f>scenario_indirect_prod_4506_iotable_2020_xlsx_3[[#This Row],[2028]]+scenario_indirect_prod_1610_iotable_2020_xlsx_3[[#This Row],[2028]]</f>
        <v>34.134126211991983</v>
      </c>
      <c r="F77">
        <f>scenario_indirect_prod_4506_iotable_2020_xlsx_3[[#This Row],[2029]]+scenario_indirect_prod_1610_iotable_2020_xlsx_3[[#This Row],[2029]]</f>
        <v>33.650324153753736</v>
      </c>
      <c r="G77">
        <f>scenario_indirect_prod_4506_iotable_2020_xlsx_3[[#This Row],[2030]]+scenario_indirect_prod_1610_iotable_2020_xlsx_3[[#This Row],[2030]]</f>
        <v>14.887699908763196</v>
      </c>
      <c r="H77">
        <f>scenario_indirect_prod_4506_iotable_2020_xlsx_3[[#This Row],[2031]]+scenario_indirect_prod_1610_iotable_2020_xlsx_3[[#This Row],[2031]]</f>
        <v>17.735375159970538</v>
      </c>
      <c r="I77">
        <f>scenario_indirect_prod_4506_iotable_2020_xlsx_3[[#This Row],[2032]]+scenario_indirect_prod_1610_iotable_2020_xlsx_3[[#This Row],[2032]]</f>
        <v>21.71240706561148</v>
      </c>
      <c r="J77">
        <f>scenario_indirect_prod_4506_iotable_2020_xlsx_3[[#This Row],[2033]]+scenario_indirect_prod_1610_iotable_2020_xlsx_3[[#This Row],[2033]]</f>
        <v>18.472020844394862</v>
      </c>
      <c r="K77">
        <f>scenario_indirect_prod_4506_iotable_2020_xlsx_3[[#This Row],[2034]]+scenario_indirect_prod_1610_iotable_2020_xlsx_3[[#This Row],[2034]]</f>
        <v>22.172856387621877</v>
      </c>
      <c r="L77">
        <f>scenario_indirect_prod_4506_iotable_2020_xlsx_3[[#This Row],[2035]]+scenario_indirect_prod_1610_iotable_2020_xlsx_3[[#This Row],[2035]]</f>
        <v>19.410989655996175</v>
      </c>
      <c r="M77">
        <f>scenario_indirect_prod_4506_iotable_2020_xlsx_3[[#This Row],[2036]]+scenario_indirect_prod_1610_iotable_2020_xlsx_3[[#This Row],[2036]]</f>
        <v>14.857173485483031</v>
      </c>
      <c r="N77">
        <f>scenario_indirect_prod_4506_iotable_2020_xlsx_3[[#This Row],[2037]]+scenario_indirect_prod_1610_iotable_2020_xlsx_3[[#This Row],[2037]]</f>
        <v>11.02573450175511</v>
      </c>
      <c r="O77">
        <f>scenario_indirect_prod_4506_iotable_2020_xlsx_3[[#This Row],[2038]]+scenario_indirect_prod_1610_iotable_2020_xlsx_3[[#This Row],[2038]]</f>
        <v>11.02573450175511</v>
      </c>
      <c r="P77">
        <f>scenario_indirect_prod_4506_iotable_2020_xlsx_3[[#This Row],[2039]]+scenario_indirect_prod_1610_iotable_2020_xlsx_3[[#This Row],[2039]]</f>
        <v>11.02573450175511</v>
      </c>
      <c r="Q77">
        <f>scenario_indirect_prod_4506_iotable_2020_xlsx_3[[#This Row],[2040]]+scenario_indirect_prod_1610_iotable_2020_xlsx_3[[#This Row],[2040]]</f>
        <v>7.6364709836765314</v>
      </c>
      <c r="R77">
        <f>scenario_indirect_prod_4506_iotable_2020_xlsx_3[[#This Row],[2041]]+scenario_indirect_prod_1610_iotable_2020_xlsx_3[[#This Row],[2041]]</f>
        <v>7.6364709836765314</v>
      </c>
      <c r="S77">
        <f>scenario_indirect_prod_4506_iotable_2020_xlsx_3[[#This Row],[2042]]+scenario_indirect_prod_1610_iotable_2020_xlsx_3[[#This Row],[2042]]</f>
        <v>3.976439812561722</v>
      </c>
      <c r="T77">
        <f>scenario_indirect_prod_4506_iotable_2020_xlsx_3[[#This Row],[2043]]+scenario_indirect_prod_1610_iotable_2020_xlsx_3[[#This Row],[2043]]</f>
        <v>3.976439812561722</v>
      </c>
      <c r="U77">
        <f>scenario_indirect_prod_4506_iotable_2020_xlsx_3[[#This Row],[2044]]+scenario_indirect_prod_1610_iotable_2020_xlsx_3[[#This Row],[2044]]</f>
        <v>0.25095427904025769</v>
      </c>
      <c r="V77">
        <f>scenario_indirect_prod_4506_iotable_2020_xlsx_3[[#This Row],[2045]]+scenario_indirect_prod_1610_iotable_2020_xlsx_3[[#This Row],[2045]]</f>
        <v>0.25095427904025769</v>
      </c>
      <c r="W77">
        <f>scenario_indirect_prod_4506_iotable_2020_xlsx_3[[#This Row],[2046]]+scenario_indirect_prod_1610_iotable_2020_xlsx_3[[#This Row],[2046]]</f>
        <v>-2.8435177864534751</v>
      </c>
      <c r="X77">
        <f>scenario_indirect_prod_4506_iotable_2020_xlsx_3[[#This Row],[2047]]+scenario_indirect_prod_1610_iotable_2020_xlsx_3[[#This Row],[2047]]</f>
        <v>-2.8435177864534751</v>
      </c>
      <c r="Y77">
        <f>scenario_indirect_prod_4506_iotable_2020_xlsx_3[[#This Row],[2048]]+scenario_indirect_prod_1610_iotable_2020_xlsx_3[[#This Row],[2048]]</f>
        <v>-2.8435177864534751</v>
      </c>
      <c r="Z77">
        <f>scenario_indirect_prod_4506_iotable_2020_xlsx_3[[#This Row],[2049]]+scenario_indirect_prod_1610_iotable_2020_xlsx_3[[#This Row],[2049]]</f>
        <v>-2.8435177864534751</v>
      </c>
      <c r="AA77">
        <f>scenario_indirect_prod_4506_iotable_2020_xlsx_3[[#This Row],[2050]]+scenario_indirect_prod_1610_iotable_2020_xlsx_3[[#This Row],[2050]]</f>
        <v>-2.8435177864534751</v>
      </c>
    </row>
    <row r="78" spans="1:27" x14ac:dyDescent="0.2">
      <c r="A78" t="s">
        <v>659</v>
      </c>
      <c r="B78" t="s">
        <v>660</v>
      </c>
      <c r="C78">
        <f>scenario_indirect_prod_4506_iotable_2020_xlsx_3[[#This Row],[2026]]+scenario_indirect_prod_1610_iotable_2020_xlsx_3[[#This Row],[2026]]</f>
        <v>1863.7883419457821</v>
      </c>
      <c r="D78">
        <f>scenario_indirect_prod_4506_iotable_2020_xlsx_3[[#This Row],[2027]]+scenario_indirect_prod_1610_iotable_2020_xlsx_3[[#This Row],[2027]]</f>
        <v>290.9497738621094</v>
      </c>
      <c r="E78">
        <f>scenario_indirect_prod_4506_iotable_2020_xlsx_3[[#This Row],[2028]]+scenario_indirect_prod_1610_iotable_2020_xlsx_3[[#This Row],[2028]]</f>
        <v>475.9114562945033</v>
      </c>
      <c r="F78">
        <f>scenario_indirect_prod_4506_iotable_2020_xlsx_3[[#This Row],[2029]]+scenario_indirect_prod_1610_iotable_2020_xlsx_3[[#This Row],[2029]]</f>
        <v>-21.557470245619697</v>
      </c>
      <c r="G78">
        <f>scenario_indirect_prod_4506_iotable_2020_xlsx_3[[#This Row],[2030]]+scenario_indirect_prod_1610_iotable_2020_xlsx_3[[#This Row],[2030]]</f>
        <v>-5523.130372624003</v>
      </c>
      <c r="H78">
        <f>scenario_indirect_prod_4506_iotable_2020_xlsx_3[[#This Row],[2031]]+scenario_indirect_prod_1610_iotable_2020_xlsx_3[[#This Row],[2031]]</f>
        <v>-5273.5801409598625</v>
      </c>
      <c r="I78">
        <f>scenario_indirect_prod_4506_iotable_2020_xlsx_3[[#This Row],[2032]]+scenario_indirect_prod_1610_iotable_2020_xlsx_3[[#This Row],[2032]]</f>
        <v>-4925.0610347283446</v>
      </c>
      <c r="J78">
        <f>scenario_indirect_prod_4506_iotable_2020_xlsx_3[[#This Row],[2033]]+scenario_indirect_prod_1610_iotable_2020_xlsx_3[[#This Row],[2033]]</f>
        <v>-7360.8530925546638</v>
      </c>
      <c r="K78">
        <f>scenario_indirect_prod_4506_iotable_2020_xlsx_3[[#This Row],[2034]]+scenario_indirect_prod_1610_iotable_2020_xlsx_3[[#This Row],[2034]]</f>
        <v>-7036.5378930698753</v>
      </c>
      <c r="L78">
        <f>scenario_indirect_prod_4506_iotable_2020_xlsx_3[[#This Row],[2035]]+scenario_indirect_prod_1610_iotable_2020_xlsx_3[[#This Row],[2035]]</f>
        <v>-10002.525188823369</v>
      </c>
      <c r="M78">
        <f>scenario_indirect_prod_4506_iotable_2020_xlsx_3[[#This Row],[2036]]+scenario_indirect_prod_1610_iotable_2020_xlsx_3[[#This Row],[2036]]</f>
        <v>-12189.541181166149</v>
      </c>
      <c r="N78">
        <f>scenario_indirect_prod_4506_iotable_2020_xlsx_3[[#This Row],[2037]]+scenario_indirect_prod_1610_iotable_2020_xlsx_3[[#This Row],[2037]]</f>
        <v>-14088.339171441319</v>
      </c>
      <c r="O78">
        <f>scenario_indirect_prod_4506_iotable_2020_xlsx_3[[#This Row],[2038]]+scenario_indirect_prod_1610_iotable_2020_xlsx_3[[#This Row],[2038]]</f>
        <v>-14088.339171441319</v>
      </c>
      <c r="P78">
        <f>scenario_indirect_prod_4506_iotable_2020_xlsx_3[[#This Row],[2039]]+scenario_indirect_prod_1610_iotable_2020_xlsx_3[[#This Row],[2039]]</f>
        <v>-14088.339171441319</v>
      </c>
      <c r="Q78">
        <f>scenario_indirect_prod_4506_iotable_2020_xlsx_3[[#This Row],[2040]]+scenario_indirect_prod_1610_iotable_2020_xlsx_3[[#This Row],[2040]]</f>
        <v>-15757.551872190388</v>
      </c>
      <c r="R78">
        <f>scenario_indirect_prod_4506_iotable_2020_xlsx_3[[#This Row],[2041]]+scenario_indirect_prod_1610_iotable_2020_xlsx_3[[#This Row],[2041]]</f>
        <v>-15757.551872190388</v>
      </c>
      <c r="S78">
        <f>scenario_indirect_prod_4506_iotable_2020_xlsx_3[[#This Row],[2042]]+scenario_indirect_prod_1610_iotable_2020_xlsx_3[[#This Row],[2042]]</f>
        <v>-17592.862628077575</v>
      </c>
      <c r="T78">
        <f>scenario_indirect_prod_4506_iotable_2020_xlsx_3[[#This Row],[2043]]+scenario_indirect_prod_1610_iotable_2020_xlsx_3[[#This Row],[2043]]</f>
        <v>-17592.862628077575</v>
      </c>
      <c r="U78">
        <f>scenario_indirect_prod_4506_iotable_2020_xlsx_3[[#This Row],[2044]]+scenario_indirect_prod_1610_iotable_2020_xlsx_3[[#This Row],[2044]]</f>
        <v>-19359.695507562225</v>
      </c>
      <c r="V78">
        <f>scenario_indirect_prod_4506_iotable_2020_xlsx_3[[#This Row],[2045]]+scenario_indirect_prod_1610_iotable_2020_xlsx_3[[#This Row],[2045]]</f>
        <v>-19359.695507562225</v>
      </c>
      <c r="W78">
        <f>scenario_indirect_prod_4506_iotable_2020_xlsx_3[[#This Row],[2046]]+scenario_indirect_prod_1610_iotable_2020_xlsx_3[[#This Row],[2046]]</f>
        <v>-20857.297314534269</v>
      </c>
      <c r="X78">
        <f>scenario_indirect_prod_4506_iotable_2020_xlsx_3[[#This Row],[2047]]+scenario_indirect_prod_1610_iotable_2020_xlsx_3[[#This Row],[2047]]</f>
        <v>-20857.297314534269</v>
      </c>
      <c r="Y78">
        <f>scenario_indirect_prod_4506_iotable_2020_xlsx_3[[#This Row],[2048]]+scenario_indirect_prod_1610_iotable_2020_xlsx_3[[#This Row],[2048]]</f>
        <v>-20857.297314534269</v>
      </c>
      <c r="Z78">
        <f>scenario_indirect_prod_4506_iotable_2020_xlsx_3[[#This Row],[2049]]+scenario_indirect_prod_1610_iotable_2020_xlsx_3[[#This Row],[2049]]</f>
        <v>-20857.297314534269</v>
      </c>
      <c r="AA78">
        <f>scenario_indirect_prod_4506_iotable_2020_xlsx_3[[#This Row],[2050]]+scenario_indirect_prod_1610_iotable_2020_xlsx_3[[#This Row],[2050]]</f>
        <v>-20857.297314534269</v>
      </c>
    </row>
    <row r="79" spans="1:27" x14ac:dyDescent="0.2">
      <c r="A79" t="s">
        <v>475</v>
      </c>
      <c r="B79" t="s">
        <v>476</v>
      </c>
      <c r="C79">
        <f>scenario_indirect_prod_4506_iotable_2020_xlsx_3[[#This Row],[2026]]+scenario_indirect_prod_1610_iotable_2020_xlsx_3[[#This Row],[2026]]</f>
        <v>21708.429383896695</v>
      </c>
      <c r="D79">
        <f>scenario_indirect_prod_4506_iotable_2020_xlsx_3[[#This Row],[2027]]+scenario_indirect_prod_1610_iotable_2020_xlsx_3[[#This Row],[2027]]</f>
        <v>23034.648000653113</v>
      </c>
      <c r="E79">
        <f>scenario_indirect_prod_4506_iotable_2020_xlsx_3[[#This Row],[2028]]+scenario_indirect_prod_1610_iotable_2020_xlsx_3[[#This Row],[2028]]</f>
        <v>24021.313056850133</v>
      </c>
      <c r="F79">
        <f>scenario_indirect_prod_4506_iotable_2020_xlsx_3[[#This Row],[2029]]+scenario_indirect_prod_1610_iotable_2020_xlsx_3[[#This Row],[2029]]</f>
        <v>25254.166562934959</v>
      </c>
      <c r="G79">
        <f>scenario_indirect_prod_4506_iotable_2020_xlsx_3[[#This Row],[2030]]+scenario_indirect_prod_1610_iotable_2020_xlsx_3[[#This Row],[2030]]</f>
        <v>28850.307891382821</v>
      </c>
      <c r="H79">
        <f>scenario_indirect_prod_4506_iotable_2020_xlsx_3[[#This Row],[2031]]+scenario_indirect_prod_1610_iotable_2020_xlsx_3[[#This Row],[2031]]</f>
        <v>30181.516010334097</v>
      </c>
      <c r="I79">
        <f>scenario_indirect_prod_4506_iotable_2020_xlsx_3[[#This Row],[2032]]+scenario_indirect_prod_1610_iotable_2020_xlsx_3[[#This Row],[2032]]</f>
        <v>32040.666613926551</v>
      </c>
      <c r="J79">
        <f>scenario_indirect_prod_4506_iotable_2020_xlsx_3[[#This Row],[2033]]+scenario_indirect_prod_1610_iotable_2020_xlsx_3[[#This Row],[2033]]</f>
        <v>37424.904386195631</v>
      </c>
      <c r="K79">
        <f>scenario_indirect_prod_4506_iotable_2020_xlsx_3[[#This Row],[2034]]+scenario_indirect_prod_1610_iotable_2020_xlsx_3[[#This Row],[2034]]</f>
        <v>39154.940955484373</v>
      </c>
      <c r="L79">
        <f>scenario_indirect_prod_4506_iotable_2020_xlsx_3[[#This Row],[2035]]+scenario_indirect_prod_1610_iotable_2020_xlsx_3[[#This Row],[2035]]</f>
        <v>46597.191150292078</v>
      </c>
      <c r="M79">
        <f>scenario_indirect_prod_4506_iotable_2020_xlsx_3[[#This Row],[2036]]+scenario_indirect_prod_1610_iotable_2020_xlsx_3[[#This Row],[2036]]</f>
        <v>50200.806021183889</v>
      </c>
      <c r="N79">
        <f>scenario_indirect_prod_4506_iotable_2020_xlsx_3[[#This Row],[2037]]+scenario_indirect_prod_1610_iotable_2020_xlsx_3[[#This Row],[2037]]</f>
        <v>53421.009733840314</v>
      </c>
      <c r="O79">
        <f>scenario_indirect_prod_4506_iotable_2020_xlsx_3[[#This Row],[2038]]+scenario_indirect_prod_1610_iotable_2020_xlsx_3[[#This Row],[2038]]</f>
        <v>53421.009733840314</v>
      </c>
      <c r="P79">
        <f>scenario_indirect_prod_4506_iotable_2020_xlsx_3[[#This Row],[2039]]+scenario_indirect_prod_1610_iotable_2020_xlsx_3[[#This Row],[2039]]</f>
        <v>53421.009733840314</v>
      </c>
      <c r="Q79">
        <f>scenario_indirect_prod_4506_iotable_2020_xlsx_3[[#This Row],[2040]]+scenario_indirect_prod_1610_iotable_2020_xlsx_3[[#This Row],[2040]]</f>
        <v>56236.073555586641</v>
      </c>
      <c r="R79">
        <f>scenario_indirect_prod_4506_iotable_2020_xlsx_3[[#This Row],[2041]]+scenario_indirect_prod_1610_iotable_2020_xlsx_3[[#This Row],[2041]]</f>
        <v>56236.073555586641</v>
      </c>
      <c r="S79">
        <f>scenario_indirect_prod_4506_iotable_2020_xlsx_3[[#This Row],[2042]]+scenario_indirect_prod_1610_iotable_2020_xlsx_3[[#This Row],[2042]]</f>
        <v>59381.016725153437</v>
      </c>
      <c r="T79">
        <f>scenario_indirect_prod_4506_iotable_2020_xlsx_3[[#This Row],[2043]]+scenario_indirect_prod_1610_iotable_2020_xlsx_3[[#This Row],[2043]]</f>
        <v>59381.016725153437</v>
      </c>
      <c r="U79">
        <f>scenario_indirect_prod_4506_iotable_2020_xlsx_3[[#This Row],[2044]]+scenario_indirect_prod_1610_iotable_2020_xlsx_3[[#This Row],[2044]]</f>
        <v>62257.422997750218</v>
      </c>
      <c r="V79">
        <f>scenario_indirect_prod_4506_iotable_2020_xlsx_3[[#This Row],[2045]]+scenario_indirect_prod_1610_iotable_2020_xlsx_3[[#This Row],[2045]]</f>
        <v>62257.422997750218</v>
      </c>
      <c r="W79">
        <f>scenario_indirect_prod_4506_iotable_2020_xlsx_3[[#This Row],[2046]]+scenario_indirect_prod_1610_iotable_2020_xlsx_3[[#This Row],[2046]]</f>
        <v>64742.912854079404</v>
      </c>
      <c r="X79">
        <f>scenario_indirect_prod_4506_iotable_2020_xlsx_3[[#This Row],[2047]]+scenario_indirect_prod_1610_iotable_2020_xlsx_3[[#This Row],[2047]]</f>
        <v>64742.912854079404</v>
      </c>
      <c r="Y79">
        <f>scenario_indirect_prod_4506_iotable_2020_xlsx_3[[#This Row],[2048]]+scenario_indirect_prod_1610_iotable_2020_xlsx_3[[#This Row],[2048]]</f>
        <v>64742.912854079404</v>
      </c>
      <c r="Z79">
        <f>scenario_indirect_prod_4506_iotable_2020_xlsx_3[[#This Row],[2049]]+scenario_indirect_prod_1610_iotable_2020_xlsx_3[[#This Row],[2049]]</f>
        <v>64742.912854079404</v>
      </c>
      <c r="AA79">
        <f>scenario_indirect_prod_4506_iotable_2020_xlsx_3[[#This Row],[2050]]+scenario_indirect_prod_1610_iotable_2020_xlsx_3[[#This Row],[2050]]</f>
        <v>64742.912854079404</v>
      </c>
    </row>
    <row r="80" spans="1:27" x14ac:dyDescent="0.2">
      <c r="A80" t="s">
        <v>892</v>
      </c>
      <c r="B80" t="s">
        <v>893</v>
      </c>
      <c r="C80">
        <f>scenario_indirect_prod_4506_iotable_2020_xlsx_3[[#This Row],[2026]]+scenario_indirect_prod_1610_iotable_2020_xlsx_3[[#This Row],[2026]]</f>
        <v>284.32965205626687</v>
      </c>
      <c r="D80">
        <f>scenario_indirect_prod_4506_iotable_2020_xlsx_3[[#This Row],[2027]]+scenario_indirect_prod_1610_iotable_2020_xlsx_3[[#This Row],[2027]]</f>
        <v>270.70022624131786</v>
      </c>
      <c r="E80">
        <f>scenario_indirect_prod_4506_iotable_2020_xlsx_3[[#This Row],[2028]]+scenario_indirect_prod_1610_iotable_2020_xlsx_3[[#This Row],[2028]]</f>
        <v>285.4657386637042</v>
      </c>
      <c r="F80">
        <f>scenario_indirect_prod_4506_iotable_2020_xlsx_3[[#This Row],[2029]]+scenario_indirect_prod_1610_iotable_2020_xlsx_3[[#This Row],[2029]]</f>
        <v>290.52492478966531</v>
      </c>
      <c r="G80">
        <f>scenario_indirect_prod_4506_iotable_2020_xlsx_3[[#This Row],[2030]]+scenario_indirect_prod_1610_iotable_2020_xlsx_3[[#This Row],[2030]]</f>
        <v>230.838423954169</v>
      </c>
      <c r="H80">
        <f>scenario_indirect_prod_4506_iotable_2020_xlsx_3[[#This Row],[2031]]+scenario_indirect_prod_1610_iotable_2020_xlsx_3[[#This Row],[2031]]</f>
        <v>250.76004770450015</v>
      </c>
      <c r="I80">
        <f>scenario_indirect_prod_4506_iotable_2020_xlsx_3[[#This Row],[2032]]+scenario_indirect_prod_1610_iotable_2020_xlsx_3[[#This Row],[2032]]</f>
        <v>278.58236811608856</v>
      </c>
      <c r="J80">
        <f>scenario_indirect_prod_4506_iotable_2020_xlsx_3[[#This Row],[2033]]+scenario_indirect_prod_1610_iotable_2020_xlsx_3[[#This Row],[2033]]</f>
        <v>295.84004975346778</v>
      </c>
      <c r="K80">
        <f>scenario_indirect_prod_4506_iotable_2020_xlsx_3[[#This Row],[2034]]+scenario_indirect_prod_1610_iotable_2020_xlsx_3[[#This Row],[2034]]</f>
        <v>321.73016950036055</v>
      </c>
      <c r="L80">
        <f>scenario_indirect_prod_4506_iotable_2020_xlsx_3[[#This Row],[2035]]+scenario_indirect_prod_1610_iotable_2020_xlsx_3[[#This Row],[2035]]</f>
        <v>352.95116862270419</v>
      </c>
      <c r="M80">
        <f>scenario_indirect_prod_4506_iotable_2020_xlsx_3[[#This Row],[2036]]+scenario_indirect_prod_1610_iotable_2020_xlsx_3[[#This Row],[2036]]</f>
        <v>354.26879890146972</v>
      </c>
      <c r="N80">
        <f>scenario_indirect_prod_4506_iotable_2020_xlsx_3[[#This Row],[2037]]+scenario_indirect_prod_1610_iotable_2020_xlsx_3[[#This Row],[2037]]</f>
        <v>356.46677791102286</v>
      </c>
      <c r="O80">
        <f>scenario_indirect_prod_4506_iotable_2020_xlsx_3[[#This Row],[2038]]+scenario_indirect_prod_1610_iotable_2020_xlsx_3[[#This Row],[2038]]</f>
        <v>356.46677791102286</v>
      </c>
      <c r="P80">
        <f>scenario_indirect_prod_4506_iotable_2020_xlsx_3[[#This Row],[2039]]+scenario_indirect_prod_1610_iotable_2020_xlsx_3[[#This Row],[2039]]</f>
        <v>356.46677791102286</v>
      </c>
      <c r="Q80">
        <f>scenario_indirect_prod_4506_iotable_2020_xlsx_3[[#This Row],[2040]]+scenario_indirect_prod_1610_iotable_2020_xlsx_3[[#This Row],[2040]]</f>
        <v>358.21718953862126</v>
      </c>
      <c r="R80">
        <f>scenario_indirect_prod_4506_iotable_2020_xlsx_3[[#This Row],[2041]]+scenario_indirect_prod_1610_iotable_2020_xlsx_3[[#This Row],[2041]]</f>
        <v>358.21718953862126</v>
      </c>
      <c r="S80">
        <f>scenario_indirect_prod_4506_iotable_2020_xlsx_3[[#This Row],[2042]]+scenario_indirect_prod_1610_iotable_2020_xlsx_3[[#This Row],[2042]]</f>
        <v>360.71501554975475</v>
      </c>
      <c r="T80">
        <f>scenario_indirect_prod_4506_iotable_2020_xlsx_3[[#This Row],[2043]]+scenario_indirect_prod_1610_iotable_2020_xlsx_3[[#This Row],[2043]]</f>
        <v>360.71501554975475</v>
      </c>
      <c r="U80">
        <f>scenario_indirect_prod_4506_iotable_2020_xlsx_3[[#This Row],[2044]]+scenario_indirect_prod_1610_iotable_2020_xlsx_3[[#This Row],[2044]]</f>
        <v>361.3779202512726</v>
      </c>
      <c r="V80">
        <f>scenario_indirect_prod_4506_iotable_2020_xlsx_3[[#This Row],[2045]]+scenario_indirect_prod_1610_iotable_2020_xlsx_3[[#This Row],[2045]]</f>
        <v>361.3779202512726</v>
      </c>
      <c r="W80">
        <f>scenario_indirect_prod_4506_iotable_2020_xlsx_3[[#This Row],[2046]]+scenario_indirect_prod_1610_iotable_2020_xlsx_3[[#This Row],[2046]]</f>
        <v>362.48575554040144</v>
      </c>
      <c r="X80">
        <f>scenario_indirect_prod_4506_iotable_2020_xlsx_3[[#This Row],[2047]]+scenario_indirect_prod_1610_iotable_2020_xlsx_3[[#This Row],[2047]]</f>
        <v>362.48575554040144</v>
      </c>
      <c r="Y80">
        <f>scenario_indirect_prod_4506_iotable_2020_xlsx_3[[#This Row],[2048]]+scenario_indirect_prod_1610_iotable_2020_xlsx_3[[#This Row],[2048]]</f>
        <v>362.48575554040144</v>
      </c>
      <c r="Z80">
        <f>scenario_indirect_prod_4506_iotable_2020_xlsx_3[[#This Row],[2049]]+scenario_indirect_prod_1610_iotable_2020_xlsx_3[[#This Row],[2049]]</f>
        <v>362.48575554040144</v>
      </c>
      <c r="AA80">
        <f>scenario_indirect_prod_4506_iotable_2020_xlsx_3[[#This Row],[2050]]+scenario_indirect_prod_1610_iotable_2020_xlsx_3[[#This Row],[2050]]</f>
        <v>362.48575554040144</v>
      </c>
    </row>
    <row r="81" spans="1:27" x14ac:dyDescent="0.2">
      <c r="A81" t="s">
        <v>625</v>
      </c>
      <c r="B81" t="s">
        <v>626</v>
      </c>
      <c r="C81">
        <f>scenario_indirect_prod_4506_iotable_2020_xlsx_3[[#This Row],[2026]]+scenario_indirect_prod_1610_iotable_2020_xlsx_3[[#This Row],[2026]]</f>
        <v>5522.446642063499</v>
      </c>
      <c r="D81">
        <f>scenario_indirect_prod_4506_iotable_2020_xlsx_3[[#This Row],[2027]]+scenario_indirect_prod_1610_iotable_2020_xlsx_3[[#This Row],[2027]]</f>
        <v>5565.2392863550176</v>
      </c>
      <c r="E81">
        <f>scenario_indirect_prod_4506_iotable_2020_xlsx_3[[#This Row],[2028]]+scenario_indirect_prod_1610_iotable_2020_xlsx_3[[#This Row],[2028]]</f>
        <v>5833.7478820185479</v>
      </c>
      <c r="F81">
        <f>scenario_indirect_prod_4506_iotable_2020_xlsx_3[[#This Row],[2029]]+scenario_indirect_prod_1610_iotable_2020_xlsx_3[[#This Row],[2029]]</f>
        <v>6042.005094503058</v>
      </c>
      <c r="G81">
        <f>scenario_indirect_prod_4506_iotable_2020_xlsx_3[[#This Row],[2030]]+scenario_indirect_prod_1610_iotable_2020_xlsx_3[[#This Row],[2030]]</f>
        <v>5942.0474021735772</v>
      </c>
      <c r="H81">
        <f>scenario_indirect_prod_4506_iotable_2020_xlsx_3[[#This Row],[2031]]+scenario_indirect_prod_1610_iotable_2020_xlsx_3[[#This Row],[2031]]</f>
        <v>6304.3190974266799</v>
      </c>
      <c r="I81">
        <f>scenario_indirect_prod_4506_iotable_2020_xlsx_3[[#This Row],[2032]]+scenario_indirect_prod_1610_iotable_2020_xlsx_3[[#This Row],[2032]]</f>
        <v>6810.2637587504596</v>
      </c>
      <c r="J81">
        <f>scenario_indirect_prod_4506_iotable_2020_xlsx_3[[#This Row],[2033]]+scenario_indirect_prod_1610_iotable_2020_xlsx_3[[#This Row],[2033]]</f>
        <v>7673.8168661445889</v>
      </c>
      <c r="K81">
        <f>scenario_indirect_prod_4506_iotable_2020_xlsx_3[[#This Row],[2034]]+scenario_indirect_prod_1610_iotable_2020_xlsx_3[[#This Row],[2034]]</f>
        <v>8144.6247525176404</v>
      </c>
      <c r="L81">
        <f>scenario_indirect_prod_4506_iotable_2020_xlsx_3[[#This Row],[2035]]+scenario_indirect_prod_1610_iotable_2020_xlsx_3[[#This Row],[2035]]</f>
        <v>9408.2598618762477</v>
      </c>
      <c r="M81">
        <f>scenario_indirect_prod_4506_iotable_2020_xlsx_3[[#This Row],[2036]]+scenario_indirect_prod_1610_iotable_2020_xlsx_3[[#This Row],[2036]]</f>
        <v>9888.9866352802092</v>
      </c>
      <c r="N81">
        <f>scenario_indirect_prod_4506_iotable_2020_xlsx_3[[#This Row],[2037]]+scenario_indirect_prod_1610_iotable_2020_xlsx_3[[#This Row],[2037]]</f>
        <v>10328.263917301912</v>
      </c>
      <c r="O81">
        <f>scenario_indirect_prod_4506_iotable_2020_xlsx_3[[#This Row],[2038]]+scenario_indirect_prod_1610_iotable_2020_xlsx_3[[#This Row],[2038]]</f>
        <v>10328.263917301912</v>
      </c>
      <c r="P81">
        <f>scenario_indirect_prod_4506_iotable_2020_xlsx_3[[#This Row],[2039]]+scenario_indirect_prod_1610_iotable_2020_xlsx_3[[#This Row],[2039]]</f>
        <v>10328.263917301912</v>
      </c>
      <c r="Q81">
        <f>scenario_indirect_prod_4506_iotable_2020_xlsx_3[[#This Row],[2040]]+scenario_indirect_prod_1610_iotable_2020_xlsx_3[[#This Row],[2040]]</f>
        <v>10710.649571840604</v>
      </c>
      <c r="R81">
        <f>scenario_indirect_prod_4506_iotable_2020_xlsx_3[[#This Row],[2041]]+scenario_indirect_prod_1610_iotable_2020_xlsx_3[[#This Row],[2041]]</f>
        <v>10710.649571840604</v>
      </c>
      <c r="S81">
        <f>scenario_indirect_prod_4506_iotable_2020_xlsx_3[[#This Row],[2042]]+scenario_indirect_prod_1610_iotable_2020_xlsx_3[[#This Row],[2042]]</f>
        <v>11142.997908178088</v>
      </c>
      <c r="T81">
        <f>scenario_indirect_prod_4506_iotable_2020_xlsx_3[[#This Row],[2043]]+scenario_indirect_prod_1610_iotable_2020_xlsx_3[[#This Row],[2043]]</f>
        <v>11142.997908178088</v>
      </c>
      <c r="U81">
        <f>scenario_indirect_prod_4506_iotable_2020_xlsx_3[[#This Row],[2044]]+scenario_indirect_prod_1610_iotable_2020_xlsx_3[[#This Row],[2044]]</f>
        <v>11523.019159046649</v>
      </c>
      <c r="V81">
        <f>scenario_indirect_prod_4506_iotable_2020_xlsx_3[[#This Row],[2045]]+scenario_indirect_prod_1610_iotable_2020_xlsx_3[[#This Row],[2045]]</f>
        <v>11523.019159046649</v>
      </c>
      <c r="W81">
        <f>scenario_indirect_prod_4506_iotable_2020_xlsx_3[[#This Row],[2046]]+scenario_indirect_prod_1610_iotable_2020_xlsx_3[[#This Row],[2046]]</f>
        <v>11856.478069903524</v>
      </c>
      <c r="X81">
        <f>scenario_indirect_prod_4506_iotable_2020_xlsx_3[[#This Row],[2047]]+scenario_indirect_prod_1610_iotable_2020_xlsx_3[[#This Row],[2047]]</f>
        <v>11856.478069903524</v>
      </c>
      <c r="Y81">
        <f>scenario_indirect_prod_4506_iotable_2020_xlsx_3[[#This Row],[2048]]+scenario_indirect_prod_1610_iotable_2020_xlsx_3[[#This Row],[2048]]</f>
        <v>11856.478069903524</v>
      </c>
      <c r="Z81">
        <f>scenario_indirect_prod_4506_iotable_2020_xlsx_3[[#This Row],[2049]]+scenario_indirect_prod_1610_iotable_2020_xlsx_3[[#This Row],[2049]]</f>
        <v>11856.478069903524</v>
      </c>
      <c r="AA81">
        <f>scenario_indirect_prod_4506_iotable_2020_xlsx_3[[#This Row],[2050]]+scenario_indirect_prod_1610_iotable_2020_xlsx_3[[#This Row],[2050]]</f>
        <v>11856.478069903524</v>
      </c>
    </row>
    <row r="82" spans="1:27" x14ac:dyDescent="0.2">
      <c r="A82" t="s">
        <v>645</v>
      </c>
      <c r="B82" t="s">
        <v>646</v>
      </c>
      <c r="C82">
        <f>scenario_indirect_prod_4506_iotable_2020_xlsx_3[[#This Row],[2026]]+scenario_indirect_prod_1610_iotable_2020_xlsx_3[[#This Row],[2026]]</f>
        <v>5055.3964870673826</v>
      </c>
      <c r="D82">
        <f>scenario_indirect_prod_4506_iotable_2020_xlsx_3[[#This Row],[2027]]+scenario_indirect_prod_1610_iotable_2020_xlsx_3[[#This Row],[2027]]</f>
        <v>5396.7871775170806</v>
      </c>
      <c r="E82">
        <f>scenario_indirect_prod_4506_iotable_2020_xlsx_3[[#This Row],[2028]]+scenario_indirect_prod_1610_iotable_2020_xlsx_3[[#This Row],[2028]]</f>
        <v>5624.6245602832614</v>
      </c>
      <c r="F82">
        <f>scenario_indirect_prod_4506_iotable_2020_xlsx_3[[#This Row],[2029]]+scenario_indirect_prod_1610_iotable_2020_xlsx_3[[#This Row],[2029]]</f>
        <v>5923.3688506342196</v>
      </c>
      <c r="G82">
        <f>scenario_indirect_prod_4506_iotable_2020_xlsx_3[[#This Row],[2030]]+scenario_indirect_prod_1610_iotable_2020_xlsx_3[[#This Row],[2030]]</f>
        <v>6872.9373796569826</v>
      </c>
      <c r="H82">
        <f>scenario_indirect_prod_4506_iotable_2020_xlsx_3[[#This Row],[2031]]+scenario_indirect_prod_1610_iotable_2020_xlsx_3[[#This Row],[2031]]</f>
        <v>7180.3354899214482</v>
      </c>
      <c r="I82">
        <f>scenario_indirect_prod_4506_iotable_2020_xlsx_3[[#This Row],[2032]]+scenario_indirect_prod_1610_iotable_2020_xlsx_3[[#This Row],[2032]]</f>
        <v>7609.6443065560634</v>
      </c>
      <c r="J82">
        <f>scenario_indirect_prod_4506_iotable_2020_xlsx_3[[#This Row],[2033]]+scenario_indirect_prod_1610_iotable_2020_xlsx_3[[#This Row],[2033]]</f>
        <v>8919.4277987771839</v>
      </c>
      <c r="K82">
        <f>scenario_indirect_prod_4506_iotable_2020_xlsx_3[[#This Row],[2034]]+scenario_indirect_prod_1610_iotable_2020_xlsx_3[[#This Row],[2034]]</f>
        <v>9318.9220360169184</v>
      </c>
      <c r="L82">
        <f>scenario_indirect_prod_4506_iotable_2020_xlsx_3[[#This Row],[2035]]+scenario_indirect_prod_1610_iotable_2020_xlsx_3[[#This Row],[2035]]</f>
        <v>11121.608835565587</v>
      </c>
      <c r="M82">
        <f>scenario_indirect_prod_4506_iotable_2020_xlsx_3[[#This Row],[2036]]+scenario_indirect_prod_1610_iotable_2020_xlsx_3[[#This Row],[2036]]</f>
        <v>12008.976159974913</v>
      </c>
      <c r="N82">
        <f>scenario_indirect_prod_4506_iotable_2020_xlsx_3[[#This Row],[2037]]+scenario_indirect_prod_1610_iotable_2020_xlsx_3[[#This Row],[2037]]</f>
        <v>12800.859516329048</v>
      </c>
      <c r="O82">
        <f>scenario_indirect_prod_4506_iotable_2020_xlsx_3[[#This Row],[2038]]+scenario_indirect_prod_1610_iotable_2020_xlsx_3[[#This Row],[2038]]</f>
        <v>12800.859516329048</v>
      </c>
      <c r="P82">
        <f>scenario_indirect_prod_4506_iotable_2020_xlsx_3[[#This Row],[2039]]+scenario_indirect_prod_1610_iotable_2020_xlsx_3[[#This Row],[2039]]</f>
        <v>12800.859516329048</v>
      </c>
      <c r="Q82">
        <f>scenario_indirect_prod_4506_iotable_2020_xlsx_3[[#This Row],[2040]]+scenario_indirect_prod_1610_iotable_2020_xlsx_3[[#This Row],[2040]]</f>
        <v>13493.294096331141</v>
      </c>
      <c r="R82">
        <f>scenario_indirect_prod_4506_iotable_2020_xlsx_3[[#This Row],[2041]]+scenario_indirect_prod_1610_iotable_2020_xlsx_3[[#This Row],[2041]]</f>
        <v>13493.294096331141</v>
      </c>
      <c r="S82">
        <f>scenario_indirect_prod_4506_iotable_2020_xlsx_3[[#This Row],[2042]]+scenario_indirect_prod_1610_iotable_2020_xlsx_3[[#This Row],[2042]]</f>
        <v>14266.301340680224</v>
      </c>
      <c r="T82">
        <f>scenario_indirect_prod_4506_iotable_2020_xlsx_3[[#This Row],[2043]]+scenario_indirect_prod_1610_iotable_2020_xlsx_3[[#This Row],[2043]]</f>
        <v>14266.301340680224</v>
      </c>
      <c r="U82">
        <f>scenario_indirect_prod_4506_iotable_2020_xlsx_3[[#This Row],[2044]]+scenario_indirect_prod_1610_iotable_2020_xlsx_3[[#This Row],[2044]]</f>
        <v>14975.006362455566</v>
      </c>
      <c r="V82">
        <f>scenario_indirect_prod_4506_iotable_2020_xlsx_3[[#This Row],[2045]]+scenario_indirect_prod_1610_iotable_2020_xlsx_3[[#This Row],[2045]]</f>
        <v>14975.006362455566</v>
      </c>
      <c r="W82">
        <f>scenario_indirect_prod_4506_iotable_2020_xlsx_3[[#This Row],[2046]]+scenario_indirect_prod_1610_iotable_2020_xlsx_3[[#This Row],[2046]]</f>
        <v>15586.833530972566</v>
      </c>
      <c r="X82">
        <f>scenario_indirect_prod_4506_iotable_2020_xlsx_3[[#This Row],[2047]]+scenario_indirect_prod_1610_iotable_2020_xlsx_3[[#This Row],[2047]]</f>
        <v>15586.833530972566</v>
      </c>
      <c r="Y82">
        <f>scenario_indirect_prod_4506_iotable_2020_xlsx_3[[#This Row],[2048]]+scenario_indirect_prod_1610_iotable_2020_xlsx_3[[#This Row],[2048]]</f>
        <v>15586.833530972566</v>
      </c>
      <c r="Z82">
        <f>scenario_indirect_prod_4506_iotable_2020_xlsx_3[[#This Row],[2049]]+scenario_indirect_prod_1610_iotable_2020_xlsx_3[[#This Row],[2049]]</f>
        <v>15586.833530972566</v>
      </c>
      <c r="AA82">
        <f>scenario_indirect_prod_4506_iotable_2020_xlsx_3[[#This Row],[2050]]+scenario_indirect_prod_1610_iotable_2020_xlsx_3[[#This Row],[2050]]</f>
        <v>15586.833530972566</v>
      </c>
    </row>
    <row r="83" spans="1:27" x14ac:dyDescent="0.2">
      <c r="A83" t="s">
        <v>848</v>
      </c>
      <c r="B83" t="s">
        <v>849</v>
      </c>
      <c r="C83">
        <f>scenario_indirect_prod_4506_iotable_2020_xlsx_3[[#This Row],[2026]]+scenario_indirect_prod_1610_iotable_2020_xlsx_3[[#This Row],[2026]]</f>
        <v>669.06859377699243</v>
      </c>
      <c r="D83">
        <f>scenario_indirect_prod_4506_iotable_2020_xlsx_3[[#This Row],[2027]]+scenario_indirect_prod_1610_iotable_2020_xlsx_3[[#This Row],[2027]]</f>
        <v>614.64350152630834</v>
      </c>
      <c r="E83">
        <f>scenario_indirect_prod_4506_iotable_2020_xlsx_3[[#This Row],[2028]]+scenario_indirect_prod_1610_iotable_2020_xlsx_3[[#This Row],[2028]]</f>
        <v>650.71745897440144</v>
      </c>
      <c r="F83">
        <f>scenario_indirect_prod_4506_iotable_2020_xlsx_3[[#This Row],[2029]]+scenario_indirect_prod_1610_iotable_2020_xlsx_3[[#This Row],[2029]]</f>
        <v>654.62697672260038</v>
      </c>
      <c r="G83">
        <f>scenario_indirect_prod_4506_iotable_2020_xlsx_3[[#This Row],[2030]]+scenario_indirect_prod_1610_iotable_2020_xlsx_3[[#This Row],[2030]]</f>
        <v>437.17450020832155</v>
      </c>
      <c r="H83">
        <f>scenario_indirect_prod_4506_iotable_2020_xlsx_3[[#This Row],[2031]]+scenario_indirect_prod_1610_iotable_2020_xlsx_3[[#This Row],[2031]]</f>
        <v>485.84546989148669</v>
      </c>
      <c r="I83">
        <f>scenario_indirect_prod_4506_iotable_2020_xlsx_3[[#This Row],[2032]]+scenario_indirect_prod_1610_iotable_2020_xlsx_3[[#This Row],[2032]]</f>
        <v>553.81881032992453</v>
      </c>
      <c r="J83">
        <f>scenario_indirect_prod_4506_iotable_2020_xlsx_3[[#This Row],[2033]]+scenario_indirect_prod_1610_iotable_2020_xlsx_3[[#This Row],[2033]]</f>
        <v>556.02196617394839</v>
      </c>
      <c r="K83">
        <f>scenario_indirect_prod_4506_iotable_2020_xlsx_3[[#This Row],[2034]]+scenario_indirect_prod_1610_iotable_2020_xlsx_3[[#This Row],[2034]]</f>
        <v>619.27470345514416</v>
      </c>
      <c r="L83">
        <f>scenario_indirect_prod_4506_iotable_2020_xlsx_3[[#This Row],[2035]]+scenario_indirect_prod_1610_iotable_2020_xlsx_3[[#This Row],[2035]]</f>
        <v>644.96750354866049</v>
      </c>
      <c r="M83">
        <f>scenario_indirect_prod_4506_iotable_2020_xlsx_3[[#This Row],[2036]]+scenario_indirect_prod_1610_iotable_2020_xlsx_3[[#This Row],[2036]]</f>
        <v>614.98434051142681</v>
      </c>
      <c r="N83">
        <f>scenario_indirect_prod_4506_iotable_2020_xlsx_3[[#This Row],[2037]]+scenario_indirect_prod_1610_iotable_2020_xlsx_3[[#This Row],[2037]]</f>
        <v>591.32863371796384</v>
      </c>
      <c r="O83">
        <f>scenario_indirect_prod_4506_iotable_2020_xlsx_3[[#This Row],[2038]]+scenario_indirect_prod_1610_iotable_2020_xlsx_3[[#This Row],[2038]]</f>
        <v>591.32863371796384</v>
      </c>
      <c r="P83">
        <f>scenario_indirect_prod_4506_iotable_2020_xlsx_3[[#This Row],[2039]]+scenario_indirect_prod_1610_iotable_2020_xlsx_3[[#This Row],[2039]]</f>
        <v>591.32863371796384</v>
      </c>
      <c r="Q83">
        <f>scenario_indirect_prod_4506_iotable_2020_xlsx_3[[#This Row],[2040]]+scenario_indirect_prod_1610_iotable_2020_xlsx_3[[#This Row],[2040]]</f>
        <v>570.12329578265985</v>
      </c>
      <c r="R83">
        <f>scenario_indirect_prod_4506_iotable_2020_xlsx_3[[#This Row],[2041]]+scenario_indirect_prod_1610_iotable_2020_xlsx_3[[#This Row],[2041]]</f>
        <v>570.12329578265985</v>
      </c>
      <c r="S83">
        <f>scenario_indirect_prod_4506_iotable_2020_xlsx_3[[#This Row],[2042]]+scenario_indirect_prod_1610_iotable_2020_xlsx_3[[#This Row],[2042]]</f>
        <v>548.10017135688713</v>
      </c>
      <c r="T83">
        <f>scenario_indirect_prod_4506_iotable_2020_xlsx_3[[#This Row],[2043]]+scenario_indirect_prod_1610_iotable_2020_xlsx_3[[#This Row],[2043]]</f>
        <v>548.10017135688713</v>
      </c>
      <c r="U83">
        <f>scenario_indirect_prod_4506_iotable_2020_xlsx_3[[#This Row],[2044]]+scenario_indirect_prod_1610_iotable_2020_xlsx_3[[#This Row],[2044]]</f>
        <v>522.97226155057524</v>
      </c>
      <c r="V83">
        <f>scenario_indirect_prod_4506_iotable_2020_xlsx_3[[#This Row],[2045]]+scenario_indirect_prod_1610_iotable_2020_xlsx_3[[#This Row],[2045]]</f>
        <v>522.97226155057524</v>
      </c>
      <c r="W83">
        <f>scenario_indirect_prod_4506_iotable_2020_xlsx_3[[#This Row],[2046]]+scenario_indirect_prod_1610_iotable_2020_xlsx_3[[#This Row],[2046]]</f>
        <v>502.90412079432963</v>
      </c>
      <c r="X83">
        <f>scenario_indirect_prod_4506_iotable_2020_xlsx_3[[#This Row],[2047]]+scenario_indirect_prod_1610_iotable_2020_xlsx_3[[#This Row],[2047]]</f>
        <v>502.90412079432963</v>
      </c>
      <c r="Y83">
        <f>scenario_indirect_prod_4506_iotable_2020_xlsx_3[[#This Row],[2048]]+scenario_indirect_prod_1610_iotable_2020_xlsx_3[[#This Row],[2048]]</f>
        <v>502.90412079432963</v>
      </c>
      <c r="Z83">
        <f>scenario_indirect_prod_4506_iotable_2020_xlsx_3[[#This Row],[2049]]+scenario_indirect_prod_1610_iotable_2020_xlsx_3[[#This Row],[2049]]</f>
        <v>502.90412079432963</v>
      </c>
      <c r="AA83">
        <f>scenario_indirect_prod_4506_iotable_2020_xlsx_3[[#This Row],[2050]]+scenario_indirect_prod_1610_iotable_2020_xlsx_3[[#This Row],[2050]]</f>
        <v>502.90412079432963</v>
      </c>
    </row>
    <row r="84" spans="1:27" x14ac:dyDescent="0.2">
      <c r="A84" t="s">
        <v>824</v>
      </c>
      <c r="B84" t="s">
        <v>825</v>
      </c>
      <c r="C84">
        <f>scenario_indirect_prod_4506_iotable_2020_xlsx_3[[#This Row],[2026]]+scenario_indirect_prod_1610_iotable_2020_xlsx_3[[#This Row],[2026]]</f>
        <v>985.98537972810857</v>
      </c>
      <c r="D84">
        <f>scenario_indirect_prod_4506_iotable_2020_xlsx_3[[#This Row],[2027]]+scenario_indirect_prod_1610_iotable_2020_xlsx_3[[#This Row],[2027]]</f>
        <v>940.88809818230243</v>
      </c>
      <c r="E84">
        <f>scenario_indirect_prod_4506_iotable_2020_xlsx_3[[#This Row],[2028]]+scenario_indirect_prod_1610_iotable_2020_xlsx_3[[#This Row],[2028]]</f>
        <v>991.96251601027029</v>
      </c>
      <c r="F84">
        <f>scenario_indirect_prod_4506_iotable_2020_xlsx_3[[#This Row],[2029]]+scenario_indirect_prod_1610_iotable_2020_xlsx_3[[#This Row],[2029]]</f>
        <v>1010.2813651454334</v>
      </c>
      <c r="G84">
        <f>scenario_indirect_prod_4506_iotable_2020_xlsx_3[[#This Row],[2030]]+scenario_indirect_prod_1610_iotable_2020_xlsx_3[[#This Row],[2030]]</f>
        <v>810.76539730859338</v>
      </c>
      <c r="H84">
        <f>scenario_indirect_prod_4506_iotable_2020_xlsx_3[[#This Row],[2031]]+scenario_indirect_prod_1610_iotable_2020_xlsx_3[[#This Row],[2031]]</f>
        <v>879.67498243706791</v>
      </c>
      <c r="I84">
        <f>scenario_indirect_prod_4506_iotable_2020_xlsx_3[[#This Row],[2032]]+scenario_indirect_prod_1610_iotable_2020_xlsx_3[[#This Row],[2032]]</f>
        <v>975.91335039852379</v>
      </c>
      <c r="J84">
        <f>scenario_indirect_prod_4506_iotable_2020_xlsx_3[[#This Row],[2033]]+scenario_indirect_prod_1610_iotable_2020_xlsx_3[[#This Row],[2033]]</f>
        <v>1039.4807059007676</v>
      </c>
      <c r="K84">
        <f>scenario_indirect_prod_4506_iotable_2020_xlsx_3[[#This Row],[2034]]+scenario_indirect_prod_1610_iotable_2020_xlsx_3[[#This Row],[2034]]</f>
        <v>1129.035524977965</v>
      </c>
      <c r="L84">
        <f>scenario_indirect_prod_4506_iotable_2020_xlsx_3[[#This Row],[2035]]+scenario_indirect_prod_1610_iotable_2020_xlsx_3[[#This Row],[2035]]</f>
        <v>1241.9320847790043</v>
      </c>
      <c r="M84">
        <f>scenario_indirect_prod_4506_iotable_2020_xlsx_3[[#This Row],[2036]]+scenario_indirect_prod_1610_iotable_2020_xlsx_3[[#This Row],[2036]]</f>
        <v>1249.7074191048953</v>
      </c>
      <c r="N84">
        <f>scenario_indirect_prod_4506_iotable_2020_xlsx_3[[#This Row],[2037]]+scenario_indirect_prod_1610_iotable_2020_xlsx_3[[#This Row],[2037]]</f>
        <v>1260.1231539754324</v>
      </c>
      <c r="O84">
        <f>scenario_indirect_prod_4506_iotable_2020_xlsx_3[[#This Row],[2038]]+scenario_indirect_prod_1610_iotable_2020_xlsx_3[[#This Row],[2038]]</f>
        <v>1260.1231539754324</v>
      </c>
      <c r="P84">
        <f>scenario_indirect_prod_4506_iotable_2020_xlsx_3[[#This Row],[2039]]+scenario_indirect_prod_1610_iotable_2020_xlsx_3[[#This Row],[2039]]</f>
        <v>1260.1231539754324</v>
      </c>
      <c r="Q84">
        <f>scenario_indirect_prod_4506_iotable_2020_xlsx_3[[#This Row],[2040]]+scenario_indirect_prod_1610_iotable_2020_xlsx_3[[#This Row],[2040]]</f>
        <v>1268.6473082274297</v>
      </c>
      <c r="R84">
        <f>scenario_indirect_prod_4506_iotable_2020_xlsx_3[[#This Row],[2041]]+scenario_indirect_prod_1610_iotable_2020_xlsx_3[[#This Row],[2041]]</f>
        <v>1268.6473082274297</v>
      </c>
      <c r="S84">
        <f>scenario_indirect_prod_4506_iotable_2020_xlsx_3[[#This Row],[2042]]+scenario_indirect_prod_1610_iotable_2020_xlsx_3[[#This Row],[2042]]</f>
        <v>1280.0130041434313</v>
      </c>
      <c r="T84">
        <f>scenario_indirect_prod_4506_iotable_2020_xlsx_3[[#This Row],[2043]]+scenario_indirect_prod_1610_iotable_2020_xlsx_3[[#This Row],[2043]]</f>
        <v>1280.0130041434313</v>
      </c>
      <c r="U84">
        <f>scenario_indirect_prod_4506_iotable_2020_xlsx_3[[#This Row],[2044]]+scenario_indirect_prod_1610_iotable_2020_xlsx_3[[#This Row],[2044]]</f>
        <v>1284.8980882745841</v>
      </c>
      <c r="V84">
        <f>scenario_indirect_prod_4506_iotable_2020_xlsx_3[[#This Row],[2045]]+scenario_indirect_prod_1610_iotable_2020_xlsx_3[[#This Row],[2045]]</f>
        <v>1284.8980882745841</v>
      </c>
      <c r="W84">
        <f>scenario_indirect_prod_4506_iotable_2020_xlsx_3[[#This Row],[2046]]+scenario_indirect_prod_1610_iotable_2020_xlsx_3[[#This Row],[2046]]</f>
        <v>1290.9372070206318</v>
      </c>
      <c r="X84">
        <f>scenario_indirect_prod_4506_iotable_2020_xlsx_3[[#This Row],[2047]]+scenario_indirect_prod_1610_iotable_2020_xlsx_3[[#This Row],[2047]]</f>
        <v>1290.9372070206318</v>
      </c>
      <c r="Y84">
        <f>scenario_indirect_prod_4506_iotable_2020_xlsx_3[[#This Row],[2048]]+scenario_indirect_prod_1610_iotable_2020_xlsx_3[[#This Row],[2048]]</f>
        <v>1290.9372070206318</v>
      </c>
      <c r="Z84">
        <f>scenario_indirect_prod_4506_iotable_2020_xlsx_3[[#This Row],[2049]]+scenario_indirect_prod_1610_iotable_2020_xlsx_3[[#This Row],[2049]]</f>
        <v>1290.9372070206318</v>
      </c>
      <c r="AA84">
        <f>scenario_indirect_prod_4506_iotable_2020_xlsx_3[[#This Row],[2050]]+scenario_indirect_prod_1610_iotable_2020_xlsx_3[[#This Row],[2050]]</f>
        <v>1290.9372070206318</v>
      </c>
    </row>
    <row r="85" spans="1:27" x14ac:dyDescent="0.2">
      <c r="A85" t="s">
        <v>621</v>
      </c>
      <c r="B85" t="s">
        <v>622</v>
      </c>
      <c r="C85">
        <f>scenario_indirect_prod_4506_iotable_2020_xlsx_3[[#This Row],[2026]]+scenario_indirect_prod_1610_iotable_2020_xlsx_3[[#This Row],[2026]]</f>
        <v>5106.9395282373516</v>
      </c>
      <c r="D85">
        <f>scenario_indirect_prod_4506_iotable_2020_xlsx_3[[#This Row],[2027]]+scenario_indirect_prod_1610_iotable_2020_xlsx_3[[#This Row],[2027]]</f>
        <v>4739.9322871564764</v>
      </c>
      <c r="E85">
        <f>scenario_indirect_prod_4506_iotable_2020_xlsx_3[[#This Row],[2028]]+scenario_indirect_prod_1610_iotable_2020_xlsx_3[[#This Row],[2028]]</f>
        <v>5012.4039403429988</v>
      </c>
      <c r="F85">
        <f>scenario_indirect_prod_4506_iotable_2020_xlsx_3[[#This Row],[2029]]+scenario_indirect_prod_1610_iotable_2020_xlsx_3[[#This Row],[2029]]</f>
        <v>5059.562318676929</v>
      </c>
      <c r="G85">
        <f>scenario_indirect_prod_4506_iotable_2020_xlsx_3[[#This Row],[2030]]+scenario_indirect_prod_1610_iotable_2020_xlsx_3[[#This Row],[2030]]</f>
        <v>3566.544928042741</v>
      </c>
      <c r="H85">
        <f>scenario_indirect_prod_4506_iotable_2020_xlsx_3[[#This Row],[2031]]+scenario_indirect_prod_1610_iotable_2020_xlsx_3[[#This Row],[2031]]</f>
        <v>3934.1635790001546</v>
      </c>
      <c r="I85">
        <f>scenario_indirect_prod_4506_iotable_2020_xlsx_3[[#This Row],[2032]]+scenario_indirect_prod_1610_iotable_2020_xlsx_3[[#This Row],[2032]]</f>
        <v>4447.5757397956822</v>
      </c>
      <c r="J85">
        <f>scenario_indirect_prod_4506_iotable_2020_xlsx_3[[#This Row],[2033]]+scenario_indirect_prod_1610_iotable_2020_xlsx_3[[#This Row],[2033]]</f>
        <v>4547.5771295877012</v>
      </c>
      <c r="K85">
        <f>scenario_indirect_prod_4506_iotable_2020_xlsx_3[[#This Row],[2034]]+scenario_indirect_prod_1610_iotable_2020_xlsx_3[[#This Row],[2034]]</f>
        <v>5025.3339135607139</v>
      </c>
      <c r="L85">
        <f>scenario_indirect_prod_4506_iotable_2020_xlsx_3[[#This Row],[2035]]+scenario_indirect_prod_1610_iotable_2020_xlsx_3[[#This Row],[2035]]</f>
        <v>5324.9198609400191</v>
      </c>
      <c r="M85">
        <f>scenario_indirect_prod_4506_iotable_2020_xlsx_3[[#This Row],[2036]]+scenario_indirect_prod_1610_iotable_2020_xlsx_3[[#This Row],[2036]]</f>
        <v>5167.7171207112478</v>
      </c>
      <c r="N85">
        <f>scenario_indirect_prod_4506_iotable_2020_xlsx_3[[#This Row],[2037]]+scenario_indirect_prod_1610_iotable_2020_xlsx_3[[#This Row],[2037]]</f>
        <v>5049.5934974884203</v>
      </c>
      <c r="O85">
        <f>scenario_indirect_prod_4506_iotable_2020_xlsx_3[[#This Row],[2038]]+scenario_indirect_prod_1610_iotable_2020_xlsx_3[[#This Row],[2038]]</f>
        <v>5049.5934974884203</v>
      </c>
      <c r="P85">
        <f>scenario_indirect_prod_4506_iotable_2020_xlsx_3[[#This Row],[2039]]+scenario_indirect_prod_1610_iotable_2020_xlsx_3[[#This Row],[2039]]</f>
        <v>5049.5934974884203</v>
      </c>
      <c r="Q85">
        <f>scenario_indirect_prod_4506_iotable_2020_xlsx_3[[#This Row],[2040]]+scenario_indirect_prod_1610_iotable_2020_xlsx_3[[#This Row],[2040]]</f>
        <v>4942.5849631707533</v>
      </c>
      <c r="R85">
        <f>scenario_indirect_prod_4506_iotable_2020_xlsx_3[[#This Row],[2041]]+scenario_indirect_prod_1610_iotable_2020_xlsx_3[[#This Row],[2041]]</f>
        <v>4942.5849631707533</v>
      </c>
      <c r="S85">
        <f>scenario_indirect_prod_4506_iotable_2020_xlsx_3[[#This Row],[2042]]+scenario_indirect_prod_1610_iotable_2020_xlsx_3[[#This Row],[2042]]</f>
        <v>4834.9149062162342</v>
      </c>
      <c r="T85">
        <f>scenario_indirect_prod_4506_iotable_2020_xlsx_3[[#This Row],[2043]]+scenario_indirect_prod_1610_iotable_2020_xlsx_3[[#This Row],[2043]]</f>
        <v>4834.9149062162342</v>
      </c>
      <c r="U85">
        <f>scenario_indirect_prod_4506_iotable_2020_xlsx_3[[#This Row],[2044]]+scenario_indirect_prod_1610_iotable_2020_xlsx_3[[#This Row],[2044]]</f>
        <v>4700.9189660024658</v>
      </c>
      <c r="V85">
        <f>scenario_indirect_prod_4506_iotable_2020_xlsx_3[[#This Row],[2045]]+scenario_indirect_prod_1610_iotable_2020_xlsx_3[[#This Row],[2045]]</f>
        <v>4700.9189660024658</v>
      </c>
      <c r="W85">
        <f>scenario_indirect_prod_4506_iotable_2020_xlsx_3[[#This Row],[2046]]+scenario_indirect_prod_1610_iotable_2020_xlsx_3[[#This Row],[2046]]</f>
        <v>4596.8525008639481</v>
      </c>
      <c r="X85">
        <f>scenario_indirect_prod_4506_iotable_2020_xlsx_3[[#This Row],[2047]]+scenario_indirect_prod_1610_iotable_2020_xlsx_3[[#This Row],[2047]]</f>
        <v>4596.8525008639481</v>
      </c>
      <c r="Y85">
        <f>scenario_indirect_prod_4506_iotable_2020_xlsx_3[[#This Row],[2048]]+scenario_indirect_prod_1610_iotable_2020_xlsx_3[[#This Row],[2048]]</f>
        <v>4596.8525008639481</v>
      </c>
      <c r="Z85">
        <f>scenario_indirect_prod_4506_iotable_2020_xlsx_3[[#This Row],[2049]]+scenario_indirect_prod_1610_iotable_2020_xlsx_3[[#This Row],[2049]]</f>
        <v>4596.8525008639481</v>
      </c>
      <c r="AA85">
        <f>scenario_indirect_prod_4506_iotable_2020_xlsx_3[[#This Row],[2050]]+scenario_indirect_prod_1610_iotable_2020_xlsx_3[[#This Row],[2050]]</f>
        <v>4596.8525008639481</v>
      </c>
    </row>
    <row r="86" spans="1:27" x14ac:dyDescent="0.2">
      <c r="A86" t="s">
        <v>340</v>
      </c>
      <c r="B86" t="s">
        <v>341</v>
      </c>
      <c r="C86">
        <f>scenario_indirect_prod_4506_iotable_2020_xlsx_3[[#This Row],[2026]]+scenario_indirect_prod_1610_iotable_2020_xlsx_3[[#This Row],[2026]]</f>
        <v>274459.24609276035</v>
      </c>
      <c r="D86">
        <f>scenario_indirect_prod_4506_iotable_2020_xlsx_3[[#This Row],[2027]]+scenario_indirect_prod_1610_iotable_2020_xlsx_3[[#This Row],[2027]]</f>
        <v>299372.80670512281</v>
      </c>
      <c r="E86">
        <f>scenario_indirect_prod_4506_iotable_2020_xlsx_3[[#This Row],[2028]]+scenario_indirect_prod_1610_iotable_2020_xlsx_3[[#This Row],[2028]]</f>
        <v>311363.01462579874</v>
      </c>
      <c r="F86">
        <f>scenario_indirect_prod_4506_iotable_2020_xlsx_3[[#This Row],[2029]]+scenario_indirect_prod_1610_iotable_2020_xlsx_3[[#This Row],[2029]]</f>
        <v>329863.77250472916</v>
      </c>
      <c r="G86">
        <f>scenario_indirect_prod_4506_iotable_2020_xlsx_3[[#This Row],[2030]]+scenario_indirect_prod_1610_iotable_2020_xlsx_3[[#This Row],[2030]]</f>
        <v>403391.62390436203</v>
      </c>
      <c r="H86">
        <f>scenario_indirect_prod_4506_iotable_2020_xlsx_3[[#This Row],[2031]]+scenario_indirect_prod_1610_iotable_2020_xlsx_3[[#This Row],[2031]]</f>
        <v>419568.80787542422</v>
      </c>
      <c r="I86">
        <f>scenario_indirect_prod_4506_iotable_2020_xlsx_3[[#This Row],[2032]]+scenario_indirect_prod_1610_iotable_2020_xlsx_3[[#This Row],[2032]]</f>
        <v>442161.68491400487</v>
      </c>
      <c r="J86">
        <f>scenario_indirect_prod_4506_iotable_2020_xlsx_3[[#This Row],[2033]]+scenario_indirect_prod_1610_iotable_2020_xlsx_3[[#This Row],[2033]]</f>
        <v>524231.1497520894</v>
      </c>
      <c r="K86">
        <f>scenario_indirect_prod_4506_iotable_2020_xlsx_3[[#This Row],[2034]]+scenario_indirect_prod_1610_iotable_2020_xlsx_3[[#This Row],[2034]]</f>
        <v>545254.9997869716</v>
      </c>
      <c r="L86">
        <f>scenario_indirect_prod_4506_iotable_2020_xlsx_3[[#This Row],[2035]]+scenario_indirect_prod_1610_iotable_2020_xlsx_3[[#This Row],[2035]]</f>
        <v>656757.90253090975</v>
      </c>
      <c r="M86">
        <f>scenario_indirect_prod_4506_iotable_2020_xlsx_3[[#This Row],[2036]]+scenario_indirect_prod_1610_iotable_2020_xlsx_3[[#This Row],[2036]]</f>
        <v>714375.14060965425</v>
      </c>
      <c r="N86">
        <f>scenario_indirect_prod_4506_iotable_2020_xlsx_3[[#This Row],[2037]]+scenario_indirect_prod_1610_iotable_2020_xlsx_3[[#This Row],[2037]]</f>
        <v>765593.93976678117</v>
      </c>
      <c r="O86">
        <f>scenario_indirect_prod_4506_iotable_2020_xlsx_3[[#This Row],[2038]]+scenario_indirect_prod_1610_iotable_2020_xlsx_3[[#This Row],[2038]]</f>
        <v>765593.93976678117</v>
      </c>
      <c r="P86">
        <f>scenario_indirect_prod_4506_iotable_2020_xlsx_3[[#This Row],[2039]]+scenario_indirect_prod_1610_iotable_2020_xlsx_3[[#This Row],[2039]]</f>
        <v>765593.93976678117</v>
      </c>
      <c r="Q86">
        <f>scenario_indirect_prod_4506_iotable_2020_xlsx_3[[#This Row],[2040]]+scenario_indirect_prod_1610_iotable_2020_xlsx_3[[#This Row],[2040]]</f>
        <v>810413.75053986581</v>
      </c>
      <c r="R86">
        <f>scenario_indirect_prod_4506_iotable_2020_xlsx_3[[#This Row],[2041]]+scenario_indirect_prod_1610_iotable_2020_xlsx_3[[#This Row],[2041]]</f>
        <v>810413.75053986581</v>
      </c>
      <c r="S86">
        <f>scenario_indirect_prod_4506_iotable_2020_xlsx_3[[#This Row],[2042]]+scenario_indirect_prod_1610_iotable_2020_xlsx_3[[#This Row],[2042]]</f>
        <v>860343.20300559059</v>
      </c>
      <c r="T86">
        <f>scenario_indirect_prod_4506_iotable_2020_xlsx_3[[#This Row],[2043]]+scenario_indirect_prod_1610_iotable_2020_xlsx_3[[#This Row],[2043]]</f>
        <v>860343.20300559059</v>
      </c>
      <c r="U86">
        <f>scenario_indirect_prod_4506_iotable_2020_xlsx_3[[#This Row],[2044]]+scenario_indirect_prod_1610_iotable_2020_xlsx_3[[#This Row],[2044]]</f>
        <v>906435.47381225531</v>
      </c>
      <c r="V86">
        <f>scenario_indirect_prod_4506_iotable_2020_xlsx_3[[#This Row],[2045]]+scenario_indirect_prod_1610_iotable_2020_xlsx_3[[#This Row],[2045]]</f>
        <v>906435.47381225531</v>
      </c>
      <c r="W86">
        <f>scenario_indirect_prod_4506_iotable_2020_xlsx_3[[#This Row],[2046]]+scenario_indirect_prod_1610_iotable_2020_xlsx_3[[#This Row],[2046]]</f>
        <v>946123.00529944419</v>
      </c>
      <c r="X86">
        <f>scenario_indirect_prod_4506_iotable_2020_xlsx_3[[#This Row],[2047]]+scenario_indirect_prod_1610_iotable_2020_xlsx_3[[#This Row],[2047]]</f>
        <v>946123.00529944419</v>
      </c>
      <c r="Y86">
        <f>scenario_indirect_prod_4506_iotable_2020_xlsx_3[[#This Row],[2048]]+scenario_indirect_prod_1610_iotable_2020_xlsx_3[[#This Row],[2048]]</f>
        <v>946123.00529944419</v>
      </c>
      <c r="Z86">
        <f>scenario_indirect_prod_4506_iotable_2020_xlsx_3[[#This Row],[2049]]+scenario_indirect_prod_1610_iotable_2020_xlsx_3[[#This Row],[2049]]</f>
        <v>946123.00529944419</v>
      </c>
      <c r="AA86">
        <f>scenario_indirect_prod_4506_iotable_2020_xlsx_3[[#This Row],[2050]]+scenario_indirect_prod_1610_iotable_2020_xlsx_3[[#This Row],[2050]]</f>
        <v>946123.00529944419</v>
      </c>
    </row>
    <row r="87" spans="1:27" x14ac:dyDescent="0.2">
      <c r="A87" t="s">
        <v>689</v>
      </c>
      <c r="B87" t="s">
        <v>305</v>
      </c>
      <c r="C87">
        <f>scenario_indirect_prod_4506_iotable_2020_xlsx_3[[#This Row],[2026]]+scenario_indirect_prod_1610_iotable_2020_xlsx_3[[#This Row],[2026]]</f>
        <v>-3571.567758333319</v>
      </c>
      <c r="D87">
        <f>scenario_indirect_prod_4506_iotable_2020_xlsx_3[[#This Row],[2027]]+scenario_indirect_prod_1610_iotable_2020_xlsx_3[[#This Row],[2027]]</f>
        <v>-3953.0113567563026</v>
      </c>
      <c r="E87">
        <f>scenario_indirect_prod_4506_iotable_2020_xlsx_3[[#This Row],[2028]]+scenario_indirect_prod_1610_iotable_2020_xlsx_3[[#This Row],[2028]]</f>
        <v>-4105.6390557158538</v>
      </c>
      <c r="F87">
        <f>scenario_indirect_prod_4506_iotable_2020_xlsx_3[[#This Row],[2029]]+scenario_indirect_prod_1610_iotable_2020_xlsx_3[[#This Row],[2029]]</f>
        <v>-4366.8658506447919</v>
      </c>
      <c r="G87">
        <f>scenario_indirect_prod_4506_iotable_2020_xlsx_3[[#This Row],[2030]]+scenario_indirect_prod_1610_iotable_2020_xlsx_3[[#This Row],[2030]]</f>
        <v>-5520.8736628679435</v>
      </c>
      <c r="H87">
        <f>scenario_indirect_prod_4506_iotable_2020_xlsx_3[[#This Row],[2031]]+scenario_indirect_prod_1610_iotable_2020_xlsx_3[[#This Row],[2031]]</f>
        <v>-5726.7988963153875</v>
      </c>
      <c r="I87">
        <f>scenario_indirect_prod_4506_iotable_2020_xlsx_3[[#This Row],[2032]]+scenario_indirect_prod_1610_iotable_2020_xlsx_3[[#This Row],[2032]]</f>
        <v>-6014.391810307181</v>
      </c>
      <c r="J87">
        <f>scenario_indirect_prod_4506_iotable_2020_xlsx_3[[#This Row],[2033]]+scenario_indirect_prod_1610_iotable_2020_xlsx_3[[#This Row],[2033]]</f>
        <v>-7180.7205585405218</v>
      </c>
      <c r="K87">
        <f>scenario_indirect_prod_4506_iotable_2020_xlsx_3[[#This Row],[2034]]+scenario_indirect_prod_1610_iotable_2020_xlsx_3[[#This Row],[2034]]</f>
        <v>-7448.3407595681847</v>
      </c>
      <c r="L87">
        <f>scenario_indirect_prod_4506_iotable_2020_xlsx_3[[#This Row],[2035]]+scenario_indirect_prod_1610_iotable_2020_xlsx_3[[#This Row],[2035]]</f>
        <v>-9021.6792750859149</v>
      </c>
      <c r="M87">
        <f>scenario_indirect_prod_4506_iotable_2020_xlsx_3[[#This Row],[2036]]+scenario_indirect_prod_1610_iotable_2020_xlsx_3[[#This Row],[2036]]</f>
        <v>-9856.1778864251828</v>
      </c>
      <c r="N87">
        <f>scenario_indirect_prod_4506_iotable_2020_xlsx_3[[#This Row],[2037]]+scenario_indirect_prod_1610_iotable_2020_xlsx_3[[#This Row],[2037]]</f>
        <v>-10596.514692701026</v>
      </c>
      <c r="O87">
        <f>scenario_indirect_prod_4506_iotable_2020_xlsx_3[[#This Row],[2038]]+scenario_indirect_prod_1610_iotable_2020_xlsx_3[[#This Row],[2038]]</f>
        <v>-10596.514692701026</v>
      </c>
      <c r="P87">
        <f>scenario_indirect_prod_4506_iotable_2020_xlsx_3[[#This Row],[2039]]+scenario_indirect_prod_1610_iotable_2020_xlsx_3[[#This Row],[2039]]</f>
        <v>-10596.514692701026</v>
      </c>
      <c r="Q87">
        <f>scenario_indirect_prod_4506_iotable_2020_xlsx_3[[#This Row],[2040]]+scenario_indirect_prod_1610_iotable_2020_xlsx_3[[#This Row],[2040]]</f>
        <v>-11244.609022951783</v>
      </c>
      <c r="R87">
        <f>scenario_indirect_prod_4506_iotable_2020_xlsx_3[[#This Row],[2041]]+scenario_indirect_prod_1610_iotable_2020_xlsx_3[[#This Row],[2041]]</f>
        <v>-11244.609022951783</v>
      </c>
      <c r="S87">
        <f>scenario_indirect_prod_4506_iotable_2020_xlsx_3[[#This Row],[2042]]+scenario_indirect_prod_1610_iotable_2020_xlsx_3[[#This Row],[2042]]</f>
        <v>-11965.793605632771</v>
      </c>
      <c r="T87">
        <f>scenario_indirect_prod_4506_iotable_2020_xlsx_3[[#This Row],[2043]]+scenario_indirect_prod_1610_iotable_2020_xlsx_3[[#This Row],[2043]]</f>
        <v>-11965.793605632771</v>
      </c>
      <c r="U87">
        <f>scenario_indirect_prod_4506_iotable_2020_xlsx_3[[#This Row],[2044]]+scenario_indirect_prod_1610_iotable_2020_xlsx_3[[#This Row],[2044]]</f>
        <v>-12633.93821188734</v>
      </c>
      <c r="V87">
        <f>scenario_indirect_prod_4506_iotable_2020_xlsx_3[[#This Row],[2045]]+scenario_indirect_prod_1610_iotable_2020_xlsx_3[[#This Row],[2045]]</f>
        <v>-12633.93821188734</v>
      </c>
      <c r="W87">
        <f>scenario_indirect_prod_4506_iotable_2020_xlsx_3[[#This Row],[2046]]+scenario_indirect_prod_1610_iotable_2020_xlsx_3[[#This Row],[2046]]</f>
        <v>-13208.461507609019</v>
      </c>
      <c r="X87">
        <f>scenario_indirect_prod_4506_iotable_2020_xlsx_3[[#This Row],[2047]]+scenario_indirect_prod_1610_iotable_2020_xlsx_3[[#This Row],[2047]]</f>
        <v>-13208.461507609019</v>
      </c>
      <c r="Y87">
        <f>scenario_indirect_prod_4506_iotable_2020_xlsx_3[[#This Row],[2048]]+scenario_indirect_prod_1610_iotable_2020_xlsx_3[[#This Row],[2048]]</f>
        <v>-13208.461507609019</v>
      </c>
      <c r="Z87">
        <f>scenario_indirect_prod_4506_iotable_2020_xlsx_3[[#This Row],[2049]]+scenario_indirect_prod_1610_iotable_2020_xlsx_3[[#This Row],[2049]]</f>
        <v>-13208.461507609019</v>
      </c>
      <c r="AA87">
        <f>scenario_indirect_prod_4506_iotable_2020_xlsx_3[[#This Row],[2050]]+scenario_indirect_prod_1610_iotable_2020_xlsx_3[[#This Row],[2050]]</f>
        <v>-13208.461507609019</v>
      </c>
    </row>
    <row r="88" spans="1:27" x14ac:dyDescent="0.2">
      <c r="A88" t="s">
        <v>632</v>
      </c>
      <c r="B88" t="s">
        <v>633</v>
      </c>
      <c r="C88">
        <f>scenario_indirect_prod_4506_iotable_2020_xlsx_3[[#This Row],[2026]]+scenario_indirect_prod_1610_iotable_2020_xlsx_3[[#This Row],[2026]]</f>
        <v>5021.6075300116072</v>
      </c>
      <c r="D88">
        <f>scenario_indirect_prod_4506_iotable_2020_xlsx_3[[#This Row],[2027]]+scenario_indirect_prod_1610_iotable_2020_xlsx_3[[#This Row],[2027]]</f>
        <v>4941.9803231187552</v>
      </c>
      <c r="E88">
        <f>scenario_indirect_prod_4506_iotable_2020_xlsx_3[[#This Row],[2028]]+scenario_indirect_prod_1610_iotable_2020_xlsx_3[[#This Row],[2028]]</f>
        <v>5193.1829609222441</v>
      </c>
      <c r="F88">
        <f>scenario_indirect_prod_4506_iotable_2020_xlsx_3[[#This Row],[2029]]+scenario_indirect_prod_1610_iotable_2020_xlsx_3[[#This Row],[2029]]</f>
        <v>5340.1528330429383</v>
      </c>
      <c r="G88">
        <f>scenario_indirect_prod_4506_iotable_2020_xlsx_3[[#This Row],[2030]]+scenario_indirect_prod_1610_iotable_2020_xlsx_3[[#This Row],[2030]]</f>
        <v>4840.9195997361367</v>
      </c>
      <c r="H88">
        <f>scenario_indirect_prod_4506_iotable_2020_xlsx_3[[#This Row],[2031]]+scenario_indirect_prod_1610_iotable_2020_xlsx_3[[#This Row],[2031]]</f>
        <v>5179.8421032196311</v>
      </c>
      <c r="I88">
        <f>scenario_indirect_prod_4506_iotable_2020_xlsx_3[[#This Row],[2032]]+scenario_indirect_prod_1610_iotable_2020_xlsx_3[[#This Row],[2032]]</f>
        <v>5653.1775403703668</v>
      </c>
      <c r="J88">
        <f>scenario_indirect_prod_4506_iotable_2020_xlsx_3[[#This Row],[2033]]+scenario_indirect_prod_1610_iotable_2020_xlsx_3[[#This Row],[2033]]</f>
        <v>6234.7424010803488</v>
      </c>
      <c r="K88">
        <f>scenario_indirect_prod_4506_iotable_2020_xlsx_3[[#This Row],[2034]]+scenario_indirect_prod_1610_iotable_2020_xlsx_3[[#This Row],[2034]]</f>
        <v>6675.2057041762355</v>
      </c>
      <c r="L88">
        <f>scenario_indirect_prod_4506_iotable_2020_xlsx_3[[#This Row],[2035]]+scenario_indirect_prod_1610_iotable_2020_xlsx_3[[#This Row],[2035]]</f>
        <v>7570.8895432403742</v>
      </c>
      <c r="M88">
        <f>scenario_indirect_prod_4506_iotable_2020_xlsx_3[[#This Row],[2036]]+scenario_indirect_prod_1610_iotable_2020_xlsx_3[[#This Row],[2036]]</f>
        <v>7832.5747119871812</v>
      </c>
      <c r="N88">
        <f>scenario_indirect_prod_4506_iotable_2020_xlsx_3[[#This Row],[2037]]+scenario_indirect_prod_1610_iotable_2020_xlsx_3[[#This Row],[2037]]</f>
        <v>8079.1384707354118</v>
      </c>
      <c r="O88">
        <f>scenario_indirect_prod_4506_iotable_2020_xlsx_3[[#This Row],[2038]]+scenario_indirect_prod_1610_iotable_2020_xlsx_3[[#This Row],[2038]]</f>
        <v>8079.1384707354118</v>
      </c>
      <c r="P88">
        <f>scenario_indirect_prod_4506_iotable_2020_xlsx_3[[#This Row],[2039]]+scenario_indirect_prod_1610_iotable_2020_xlsx_3[[#This Row],[2039]]</f>
        <v>8079.1384707354118</v>
      </c>
      <c r="Q88">
        <f>scenario_indirect_prod_4506_iotable_2020_xlsx_3[[#This Row],[2040]]+scenario_indirect_prod_1610_iotable_2020_xlsx_3[[#This Row],[2040]]</f>
        <v>8292.5496401785786</v>
      </c>
      <c r="R88">
        <f>scenario_indirect_prod_4506_iotable_2020_xlsx_3[[#This Row],[2041]]+scenario_indirect_prod_1610_iotable_2020_xlsx_3[[#This Row],[2041]]</f>
        <v>8292.5496401785786</v>
      </c>
      <c r="S88">
        <f>scenario_indirect_prod_4506_iotable_2020_xlsx_3[[#This Row],[2042]]+scenario_indirect_prod_1610_iotable_2020_xlsx_3[[#This Row],[2042]]</f>
        <v>8537.7287464798628</v>
      </c>
      <c r="T88">
        <f>scenario_indirect_prod_4506_iotable_2020_xlsx_3[[#This Row],[2043]]+scenario_indirect_prod_1610_iotable_2020_xlsx_3[[#This Row],[2043]]</f>
        <v>8537.7287464798628</v>
      </c>
      <c r="U88">
        <f>scenario_indirect_prod_4506_iotable_2020_xlsx_3[[#This Row],[2044]]+scenario_indirect_prod_1610_iotable_2020_xlsx_3[[#This Row],[2044]]</f>
        <v>8741.7592128382621</v>
      </c>
      <c r="V88">
        <f>scenario_indirect_prod_4506_iotable_2020_xlsx_3[[#This Row],[2045]]+scenario_indirect_prod_1610_iotable_2020_xlsx_3[[#This Row],[2045]]</f>
        <v>8741.7592128382621</v>
      </c>
      <c r="W88">
        <f>scenario_indirect_prod_4506_iotable_2020_xlsx_3[[#This Row],[2046]]+scenario_indirect_prod_1610_iotable_2020_xlsx_3[[#This Row],[2046]]</f>
        <v>8924.7300243165719</v>
      </c>
      <c r="X88">
        <f>scenario_indirect_prod_4506_iotable_2020_xlsx_3[[#This Row],[2047]]+scenario_indirect_prod_1610_iotable_2020_xlsx_3[[#This Row],[2047]]</f>
        <v>8924.7300243165719</v>
      </c>
      <c r="Y88">
        <f>scenario_indirect_prod_4506_iotable_2020_xlsx_3[[#This Row],[2048]]+scenario_indirect_prod_1610_iotable_2020_xlsx_3[[#This Row],[2048]]</f>
        <v>8924.7300243165719</v>
      </c>
      <c r="Z88">
        <f>scenario_indirect_prod_4506_iotable_2020_xlsx_3[[#This Row],[2049]]+scenario_indirect_prod_1610_iotable_2020_xlsx_3[[#This Row],[2049]]</f>
        <v>8924.7300243165719</v>
      </c>
      <c r="AA88">
        <f>scenario_indirect_prod_4506_iotable_2020_xlsx_3[[#This Row],[2050]]+scenario_indirect_prod_1610_iotable_2020_xlsx_3[[#This Row],[2050]]</f>
        <v>8924.7300243165719</v>
      </c>
    </row>
    <row r="89" spans="1:27" x14ac:dyDescent="0.2">
      <c r="A89" t="s">
        <v>501</v>
      </c>
      <c r="B89" t="s">
        <v>502</v>
      </c>
      <c r="C89">
        <f>scenario_indirect_prod_4506_iotable_2020_xlsx_3[[#This Row],[2026]]+scenario_indirect_prod_1610_iotable_2020_xlsx_3[[#This Row],[2026]]</f>
        <v>16727.271508576119</v>
      </c>
      <c r="D89">
        <f>scenario_indirect_prod_4506_iotable_2020_xlsx_3[[#This Row],[2027]]+scenario_indirect_prod_1610_iotable_2020_xlsx_3[[#This Row],[2027]]</f>
        <v>17295.006811655865</v>
      </c>
      <c r="E89">
        <f>scenario_indirect_prod_4506_iotable_2020_xlsx_3[[#This Row],[2028]]+scenario_indirect_prod_1610_iotable_2020_xlsx_3[[#This Row],[2028]]</f>
        <v>18082.268632392774</v>
      </c>
      <c r="F89">
        <f>scenario_indirect_prod_4506_iotable_2020_xlsx_3[[#This Row],[2029]]+scenario_indirect_prod_1610_iotable_2020_xlsx_3[[#This Row],[2029]]</f>
        <v>18869.781874256176</v>
      </c>
      <c r="G89">
        <f>scenario_indirect_prod_4506_iotable_2020_xlsx_3[[#This Row],[2030]]+scenario_indirect_prod_1610_iotable_2020_xlsx_3[[#This Row],[2030]]</f>
        <v>20076.235708579203</v>
      </c>
      <c r="H89">
        <f>scenario_indirect_prod_4506_iotable_2020_xlsx_3[[#This Row],[2031]]+scenario_indirect_prod_1610_iotable_2020_xlsx_3[[#This Row],[2031]]</f>
        <v>21138.409058008194</v>
      </c>
      <c r="I89">
        <f>scenario_indirect_prod_4506_iotable_2020_xlsx_3[[#This Row],[2032]]+scenario_indirect_prod_1610_iotable_2020_xlsx_3[[#This Row],[2032]]</f>
        <v>22621.828664302688</v>
      </c>
      <c r="J89">
        <f>scenario_indirect_prod_4506_iotable_2020_xlsx_3[[#This Row],[2033]]+scenario_indirect_prod_1610_iotable_2020_xlsx_3[[#This Row],[2033]]</f>
        <v>25990.262801231082</v>
      </c>
      <c r="K89">
        <f>scenario_indirect_prod_4506_iotable_2020_xlsx_3[[#This Row],[2034]]+scenario_indirect_prod_1610_iotable_2020_xlsx_3[[#This Row],[2034]]</f>
        <v>27370.66208762044</v>
      </c>
      <c r="L89">
        <f>scenario_indirect_prod_4506_iotable_2020_xlsx_3[[#This Row],[2035]]+scenario_indirect_prod_1610_iotable_2020_xlsx_3[[#This Row],[2035]]</f>
        <v>32134.541471516852</v>
      </c>
      <c r="M89">
        <f>scenario_indirect_prod_4506_iotable_2020_xlsx_3[[#This Row],[2036]]+scenario_indirect_prod_1610_iotable_2020_xlsx_3[[#This Row],[2036]]</f>
        <v>34239.081291802679</v>
      </c>
      <c r="N89">
        <f>scenario_indirect_prod_4506_iotable_2020_xlsx_3[[#This Row],[2037]]+scenario_indirect_prod_1610_iotable_2020_xlsx_3[[#This Row],[2037]]</f>
        <v>36134.657695842892</v>
      </c>
      <c r="O89">
        <f>scenario_indirect_prod_4506_iotable_2020_xlsx_3[[#This Row],[2038]]+scenario_indirect_prod_1610_iotable_2020_xlsx_3[[#This Row],[2038]]</f>
        <v>36134.657695842892</v>
      </c>
      <c r="P89">
        <f>scenario_indirect_prod_4506_iotable_2020_xlsx_3[[#This Row],[2039]]+scenario_indirect_prod_1610_iotable_2020_xlsx_3[[#This Row],[2039]]</f>
        <v>36134.657695842892</v>
      </c>
      <c r="Q89">
        <f>scenario_indirect_prod_4506_iotable_2020_xlsx_3[[#This Row],[2040]]+scenario_indirect_prod_1610_iotable_2020_xlsx_3[[#This Row],[2040]]</f>
        <v>37789.242251357238</v>
      </c>
      <c r="R89">
        <f>scenario_indirect_prod_4506_iotable_2020_xlsx_3[[#This Row],[2041]]+scenario_indirect_prod_1610_iotable_2020_xlsx_3[[#This Row],[2041]]</f>
        <v>37789.242251357238</v>
      </c>
      <c r="S89">
        <f>scenario_indirect_prod_4506_iotable_2020_xlsx_3[[#This Row],[2042]]+scenario_indirect_prod_1610_iotable_2020_xlsx_3[[#This Row],[2042]]</f>
        <v>39645.662073740823</v>
      </c>
      <c r="T89">
        <f>scenario_indirect_prod_4506_iotable_2020_xlsx_3[[#This Row],[2043]]+scenario_indirect_prod_1610_iotable_2020_xlsx_3[[#This Row],[2043]]</f>
        <v>39645.662073740823</v>
      </c>
      <c r="U89">
        <f>scenario_indirect_prod_4506_iotable_2020_xlsx_3[[#This Row],[2044]]+scenario_indirect_prod_1610_iotable_2020_xlsx_3[[#This Row],[2044]]</f>
        <v>41319.809617584324</v>
      </c>
      <c r="V89">
        <f>scenario_indirect_prod_4506_iotable_2020_xlsx_3[[#This Row],[2045]]+scenario_indirect_prod_1610_iotable_2020_xlsx_3[[#This Row],[2045]]</f>
        <v>41319.809617584324</v>
      </c>
      <c r="W89">
        <f>scenario_indirect_prod_4506_iotable_2020_xlsx_3[[#This Row],[2046]]+scenario_indirect_prod_1610_iotable_2020_xlsx_3[[#This Row],[2046]]</f>
        <v>42774.271580890432</v>
      </c>
      <c r="X89">
        <f>scenario_indirect_prod_4506_iotable_2020_xlsx_3[[#This Row],[2047]]+scenario_indirect_prod_1610_iotable_2020_xlsx_3[[#This Row],[2047]]</f>
        <v>42774.271580890432</v>
      </c>
      <c r="Y89">
        <f>scenario_indirect_prod_4506_iotable_2020_xlsx_3[[#This Row],[2048]]+scenario_indirect_prod_1610_iotable_2020_xlsx_3[[#This Row],[2048]]</f>
        <v>42774.271580890432</v>
      </c>
      <c r="Z89">
        <f>scenario_indirect_prod_4506_iotable_2020_xlsx_3[[#This Row],[2049]]+scenario_indirect_prod_1610_iotable_2020_xlsx_3[[#This Row],[2049]]</f>
        <v>42774.271580890432</v>
      </c>
      <c r="AA89">
        <f>scenario_indirect_prod_4506_iotable_2020_xlsx_3[[#This Row],[2050]]+scenario_indirect_prod_1610_iotable_2020_xlsx_3[[#This Row],[2050]]</f>
        <v>42774.271580890432</v>
      </c>
    </row>
    <row r="90" spans="1:27" x14ac:dyDescent="0.2">
      <c r="A90" t="s">
        <v>432</v>
      </c>
      <c r="B90" t="s">
        <v>433</v>
      </c>
      <c r="C90">
        <f>scenario_indirect_prod_4506_iotable_2020_xlsx_3[[#This Row],[2026]]+scenario_indirect_prod_1610_iotable_2020_xlsx_3[[#This Row],[2026]]</f>
        <v>32150.427840154531</v>
      </c>
      <c r="D90">
        <f>scenario_indirect_prod_4506_iotable_2020_xlsx_3[[#This Row],[2027]]+scenario_indirect_prod_1610_iotable_2020_xlsx_3[[#This Row],[2027]]</f>
        <v>34058.165726394771</v>
      </c>
      <c r="E90">
        <f>scenario_indirect_prod_4506_iotable_2020_xlsx_3[[#This Row],[2028]]+scenario_indirect_prod_1610_iotable_2020_xlsx_3[[#This Row],[2028]]</f>
        <v>35522.780363004247</v>
      </c>
      <c r="F90">
        <f>scenario_indirect_prod_4506_iotable_2020_xlsx_3[[#This Row],[2029]]+scenario_indirect_prod_1610_iotable_2020_xlsx_3[[#This Row],[2029]]</f>
        <v>37328.474119666324</v>
      </c>
      <c r="G90">
        <f>scenario_indirect_prod_4506_iotable_2020_xlsx_3[[#This Row],[2030]]+scenario_indirect_prod_1610_iotable_2020_xlsx_3[[#This Row],[2030]]</f>
        <v>42460.090695121071</v>
      </c>
      <c r="H90">
        <f>scenario_indirect_prod_4506_iotable_2020_xlsx_3[[#This Row],[2031]]+scenario_indirect_prod_1610_iotable_2020_xlsx_3[[#This Row],[2031]]</f>
        <v>44436.148206374477</v>
      </c>
      <c r="I90">
        <f>scenario_indirect_prod_4506_iotable_2020_xlsx_3[[#This Row],[2032]]+scenario_indirect_prod_1610_iotable_2020_xlsx_3[[#This Row],[2032]]</f>
        <v>47195.888372077796</v>
      </c>
      <c r="J90">
        <f>scenario_indirect_prod_4506_iotable_2020_xlsx_3[[#This Row],[2033]]+scenario_indirect_prod_1610_iotable_2020_xlsx_3[[#This Row],[2033]]</f>
        <v>55073.087953535622</v>
      </c>
      <c r="K90">
        <f>scenario_indirect_prod_4506_iotable_2020_xlsx_3[[#This Row],[2034]]+scenario_indirect_prod_1610_iotable_2020_xlsx_3[[#This Row],[2034]]</f>
        <v>57641.170065429076</v>
      </c>
      <c r="L90">
        <f>scenario_indirect_prod_4506_iotable_2020_xlsx_3[[#This Row],[2035]]+scenario_indirect_prod_1610_iotable_2020_xlsx_3[[#This Row],[2035]]</f>
        <v>68542.669410840579</v>
      </c>
      <c r="M90">
        <f>scenario_indirect_prod_4506_iotable_2020_xlsx_3[[#This Row],[2036]]+scenario_indirect_prod_1610_iotable_2020_xlsx_3[[#This Row],[2036]]</f>
        <v>73796.178551403864</v>
      </c>
      <c r="N90">
        <f>scenario_indirect_prod_4506_iotable_2020_xlsx_3[[#This Row],[2037]]+scenario_indirect_prod_1610_iotable_2020_xlsx_3[[#This Row],[2037]]</f>
        <v>78492.590907790815</v>
      </c>
      <c r="O90">
        <f>scenario_indirect_prod_4506_iotable_2020_xlsx_3[[#This Row],[2038]]+scenario_indirect_prod_1610_iotable_2020_xlsx_3[[#This Row],[2038]]</f>
        <v>78492.590907790815</v>
      </c>
      <c r="P90">
        <f>scenario_indirect_prod_4506_iotable_2020_xlsx_3[[#This Row],[2039]]+scenario_indirect_prod_1610_iotable_2020_xlsx_3[[#This Row],[2039]]</f>
        <v>78492.590907790815</v>
      </c>
      <c r="Q90">
        <f>scenario_indirect_prod_4506_iotable_2020_xlsx_3[[#This Row],[2040]]+scenario_indirect_prod_1610_iotable_2020_xlsx_3[[#This Row],[2040]]</f>
        <v>82597.827571085363</v>
      </c>
      <c r="R90">
        <f>scenario_indirect_prod_4506_iotable_2020_xlsx_3[[#This Row],[2041]]+scenario_indirect_prod_1610_iotable_2020_xlsx_3[[#This Row],[2041]]</f>
        <v>82597.827571085363</v>
      </c>
      <c r="S90">
        <f>scenario_indirect_prod_4506_iotable_2020_xlsx_3[[#This Row],[2042]]+scenario_indirect_prod_1610_iotable_2020_xlsx_3[[#This Row],[2042]]</f>
        <v>87185.117448612087</v>
      </c>
      <c r="T90">
        <f>scenario_indirect_prod_4506_iotable_2020_xlsx_3[[#This Row],[2043]]+scenario_indirect_prod_1610_iotable_2020_xlsx_3[[#This Row],[2043]]</f>
        <v>87185.117448612087</v>
      </c>
      <c r="U90">
        <f>scenario_indirect_prod_4506_iotable_2020_xlsx_3[[#This Row],[2044]]+scenario_indirect_prod_1610_iotable_2020_xlsx_3[[#This Row],[2044]]</f>
        <v>91377.762225104845</v>
      </c>
      <c r="V90">
        <f>scenario_indirect_prod_4506_iotable_2020_xlsx_3[[#This Row],[2045]]+scenario_indirect_prod_1610_iotable_2020_xlsx_3[[#This Row],[2045]]</f>
        <v>91377.762225104845</v>
      </c>
      <c r="W90">
        <f>scenario_indirect_prod_4506_iotable_2020_xlsx_3[[#This Row],[2046]]+scenario_indirect_prod_1610_iotable_2020_xlsx_3[[#This Row],[2046]]</f>
        <v>95001.581432828272</v>
      </c>
      <c r="X90">
        <f>scenario_indirect_prod_4506_iotable_2020_xlsx_3[[#This Row],[2047]]+scenario_indirect_prod_1610_iotable_2020_xlsx_3[[#This Row],[2047]]</f>
        <v>95001.581432828272</v>
      </c>
      <c r="Y90">
        <f>scenario_indirect_prod_4506_iotable_2020_xlsx_3[[#This Row],[2048]]+scenario_indirect_prod_1610_iotable_2020_xlsx_3[[#This Row],[2048]]</f>
        <v>95001.581432828272</v>
      </c>
      <c r="Z90">
        <f>scenario_indirect_prod_4506_iotable_2020_xlsx_3[[#This Row],[2049]]+scenario_indirect_prod_1610_iotable_2020_xlsx_3[[#This Row],[2049]]</f>
        <v>95001.581432828272</v>
      </c>
      <c r="AA90">
        <f>scenario_indirect_prod_4506_iotable_2020_xlsx_3[[#This Row],[2050]]+scenario_indirect_prod_1610_iotable_2020_xlsx_3[[#This Row],[2050]]</f>
        <v>95001.581432828272</v>
      </c>
    </row>
    <row r="91" spans="1:27" x14ac:dyDescent="0.2">
      <c r="A91" t="s">
        <v>555</v>
      </c>
      <c r="B91" t="s">
        <v>556</v>
      </c>
      <c r="C91">
        <f>scenario_indirect_prod_4506_iotable_2020_xlsx_3[[#This Row],[2026]]+scenario_indirect_prod_1610_iotable_2020_xlsx_3[[#This Row],[2026]]</f>
        <v>9350.7920748531487</v>
      </c>
      <c r="D91">
        <f>scenario_indirect_prod_4506_iotable_2020_xlsx_3[[#This Row],[2027]]+scenario_indirect_prod_1610_iotable_2020_xlsx_3[[#This Row],[2027]]</f>
        <v>9764.9473751900859</v>
      </c>
      <c r="E91">
        <f>scenario_indirect_prod_4506_iotable_2020_xlsx_3[[#This Row],[2028]]+scenario_indirect_prod_1610_iotable_2020_xlsx_3[[#This Row],[2028]]</f>
        <v>10199.285971394342</v>
      </c>
      <c r="F91">
        <f>scenario_indirect_prod_4506_iotable_2020_xlsx_3[[#This Row],[2029]]+scenario_indirect_prod_1610_iotable_2020_xlsx_3[[#This Row],[2029]]</f>
        <v>10674.135773371132</v>
      </c>
      <c r="G91">
        <f>scenario_indirect_prod_4506_iotable_2020_xlsx_3[[#This Row],[2030]]+scenario_indirect_prod_1610_iotable_2020_xlsx_3[[#This Row],[2030]]</f>
        <v>11681.957294024769</v>
      </c>
      <c r="H91">
        <f>scenario_indirect_prod_4506_iotable_2020_xlsx_3[[#This Row],[2031]]+scenario_indirect_prod_1610_iotable_2020_xlsx_3[[#This Row],[2031]]</f>
        <v>12267.966763002603</v>
      </c>
      <c r="I91">
        <f>scenario_indirect_prod_4506_iotable_2020_xlsx_3[[#This Row],[2032]]+scenario_indirect_prod_1610_iotable_2020_xlsx_3[[#This Row],[2032]]</f>
        <v>13086.38113597032</v>
      </c>
      <c r="J91">
        <f>scenario_indirect_prod_4506_iotable_2020_xlsx_3[[#This Row],[2033]]+scenario_indirect_prod_1610_iotable_2020_xlsx_3[[#This Row],[2033]]</f>
        <v>15135.676091317835</v>
      </c>
      <c r="K91">
        <f>scenario_indirect_prod_4506_iotable_2020_xlsx_3[[#This Row],[2034]]+scenario_indirect_prod_1610_iotable_2020_xlsx_3[[#This Row],[2034]]</f>
        <v>15897.253335963711</v>
      </c>
      <c r="L91">
        <f>scenario_indirect_prod_4506_iotable_2020_xlsx_3[[#This Row],[2035]]+scenario_indirect_prod_1610_iotable_2020_xlsx_3[[#This Row],[2035]]</f>
        <v>18767.18395730486</v>
      </c>
      <c r="M91">
        <f>scenario_indirect_prod_4506_iotable_2020_xlsx_3[[#This Row],[2036]]+scenario_indirect_prod_1610_iotable_2020_xlsx_3[[#This Row],[2036]]</f>
        <v>20086.896509113129</v>
      </c>
      <c r="N91">
        <f>scenario_indirect_prod_4506_iotable_2020_xlsx_3[[#This Row],[2037]]+scenario_indirect_prod_1610_iotable_2020_xlsx_3[[#This Row],[2037]]</f>
        <v>21271.368654336613</v>
      </c>
      <c r="O91">
        <f>scenario_indirect_prod_4506_iotable_2020_xlsx_3[[#This Row],[2038]]+scenario_indirect_prod_1610_iotable_2020_xlsx_3[[#This Row],[2038]]</f>
        <v>21271.368654336613</v>
      </c>
      <c r="P91">
        <f>scenario_indirect_prod_4506_iotable_2020_xlsx_3[[#This Row],[2039]]+scenario_indirect_prod_1610_iotable_2020_xlsx_3[[#This Row],[2039]]</f>
        <v>21271.368654336613</v>
      </c>
      <c r="Q91">
        <f>scenario_indirect_prod_4506_iotable_2020_xlsx_3[[#This Row],[2040]]+scenario_indirect_prod_1610_iotable_2020_xlsx_3[[#This Row],[2040]]</f>
        <v>22305.953324171031</v>
      </c>
      <c r="R91">
        <f>scenario_indirect_prod_4506_iotable_2020_xlsx_3[[#This Row],[2041]]+scenario_indirect_prod_1610_iotable_2020_xlsx_3[[#This Row],[2041]]</f>
        <v>22305.953324171031</v>
      </c>
      <c r="S91">
        <f>scenario_indirect_prod_4506_iotable_2020_xlsx_3[[#This Row],[2042]]+scenario_indirect_prod_1610_iotable_2020_xlsx_3[[#This Row],[2042]]</f>
        <v>23464.522704165567</v>
      </c>
      <c r="T91">
        <f>scenario_indirect_prod_4506_iotable_2020_xlsx_3[[#This Row],[2043]]+scenario_indirect_prod_1610_iotable_2020_xlsx_3[[#This Row],[2043]]</f>
        <v>23464.522704165567</v>
      </c>
      <c r="U91">
        <f>scenario_indirect_prod_4506_iotable_2020_xlsx_3[[#This Row],[2044]]+scenario_indirect_prod_1610_iotable_2020_xlsx_3[[#This Row],[2044]]</f>
        <v>24515.947011841774</v>
      </c>
      <c r="V91">
        <f>scenario_indirect_prod_4506_iotable_2020_xlsx_3[[#This Row],[2045]]+scenario_indirect_prod_1610_iotable_2020_xlsx_3[[#This Row],[2045]]</f>
        <v>24515.947011841774</v>
      </c>
      <c r="W91">
        <f>scenario_indirect_prod_4506_iotable_2020_xlsx_3[[#This Row],[2046]]+scenario_indirect_prod_1610_iotable_2020_xlsx_3[[#This Row],[2046]]</f>
        <v>25427.189559964434</v>
      </c>
      <c r="X91">
        <f>scenario_indirect_prod_4506_iotable_2020_xlsx_3[[#This Row],[2047]]+scenario_indirect_prod_1610_iotable_2020_xlsx_3[[#This Row],[2047]]</f>
        <v>25427.189559964434</v>
      </c>
      <c r="Y91">
        <f>scenario_indirect_prod_4506_iotable_2020_xlsx_3[[#This Row],[2048]]+scenario_indirect_prod_1610_iotable_2020_xlsx_3[[#This Row],[2048]]</f>
        <v>25427.189559964434</v>
      </c>
      <c r="Z91">
        <f>scenario_indirect_prod_4506_iotable_2020_xlsx_3[[#This Row],[2049]]+scenario_indirect_prod_1610_iotable_2020_xlsx_3[[#This Row],[2049]]</f>
        <v>25427.189559964434</v>
      </c>
      <c r="AA91">
        <f>scenario_indirect_prod_4506_iotable_2020_xlsx_3[[#This Row],[2050]]+scenario_indirect_prod_1610_iotable_2020_xlsx_3[[#This Row],[2050]]</f>
        <v>25427.189559964434</v>
      </c>
    </row>
    <row r="92" spans="1:27" x14ac:dyDescent="0.2">
      <c r="A92" t="s">
        <v>756</v>
      </c>
      <c r="B92" t="s">
        <v>757</v>
      </c>
      <c r="C92">
        <f>scenario_indirect_prod_4506_iotable_2020_xlsx_3[[#This Row],[2026]]+scenario_indirect_prod_1610_iotable_2020_xlsx_3[[#This Row],[2026]]</f>
        <v>977.26082930768143</v>
      </c>
      <c r="D92">
        <f>scenario_indirect_prod_4506_iotable_2020_xlsx_3[[#This Row],[2027]]+scenario_indirect_prod_1610_iotable_2020_xlsx_3[[#This Row],[2027]]</f>
        <v>193.08624965703621</v>
      </c>
      <c r="E92">
        <f>scenario_indirect_prod_4506_iotable_2020_xlsx_3[[#This Row],[2028]]+scenario_indirect_prod_1610_iotable_2020_xlsx_3[[#This Row],[2028]]</f>
        <v>287.66035486849296</v>
      </c>
      <c r="F92">
        <f>scenario_indirect_prod_4506_iotable_2020_xlsx_3[[#This Row],[2029]]+scenario_indirect_prod_1610_iotable_2020_xlsx_3[[#This Row],[2029]]</f>
        <v>41.313881423141083</v>
      </c>
      <c r="G92">
        <f>scenario_indirect_prod_4506_iotable_2020_xlsx_3[[#This Row],[2030]]+scenario_indirect_prod_1610_iotable_2020_xlsx_3[[#This Row],[2030]]</f>
        <v>-2703.7721763796262</v>
      </c>
      <c r="H92">
        <f>scenario_indirect_prod_4506_iotable_2020_xlsx_3[[#This Row],[2031]]+scenario_indirect_prod_1610_iotable_2020_xlsx_3[[#This Row],[2031]]</f>
        <v>-2576.1728295604576</v>
      </c>
      <c r="I92">
        <f>scenario_indirect_prod_4506_iotable_2020_xlsx_3[[#This Row],[2032]]+scenario_indirect_prod_1610_iotable_2020_xlsx_3[[#This Row],[2032]]</f>
        <v>-2397.9689865402138</v>
      </c>
      <c r="J92">
        <f>scenario_indirect_prod_4506_iotable_2020_xlsx_3[[#This Row],[2033]]+scenario_indirect_prod_1610_iotable_2020_xlsx_3[[#This Row],[2033]]</f>
        <v>-3605.5181651278044</v>
      </c>
      <c r="K92">
        <f>scenario_indirect_prod_4506_iotable_2020_xlsx_3[[#This Row],[2034]]+scenario_indirect_prod_1610_iotable_2020_xlsx_3[[#This Row],[2034]]</f>
        <v>-3439.6901979813656</v>
      </c>
      <c r="L92">
        <f>scenario_indirect_prod_4506_iotable_2020_xlsx_3[[#This Row],[2035]]+scenario_indirect_prod_1610_iotable_2020_xlsx_3[[#This Row],[2035]]</f>
        <v>-4908.2569249603575</v>
      </c>
      <c r="M92">
        <f>scenario_indirect_prod_4506_iotable_2020_xlsx_3[[#This Row],[2036]]+scenario_indirect_prod_1610_iotable_2020_xlsx_3[[#This Row],[2036]]</f>
        <v>-5995.0137895863281</v>
      </c>
      <c r="N92">
        <f>scenario_indirect_prod_4506_iotable_2020_xlsx_3[[#This Row],[2037]]+scenario_indirect_prod_1610_iotable_2020_xlsx_3[[#This Row],[2037]]</f>
        <v>-6938.3626039746459</v>
      </c>
      <c r="O92">
        <f>scenario_indirect_prod_4506_iotable_2020_xlsx_3[[#This Row],[2038]]+scenario_indirect_prod_1610_iotable_2020_xlsx_3[[#This Row],[2038]]</f>
        <v>-6938.3626039746459</v>
      </c>
      <c r="P92">
        <f>scenario_indirect_prod_4506_iotable_2020_xlsx_3[[#This Row],[2039]]+scenario_indirect_prod_1610_iotable_2020_xlsx_3[[#This Row],[2039]]</f>
        <v>-6938.3626039746459</v>
      </c>
      <c r="Q92">
        <f>scenario_indirect_prod_4506_iotable_2020_xlsx_3[[#This Row],[2040]]+scenario_indirect_prod_1610_iotable_2020_xlsx_3[[#This Row],[2040]]</f>
        <v>-7767.6828650285088</v>
      </c>
      <c r="R92">
        <f>scenario_indirect_prod_4506_iotable_2020_xlsx_3[[#This Row],[2041]]+scenario_indirect_prod_1610_iotable_2020_xlsx_3[[#This Row],[2041]]</f>
        <v>-7767.6828650285088</v>
      </c>
      <c r="S92">
        <f>scenario_indirect_prod_4506_iotable_2020_xlsx_3[[#This Row],[2042]]+scenario_indirect_prod_1610_iotable_2020_xlsx_3[[#This Row],[2042]]</f>
        <v>-8679.4234941468239</v>
      </c>
      <c r="T92">
        <f>scenario_indirect_prod_4506_iotable_2020_xlsx_3[[#This Row],[2043]]+scenario_indirect_prod_1610_iotable_2020_xlsx_3[[#This Row],[2043]]</f>
        <v>-8679.4234941468239</v>
      </c>
      <c r="U92">
        <f>scenario_indirect_prod_4506_iotable_2020_xlsx_3[[#This Row],[2044]]+scenario_indirect_prod_1610_iotable_2020_xlsx_3[[#This Row],[2044]]</f>
        <v>-9557.457787285799</v>
      </c>
      <c r="V92">
        <f>scenario_indirect_prod_4506_iotable_2020_xlsx_3[[#This Row],[2045]]+scenario_indirect_prod_1610_iotable_2020_xlsx_3[[#This Row],[2045]]</f>
        <v>-9557.457787285799</v>
      </c>
      <c r="W92">
        <f>scenario_indirect_prod_4506_iotable_2020_xlsx_3[[#This Row],[2046]]+scenario_indirect_prod_1610_iotable_2020_xlsx_3[[#This Row],[2046]]</f>
        <v>-10301.59890898607</v>
      </c>
      <c r="X92">
        <f>scenario_indirect_prod_4506_iotable_2020_xlsx_3[[#This Row],[2047]]+scenario_indirect_prod_1610_iotable_2020_xlsx_3[[#This Row],[2047]]</f>
        <v>-10301.59890898607</v>
      </c>
      <c r="Y92">
        <f>scenario_indirect_prod_4506_iotable_2020_xlsx_3[[#This Row],[2048]]+scenario_indirect_prod_1610_iotable_2020_xlsx_3[[#This Row],[2048]]</f>
        <v>-10301.59890898607</v>
      </c>
      <c r="Z92">
        <f>scenario_indirect_prod_4506_iotable_2020_xlsx_3[[#This Row],[2049]]+scenario_indirect_prod_1610_iotable_2020_xlsx_3[[#This Row],[2049]]</f>
        <v>-10301.59890898607</v>
      </c>
      <c r="AA92">
        <f>scenario_indirect_prod_4506_iotable_2020_xlsx_3[[#This Row],[2050]]+scenario_indirect_prod_1610_iotable_2020_xlsx_3[[#This Row],[2050]]</f>
        <v>-10301.59890898607</v>
      </c>
    </row>
    <row r="93" spans="1:27" x14ac:dyDescent="0.2">
      <c r="A93" t="s">
        <v>651</v>
      </c>
      <c r="B93" t="s">
        <v>652</v>
      </c>
      <c r="C93">
        <f>scenario_indirect_prod_4506_iotable_2020_xlsx_3[[#This Row],[2026]]+scenario_indirect_prod_1610_iotable_2020_xlsx_3[[#This Row],[2026]]</f>
        <v>3021.3706996951705</v>
      </c>
      <c r="D93">
        <f>scenario_indirect_prod_4506_iotable_2020_xlsx_3[[#This Row],[2027]]+scenario_indirect_prod_1610_iotable_2020_xlsx_3[[#This Row],[2027]]</f>
        <v>2103.8005978502338</v>
      </c>
      <c r="E93">
        <f>scenario_indirect_prod_4506_iotable_2020_xlsx_3[[#This Row],[2028]]+scenario_indirect_prod_1610_iotable_2020_xlsx_3[[#This Row],[2028]]</f>
        <v>2306.6319598305795</v>
      </c>
      <c r="F93">
        <f>scenario_indirect_prod_4506_iotable_2020_xlsx_3[[#This Row],[2029]]+scenario_indirect_prod_1610_iotable_2020_xlsx_3[[#This Row],[2029]]</f>
        <v>2083.9911313689613</v>
      </c>
      <c r="G93">
        <f>scenario_indirect_prod_4506_iotable_2020_xlsx_3[[#This Row],[2030]]+scenario_indirect_prod_1610_iotable_2020_xlsx_3[[#This Row],[2030]]</f>
        <v>-1212.1761452215478</v>
      </c>
      <c r="H93">
        <f>scenario_indirect_prod_4506_iotable_2020_xlsx_3[[#This Row],[2031]]+scenario_indirect_prod_1610_iotable_2020_xlsx_3[[#This Row],[2031]]</f>
        <v>-938.51614870064259</v>
      </c>
      <c r="I93">
        <f>scenario_indirect_prod_4506_iotable_2020_xlsx_3[[#This Row],[2032]]+scenario_indirect_prod_1610_iotable_2020_xlsx_3[[#This Row],[2032]]</f>
        <v>-556.32561029574481</v>
      </c>
      <c r="J93">
        <f>scenario_indirect_prod_4506_iotable_2020_xlsx_3[[#This Row],[2033]]+scenario_indirect_prod_1610_iotable_2020_xlsx_3[[#This Row],[2033]]</f>
        <v>-1700.6470928007147</v>
      </c>
      <c r="K93">
        <f>scenario_indirect_prod_4506_iotable_2020_xlsx_3[[#This Row],[2034]]+scenario_indirect_prod_1610_iotable_2020_xlsx_3[[#This Row],[2034]]</f>
        <v>-1344.9988701129041</v>
      </c>
      <c r="L93">
        <f>scenario_indirect_prod_4506_iotable_2020_xlsx_3[[#This Row],[2035]]+scenario_indirect_prod_1610_iotable_2020_xlsx_3[[#This Row],[2035]]</f>
        <v>-2664.7928093789633</v>
      </c>
      <c r="M93">
        <f>scenario_indirect_prod_4506_iotable_2020_xlsx_3[[#This Row],[2036]]+scenario_indirect_prod_1610_iotable_2020_xlsx_3[[#This Row],[2036]]</f>
        <v>-3794.4863304560713</v>
      </c>
      <c r="N93">
        <f>scenario_indirect_prod_4506_iotable_2020_xlsx_3[[#This Row],[2037]]+scenario_indirect_prod_1610_iotable_2020_xlsx_3[[#This Row],[2037]]</f>
        <v>-4767.7008675648158</v>
      </c>
      <c r="O93">
        <f>scenario_indirect_prod_4506_iotable_2020_xlsx_3[[#This Row],[2038]]+scenario_indirect_prod_1610_iotable_2020_xlsx_3[[#This Row],[2038]]</f>
        <v>-4767.7008675648158</v>
      </c>
      <c r="P93">
        <f>scenario_indirect_prod_4506_iotable_2020_xlsx_3[[#This Row],[2039]]+scenario_indirect_prod_1610_iotable_2020_xlsx_3[[#This Row],[2039]]</f>
        <v>-4767.7008675648158</v>
      </c>
      <c r="Q93">
        <f>scenario_indirect_prod_4506_iotable_2020_xlsx_3[[#This Row],[2040]]+scenario_indirect_prod_1610_iotable_2020_xlsx_3[[#This Row],[2040]]</f>
        <v>-5624.5543721372778</v>
      </c>
      <c r="R93">
        <f>scenario_indirect_prod_4506_iotable_2020_xlsx_3[[#This Row],[2041]]+scenario_indirect_prod_1610_iotable_2020_xlsx_3[[#This Row],[2041]]</f>
        <v>-5624.5543721372778</v>
      </c>
      <c r="S93">
        <f>scenario_indirect_prod_4506_iotable_2020_xlsx_3[[#This Row],[2042]]+scenario_indirect_prod_1610_iotable_2020_xlsx_3[[#This Row],[2042]]</f>
        <v>-6562.5365563047762</v>
      </c>
      <c r="T93">
        <f>scenario_indirect_prod_4506_iotable_2020_xlsx_3[[#This Row],[2043]]+scenario_indirect_prod_1610_iotable_2020_xlsx_3[[#This Row],[2043]]</f>
        <v>-6562.5365563047762</v>
      </c>
      <c r="U93">
        <f>scenario_indirect_prod_4506_iotable_2020_xlsx_3[[#This Row],[2044]]+scenario_indirect_prod_1610_iotable_2020_xlsx_3[[#This Row],[2044]]</f>
        <v>-7478.0824234508455</v>
      </c>
      <c r="V93">
        <f>scenario_indirect_prod_4506_iotable_2020_xlsx_3[[#This Row],[2045]]+scenario_indirect_prod_1610_iotable_2020_xlsx_3[[#This Row],[2045]]</f>
        <v>-7478.0824234508455</v>
      </c>
      <c r="W93">
        <f>scenario_indirect_prod_4506_iotable_2020_xlsx_3[[#This Row],[2046]]+scenario_indirect_prod_1610_iotable_2020_xlsx_3[[#This Row],[2046]]</f>
        <v>-8250.1795870764345</v>
      </c>
      <c r="X93">
        <f>scenario_indirect_prod_4506_iotable_2020_xlsx_3[[#This Row],[2047]]+scenario_indirect_prod_1610_iotable_2020_xlsx_3[[#This Row],[2047]]</f>
        <v>-8250.1795870764345</v>
      </c>
      <c r="Y93">
        <f>scenario_indirect_prod_4506_iotable_2020_xlsx_3[[#This Row],[2048]]+scenario_indirect_prod_1610_iotable_2020_xlsx_3[[#This Row],[2048]]</f>
        <v>-8250.1795870764345</v>
      </c>
      <c r="Z93">
        <f>scenario_indirect_prod_4506_iotable_2020_xlsx_3[[#This Row],[2049]]+scenario_indirect_prod_1610_iotable_2020_xlsx_3[[#This Row],[2049]]</f>
        <v>-8250.1795870764345</v>
      </c>
      <c r="AA93">
        <f>scenario_indirect_prod_4506_iotable_2020_xlsx_3[[#This Row],[2050]]+scenario_indirect_prod_1610_iotable_2020_xlsx_3[[#This Row],[2050]]</f>
        <v>-8250.1795870764345</v>
      </c>
    </row>
    <row r="94" spans="1:27" x14ac:dyDescent="0.2">
      <c r="A94" t="s">
        <v>619</v>
      </c>
      <c r="B94" t="s">
        <v>620</v>
      </c>
      <c r="C94">
        <f>scenario_indirect_prod_4506_iotable_2020_xlsx_3[[#This Row],[2026]]+scenario_indirect_prod_1610_iotable_2020_xlsx_3[[#This Row],[2026]]</f>
        <v>5738.1628067994379</v>
      </c>
      <c r="D94">
        <f>scenario_indirect_prod_4506_iotable_2020_xlsx_3[[#This Row],[2027]]+scenario_indirect_prod_1610_iotable_2020_xlsx_3[[#This Row],[2027]]</f>
        <v>5881.9923942853402</v>
      </c>
      <c r="E94">
        <f>scenario_indirect_prod_4506_iotable_2020_xlsx_3[[#This Row],[2028]]+scenario_indirect_prod_1610_iotable_2020_xlsx_3[[#This Row],[2028]]</f>
        <v>6155.0834970803426</v>
      </c>
      <c r="F94">
        <f>scenario_indirect_prod_4506_iotable_2020_xlsx_3[[#This Row],[2029]]+scenario_indirect_prod_1610_iotable_2020_xlsx_3[[#This Row],[2029]]</f>
        <v>6407.0175880427587</v>
      </c>
      <c r="G94">
        <f>scenario_indirect_prod_4506_iotable_2020_xlsx_3[[#This Row],[2030]]+scenario_indirect_prod_1610_iotable_2020_xlsx_3[[#This Row],[2030]]</f>
        <v>6645.4475805750681</v>
      </c>
      <c r="H94">
        <f>scenario_indirect_prod_4506_iotable_2020_xlsx_3[[#This Row],[2031]]+scenario_indirect_prod_1610_iotable_2020_xlsx_3[[#This Row],[2031]]</f>
        <v>7013.9019927088948</v>
      </c>
      <c r="I94">
        <f>scenario_indirect_prod_4506_iotable_2020_xlsx_3[[#This Row],[2032]]+scenario_indirect_prod_1610_iotable_2020_xlsx_3[[#This Row],[2032]]</f>
        <v>7528.4813683624625</v>
      </c>
      <c r="J94">
        <f>scenario_indirect_prod_4506_iotable_2020_xlsx_3[[#This Row],[2033]]+scenario_indirect_prod_1610_iotable_2020_xlsx_3[[#This Row],[2033]]</f>
        <v>8596.4940343222079</v>
      </c>
      <c r="K94">
        <f>scenario_indirect_prod_4506_iotable_2020_xlsx_3[[#This Row],[2034]]+scenario_indirect_prod_1610_iotable_2020_xlsx_3[[#This Row],[2034]]</f>
        <v>9075.3369725770317</v>
      </c>
      <c r="L94">
        <f>scenario_indirect_prod_4506_iotable_2020_xlsx_3[[#This Row],[2035]]+scenario_indirect_prod_1610_iotable_2020_xlsx_3[[#This Row],[2035]]</f>
        <v>10600.70298471587</v>
      </c>
      <c r="M94">
        <f>scenario_indirect_prod_4506_iotable_2020_xlsx_3[[#This Row],[2036]]+scenario_indirect_prod_1610_iotable_2020_xlsx_3[[#This Row],[2036]]</f>
        <v>11247.273701926475</v>
      </c>
      <c r="N94">
        <f>scenario_indirect_prod_4506_iotable_2020_xlsx_3[[#This Row],[2037]]+scenario_indirect_prod_1610_iotable_2020_xlsx_3[[#This Row],[2037]]</f>
        <v>11831.857379702862</v>
      </c>
      <c r="O94">
        <f>scenario_indirect_prod_4506_iotable_2020_xlsx_3[[#This Row],[2038]]+scenario_indirect_prod_1610_iotable_2020_xlsx_3[[#This Row],[2038]]</f>
        <v>11831.857379702862</v>
      </c>
      <c r="P94">
        <f>scenario_indirect_prod_4506_iotable_2020_xlsx_3[[#This Row],[2039]]+scenario_indirect_prod_1610_iotable_2020_xlsx_3[[#This Row],[2039]]</f>
        <v>11831.857379702862</v>
      </c>
      <c r="Q94">
        <f>scenario_indirect_prod_4506_iotable_2020_xlsx_3[[#This Row],[2040]]+scenario_indirect_prod_1610_iotable_2020_xlsx_3[[#This Row],[2040]]</f>
        <v>12341.75290069631</v>
      </c>
      <c r="R94">
        <f>scenario_indirect_prod_4506_iotable_2020_xlsx_3[[#This Row],[2041]]+scenario_indirect_prod_1610_iotable_2020_xlsx_3[[#This Row],[2041]]</f>
        <v>12341.75290069631</v>
      </c>
      <c r="S94">
        <f>scenario_indirect_prod_4506_iotable_2020_xlsx_3[[#This Row],[2042]]+scenario_indirect_prod_1610_iotable_2020_xlsx_3[[#This Row],[2042]]</f>
        <v>12915.01622029701</v>
      </c>
      <c r="T94">
        <f>scenario_indirect_prod_4506_iotable_2020_xlsx_3[[#This Row],[2043]]+scenario_indirect_prod_1610_iotable_2020_xlsx_3[[#This Row],[2043]]</f>
        <v>12915.01622029701</v>
      </c>
      <c r="U94">
        <f>scenario_indirect_prod_4506_iotable_2020_xlsx_3[[#This Row],[2044]]+scenario_indirect_prod_1610_iotable_2020_xlsx_3[[#This Row],[2044]]</f>
        <v>13428.516148563394</v>
      </c>
      <c r="V94">
        <f>scenario_indirect_prod_4506_iotable_2020_xlsx_3[[#This Row],[2045]]+scenario_indirect_prod_1610_iotable_2020_xlsx_3[[#This Row],[2045]]</f>
        <v>13428.516148563394</v>
      </c>
      <c r="W94">
        <f>scenario_indirect_prod_4506_iotable_2020_xlsx_3[[#This Row],[2046]]+scenario_indirect_prod_1610_iotable_2020_xlsx_3[[#This Row],[2046]]</f>
        <v>13875.797051973919</v>
      </c>
      <c r="X94">
        <f>scenario_indirect_prod_4506_iotable_2020_xlsx_3[[#This Row],[2047]]+scenario_indirect_prod_1610_iotable_2020_xlsx_3[[#This Row],[2047]]</f>
        <v>13875.797051973919</v>
      </c>
      <c r="Y94">
        <f>scenario_indirect_prod_4506_iotable_2020_xlsx_3[[#This Row],[2048]]+scenario_indirect_prod_1610_iotable_2020_xlsx_3[[#This Row],[2048]]</f>
        <v>13875.797051973919</v>
      </c>
      <c r="Z94">
        <f>scenario_indirect_prod_4506_iotable_2020_xlsx_3[[#This Row],[2049]]+scenario_indirect_prod_1610_iotable_2020_xlsx_3[[#This Row],[2049]]</f>
        <v>13875.797051973919</v>
      </c>
      <c r="AA94">
        <f>scenario_indirect_prod_4506_iotable_2020_xlsx_3[[#This Row],[2050]]+scenario_indirect_prod_1610_iotable_2020_xlsx_3[[#This Row],[2050]]</f>
        <v>13875.797051973919</v>
      </c>
    </row>
    <row r="95" spans="1:27" x14ac:dyDescent="0.2">
      <c r="A95" t="s">
        <v>481</v>
      </c>
      <c r="B95" t="s">
        <v>85</v>
      </c>
      <c r="C95">
        <f>scenario_indirect_prod_4506_iotable_2020_xlsx_3[[#This Row],[2026]]+scenario_indirect_prod_1610_iotable_2020_xlsx_3[[#This Row],[2026]]</f>
        <v>18642.298490257483</v>
      </c>
      <c r="D95">
        <f>scenario_indirect_prod_4506_iotable_2020_xlsx_3[[#This Row],[2027]]+scenario_indirect_prod_1610_iotable_2020_xlsx_3[[#This Row],[2027]]</f>
        <v>18299.056795094381</v>
      </c>
      <c r="E95">
        <f>scenario_indirect_prod_4506_iotable_2020_xlsx_3[[#This Row],[2028]]+scenario_indirect_prod_1610_iotable_2020_xlsx_3[[#This Row],[2028]]</f>
        <v>19234.456687156224</v>
      </c>
      <c r="F95">
        <f>scenario_indirect_prod_4506_iotable_2020_xlsx_3[[#This Row],[2029]]+scenario_indirect_prod_1610_iotable_2020_xlsx_3[[#This Row],[2029]]</f>
        <v>19763.032452942258</v>
      </c>
      <c r="G95">
        <f>scenario_indirect_prod_4506_iotable_2020_xlsx_3[[#This Row],[2030]]+scenario_indirect_prod_1610_iotable_2020_xlsx_3[[#This Row],[2030]]</f>
        <v>17745.587699032967</v>
      </c>
      <c r="H95">
        <f>scenario_indirect_prod_4506_iotable_2020_xlsx_3[[#This Row],[2031]]+scenario_indirect_prod_1610_iotable_2020_xlsx_3[[#This Row],[2031]]</f>
        <v>19007.628878010539</v>
      </c>
      <c r="I95">
        <f>scenario_indirect_prod_4506_iotable_2020_xlsx_3[[#This Row],[2032]]+scenario_indirect_prod_1610_iotable_2020_xlsx_3[[#This Row],[2032]]</f>
        <v>20770.181694697931</v>
      </c>
      <c r="J95">
        <f>scenario_indirect_prod_4506_iotable_2020_xlsx_3[[#This Row],[2033]]+scenario_indirect_prod_1610_iotable_2020_xlsx_3[[#This Row],[2033]]</f>
        <v>22847.351687178831</v>
      </c>
      <c r="K95">
        <f>scenario_indirect_prod_4506_iotable_2020_xlsx_3[[#This Row],[2034]]+scenario_indirect_prod_1610_iotable_2020_xlsx_3[[#This Row],[2034]]</f>
        <v>24487.498979323915</v>
      </c>
      <c r="L95">
        <f>scenario_indirect_prod_4506_iotable_2020_xlsx_3[[#This Row],[2035]]+scenario_indirect_prod_1610_iotable_2020_xlsx_3[[#This Row],[2035]]</f>
        <v>27710.8470012504</v>
      </c>
      <c r="M95">
        <f>scenario_indirect_prod_4506_iotable_2020_xlsx_3[[#This Row],[2036]]+scenario_indirect_prod_1610_iotable_2020_xlsx_3[[#This Row],[2036]]</f>
        <v>28611.832992393542</v>
      </c>
      <c r="N95">
        <f>scenario_indirect_prod_4506_iotable_2020_xlsx_3[[#This Row],[2037]]+scenario_indirect_prod_1610_iotable_2020_xlsx_3[[#This Row],[2037]]</f>
        <v>29465.750869500051</v>
      </c>
      <c r="O95">
        <f>scenario_indirect_prod_4506_iotable_2020_xlsx_3[[#This Row],[2038]]+scenario_indirect_prod_1610_iotable_2020_xlsx_3[[#This Row],[2038]]</f>
        <v>29465.750869500051</v>
      </c>
      <c r="P95">
        <f>scenario_indirect_prod_4506_iotable_2020_xlsx_3[[#This Row],[2039]]+scenario_indirect_prod_1610_iotable_2020_xlsx_3[[#This Row],[2039]]</f>
        <v>29465.750869500051</v>
      </c>
      <c r="Q95">
        <f>scenario_indirect_prod_4506_iotable_2020_xlsx_3[[#This Row],[2040]]+scenario_indirect_prod_1610_iotable_2020_xlsx_3[[#This Row],[2040]]</f>
        <v>30204.058284298502</v>
      </c>
      <c r="R95">
        <f>scenario_indirect_prod_4506_iotable_2020_xlsx_3[[#This Row],[2041]]+scenario_indirect_prod_1610_iotable_2020_xlsx_3[[#This Row],[2041]]</f>
        <v>30204.058284298502</v>
      </c>
      <c r="S95">
        <f>scenario_indirect_prod_4506_iotable_2020_xlsx_3[[#This Row],[2042]]+scenario_indirect_prod_1610_iotable_2020_xlsx_3[[#This Row],[2042]]</f>
        <v>31054.811103210726</v>
      </c>
      <c r="T95">
        <f>scenario_indirect_prod_4506_iotable_2020_xlsx_3[[#This Row],[2043]]+scenario_indirect_prod_1610_iotable_2020_xlsx_3[[#This Row],[2043]]</f>
        <v>31054.811103210726</v>
      </c>
      <c r="U95">
        <f>scenario_indirect_prod_4506_iotable_2020_xlsx_3[[#This Row],[2044]]+scenario_indirect_prod_1610_iotable_2020_xlsx_3[[#This Row],[2044]]</f>
        <v>31755.387926213029</v>
      </c>
      <c r="V95">
        <f>scenario_indirect_prod_4506_iotable_2020_xlsx_3[[#This Row],[2045]]+scenario_indirect_prod_1610_iotable_2020_xlsx_3[[#This Row],[2045]]</f>
        <v>31755.387926213029</v>
      </c>
      <c r="W95">
        <f>scenario_indirect_prod_4506_iotable_2020_xlsx_3[[#This Row],[2046]]+scenario_indirect_prod_1610_iotable_2020_xlsx_3[[#This Row],[2046]]</f>
        <v>32386.33340441039</v>
      </c>
      <c r="X95">
        <f>scenario_indirect_prod_4506_iotable_2020_xlsx_3[[#This Row],[2047]]+scenario_indirect_prod_1610_iotable_2020_xlsx_3[[#This Row],[2047]]</f>
        <v>32386.33340441039</v>
      </c>
      <c r="Y95">
        <f>scenario_indirect_prod_4506_iotable_2020_xlsx_3[[#This Row],[2048]]+scenario_indirect_prod_1610_iotable_2020_xlsx_3[[#This Row],[2048]]</f>
        <v>32386.33340441039</v>
      </c>
      <c r="Z95">
        <f>scenario_indirect_prod_4506_iotable_2020_xlsx_3[[#This Row],[2049]]+scenario_indirect_prod_1610_iotable_2020_xlsx_3[[#This Row],[2049]]</f>
        <v>32386.33340441039</v>
      </c>
      <c r="AA95">
        <f>scenario_indirect_prod_4506_iotable_2020_xlsx_3[[#This Row],[2050]]+scenario_indirect_prod_1610_iotable_2020_xlsx_3[[#This Row],[2050]]</f>
        <v>32386.33340441039</v>
      </c>
    </row>
    <row r="96" spans="1:27" x14ac:dyDescent="0.2">
      <c r="A96" t="s">
        <v>877</v>
      </c>
      <c r="B96" t="s">
        <v>303</v>
      </c>
      <c r="C96">
        <f>scenario_indirect_prod_4506_iotable_2020_xlsx_3[[#This Row],[2026]]+scenario_indirect_prod_1610_iotable_2020_xlsx_3[[#This Row],[2026]]</f>
        <v>-635657.47206931189</v>
      </c>
      <c r="D96">
        <f>scenario_indirect_prod_4506_iotable_2020_xlsx_3[[#This Row],[2027]]+scenario_indirect_prod_1610_iotable_2020_xlsx_3[[#This Row],[2027]]</f>
        <v>-1160953.5945231519</v>
      </c>
      <c r="E96">
        <f>scenario_indirect_prod_4506_iotable_2020_xlsx_3[[#This Row],[2028]]+scenario_indirect_prod_1610_iotable_2020_xlsx_3[[#This Row],[2028]]</f>
        <v>-1160931.2779822736</v>
      </c>
      <c r="F96">
        <f>scenario_indirect_prod_4506_iotable_2020_xlsx_3[[#This Row],[2029]]+scenario_indirect_prod_1610_iotable_2020_xlsx_3[[#This Row],[2029]]</f>
        <v>-1371033.861997966</v>
      </c>
      <c r="G96">
        <f>scenario_indirect_prod_4506_iotable_2020_xlsx_3[[#This Row],[2030]]+scenario_indirect_prod_1610_iotable_2020_xlsx_3[[#This Row],[2030]]</f>
        <v>-3152091.7520194142</v>
      </c>
      <c r="H96">
        <f>scenario_indirect_prod_4506_iotable_2020_xlsx_3[[#This Row],[2031]]+scenario_indirect_prod_1610_iotable_2020_xlsx_3[[#This Row],[2031]]</f>
        <v>-3152061.6425509425</v>
      </c>
      <c r="I96">
        <f>scenario_indirect_prod_4506_iotable_2020_xlsx_3[[#This Row],[2032]]+scenario_indirect_prod_1610_iotable_2020_xlsx_3[[#This Row],[2032]]</f>
        <v>-3152019.5919987489</v>
      </c>
      <c r="J96">
        <f>scenario_indirect_prod_4506_iotable_2020_xlsx_3[[#This Row],[2033]]+scenario_indirect_prod_1610_iotable_2020_xlsx_3[[#This Row],[2033]]</f>
        <v>-4145508.8940633605</v>
      </c>
      <c r="K96">
        <f>scenario_indirect_prod_4506_iotable_2020_xlsx_3[[#This Row],[2034]]+scenario_indirect_prod_1610_iotable_2020_xlsx_3[[#This Row],[2034]]</f>
        <v>-4145469.7638321067</v>
      </c>
      <c r="L96">
        <f>scenario_indirect_prod_4506_iotable_2020_xlsx_3[[#This Row],[2035]]+scenario_indirect_prod_1610_iotable_2020_xlsx_3[[#This Row],[2035]]</f>
        <v>-5403094.5027657654</v>
      </c>
      <c r="M96">
        <f>scenario_indirect_prod_4506_iotable_2020_xlsx_3[[#This Row],[2036]]+scenario_indirect_prod_1610_iotable_2020_xlsx_3[[#This Row],[2036]]</f>
        <v>-6228603.6064848453</v>
      </c>
      <c r="N96">
        <f>scenario_indirect_prod_4506_iotable_2020_xlsx_3[[#This Row],[2037]]+scenario_indirect_prod_1610_iotable_2020_xlsx_3[[#This Row],[2037]]</f>
        <v>-6950266.8679268351</v>
      </c>
      <c r="O96">
        <f>scenario_indirect_prod_4506_iotable_2020_xlsx_3[[#This Row],[2038]]+scenario_indirect_prod_1610_iotable_2020_xlsx_3[[#This Row],[2038]]</f>
        <v>-6950266.8679268351</v>
      </c>
      <c r="P96">
        <f>scenario_indirect_prod_4506_iotable_2020_xlsx_3[[#This Row],[2039]]+scenario_indirect_prod_1610_iotable_2020_xlsx_3[[#This Row],[2039]]</f>
        <v>-6950266.8679268351</v>
      </c>
      <c r="Q96">
        <f>scenario_indirect_prod_4506_iotable_2020_xlsx_3[[#This Row],[2040]]+scenario_indirect_prod_1610_iotable_2020_xlsx_3[[#This Row],[2040]]</f>
        <v>-7583820.2804379156</v>
      </c>
      <c r="R96">
        <f>scenario_indirect_prod_4506_iotable_2020_xlsx_3[[#This Row],[2041]]+scenario_indirect_prod_1610_iotable_2020_xlsx_3[[#This Row],[2041]]</f>
        <v>-7583820.2804379156</v>
      </c>
      <c r="S96">
        <f>scenario_indirect_prod_4506_iotable_2020_xlsx_3[[#This Row],[2042]]+scenario_indirect_prod_1610_iotable_2020_xlsx_3[[#This Row],[2042]]</f>
        <v>-8283105.8412454706</v>
      </c>
      <c r="T96">
        <f>scenario_indirect_prod_4506_iotable_2020_xlsx_3[[#This Row],[2043]]+scenario_indirect_prod_1610_iotable_2020_xlsx_3[[#This Row],[2043]]</f>
        <v>-8283105.8412454706</v>
      </c>
      <c r="U96">
        <f>scenario_indirect_prod_4506_iotable_2020_xlsx_3[[#This Row],[2044]]+scenario_indirect_prod_1610_iotable_2020_xlsx_3[[#This Row],[2044]]</f>
        <v>-8948129.0719738621</v>
      </c>
      <c r="V96">
        <f>scenario_indirect_prod_4506_iotable_2020_xlsx_3[[#This Row],[2045]]+scenario_indirect_prod_1610_iotable_2020_xlsx_3[[#This Row],[2045]]</f>
        <v>-8948129.0719738621</v>
      </c>
      <c r="W96">
        <f>scenario_indirect_prod_4506_iotable_2020_xlsx_3[[#This Row],[2046]]+scenario_indirect_prod_1610_iotable_2020_xlsx_3[[#This Row],[2046]]</f>
        <v>-9514376.8800457697</v>
      </c>
      <c r="X96">
        <f>scenario_indirect_prod_4506_iotable_2020_xlsx_3[[#This Row],[2047]]+scenario_indirect_prod_1610_iotable_2020_xlsx_3[[#This Row],[2047]]</f>
        <v>-9514376.8800457697</v>
      </c>
      <c r="Y96">
        <f>scenario_indirect_prod_4506_iotable_2020_xlsx_3[[#This Row],[2048]]+scenario_indirect_prod_1610_iotable_2020_xlsx_3[[#This Row],[2048]]</f>
        <v>-9514376.8800457697</v>
      </c>
      <c r="Z96">
        <f>scenario_indirect_prod_4506_iotable_2020_xlsx_3[[#This Row],[2049]]+scenario_indirect_prod_1610_iotable_2020_xlsx_3[[#This Row],[2049]]</f>
        <v>-9514376.8800457697</v>
      </c>
      <c r="AA96">
        <f>scenario_indirect_prod_4506_iotable_2020_xlsx_3[[#This Row],[2050]]+scenario_indirect_prod_1610_iotable_2020_xlsx_3[[#This Row],[2050]]</f>
        <v>-9514376.8800457697</v>
      </c>
    </row>
    <row r="97" spans="1:27" x14ac:dyDescent="0.2">
      <c r="A97" t="s">
        <v>527</v>
      </c>
      <c r="B97" t="s">
        <v>528</v>
      </c>
      <c r="C97">
        <f>scenario_indirect_prod_4506_iotable_2020_xlsx_3[[#This Row],[2026]]+scenario_indirect_prod_1610_iotable_2020_xlsx_3[[#This Row],[2026]]</f>
        <v>12835.214520188119</v>
      </c>
      <c r="D97">
        <f>scenario_indirect_prod_4506_iotable_2020_xlsx_3[[#This Row],[2027]]+scenario_indirect_prod_1610_iotable_2020_xlsx_3[[#This Row],[2027]]</f>
        <v>13264.462579030383</v>
      </c>
      <c r="E97">
        <f>scenario_indirect_prod_4506_iotable_2020_xlsx_3[[#This Row],[2028]]+scenario_indirect_prod_1610_iotable_2020_xlsx_3[[#This Row],[2028]]</f>
        <v>13868.926100245737</v>
      </c>
      <c r="F97">
        <f>scenario_indirect_prod_4506_iotable_2020_xlsx_3[[#This Row],[2029]]+scenario_indirect_prod_1610_iotable_2020_xlsx_3[[#This Row],[2029]]</f>
        <v>14470.917897203799</v>
      </c>
      <c r="G97">
        <f>scenario_indirect_prod_4506_iotable_2020_xlsx_3[[#This Row],[2030]]+scenario_indirect_prod_1610_iotable_2020_xlsx_3[[#This Row],[2030]]</f>
        <v>15374.651628001306</v>
      </c>
      <c r="H97">
        <f>scenario_indirect_prod_4506_iotable_2020_xlsx_3[[#This Row],[2031]]+scenario_indirect_prod_1610_iotable_2020_xlsx_3[[#This Row],[2031]]</f>
        <v>16190.193581167496</v>
      </c>
      <c r="I97">
        <f>scenario_indirect_prod_4506_iotable_2020_xlsx_3[[#This Row],[2032]]+scenario_indirect_prod_1610_iotable_2020_xlsx_3[[#This Row],[2032]]</f>
        <v>17329.170494618396</v>
      </c>
      <c r="J97">
        <f>scenario_indirect_prod_4506_iotable_2020_xlsx_3[[#This Row],[2033]]+scenario_indirect_prod_1610_iotable_2020_xlsx_3[[#This Row],[2033]]</f>
        <v>19902.870426210964</v>
      </c>
      <c r="K97">
        <f>scenario_indirect_prod_4506_iotable_2020_xlsx_3[[#This Row],[2034]]+scenario_indirect_prod_1610_iotable_2020_xlsx_3[[#This Row],[2034]]</f>
        <v>20962.747828309599</v>
      </c>
      <c r="L97">
        <f>scenario_indirect_prod_4506_iotable_2020_xlsx_3[[#This Row],[2035]]+scenario_indirect_prod_1610_iotable_2020_xlsx_3[[#This Row],[2035]]</f>
        <v>24604.527304776198</v>
      </c>
      <c r="M97">
        <f>scenario_indirect_prod_4506_iotable_2020_xlsx_3[[#This Row],[2036]]+scenario_indirect_prod_1610_iotable_2020_xlsx_3[[#This Row],[2036]]</f>
        <v>26209.933675797991</v>
      </c>
      <c r="N97">
        <f>scenario_indirect_prod_4506_iotable_2020_xlsx_3[[#This Row],[2037]]+scenario_indirect_prod_1610_iotable_2020_xlsx_3[[#This Row],[2037]]</f>
        <v>27656.213931497412</v>
      </c>
      <c r="O97">
        <f>scenario_indirect_prod_4506_iotable_2020_xlsx_3[[#This Row],[2038]]+scenario_indirect_prod_1610_iotable_2020_xlsx_3[[#This Row],[2038]]</f>
        <v>27656.213931497412</v>
      </c>
      <c r="P97">
        <f>scenario_indirect_prod_4506_iotable_2020_xlsx_3[[#This Row],[2039]]+scenario_indirect_prod_1610_iotable_2020_xlsx_3[[#This Row],[2039]]</f>
        <v>27656.213931497412</v>
      </c>
      <c r="Q97">
        <f>scenario_indirect_prod_4506_iotable_2020_xlsx_3[[#This Row],[2040]]+scenario_indirect_prod_1610_iotable_2020_xlsx_3[[#This Row],[2040]]</f>
        <v>28918.576933547767</v>
      </c>
      <c r="R97">
        <f>scenario_indirect_prod_4506_iotable_2020_xlsx_3[[#This Row],[2041]]+scenario_indirect_prod_1610_iotable_2020_xlsx_3[[#This Row],[2041]]</f>
        <v>28918.576933547767</v>
      </c>
      <c r="S97">
        <f>scenario_indirect_prod_4506_iotable_2020_xlsx_3[[#This Row],[2042]]+scenario_indirect_prod_1610_iotable_2020_xlsx_3[[#This Row],[2042]]</f>
        <v>30335.076376199322</v>
      </c>
      <c r="T97">
        <f>scenario_indirect_prod_4506_iotable_2020_xlsx_3[[#This Row],[2043]]+scenario_indirect_prod_1610_iotable_2020_xlsx_3[[#This Row],[2043]]</f>
        <v>30335.076376199322</v>
      </c>
      <c r="U97">
        <f>scenario_indirect_prod_4506_iotable_2020_xlsx_3[[#This Row],[2044]]+scenario_indirect_prod_1610_iotable_2020_xlsx_3[[#This Row],[2044]]</f>
        <v>31612.060835823002</v>
      </c>
      <c r="V97">
        <f>scenario_indirect_prod_4506_iotable_2020_xlsx_3[[#This Row],[2045]]+scenario_indirect_prod_1610_iotable_2020_xlsx_3[[#This Row],[2045]]</f>
        <v>31612.060835823002</v>
      </c>
      <c r="W97">
        <f>scenario_indirect_prod_4506_iotable_2020_xlsx_3[[#This Row],[2046]]+scenario_indirect_prod_1610_iotable_2020_xlsx_3[[#This Row],[2046]]</f>
        <v>32721.6223510257</v>
      </c>
      <c r="X97">
        <f>scenario_indirect_prod_4506_iotable_2020_xlsx_3[[#This Row],[2047]]+scenario_indirect_prod_1610_iotable_2020_xlsx_3[[#This Row],[2047]]</f>
        <v>32721.6223510257</v>
      </c>
      <c r="Y97">
        <f>scenario_indirect_prod_4506_iotable_2020_xlsx_3[[#This Row],[2048]]+scenario_indirect_prod_1610_iotable_2020_xlsx_3[[#This Row],[2048]]</f>
        <v>32721.6223510257</v>
      </c>
      <c r="Z97">
        <f>scenario_indirect_prod_4506_iotable_2020_xlsx_3[[#This Row],[2049]]+scenario_indirect_prod_1610_iotable_2020_xlsx_3[[#This Row],[2049]]</f>
        <v>32721.6223510257</v>
      </c>
      <c r="AA97">
        <f>scenario_indirect_prod_4506_iotable_2020_xlsx_3[[#This Row],[2050]]+scenario_indirect_prod_1610_iotable_2020_xlsx_3[[#This Row],[2050]]</f>
        <v>32721.6223510257</v>
      </c>
    </row>
    <row r="98" spans="1:27" x14ac:dyDescent="0.2">
      <c r="A98" t="s">
        <v>505</v>
      </c>
      <c r="B98" t="s">
        <v>506</v>
      </c>
      <c r="C98">
        <f>scenario_indirect_prod_4506_iotable_2020_xlsx_3[[#This Row],[2026]]+scenario_indirect_prod_1610_iotable_2020_xlsx_3[[#This Row],[2026]]</f>
        <v>13967.129005478611</v>
      </c>
      <c r="D98">
        <f>scenario_indirect_prod_4506_iotable_2020_xlsx_3[[#This Row],[2027]]+scenario_indirect_prod_1610_iotable_2020_xlsx_3[[#This Row],[2027]]</f>
        <v>14035.274654879924</v>
      </c>
      <c r="E98">
        <f>scenario_indirect_prod_4506_iotable_2020_xlsx_3[[#This Row],[2028]]+scenario_indirect_prod_1610_iotable_2020_xlsx_3[[#This Row],[2028]]</f>
        <v>14716.757194029735</v>
      </c>
      <c r="F98">
        <f>scenario_indirect_prod_4506_iotable_2020_xlsx_3[[#This Row],[2029]]+scenario_indirect_prod_1610_iotable_2020_xlsx_3[[#This Row],[2029]]</f>
        <v>15229.134662891156</v>
      </c>
      <c r="G98">
        <f>scenario_indirect_prod_4506_iotable_2020_xlsx_3[[#This Row],[2030]]+scenario_indirect_prod_1610_iotable_2020_xlsx_3[[#This Row],[2030]]</f>
        <v>14838.246683720499</v>
      </c>
      <c r="H98">
        <f>scenario_indirect_prod_4506_iotable_2020_xlsx_3[[#This Row],[2031]]+scenario_indirect_prod_1610_iotable_2020_xlsx_3[[#This Row],[2031]]</f>
        <v>15757.702666621544</v>
      </c>
      <c r="I98">
        <f>scenario_indirect_prod_4506_iotable_2020_xlsx_3[[#This Row],[2032]]+scenario_indirect_prod_1610_iotable_2020_xlsx_3[[#This Row],[2032]]</f>
        <v>17041.804770005539</v>
      </c>
      <c r="J98">
        <f>scenario_indirect_prod_4506_iotable_2020_xlsx_3[[#This Row],[2033]]+scenario_indirect_prod_1610_iotable_2020_xlsx_3[[#This Row],[2033]]</f>
        <v>19156.994372697423</v>
      </c>
      <c r="K98">
        <f>scenario_indirect_prod_4506_iotable_2020_xlsx_3[[#This Row],[2034]]+scenario_indirect_prod_1610_iotable_2020_xlsx_3[[#This Row],[2034]]</f>
        <v>20351.91833058561</v>
      </c>
      <c r="L98">
        <f>scenario_indirect_prod_4506_iotable_2020_xlsx_3[[#This Row],[2035]]+scenario_indirect_prod_1610_iotable_2020_xlsx_3[[#This Row],[2035]]</f>
        <v>23462.178910381615</v>
      </c>
      <c r="M98">
        <f>scenario_indirect_prod_4506_iotable_2020_xlsx_3[[#This Row],[2036]]+scenario_indirect_prod_1610_iotable_2020_xlsx_3[[#This Row],[2036]]</f>
        <v>24618.686064607762</v>
      </c>
      <c r="N98">
        <f>scenario_indirect_prod_4506_iotable_2020_xlsx_3[[#This Row],[2037]]+scenario_indirect_prod_1610_iotable_2020_xlsx_3[[#This Row],[2037]]</f>
        <v>25677.992624939696</v>
      </c>
      <c r="O98">
        <f>scenario_indirect_prod_4506_iotable_2020_xlsx_3[[#This Row],[2038]]+scenario_indirect_prod_1610_iotable_2020_xlsx_3[[#This Row],[2038]]</f>
        <v>25677.992624939696</v>
      </c>
      <c r="P98">
        <f>scenario_indirect_prod_4506_iotable_2020_xlsx_3[[#This Row],[2039]]+scenario_indirect_prod_1610_iotable_2020_xlsx_3[[#This Row],[2039]]</f>
        <v>25677.992624939696</v>
      </c>
      <c r="Q98">
        <f>scenario_indirect_prod_4506_iotable_2020_xlsx_3[[#This Row],[2040]]+scenario_indirect_prod_1610_iotable_2020_xlsx_3[[#This Row],[2040]]</f>
        <v>26599.693976697064</v>
      </c>
      <c r="R98">
        <f>scenario_indirect_prod_4506_iotable_2020_xlsx_3[[#This Row],[2041]]+scenario_indirect_prod_1610_iotable_2020_xlsx_3[[#This Row],[2041]]</f>
        <v>26599.693976697064</v>
      </c>
      <c r="S98">
        <f>scenario_indirect_prod_4506_iotable_2020_xlsx_3[[#This Row],[2042]]+scenario_indirect_prod_1610_iotable_2020_xlsx_3[[#This Row],[2042]]</f>
        <v>27643.138449999184</v>
      </c>
      <c r="T98">
        <f>scenario_indirect_prod_4506_iotable_2020_xlsx_3[[#This Row],[2043]]+scenario_indirect_prod_1610_iotable_2020_xlsx_3[[#This Row],[2043]]</f>
        <v>27643.138449999184</v>
      </c>
      <c r="U98">
        <f>scenario_indirect_prod_4506_iotable_2020_xlsx_3[[#This Row],[2044]]+scenario_indirect_prod_1610_iotable_2020_xlsx_3[[#This Row],[2044]]</f>
        <v>28556.414803519434</v>
      </c>
      <c r="V98">
        <f>scenario_indirect_prod_4506_iotable_2020_xlsx_3[[#This Row],[2045]]+scenario_indirect_prod_1610_iotable_2020_xlsx_3[[#This Row],[2045]]</f>
        <v>28556.414803519434</v>
      </c>
      <c r="W98">
        <f>scenario_indirect_prod_4506_iotable_2020_xlsx_3[[#This Row],[2046]]+scenario_indirect_prod_1610_iotable_2020_xlsx_3[[#This Row],[2046]]</f>
        <v>29359.123469602691</v>
      </c>
      <c r="X98">
        <f>scenario_indirect_prod_4506_iotable_2020_xlsx_3[[#This Row],[2047]]+scenario_indirect_prod_1610_iotable_2020_xlsx_3[[#This Row],[2047]]</f>
        <v>29359.123469602691</v>
      </c>
      <c r="Y98">
        <f>scenario_indirect_prod_4506_iotable_2020_xlsx_3[[#This Row],[2048]]+scenario_indirect_prod_1610_iotable_2020_xlsx_3[[#This Row],[2048]]</f>
        <v>29359.123469602691</v>
      </c>
      <c r="Z98">
        <f>scenario_indirect_prod_4506_iotable_2020_xlsx_3[[#This Row],[2049]]+scenario_indirect_prod_1610_iotable_2020_xlsx_3[[#This Row],[2049]]</f>
        <v>29359.123469602691</v>
      </c>
      <c r="AA98">
        <f>scenario_indirect_prod_4506_iotable_2020_xlsx_3[[#This Row],[2050]]+scenario_indirect_prod_1610_iotable_2020_xlsx_3[[#This Row],[2050]]</f>
        <v>29359.123469602691</v>
      </c>
    </row>
    <row r="99" spans="1:27" x14ac:dyDescent="0.2">
      <c r="A99" t="s">
        <v>801</v>
      </c>
      <c r="B99" t="s">
        <v>802</v>
      </c>
      <c r="C99">
        <f>scenario_indirect_prod_4506_iotable_2020_xlsx_3[[#This Row],[2026]]+scenario_indirect_prod_1610_iotable_2020_xlsx_3[[#This Row],[2026]]</f>
        <v>1237.6135121885318</v>
      </c>
      <c r="D99">
        <f>scenario_indirect_prod_4506_iotable_2020_xlsx_3[[#This Row],[2027]]+scenario_indirect_prod_1610_iotable_2020_xlsx_3[[#This Row],[2027]]</f>
        <v>1248.583961872326</v>
      </c>
      <c r="E99">
        <f>scenario_indirect_prod_4506_iotable_2020_xlsx_3[[#This Row],[2028]]+scenario_indirect_prod_1610_iotable_2020_xlsx_3[[#This Row],[2028]]</f>
        <v>1308.6763100297474</v>
      </c>
      <c r="F99">
        <f>scenario_indirect_prod_4506_iotable_2020_xlsx_3[[#This Row],[2029]]+scenario_indirect_prod_1610_iotable_2020_xlsx_3[[#This Row],[2029]]</f>
        <v>1355.8417451860316</v>
      </c>
      <c r="G99">
        <f>scenario_indirect_prod_4506_iotable_2020_xlsx_3[[#This Row],[2030]]+scenario_indirect_prod_1610_iotable_2020_xlsx_3[[#This Row],[2030]]</f>
        <v>1338.1956680283165</v>
      </c>
      <c r="H99">
        <f>scenario_indirect_prod_4506_iotable_2020_xlsx_3[[#This Row],[2031]]+scenario_indirect_prod_1610_iotable_2020_xlsx_3[[#This Row],[2031]]</f>
        <v>1419.2722413310519</v>
      </c>
      <c r="I99">
        <f>scenario_indirect_prod_4506_iotable_2020_xlsx_3[[#This Row],[2032]]+scenario_indirect_prod_1610_iotable_2020_xlsx_3[[#This Row],[2032]]</f>
        <v>1532.5028910297167</v>
      </c>
      <c r="J99">
        <f>scenario_indirect_prod_4506_iotable_2020_xlsx_3[[#This Row],[2033]]+scenario_indirect_prod_1610_iotable_2020_xlsx_3[[#This Row],[2033]]</f>
        <v>1728.4020462301137</v>
      </c>
      <c r="K99">
        <f>scenario_indirect_prod_4506_iotable_2020_xlsx_3[[#This Row],[2034]]+scenario_indirect_prod_1610_iotable_2020_xlsx_3[[#This Row],[2034]]</f>
        <v>1833.7690694096705</v>
      </c>
      <c r="L99">
        <f>scenario_indirect_prod_4506_iotable_2020_xlsx_3[[#This Row],[2035]]+scenario_indirect_prod_1610_iotable_2020_xlsx_3[[#This Row],[2035]]</f>
        <v>2119.9075090832821</v>
      </c>
      <c r="M99">
        <f>scenario_indirect_prod_4506_iotable_2020_xlsx_3[[#This Row],[2036]]+scenario_indirect_prod_1610_iotable_2020_xlsx_3[[#This Row],[2036]]</f>
        <v>2229.6842762737024</v>
      </c>
      <c r="N99">
        <f>scenario_indirect_prod_4506_iotable_2020_xlsx_3[[#This Row],[2037]]+scenario_indirect_prod_1610_iotable_2020_xlsx_3[[#This Row],[2037]]</f>
        <v>2329.9091522968129</v>
      </c>
      <c r="O99">
        <f>scenario_indirect_prod_4506_iotable_2020_xlsx_3[[#This Row],[2038]]+scenario_indirect_prod_1610_iotable_2020_xlsx_3[[#This Row],[2038]]</f>
        <v>2329.9091522968129</v>
      </c>
      <c r="P99">
        <f>scenario_indirect_prod_4506_iotable_2020_xlsx_3[[#This Row],[2039]]+scenario_indirect_prod_1610_iotable_2020_xlsx_3[[#This Row],[2039]]</f>
        <v>2329.9091522968129</v>
      </c>
      <c r="Q99">
        <f>scenario_indirect_prod_4506_iotable_2020_xlsx_3[[#This Row],[2040]]+scenario_indirect_prod_1610_iotable_2020_xlsx_3[[#This Row],[2040]]</f>
        <v>2417.1679186103324</v>
      </c>
      <c r="R99">
        <f>scenario_indirect_prod_4506_iotable_2020_xlsx_3[[#This Row],[2041]]+scenario_indirect_prod_1610_iotable_2020_xlsx_3[[#This Row],[2041]]</f>
        <v>2417.1679186103324</v>
      </c>
      <c r="S99">
        <f>scenario_indirect_prod_4506_iotable_2020_xlsx_3[[#This Row],[2042]]+scenario_indirect_prod_1610_iotable_2020_xlsx_3[[#This Row],[2042]]</f>
        <v>2515.7827316484745</v>
      </c>
      <c r="T99">
        <f>scenario_indirect_prod_4506_iotable_2020_xlsx_3[[#This Row],[2043]]+scenario_indirect_prod_1610_iotable_2020_xlsx_3[[#This Row],[2043]]</f>
        <v>2515.7827316484745</v>
      </c>
      <c r="U99">
        <f>scenario_indirect_prod_4506_iotable_2020_xlsx_3[[#This Row],[2044]]+scenario_indirect_prod_1610_iotable_2020_xlsx_3[[#This Row],[2044]]</f>
        <v>2602.5958212086471</v>
      </c>
      <c r="V99">
        <f>scenario_indirect_prod_4506_iotable_2020_xlsx_3[[#This Row],[2045]]+scenario_indirect_prod_1610_iotable_2020_xlsx_3[[#This Row],[2045]]</f>
        <v>2602.5958212086471</v>
      </c>
      <c r="W99">
        <f>scenario_indirect_prod_4506_iotable_2020_xlsx_3[[#This Row],[2046]]+scenario_indirect_prod_1610_iotable_2020_xlsx_3[[#This Row],[2046]]</f>
        <v>2678.7262106286162</v>
      </c>
      <c r="X99">
        <f>scenario_indirect_prod_4506_iotable_2020_xlsx_3[[#This Row],[2047]]+scenario_indirect_prod_1610_iotable_2020_xlsx_3[[#This Row],[2047]]</f>
        <v>2678.7262106286162</v>
      </c>
      <c r="Y99">
        <f>scenario_indirect_prod_4506_iotable_2020_xlsx_3[[#This Row],[2048]]+scenario_indirect_prod_1610_iotable_2020_xlsx_3[[#This Row],[2048]]</f>
        <v>2678.7262106286162</v>
      </c>
      <c r="Z99">
        <f>scenario_indirect_prod_4506_iotable_2020_xlsx_3[[#This Row],[2049]]+scenario_indirect_prod_1610_iotable_2020_xlsx_3[[#This Row],[2049]]</f>
        <v>2678.7262106286162</v>
      </c>
      <c r="AA99">
        <f>scenario_indirect_prod_4506_iotable_2020_xlsx_3[[#This Row],[2050]]+scenario_indirect_prod_1610_iotable_2020_xlsx_3[[#This Row],[2050]]</f>
        <v>2678.7262106286162</v>
      </c>
    </row>
    <row r="100" spans="1:27" x14ac:dyDescent="0.2">
      <c r="A100" t="s">
        <v>726</v>
      </c>
      <c r="B100" t="s">
        <v>727</v>
      </c>
      <c r="C100">
        <f>scenario_indirect_prod_4506_iotable_2020_xlsx_3[[#This Row],[2026]]+scenario_indirect_prod_1610_iotable_2020_xlsx_3[[#This Row],[2026]]</f>
        <v>2545.9701924079413</v>
      </c>
      <c r="D100">
        <f>scenario_indirect_prod_4506_iotable_2020_xlsx_3[[#This Row],[2027]]+scenario_indirect_prod_1610_iotable_2020_xlsx_3[[#This Row],[2027]]</f>
        <v>2590.639742173018</v>
      </c>
      <c r="E100">
        <f>scenario_indirect_prod_4506_iotable_2020_xlsx_3[[#This Row],[2028]]+scenario_indirect_prod_1610_iotable_2020_xlsx_3[[#This Row],[2028]]</f>
        <v>2712.945742349455</v>
      </c>
      <c r="F100">
        <f>scenario_indirect_prod_4506_iotable_2020_xlsx_3[[#This Row],[2029]]+scenario_indirect_prod_1610_iotable_2020_xlsx_3[[#This Row],[2029]]</f>
        <v>2817.8781421381154</v>
      </c>
      <c r="G100">
        <f>scenario_indirect_prod_4506_iotable_2020_xlsx_3[[#This Row],[2030]]+scenario_indirect_prod_1610_iotable_2020_xlsx_3[[#This Row],[2030]]</f>
        <v>2857.7124299220259</v>
      </c>
      <c r="H100">
        <f>scenario_indirect_prod_4506_iotable_2020_xlsx_3[[#This Row],[2031]]+scenario_indirect_prod_1610_iotable_2020_xlsx_3[[#This Row],[2031]]</f>
        <v>3022.7276388915998</v>
      </c>
      <c r="I100">
        <f>scenario_indirect_prod_4506_iotable_2020_xlsx_3[[#This Row],[2032]]+scenario_indirect_prod_1610_iotable_2020_xlsx_3[[#This Row],[2032]]</f>
        <v>3253.1860630780511</v>
      </c>
      <c r="J100">
        <f>scenario_indirect_prod_4506_iotable_2020_xlsx_3[[#This Row],[2033]]+scenario_indirect_prod_1610_iotable_2020_xlsx_3[[#This Row],[2033]]</f>
        <v>3694.1566474296833</v>
      </c>
      <c r="K100">
        <f>scenario_indirect_prod_4506_iotable_2020_xlsx_3[[#This Row],[2034]]+scenario_indirect_prod_1610_iotable_2020_xlsx_3[[#This Row],[2034]]</f>
        <v>3908.6102268077084</v>
      </c>
      <c r="L100">
        <f>scenario_indirect_prod_4506_iotable_2020_xlsx_3[[#This Row],[2035]]+scenario_indirect_prod_1610_iotable_2020_xlsx_3[[#This Row],[2035]]</f>
        <v>4544.4801834168265</v>
      </c>
      <c r="M100">
        <f>scenario_indirect_prod_4506_iotable_2020_xlsx_3[[#This Row],[2036]]+scenario_indirect_prod_1610_iotable_2020_xlsx_3[[#This Row],[2036]]</f>
        <v>4803.0201326011829</v>
      </c>
      <c r="N100">
        <f>scenario_indirect_prod_4506_iotable_2020_xlsx_3[[#This Row],[2037]]+scenario_indirect_prod_1610_iotable_2020_xlsx_3[[#This Row],[2037]]</f>
        <v>5037.7023233859709</v>
      </c>
      <c r="O100">
        <f>scenario_indirect_prod_4506_iotable_2020_xlsx_3[[#This Row],[2038]]+scenario_indirect_prod_1610_iotable_2020_xlsx_3[[#This Row],[2038]]</f>
        <v>5037.7023233859709</v>
      </c>
      <c r="P100">
        <f>scenario_indirect_prod_4506_iotable_2020_xlsx_3[[#This Row],[2039]]+scenario_indirect_prod_1610_iotable_2020_xlsx_3[[#This Row],[2039]]</f>
        <v>5037.7023233859709</v>
      </c>
      <c r="Q100">
        <f>scenario_indirect_prod_4506_iotable_2020_xlsx_3[[#This Row],[2040]]+scenario_indirect_prod_1610_iotable_2020_xlsx_3[[#This Row],[2040]]</f>
        <v>5242.2470031723487</v>
      </c>
      <c r="R100">
        <f>scenario_indirect_prod_4506_iotable_2020_xlsx_3[[#This Row],[2041]]+scenario_indirect_prod_1610_iotable_2020_xlsx_3[[#This Row],[2041]]</f>
        <v>5242.2470031723487</v>
      </c>
      <c r="S100">
        <f>scenario_indirect_prod_4506_iotable_2020_xlsx_3[[#This Row],[2042]]+scenario_indirect_prod_1610_iotable_2020_xlsx_3[[#This Row],[2042]]</f>
        <v>5472.7004668647569</v>
      </c>
      <c r="T100">
        <f>scenario_indirect_prod_4506_iotable_2020_xlsx_3[[#This Row],[2043]]+scenario_indirect_prod_1610_iotable_2020_xlsx_3[[#This Row],[2043]]</f>
        <v>5472.7004668647569</v>
      </c>
      <c r="U100">
        <f>scenario_indirect_prod_4506_iotable_2020_xlsx_3[[#This Row],[2044]]+scenario_indirect_prod_1610_iotable_2020_xlsx_3[[#This Row],[2044]]</f>
        <v>5677.6764868128193</v>
      </c>
      <c r="V100">
        <f>scenario_indirect_prod_4506_iotable_2020_xlsx_3[[#This Row],[2045]]+scenario_indirect_prod_1610_iotable_2020_xlsx_3[[#This Row],[2045]]</f>
        <v>5677.6764868128193</v>
      </c>
      <c r="W100">
        <f>scenario_indirect_prod_4506_iotable_2020_xlsx_3[[#This Row],[2046]]+scenario_indirect_prod_1610_iotable_2020_xlsx_3[[#This Row],[2046]]</f>
        <v>5856.708842670464</v>
      </c>
      <c r="X100">
        <f>scenario_indirect_prod_4506_iotable_2020_xlsx_3[[#This Row],[2047]]+scenario_indirect_prod_1610_iotable_2020_xlsx_3[[#This Row],[2047]]</f>
        <v>5856.708842670464</v>
      </c>
      <c r="Y100">
        <f>scenario_indirect_prod_4506_iotable_2020_xlsx_3[[#This Row],[2048]]+scenario_indirect_prod_1610_iotable_2020_xlsx_3[[#This Row],[2048]]</f>
        <v>5856.708842670464</v>
      </c>
      <c r="Z100">
        <f>scenario_indirect_prod_4506_iotable_2020_xlsx_3[[#This Row],[2049]]+scenario_indirect_prod_1610_iotable_2020_xlsx_3[[#This Row],[2049]]</f>
        <v>5856.708842670464</v>
      </c>
      <c r="AA100">
        <f>scenario_indirect_prod_4506_iotable_2020_xlsx_3[[#This Row],[2050]]+scenario_indirect_prod_1610_iotable_2020_xlsx_3[[#This Row],[2050]]</f>
        <v>5856.708842670464</v>
      </c>
    </row>
    <row r="101" spans="1:27" x14ac:dyDescent="0.2">
      <c r="A101" t="s">
        <v>413</v>
      </c>
      <c r="B101" t="s">
        <v>414</v>
      </c>
      <c r="C101">
        <f>scenario_indirect_prod_4506_iotable_2020_xlsx_3[[#This Row],[2026]]+scenario_indirect_prod_1610_iotable_2020_xlsx_3[[#This Row],[2026]]</f>
        <v>38934.639495826625</v>
      </c>
      <c r="D101">
        <f>scenario_indirect_prod_4506_iotable_2020_xlsx_3[[#This Row],[2027]]+scenario_indirect_prod_1610_iotable_2020_xlsx_3[[#This Row],[2027]]</f>
        <v>37334.430173578032</v>
      </c>
      <c r="E101">
        <f>scenario_indirect_prod_4506_iotable_2020_xlsx_3[[#This Row],[2028]]+scenario_indirect_prod_1610_iotable_2020_xlsx_3[[#This Row],[2028]]</f>
        <v>39340.525481085861</v>
      </c>
      <c r="F101">
        <f>scenario_indirect_prod_4506_iotable_2020_xlsx_3[[#This Row],[2029]]+scenario_indirect_prod_1610_iotable_2020_xlsx_3[[#This Row],[2029]]</f>
        <v>40128.49788479806</v>
      </c>
      <c r="G101">
        <f>scenario_indirect_prod_4506_iotable_2020_xlsx_3[[#This Row],[2030]]+scenario_indirect_prod_1610_iotable_2020_xlsx_3[[#This Row],[2030]]</f>
        <v>32872.109859371871</v>
      </c>
      <c r="H101">
        <f>scenario_indirect_prod_4506_iotable_2020_xlsx_3[[#This Row],[2031]]+scenario_indirect_prod_1610_iotable_2020_xlsx_3[[#This Row],[2031]]</f>
        <v>35578.732886073223</v>
      </c>
      <c r="I101">
        <f>scenario_indirect_prod_4506_iotable_2020_xlsx_3[[#This Row],[2032]]+scenario_indirect_prod_1610_iotable_2020_xlsx_3[[#This Row],[2032]]</f>
        <v>39358.772807819871</v>
      </c>
      <c r="J101">
        <f>scenario_indirect_prod_4506_iotable_2020_xlsx_3[[#This Row],[2033]]+scenario_indirect_prod_1610_iotable_2020_xlsx_3[[#This Row],[2033]]</f>
        <v>42179.217458512452</v>
      </c>
      <c r="K101">
        <f>scenario_indirect_prod_4506_iotable_2020_xlsx_3[[#This Row],[2034]]+scenario_indirect_prod_1610_iotable_2020_xlsx_3[[#This Row],[2034]]</f>
        <v>45696.741689931099</v>
      </c>
      <c r="L101">
        <f>scenario_indirect_prod_4506_iotable_2020_xlsx_3[[#This Row],[2035]]+scenario_indirect_prod_1610_iotable_2020_xlsx_3[[#This Row],[2035]]</f>
        <v>50540.78645647908</v>
      </c>
      <c r="M101">
        <f>scenario_indirect_prod_4506_iotable_2020_xlsx_3[[#This Row],[2036]]+scenario_indirect_prod_1610_iotable_2020_xlsx_3[[#This Row],[2036]]</f>
        <v>51115.108282951434</v>
      </c>
      <c r="N101">
        <f>scenario_indirect_prod_4506_iotable_2020_xlsx_3[[#This Row],[2037]]+scenario_indirect_prod_1610_iotable_2020_xlsx_3[[#This Row],[2037]]</f>
        <v>51759.310499966843</v>
      </c>
      <c r="O101">
        <f>scenario_indirect_prod_4506_iotable_2020_xlsx_3[[#This Row],[2038]]+scenario_indirect_prod_1610_iotable_2020_xlsx_3[[#This Row],[2038]]</f>
        <v>51759.310499966843</v>
      </c>
      <c r="P101">
        <f>scenario_indirect_prod_4506_iotable_2020_xlsx_3[[#This Row],[2039]]+scenario_indirect_prod_1610_iotable_2020_xlsx_3[[#This Row],[2039]]</f>
        <v>51759.310499966843</v>
      </c>
      <c r="Q101">
        <f>scenario_indirect_prod_4506_iotable_2020_xlsx_3[[#This Row],[2040]]+scenario_indirect_prod_1610_iotable_2020_xlsx_3[[#This Row],[2040]]</f>
        <v>52300.51204638154</v>
      </c>
      <c r="R101">
        <f>scenario_indirect_prod_4506_iotable_2020_xlsx_3[[#This Row],[2041]]+scenario_indirect_prod_1610_iotable_2020_xlsx_3[[#This Row],[2041]]</f>
        <v>52300.51204638154</v>
      </c>
      <c r="S101">
        <f>scenario_indirect_prod_4506_iotable_2020_xlsx_3[[#This Row],[2042]]+scenario_indirect_prod_1610_iotable_2020_xlsx_3[[#This Row],[2042]]</f>
        <v>52974.736990555743</v>
      </c>
      <c r="T101">
        <f>scenario_indirect_prod_4506_iotable_2020_xlsx_3[[#This Row],[2043]]+scenario_indirect_prod_1610_iotable_2020_xlsx_3[[#This Row],[2043]]</f>
        <v>52974.736990555743</v>
      </c>
      <c r="U101">
        <f>scenario_indirect_prod_4506_iotable_2020_xlsx_3[[#This Row],[2044]]+scenario_indirect_prod_1610_iotable_2020_xlsx_3[[#This Row],[2044]]</f>
        <v>53383.254793626547</v>
      </c>
      <c r="V101">
        <f>scenario_indirect_prod_4506_iotable_2020_xlsx_3[[#This Row],[2045]]+scenario_indirect_prod_1610_iotable_2020_xlsx_3[[#This Row],[2045]]</f>
        <v>53383.254793626547</v>
      </c>
      <c r="W101">
        <f>scenario_indirect_prod_4506_iotable_2020_xlsx_3[[#This Row],[2046]]+scenario_indirect_prod_1610_iotable_2020_xlsx_3[[#This Row],[2046]]</f>
        <v>53804.923225288599</v>
      </c>
      <c r="X101">
        <f>scenario_indirect_prod_4506_iotable_2020_xlsx_3[[#This Row],[2047]]+scenario_indirect_prod_1610_iotable_2020_xlsx_3[[#This Row],[2047]]</f>
        <v>53804.923225288599</v>
      </c>
      <c r="Y101">
        <f>scenario_indirect_prod_4506_iotable_2020_xlsx_3[[#This Row],[2048]]+scenario_indirect_prod_1610_iotable_2020_xlsx_3[[#This Row],[2048]]</f>
        <v>53804.923225288599</v>
      </c>
      <c r="Z101">
        <f>scenario_indirect_prod_4506_iotable_2020_xlsx_3[[#This Row],[2049]]+scenario_indirect_prod_1610_iotable_2020_xlsx_3[[#This Row],[2049]]</f>
        <v>53804.923225288599</v>
      </c>
      <c r="AA101">
        <f>scenario_indirect_prod_4506_iotable_2020_xlsx_3[[#This Row],[2050]]+scenario_indirect_prod_1610_iotable_2020_xlsx_3[[#This Row],[2050]]</f>
        <v>53804.923225288599</v>
      </c>
    </row>
    <row r="102" spans="1:27" x14ac:dyDescent="0.2">
      <c r="A102" t="s">
        <v>456</v>
      </c>
      <c r="B102" t="s">
        <v>457</v>
      </c>
      <c r="C102">
        <f>scenario_indirect_prod_4506_iotable_2020_xlsx_3[[#This Row],[2026]]+scenario_indirect_prod_1610_iotable_2020_xlsx_3[[#This Row],[2026]]</f>
        <v>24178.790143753595</v>
      </c>
      <c r="D102">
        <f>scenario_indirect_prod_4506_iotable_2020_xlsx_3[[#This Row],[2027]]+scenario_indirect_prod_1610_iotable_2020_xlsx_3[[#This Row],[2027]]</f>
        <v>24682.261315575626</v>
      </c>
      <c r="E102">
        <f>scenario_indirect_prod_4506_iotable_2020_xlsx_3[[#This Row],[2028]]+scenario_indirect_prod_1610_iotable_2020_xlsx_3[[#This Row],[2028]]</f>
        <v>25839.077240711642</v>
      </c>
      <c r="F102">
        <f>scenario_indirect_prod_4506_iotable_2020_xlsx_3[[#This Row],[2029]]+scenario_indirect_prod_1610_iotable_2020_xlsx_3[[#This Row],[2029]]</f>
        <v>26863.955094907476</v>
      </c>
      <c r="G102">
        <f>scenario_indirect_prod_4506_iotable_2020_xlsx_3[[#This Row],[2030]]+scenario_indirect_prod_1610_iotable_2020_xlsx_3[[#This Row],[2030]]</f>
        <v>27515.254219719031</v>
      </c>
      <c r="H102">
        <f>scenario_indirect_prod_4506_iotable_2020_xlsx_3[[#This Row],[2031]]+scenario_indirect_prod_1610_iotable_2020_xlsx_3[[#This Row],[2031]]</f>
        <v>29076.029826396309</v>
      </c>
      <c r="I102">
        <f>scenario_indirect_prod_4506_iotable_2020_xlsx_3[[#This Row],[2032]]+scenario_indirect_prod_1610_iotable_2020_xlsx_3[[#This Row],[2032]]</f>
        <v>31255.791856027277</v>
      </c>
      <c r="J102">
        <f>scenario_indirect_prod_4506_iotable_2020_xlsx_3[[#This Row],[2033]]+scenario_indirect_prod_1610_iotable_2020_xlsx_3[[#This Row],[2033]]</f>
        <v>35579.804489909824</v>
      </c>
      <c r="K102">
        <f>scenario_indirect_prod_4506_iotable_2020_xlsx_3[[#This Row],[2034]]+scenario_indirect_prod_1610_iotable_2020_xlsx_3[[#This Row],[2034]]</f>
        <v>37608.186707209352</v>
      </c>
      <c r="L102">
        <f>scenario_indirect_prod_4506_iotable_2020_xlsx_3[[#This Row],[2035]]+scenario_indirect_prod_1610_iotable_2020_xlsx_3[[#This Row],[2035]]</f>
        <v>43816.349590622951</v>
      </c>
      <c r="M102">
        <f>scenario_indirect_prod_4506_iotable_2020_xlsx_3[[#This Row],[2036]]+scenario_indirect_prod_1610_iotable_2020_xlsx_3[[#This Row],[2036]]</f>
        <v>46388.967575707284</v>
      </c>
      <c r="N102">
        <f>scenario_indirect_prod_4506_iotable_2020_xlsx_3[[#This Row],[2037]]+scenario_indirect_prod_1610_iotable_2020_xlsx_3[[#This Row],[2037]]</f>
        <v>48719.922592004936</v>
      </c>
      <c r="O102">
        <f>scenario_indirect_prod_4506_iotable_2020_xlsx_3[[#This Row],[2038]]+scenario_indirect_prod_1610_iotable_2020_xlsx_3[[#This Row],[2038]]</f>
        <v>48719.922592004936</v>
      </c>
      <c r="P102">
        <f>scenario_indirect_prod_4506_iotable_2020_xlsx_3[[#This Row],[2039]]+scenario_indirect_prod_1610_iotable_2020_xlsx_3[[#This Row],[2039]]</f>
        <v>48719.922592004936</v>
      </c>
      <c r="Q102">
        <f>scenario_indirect_prod_4506_iotable_2020_xlsx_3[[#This Row],[2040]]+scenario_indirect_prod_1610_iotable_2020_xlsx_3[[#This Row],[2040]]</f>
        <v>50752.243742064558</v>
      </c>
      <c r="R102">
        <f>scenario_indirect_prod_4506_iotable_2020_xlsx_3[[#This Row],[2041]]+scenario_indirect_prod_1610_iotable_2020_xlsx_3[[#This Row],[2041]]</f>
        <v>50752.243742064558</v>
      </c>
      <c r="S102">
        <f>scenario_indirect_prod_4506_iotable_2020_xlsx_3[[#This Row],[2042]]+scenario_indirect_prod_1610_iotable_2020_xlsx_3[[#This Row],[2042]]</f>
        <v>53039.752480514609</v>
      </c>
      <c r="T102">
        <f>scenario_indirect_prod_4506_iotable_2020_xlsx_3[[#This Row],[2043]]+scenario_indirect_prod_1610_iotable_2020_xlsx_3[[#This Row],[2043]]</f>
        <v>53039.752480514609</v>
      </c>
      <c r="U102">
        <f>scenario_indirect_prod_4506_iotable_2020_xlsx_3[[#This Row],[2044]]+scenario_indirect_prod_1610_iotable_2020_xlsx_3[[#This Row],[2044]]</f>
        <v>55081.004144284365</v>
      </c>
      <c r="V102">
        <f>scenario_indirect_prod_4506_iotable_2020_xlsx_3[[#This Row],[2045]]+scenario_indirect_prod_1610_iotable_2020_xlsx_3[[#This Row],[2045]]</f>
        <v>55081.004144284365</v>
      </c>
      <c r="W102">
        <f>scenario_indirect_prod_4506_iotable_2020_xlsx_3[[#This Row],[2046]]+scenario_indirect_prod_1610_iotable_2020_xlsx_3[[#This Row],[2046]]</f>
        <v>56861.645053066895</v>
      </c>
      <c r="X102">
        <f>scenario_indirect_prod_4506_iotable_2020_xlsx_3[[#This Row],[2047]]+scenario_indirect_prod_1610_iotable_2020_xlsx_3[[#This Row],[2047]]</f>
        <v>56861.645053066895</v>
      </c>
      <c r="Y102">
        <f>scenario_indirect_prod_4506_iotable_2020_xlsx_3[[#This Row],[2048]]+scenario_indirect_prod_1610_iotable_2020_xlsx_3[[#This Row],[2048]]</f>
        <v>56861.645053066895</v>
      </c>
      <c r="Z102">
        <f>scenario_indirect_prod_4506_iotable_2020_xlsx_3[[#This Row],[2049]]+scenario_indirect_prod_1610_iotable_2020_xlsx_3[[#This Row],[2049]]</f>
        <v>56861.645053066895</v>
      </c>
      <c r="AA102">
        <f>scenario_indirect_prod_4506_iotable_2020_xlsx_3[[#This Row],[2050]]+scenario_indirect_prod_1610_iotable_2020_xlsx_3[[#This Row],[2050]]</f>
        <v>56861.645053066895</v>
      </c>
    </row>
    <row r="103" spans="1:27" x14ac:dyDescent="0.2">
      <c r="A103" t="s">
        <v>533</v>
      </c>
      <c r="B103" t="s">
        <v>534</v>
      </c>
      <c r="C103">
        <f>scenario_indirect_prod_4506_iotable_2020_xlsx_3[[#This Row],[2026]]+scenario_indirect_prod_1610_iotable_2020_xlsx_3[[#This Row],[2026]]</f>
        <v>11970.716079663225</v>
      </c>
      <c r="D103">
        <f>scenario_indirect_prod_4506_iotable_2020_xlsx_3[[#This Row],[2027]]+scenario_indirect_prod_1610_iotable_2020_xlsx_3[[#This Row],[2027]]</f>
        <v>12322.501867532801</v>
      </c>
      <c r="E103">
        <f>scenario_indirect_prod_4506_iotable_2020_xlsx_3[[#This Row],[2028]]+scenario_indirect_prod_1610_iotable_2020_xlsx_3[[#This Row],[2028]]</f>
        <v>12889.138244659185</v>
      </c>
      <c r="F103">
        <f>scenario_indirect_prod_4506_iotable_2020_xlsx_3[[#This Row],[2029]]+scenario_indirect_prod_1610_iotable_2020_xlsx_3[[#This Row],[2029]]</f>
        <v>13433.217552255008</v>
      </c>
      <c r="G103">
        <f>scenario_indirect_prod_4506_iotable_2020_xlsx_3[[#This Row],[2030]]+scenario_indirect_prod_1610_iotable_2020_xlsx_3[[#This Row],[2030]]</f>
        <v>14108.834380284547</v>
      </c>
      <c r="H103">
        <f>scenario_indirect_prod_4506_iotable_2020_xlsx_3[[#This Row],[2031]]+scenario_indirect_prod_1610_iotable_2020_xlsx_3[[#This Row],[2031]]</f>
        <v>14873.339965017803</v>
      </c>
      <c r="I103">
        <f>scenario_indirect_prod_4506_iotable_2020_xlsx_3[[#This Row],[2032]]+scenario_indirect_prod_1610_iotable_2020_xlsx_3[[#This Row],[2032]]</f>
        <v>15941.040048177128</v>
      </c>
      <c r="J103">
        <f>scenario_indirect_prod_4506_iotable_2020_xlsx_3[[#This Row],[2033]]+scenario_indirect_prod_1610_iotable_2020_xlsx_3[[#This Row],[2033]]</f>
        <v>18257.972776734154</v>
      </c>
      <c r="K103">
        <f>scenario_indirect_prod_4506_iotable_2020_xlsx_3[[#This Row],[2034]]+scenario_indirect_prod_1610_iotable_2020_xlsx_3[[#This Row],[2034]]</f>
        <v>19251.523372005446</v>
      </c>
      <c r="L103">
        <f>scenario_indirect_prod_4506_iotable_2020_xlsx_3[[#This Row],[2035]]+scenario_indirect_prod_1610_iotable_2020_xlsx_3[[#This Row],[2035]]</f>
        <v>22544.249217474484</v>
      </c>
      <c r="M103">
        <f>scenario_indirect_prod_4506_iotable_2020_xlsx_3[[#This Row],[2036]]+scenario_indirect_prod_1610_iotable_2020_xlsx_3[[#This Row],[2036]]</f>
        <v>23969.667841666862</v>
      </c>
      <c r="N103">
        <f>scenario_indirect_prod_4506_iotable_2020_xlsx_3[[#This Row],[2037]]+scenario_indirect_prod_1610_iotable_2020_xlsx_3[[#This Row],[2037]]</f>
        <v>25255.921809105577</v>
      </c>
      <c r="O103">
        <f>scenario_indirect_prod_4506_iotable_2020_xlsx_3[[#This Row],[2038]]+scenario_indirect_prod_1610_iotable_2020_xlsx_3[[#This Row],[2038]]</f>
        <v>25255.921809105577</v>
      </c>
      <c r="P103">
        <f>scenario_indirect_prod_4506_iotable_2020_xlsx_3[[#This Row],[2039]]+scenario_indirect_prod_1610_iotable_2020_xlsx_3[[#This Row],[2039]]</f>
        <v>25255.921809105577</v>
      </c>
      <c r="Q103">
        <f>scenario_indirect_prod_4506_iotable_2020_xlsx_3[[#This Row],[2040]]+scenario_indirect_prod_1610_iotable_2020_xlsx_3[[#This Row],[2040]]</f>
        <v>26378.255740510744</v>
      </c>
      <c r="R103">
        <f>scenario_indirect_prod_4506_iotable_2020_xlsx_3[[#This Row],[2041]]+scenario_indirect_prod_1610_iotable_2020_xlsx_3[[#This Row],[2041]]</f>
        <v>26378.255740510744</v>
      </c>
      <c r="S103">
        <f>scenario_indirect_prod_4506_iotable_2020_xlsx_3[[#This Row],[2042]]+scenario_indirect_prod_1610_iotable_2020_xlsx_3[[#This Row],[2042]]</f>
        <v>27638.748180754847</v>
      </c>
      <c r="T103">
        <f>scenario_indirect_prod_4506_iotable_2020_xlsx_3[[#This Row],[2043]]+scenario_indirect_prod_1610_iotable_2020_xlsx_3[[#This Row],[2043]]</f>
        <v>27638.748180754847</v>
      </c>
      <c r="U103">
        <f>scenario_indirect_prod_4506_iotable_2020_xlsx_3[[#This Row],[2044]]+scenario_indirect_prod_1610_iotable_2020_xlsx_3[[#This Row],[2044]]</f>
        <v>28771.757218136107</v>
      </c>
      <c r="V103">
        <f>scenario_indirect_prod_4506_iotable_2020_xlsx_3[[#This Row],[2045]]+scenario_indirect_prod_1610_iotable_2020_xlsx_3[[#This Row],[2045]]</f>
        <v>28771.757218136107</v>
      </c>
      <c r="W103">
        <f>scenario_indirect_prod_4506_iotable_2020_xlsx_3[[#This Row],[2046]]+scenario_indirect_prod_1610_iotable_2020_xlsx_3[[#This Row],[2046]]</f>
        <v>29757.335610018523</v>
      </c>
      <c r="X103">
        <f>scenario_indirect_prod_4506_iotable_2020_xlsx_3[[#This Row],[2047]]+scenario_indirect_prod_1610_iotable_2020_xlsx_3[[#This Row],[2047]]</f>
        <v>29757.335610018523</v>
      </c>
      <c r="Y103">
        <f>scenario_indirect_prod_4506_iotable_2020_xlsx_3[[#This Row],[2048]]+scenario_indirect_prod_1610_iotable_2020_xlsx_3[[#This Row],[2048]]</f>
        <v>29757.335610018523</v>
      </c>
      <c r="Z103">
        <f>scenario_indirect_prod_4506_iotable_2020_xlsx_3[[#This Row],[2049]]+scenario_indirect_prod_1610_iotable_2020_xlsx_3[[#This Row],[2049]]</f>
        <v>29757.335610018523</v>
      </c>
      <c r="AA103">
        <f>scenario_indirect_prod_4506_iotable_2020_xlsx_3[[#This Row],[2050]]+scenario_indirect_prod_1610_iotable_2020_xlsx_3[[#This Row],[2050]]</f>
        <v>29757.335610018523</v>
      </c>
    </row>
    <row r="104" spans="1:27" x14ac:dyDescent="0.2">
      <c r="A104" t="s">
        <v>716</v>
      </c>
      <c r="B104" t="s">
        <v>717</v>
      </c>
      <c r="C104">
        <f>scenario_indirect_prod_4506_iotable_2020_xlsx_3[[#This Row],[2026]]+scenario_indirect_prod_1610_iotable_2020_xlsx_3[[#This Row],[2026]]</f>
        <v>927.20315602661958</v>
      </c>
      <c r="D104">
        <f>scenario_indirect_prod_4506_iotable_2020_xlsx_3[[#This Row],[2027]]+scenario_indirect_prod_1610_iotable_2020_xlsx_3[[#This Row],[2027]]</f>
        <v>-618.95627158965135</v>
      </c>
      <c r="E104">
        <f>scenario_indirect_prod_4506_iotable_2020_xlsx_3[[#This Row],[2028]]+scenario_indirect_prod_1610_iotable_2020_xlsx_3[[#This Row],[2028]]</f>
        <v>-481.54964965638874</v>
      </c>
      <c r="F104">
        <f>scenario_indirect_prod_4506_iotable_2020_xlsx_3[[#This Row],[2029]]+scenario_indirect_prod_1610_iotable_2020_xlsx_3[[#This Row],[2029]]</f>
        <v>-1002.1993977267912</v>
      </c>
      <c r="G104">
        <f>scenario_indirect_prod_4506_iotable_2020_xlsx_3[[#This Row],[2030]]+scenario_indirect_prod_1610_iotable_2020_xlsx_3[[#This Row],[2030]]</f>
        <v>-6369.9156328223444</v>
      </c>
      <c r="H104">
        <f>scenario_indirect_prod_4506_iotable_2020_xlsx_3[[#This Row],[2031]]+scenario_indirect_prod_1610_iotable_2020_xlsx_3[[#This Row],[2031]]</f>
        <v>-6184.5266707157407</v>
      </c>
      <c r="I104">
        <f>scenario_indirect_prod_4506_iotable_2020_xlsx_3[[#This Row],[2032]]+scenario_indirect_prod_1610_iotable_2020_xlsx_3[[#This Row],[2032]]</f>
        <v>-5925.6144871937458</v>
      </c>
      <c r="J104">
        <f>scenario_indirect_prod_4506_iotable_2020_xlsx_3[[#This Row],[2033]]+scenario_indirect_prod_1610_iotable_2020_xlsx_3[[#This Row],[2033]]</f>
        <v>-8449.552526857351</v>
      </c>
      <c r="K104">
        <f>scenario_indirect_prod_4506_iotable_2020_xlsx_3[[#This Row],[2034]]+scenario_indirect_prod_1610_iotable_2020_xlsx_3[[#This Row],[2034]]</f>
        <v>-8208.6212408916454</v>
      </c>
      <c r="L104">
        <f>scenario_indirect_prod_4506_iotable_2020_xlsx_3[[#This Row],[2035]]+scenario_indirect_prod_1610_iotable_2020_xlsx_3[[#This Row],[2035]]</f>
        <v>-11316.384214606183</v>
      </c>
      <c r="M104">
        <f>scenario_indirect_prod_4506_iotable_2020_xlsx_3[[#This Row],[2036]]+scenario_indirect_prod_1610_iotable_2020_xlsx_3[[#This Row],[2036]]</f>
        <v>-13534.701636070056</v>
      </c>
      <c r="N104">
        <f>scenario_indirect_prod_4506_iotable_2020_xlsx_3[[#This Row],[2037]]+scenario_indirect_prod_1610_iotable_2020_xlsx_3[[#This Row],[2037]]</f>
        <v>-15464.232672113956</v>
      </c>
      <c r="O104">
        <f>scenario_indirect_prod_4506_iotable_2020_xlsx_3[[#This Row],[2038]]+scenario_indirect_prod_1610_iotable_2020_xlsx_3[[#This Row],[2038]]</f>
        <v>-15464.232672113956</v>
      </c>
      <c r="P104">
        <f>scenario_indirect_prod_4506_iotable_2020_xlsx_3[[#This Row],[2039]]+scenario_indirect_prod_1610_iotable_2020_xlsx_3[[#This Row],[2039]]</f>
        <v>-15464.232672113956</v>
      </c>
      <c r="Q104">
        <f>scenario_indirect_prod_4506_iotable_2020_xlsx_3[[#This Row],[2040]]+scenario_indirect_prod_1610_iotable_2020_xlsx_3[[#This Row],[2040]]</f>
        <v>-17159.848948615821</v>
      </c>
      <c r="R104">
        <f>scenario_indirect_prod_4506_iotable_2020_xlsx_3[[#This Row],[2041]]+scenario_indirect_prod_1610_iotable_2020_xlsx_3[[#This Row],[2041]]</f>
        <v>-17159.848948615821</v>
      </c>
      <c r="S104">
        <f>scenario_indirect_prod_4506_iotable_2020_xlsx_3[[#This Row],[2042]]+scenario_indirect_prod_1610_iotable_2020_xlsx_3[[#This Row],[2042]]</f>
        <v>-19026.125004429749</v>
      </c>
      <c r="T104">
        <f>scenario_indirect_prod_4506_iotable_2020_xlsx_3[[#This Row],[2043]]+scenario_indirect_prod_1610_iotable_2020_xlsx_3[[#This Row],[2043]]</f>
        <v>-19026.125004429749</v>
      </c>
      <c r="U104">
        <f>scenario_indirect_prod_4506_iotable_2020_xlsx_3[[#This Row],[2044]]+scenario_indirect_prod_1610_iotable_2020_xlsx_3[[#This Row],[2044]]</f>
        <v>-20816.890374312403</v>
      </c>
      <c r="V104">
        <f>scenario_indirect_prod_4506_iotable_2020_xlsx_3[[#This Row],[2045]]+scenario_indirect_prod_1610_iotable_2020_xlsx_3[[#This Row],[2045]]</f>
        <v>-20816.890374312403</v>
      </c>
      <c r="W104">
        <f>scenario_indirect_prod_4506_iotable_2020_xlsx_3[[#This Row],[2046]]+scenario_indirect_prod_1610_iotable_2020_xlsx_3[[#This Row],[2046]]</f>
        <v>-22336.620115214231</v>
      </c>
      <c r="X104">
        <f>scenario_indirect_prod_4506_iotable_2020_xlsx_3[[#This Row],[2047]]+scenario_indirect_prod_1610_iotable_2020_xlsx_3[[#This Row],[2047]]</f>
        <v>-22336.620115214231</v>
      </c>
      <c r="Y104">
        <f>scenario_indirect_prod_4506_iotable_2020_xlsx_3[[#This Row],[2048]]+scenario_indirect_prod_1610_iotable_2020_xlsx_3[[#This Row],[2048]]</f>
        <v>-22336.620115214231</v>
      </c>
      <c r="Z104">
        <f>scenario_indirect_prod_4506_iotable_2020_xlsx_3[[#This Row],[2049]]+scenario_indirect_prod_1610_iotable_2020_xlsx_3[[#This Row],[2049]]</f>
        <v>-22336.620115214231</v>
      </c>
      <c r="AA104">
        <f>scenario_indirect_prod_4506_iotable_2020_xlsx_3[[#This Row],[2050]]+scenario_indirect_prod_1610_iotable_2020_xlsx_3[[#This Row],[2050]]</f>
        <v>-22336.620115214231</v>
      </c>
    </row>
    <row r="105" spans="1:27" x14ac:dyDescent="0.2">
      <c r="A105" t="s">
        <v>637</v>
      </c>
      <c r="B105" t="s">
        <v>638</v>
      </c>
      <c r="C105">
        <f>scenario_indirect_prod_4506_iotable_2020_xlsx_3[[#This Row],[2026]]+scenario_indirect_prod_1610_iotable_2020_xlsx_3[[#This Row],[2026]]</f>
        <v>-1307.9084687164586</v>
      </c>
      <c r="D105">
        <f>scenario_indirect_prod_4506_iotable_2020_xlsx_3[[#This Row],[2027]]+scenario_indirect_prod_1610_iotable_2020_xlsx_3[[#This Row],[2027]]</f>
        <v>-6529.981444874682</v>
      </c>
      <c r="E105">
        <f>scenario_indirect_prod_4506_iotable_2020_xlsx_3[[#This Row],[2028]]+scenario_indirect_prod_1610_iotable_2020_xlsx_3[[#This Row],[2028]]</f>
        <v>-6283.7961614092919</v>
      </c>
      <c r="F105">
        <f>scenario_indirect_prod_4506_iotable_2020_xlsx_3[[#This Row],[2029]]+scenario_indirect_prod_1610_iotable_2020_xlsx_3[[#This Row],[2029]]</f>
        <v>-8197.3764519154411</v>
      </c>
      <c r="G105">
        <f>scenario_indirect_prod_4506_iotable_2020_xlsx_3[[#This Row],[2030]]+scenario_indirect_prod_1610_iotable_2020_xlsx_3[[#This Row],[2030]]</f>
        <v>-26127.698878564443</v>
      </c>
      <c r="H105">
        <f>scenario_indirect_prod_4506_iotable_2020_xlsx_3[[#This Row],[2031]]+scenario_indirect_prod_1610_iotable_2020_xlsx_3[[#This Row],[2031]]</f>
        <v>-25795.545787647654</v>
      </c>
      <c r="I105">
        <f>scenario_indirect_prod_4506_iotable_2020_xlsx_3[[#This Row],[2032]]+scenario_indirect_prod_1610_iotable_2020_xlsx_3[[#This Row],[2032]]</f>
        <v>-25331.664437562773</v>
      </c>
      <c r="J105">
        <f>scenario_indirect_prod_4506_iotable_2020_xlsx_3[[#This Row],[2033]]+scenario_indirect_prod_1610_iotable_2020_xlsx_3[[#This Row],[2033]]</f>
        <v>-34491.236110347825</v>
      </c>
      <c r="K105">
        <f>scenario_indirect_prod_4506_iotable_2020_xlsx_3[[#This Row],[2034]]+scenario_indirect_prod_1610_iotable_2020_xlsx_3[[#This Row],[2034]]</f>
        <v>-34059.570328185189</v>
      </c>
      <c r="L105">
        <f>scenario_indirect_prod_4506_iotable_2020_xlsx_3[[#This Row],[2035]]+scenario_indirect_prod_1610_iotable_2020_xlsx_3[[#This Row],[2035]]</f>
        <v>-45498.188566153243</v>
      </c>
      <c r="M105">
        <f>scenario_indirect_prod_4506_iotable_2020_xlsx_3[[#This Row],[2036]]+scenario_indirect_prod_1610_iotable_2020_xlsx_3[[#This Row],[2036]]</f>
        <v>-53325.980698189785</v>
      </c>
      <c r="N105">
        <f>scenario_indirect_prod_4506_iotable_2020_xlsx_3[[#This Row],[2037]]+scenario_indirect_prod_1610_iotable_2020_xlsx_3[[#This Row],[2037]]</f>
        <v>-60151.640343208594</v>
      </c>
      <c r="O105">
        <f>scenario_indirect_prod_4506_iotable_2020_xlsx_3[[#This Row],[2038]]+scenario_indirect_prod_1610_iotable_2020_xlsx_3[[#This Row],[2038]]</f>
        <v>-60151.640343208594</v>
      </c>
      <c r="P105">
        <f>scenario_indirect_prod_4506_iotable_2020_xlsx_3[[#This Row],[2039]]+scenario_indirect_prod_1610_iotable_2020_xlsx_3[[#This Row],[2039]]</f>
        <v>-60151.640343208594</v>
      </c>
      <c r="Q105">
        <f>scenario_indirect_prod_4506_iotable_2020_xlsx_3[[#This Row],[2040]]+scenario_indirect_prod_1610_iotable_2020_xlsx_3[[#This Row],[2040]]</f>
        <v>-66146.921855156805</v>
      </c>
      <c r="R105">
        <f>scenario_indirect_prod_4506_iotable_2020_xlsx_3[[#This Row],[2041]]+scenario_indirect_prod_1610_iotable_2020_xlsx_3[[#This Row],[2041]]</f>
        <v>-66146.921855156805</v>
      </c>
      <c r="S105">
        <f>scenario_indirect_prod_4506_iotable_2020_xlsx_3[[#This Row],[2042]]+scenario_indirect_prod_1610_iotable_2020_xlsx_3[[#This Row],[2042]]</f>
        <v>-72754.797558715072</v>
      </c>
      <c r="T105">
        <f>scenario_indirect_prod_4506_iotable_2020_xlsx_3[[#This Row],[2043]]+scenario_indirect_prod_1610_iotable_2020_xlsx_3[[#This Row],[2043]]</f>
        <v>-72754.797558715072</v>
      </c>
      <c r="U105">
        <f>scenario_indirect_prod_4506_iotable_2020_xlsx_3[[#This Row],[2044]]+scenario_indirect_prod_1610_iotable_2020_xlsx_3[[#This Row],[2044]]</f>
        <v>-79067.441021737584</v>
      </c>
      <c r="V105">
        <f>scenario_indirect_prod_4506_iotable_2020_xlsx_3[[#This Row],[2045]]+scenario_indirect_prod_1610_iotable_2020_xlsx_3[[#This Row],[2045]]</f>
        <v>-79067.441021737584</v>
      </c>
      <c r="W105">
        <f>scenario_indirect_prod_4506_iotable_2020_xlsx_3[[#This Row],[2046]]+scenario_indirect_prod_1610_iotable_2020_xlsx_3[[#This Row],[2046]]</f>
        <v>-84433.419936155391</v>
      </c>
      <c r="X105">
        <f>scenario_indirect_prod_4506_iotable_2020_xlsx_3[[#This Row],[2047]]+scenario_indirect_prod_1610_iotable_2020_xlsx_3[[#This Row],[2047]]</f>
        <v>-84433.419936155391</v>
      </c>
      <c r="Y105">
        <f>scenario_indirect_prod_4506_iotable_2020_xlsx_3[[#This Row],[2048]]+scenario_indirect_prod_1610_iotable_2020_xlsx_3[[#This Row],[2048]]</f>
        <v>-84433.419936155391</v>
      </c>
      <c r="Z105">
        <f>scenario_indirect_prod_4506_iotable_2020_xlsx_3[[#This Row],[2049]]+scenario_indirect_prod_1610_iotable_2020_xlsx_3[[#This Row],[2049]]</f>
        <v>-84433.419936155391</v>
      </c>
      <c r="AA105">
        <f>scenario_indirect_prod_4506_iotable_2020_xlsx_3[[#This Row],[2050]]+scenario_indirect_prod_1610_iotable_2020_xlsx_3[[#This Row],[2050]]</f>
        <v>-84433.419936155391</v>
      </c>
    </row>
    <row r="106" spans="1:27" x14ac:dyDescent="0.2">
      <c r="A106" t="s">
        <v>569</v>
      </c>
      <c r="B106" t="s">
        <v>570</v>
      </c>
      <c r="C106">
        <f>scenario_indirect_prod_4506_iotable_2020_xlsx_3[[#This Row],[2026]]+scenario_indirect_prod_1610_iotable_2020_xlsx_3[[#This Row],[2026]]</f>
        <v>7155.9265356243104</v>
      </c>
      <c r="D106">
        <f>scenario_indirect_prod_4506_iotable_2020_xlsx_3[[#This Row],[2027]]+scenario_indirect_prod_1610_iotable_2020_xlsx_3[[#This Row],[2027]]</f>
        <v>6630.3724328980752</v>
      </c>
      <c r="E106">
        <f>scenario_indirect_prod_4506_iotable_2020_xlsx_3[[#This Row],[2028]]+scenario_indirect_prod_1610_iotable_2020_xlsx_3[[#This Row],[2028]]</f>
        <v>7012.8356205043774</v>
      </c>
      <c r="F106">
        <f>scenario_indirect_prod_4506_iotable_2020_xlsx_3[[#This Row],[2029]]+scenario_indirect_prod_1610_iotable_2020_xlsx_3[[#This Row],[2029]]</f>
        <v>7074.8736674847114</v>
      </c>
      <c r="G106">
        <f>scenario_indirect_prod_4506_iotable_2020_xlsx_3[[#This Row],[2030]]+scenario_indirect_prod_1610_iotable_2020_xlsx_3[[#This Row],[2030]]</f>
        <v>4943.9156887156878</v>
      </c>
      <c r="H106">
        <f>scenario_indirect_prod_4506_iotable_2020_xlsx_3[[#This Row],[2031]]+scenario_indirect_prod_1610_iotable_2020_xlsx_3[[#This Row],[2031]]</f>
        <v>5459.9348761225056</v>
      </c>
      <c r="I106">
        <f>scenario_indirect_prod_4506_iotable_2020_xlsx_3[[#This Row],[2032]]+scenario_indirect_prod_1610_iotable_2020_xlsx_3[[#This Row],[2032]]</f>
        <v>6180.6015923745517</v>
      </c>
      <c r="J106">
        <f>scenario_indirect_prod_4506_iotable_2020_xlsx_3[[#This Row],[2033]]+scenario_indirect_prod_1610_iotable_2020_xlsx_3[[#This Row],[2033]]</f>
        <v>6301.3138409756502</v>
      </c>
      <c r="K106">
        <f>scenario_indirect_prod_4506_iotable_2020_xlsx_3[[#This Row],[2034]]+scenario_indirect_prod_1610_iotable_2020_xlsx_3[[#This Row],[2034]]</f>
        <v>6971.9317946670344</v>
      </c>
      <c r="L106">
        <f>scenario_indirect_prod_4506_iotable_2020_xlsx_3[[#This Row],[2035]]+scenario_indirect_prod_1610_iotable_2020_xlsx_3[[#This Row],[2035]]</f>
        <v>7367.5704046048195</v>
      </c>
      <c r="M106">
        <f>scenario_indirect_prod_4506_iotable_2020_xlsx_3[[#This Row],[2036]]+scenario_indirect_prod_1610_iotable_2020_xlsx_3[[#This Row],[2036]]</f>
        <v>7130.5743375093916</v>
      </c>
      <c r="N106">
        <f>scenario_indirect_prod_4506_iotable_2020_xlsx_3[[#This Row],[2037]]+scenario_indirect_prod_1610_iotable_2020_xlsx_3[[#This Row],[2037]]</f>
        <v>6950.4875458535025</v>
      </c>
      <c r="O106">
        <f>scenario_indirect_prod_4506_iotable_2020_xlsx_3[[#This Row],[2038]]+scenario_indirect_prod_1610_iotable_2020_xlsx_3[[#This Row],[2038]]</f>
        <v>6950.4875458535025</v>
      </c>
      <c r="P106">
        <f>scenario_indirect_prod_4506_iotable_2020_xlsx_3[[#This Row],[2039]]+scenario_indirect_prod_1610_iotable_2020_xlsx_3[[#This Row],[2039]]</f>
        <v>6950.4875458535025</v>
      </c>
      <c r="Q106">
        <f>scenario_indirect_prod_4506_iotable_2020_xlsx_3[[#This Row],[2040]]+scenario_indirect_prod_1610_iotable_2020_xlsx_3[[#This Row],[2040]]</f>
        <v>6787.7461506666041</v>
      </c>
      <c r="R106">
        <f>scenario_indirect_prod_4506_iotable_2020_xlsx_3[[#This Row],[2041]]+scenario_indirect_prod_1610_iotable_2020_xlsx_3[[#This Row],[2041]]</f>
        <v>6787.7461506666041</v>
      </c>
      <c r="S106">
        <f>scenario_indirect_prod_4506_iotable_2020_xlsx_3[[#This Row],[2042]]+scenario_indirect_prod_1610_iotable_2020_xlsx_3[[#This Row],[2042]]</f>
        <v>6622.7755855569667</v>
      </c>
      <c r="T106">
        <f>scenario_indirect_prod_4506_iotable_2020_xlsx_3[[#This Row],[2043]]+scenario_indirect_prod_1610_iotable_2020_xlsx_3[[#This Row],[2043]]</f>
        <v>6622.7755855569667</v>
      </c>
      <c r="U106">
        <f>scenario_indirect_prod_4506_iotable_2020_xlsx_3[[#This Row],[2044]]+scenario_indirect_prod_1610_iotable_2020_xlsx_3[[#This Row],[2044]]</f>
        <v>6421.5298593043481</v>
      </c>
      <c r="V106">
        <f>scenario_indirect_prod_4506_iotable_2020_xlsx_3[[#This Row],[2045]]+scenario_indirect_prod_1610_iotable_2020_xlsx_3[[#This Row],[2045]]</f>
        <v>6421.5298593043481</v>
      </c>
      <c r="W106">
        <f>scenario_indirect_prod_4506_iotable_2020_xlsx_3[[#This Row],[2046]]+scenario_indirect_prod_1610_iotable_2020_xlsx_3[[#This Row],[2046]]</f>
        <v>6264.2499224780368</v>
      </c>
      <c r="X106">
        <f>scenario_indirect_prod_4506_iotable_2020_xlsx_3[[#This Row],[2047]]+scenario_indirect_prod_1610_iotable_2020_xlsx_3[[#This Row],[2047]]</f>
        <v>6264.2499224780368</v>
      </c>
      <c r="Y106">
        <f>scenario_indirect_prod_4506_iotable_2020_xlsx_3[[#This Row],[2048]]+scenario_indirect_prod_1610_iotable_2020_xlsx_3[[#This Row],[2048]]</f>
        <v>6264.2499224780368</v>
      </c>
      <c r="Z106">
        <f>scenario_indirect_prod_4506_iotable_2020_xlsx_3[[#This Row],[2049]]+scenario_indirect_prod_1610_iotable_2020_xlsx_3[[#This Row],[2049]]</f>
        <v>6264.2499224780368</v>
      </c>
      <c r="AA106">
        <f>scenario_indirect_prod_4506_iotable_2020_xlsx_3[[#This Row],[2050]]+scenario_indirect_prod_1610_iotable_2020_xlsx_3[[#This Row],[2050]]</f>
        <v>6264.2499224780368</v>
      </c>
    </row>
    <row r="107" spans="1:27" x14ac:dyDescent="0.2">
      <c r="A107" t="s">
        <v>551</v>
      </c>
      <c r="B107" t="s">
        <v>552</v>
      </c>
      <c r="C107">
        <f>scenario_indirect_prod_4506_iotable_2020_xlsx_3[[#This Row],[2026]]+scenario_indirect_prod_1610_iotable_2020_xlsx_3[[#This Row],[2026]]</f>
        <v>9657.8690504354381</v>
      </c>
      <c r="D107">
        <f>scenario_indirect_prod_4506_iotable_2020_xlsx_3[[#This Row],[2027]]+scenario_indirect_prod_1610_iotable_2020_xlsx_3[[#This Row],[2027]]</f>
        <v>9886.937411213632</v>
      </c>
      <c r="E107">
        <f>scenario_indirect_prod_4506_iotable_2020_xlsx_3[[#This Row],[2028]]+scenario_indirect_prod_1610_iotable_2020_xlsx_3[[#This Row],[2028]]</f>
        <v>10347.348774551063</v>
      </c>
      <c r="F107">
        <f>scenario_indirect_prod_4506_iotable_2020_xlsx_3[[#This Row],[2029]]+scenario_indirect_prod_1610_iotable_2020_xlsx_3[[#This Row],[2029]]</f>
        <v>10766.723916728322</v>
      </c>
      <c r="G107">
        <f>scenario_indirect_prod_4506_iotable_2020_xlsx_3[[#This Row],[2030]]+scenario_indirect_prod_1610_iotable_2020_xlsx_3[[#This Row],[2030]]</f>
        <v>11123.206083080842</v>
      </c>
      <c r="H107">
        <f>scenario_indirect_prod_4506_iotable_2020_xlsx_3[[#This Row],[2031]]+scenario_indirect_prod_1610_iotable_2020_xlsx_3[[#This Row],[2031]]</f>
        <v>11744.392919568767</v>
      </c>
      <c r="I107">
        <f>scenario_indirect_prod_4506_iotable_2020_xlsx_3[[#This Row],[2032]]+scenario_indirect_prod_1610_iotable_2020_xlsx_3[[#This Row],[2032]]</f>
        <v>12611.935616731727</v>
      </c>
      <c r="J107">
        <f>scenario_indirect_prod_4506_iotable_2020_xlsx_3[[#This Row],[2033]]+scenario_indirect_prod_1610_iotable_2020_xlsx_3[[#This Row],[2033]]</f>
        <v>14387.14742207774</v>
      </c>
      <c r="K107">
        <f>scenario_indirect_prod_4506_iotable_2020_xlsx_3[[#This Row],[2034]]+scenario_indirect_prod_1610_iotable_2020_xlsx_3[[#This Row],[2034]]</f>
        <v>15194.441133846512</v>
      </c>
      <c r="L107">
        <f>scenario_indirect_prod_4506_iotable_2020_xlsx_3[[#This Row],[2035]]+scenario_indirect_prod_1610_iotable_2020_xlsx_3[[#This Row],[2035]]</f>
        <v>17733.969162315068</v>
      </c>
      <c r="M107">
        <f>scenario_indirect_prod_4506_iotable_2020_xlsx_3[[#This Row],[2036]]+scenario_indirect_prod_1610_iotable_2020_xlsx_3[[#This Row],[2036]]</f>
        <v>18802.952581352831</v>
      </c>
      <c r="N107">
        <f>scenario_indirect_prod_4506_iotable_2020_xlsx_3[[#This Row],[2037]]+scenario_indirect_prod_1610_iotable_2020_xlsx_3[[#This Row],[2037]]</f>
        <v>19770.083054875977</v>
      </c>
      <c r="O107">
        <f>scenario_indirect_prod_4506_iotable_2020_xlsx_3[[#This Row],[2038]]+scenario_indirect_prod_1610_iotable_2020_xlsx_3[[#This Row],[2038]]</f>
        <v>19770.083054875977</v>
      </c>
      <c r="P107">
        <f>scenario_indirect_prod_4506_iotable_2020_xlsx_3[[#This Row],[2039]]+scenario_indirect_prod_1610_iotable_2020_xlsx_3[[#This Row],[2039]]</f>
        <v>19770.083054875977</v>
      </c>
      <c r="Q107">
        <f>scenario_indirect_prod_4506_iotable_2020_xlsx_3[[#This Row],[2040]]+scenario_indirect_prod_1610_iotable_2020_xlsx_3[[#This Row],[2040]]</f>
        <v>20613.545530397165</v>
      </c>
      <c r="R107">
        <f>scenario_indirect_prod_4506_iotable_2020_xlsx_3[[#This Row],[2041]]+scenario_indirect_prod_1610_iotable_2020_xlsx_3[[#This Row],[2041]]</f>
        <v>20613.545530397165</v>
      </c>
      <c r="S107">
        <f>scenario_indirect_prod_4506_iotable_2020_xlsx_3[[#This Row],[2042]]+scenario_indirect_prod_1610_iotable_2020_xlsx_3[[#This Row],[2042]]</f>
        <v>21562.162324474444</v>
      </c>
      <c r="T107">
        <f>scenario_indirect_prod_4506_iotable_2020_xlsx_3[[#This Row],[2043]]+scenario_indirect_prod_1610_iotable_2020_xlsx_3[[#This Row],[2043]]</f>
        <v>21562.162324474444</v>
      </c>
      <c r="U107">
        <f>scenario_indirect_prod_4506_iotable_2020_xlsx_3[[#This Row],[2044]]+scenario_indirect_prod_1610_iotable_2020_xlsx_3[[#This Row],[2044]]</f>
        <v>22410.897738841886</v>
      </c>
      <c r="V107">
        <f>scenario_indirect_prod_4506_iotable_2020_xlsx_3[[#This Row],[2045]]+scenario_indirect_prod_1610_iotable_2020_xlsx_3[[#This Row],[2045]]</f>
        <v>22410.897738841886</v>
      </c>
      <c r="W107">
        <f>scenario_indirect_prod_4506_iotable_2020_xlsx_3[[#This Row],[2046]]+scenario_indirect_prod_1610_iotable_2020_xlsx_3[[#This Row],[2046]]</f>
        <v>23150.51589160366</v>
      </c>
      <c r="X107">
        <f>scenario_indirect_prod_4506_iotable_2020_xlsx_3[[#This Row],[2047]]+scenario_indirect_prod_1610_iotable_2020_xlsx_3[[#This Row],[2047]]</f>
        <v>23150.51589160366</v>
      </c>
      <c r="Y107">
        <f>scenario_indirect_prod_4506_iotable_2020_xlsx_3[[#This Row],[2048]]+scenario_indirect_prod_1610_iotable_2020_xlsx_3[[#This Row],[2048]]</f>
        <v>23150.51589160366</v>
      </c>
      <c r="Z107">
        <f>scenario_indirect_prod_4506_iotable_2020_xlsx_3[[#This Row],[2049]]+scenario_indirect_prod_1610_iotable_2020_xlsx_3[[#This Row],[2049]]</f>
        <v>23150.51589160366</v>
      </c>
      <c r="AA107">
        <f>scenario_indirect_prod_4506_iotable_2020_xlsx_3[[#This Row],[2050]]+scenario_indirect_prod_1610_iotable_2020_xlsx_3[[#This Row],[2050]]</f>
        <v>23150.51589160366</v>
      </c>
    </row>
    <row r="108" spans="1:27" x14ac:dyDescent="0.2">
      <c r="A108" t="s">
        <v>482</v>
      </c>
      <c r="B108" t="s">
        <v>483</v>
      </c>
      <c r="C108">
        <f>scenario_indirect_prod_4506_iotable_2020_xlsx_3[[#This Row],[2026]]+scenario_indirect_prod_1610_iotable_2020_xlsx_3[[#This Row],[2026]]</f>
        <v>19991.116228132618</v>
      </c>
      <c r="D108">
        <f>scenario_indirect_prod_4506_iotable_2020_xlsx_3[[#This Row],[2027]]+scenario_indirect_prod_1610_iotable_2020_xlsx_3[[#This Row],[2027]]</f>
        <v>20954.357930931299</v>
      </c>
      <c r="E108">
        <f>scenario_indirect_prod_4506_iotable_2020_xlsx_3[[#This Row],[2028]]+scenario_indirect_prod_1610_iotable_2020_xlsx_3[[#This Row],[2028]]</f>
        <v>21878.307988798919</v>
      </c>
      <c r="F108">
        <f>scenario_indirect_prod_4506_iotable_2020_xlsx_3[[#This Row],[2029]]+scenario_indirect_prod_1610_iotable_2020_xlsx_3[[#This Row],[2029]]</f>
        <v>22921.326503694112</v>
      </c>
      <c r="G108">
        <f>scenario_indirect_prod_4506_iotable_2020_xlsx_3[[#This Row],[2030]]+scenario_indirect_prod_1610_iotable_2020_xlsx_3[[#This Row],[2030]]</f>
        <v>25344.015404472819</v>
      </c>
      <c r="H108">
        <f>scenario_indirect_prod_4506_iotable_2020_xlsx_3[[#This Row],[2031]]+scenario_indirect_prod_1610_iotable_2020_xlsx_3[[#This Row],[2031]]</f>
        <v>26590.608471505751</v>
      </c>
      <c r="I108">
        <f>scenario_indirect_prod_4506_iotable_2020_xlsx_3[[#This Row],[2032]]+scenario_indirect_prod_1610_iotable_2020_xlsx_3[[#This Row],[2032]]</f>
        <v>28331.586625120275</v>
      </c>
      <c r="J108">
        <f>scenario_indirect_prod_4506_iotable_2020_xlsx_3[[#This Row],[2033]]+scenario_indirect_prod_1610_iotable_2020_xlsx_3[[#This Row],[2033]]</f>
        <v>32846.489845818025</v>
      </c>
      <c r="K108">
        <f>scenario_indirect_prod_4506_iotable_2020_xlsx_3[[#This Row],[2034]]+scenario_indirect_prod_1610_iotable_2020_xlsx_3[[#This Row],[2034]]</f>
        <v>34466.560789111099</v>
      </c>
      <c r="L108">
        <f>scenario_indirect_prod_4506_iotable_2020_xlsx_3[[#This Row],[2035]]+scenario_indirect_prod_1610_iotable_2020_xlsx_3[[#This Row],[2035]]</f>
        <v>40768.518532483271</v>
      </c>
      <c r="M108">
        <f>scenario_indirect_prod_4506_iotable_2020_xlsx_3[[#This Row],[2036]]+scenario_indirect_prod_1610_iotable_2020_xlsx_3[[#This Row],[2036]]</f>
        <v>43705.112659041959</v>
      </c>
      <c r="N108">
        <f>scenario_indirect_prod_4506_iotable_2020_xlsx_3[[#This Row],[2037]]+scenario_indirect_prod_1610_iotable_2020_xlsx_3[[#This Row],[2037]]</f>
        <v>46337.759773391437</v>
      </c>
      <c r="O108">
        <f>scenario_indirect_prod_4506_iotable_2020_xlsx_3[[#This Row],[2038]]+scenario_indirect_prod_1610_iotable_2020_xlsx_3[[#This Row],[2038]]</f>
        <v>46337.759773391437</v>
      </c>
      <c r="P108">
        <f>scenario_indirect_prod_4506_iotable_2020_xlsx_3[[#This Row],[2039]]+scenario_indirect_prod_1610_iotable_2020_xlsx_3[[#This Row],[2039]]</f>
        <v>46337.759773391437</v>
      </c>
      <c r="Q108">
        <f>scenario_indirect_prod_4506_iotable_2020_xlsx_3[[#This Row],[2040]]+scenario_indirect_prod_1610_iotable_2020_xlsx_3[[#This Row],[2040]]</f>
        <v>48637.764788547713</v>
      </c>
      <c r="R108">
        <f>scenario_indirect_prod_4506_iotable_2020_xlsx_3[[#This Row],[2041]]+scenario_indirect_prod_1610_iotable_2020_xlsx_3[[#This Row],[2041]]</f>
        <v>48637.764788547713</v>
      </c>
      <c r="S108">
        <f>scenario_indirect_prod_4506_iotable_2020_xlsx_3[[#This Row],[2042]]+scenario_indirect_prod_1610_iotable_2020_xlsx_3[[#This Row],[2042]]</f>
        <v>51211.807112153532</v>
      </c>
      <c r="T108">
        <f>scenario_indirect_prod_4506_iotable_2020_xlsx_3[[#This Row],[2043]]+scenario_indirect_prod_1610_iotable_2020_xlsx_3[[#This Row],[2043]]</f>
        <v>51211.807112153532</v>
      </c>
      <c r="U108">
        <f>scenario_indirect_prod_4506_iotable_2020_xlsx_3[[#This Row],[2044]]+scenario_indirect_prod_1610_iotable_2020_xlsx_3[[#This Row],[2044]]</f>
        <v>53552.560407064506</v>
      </c>
      <c r="V108">
        <f>scenario_indirect_prod_4506_iotable_2020_xlsx_3[[#This Row],[2045]]+scenario_indirect_prod_1610_iotable_2020_xlsx_3[[#This Row],[2045]]</f>
        <v>53552.560407064506</v>
      </c>
      <c r="W108">
        <f>scenario_indirect_prod_4506_iotable_2020_xlsx_3[[#This Row],[2046]]+scenario_indirect_prod_1610_iotable_2020_xlsx_3[[#This Row],[2046]]</f>
        <v>55579.648780629956</v>
      </c>
      <c r="X108">
        <f>scenario_indirect_prod_4506_iotable_2020_xlsx_3[[#This Row],[2047]]+scenario_indirect_prod_1610_iotable_2020_xlsx_3[[#This Row],[2047]]</f>
        <v>55579.648780629956</v>
      </c>
      <c r="Y108">
        <f>scenario_indirect_prod_4506_iotable_2020_xlsx_3[[#This Row],[2048]]+scenario_indirect_prod_1610_iotable_2020_xlsx_3[[#This Row],[2048]]</f>
        <v>55579.648780629956</v>
      </c>
      <c r="Z108">
        <f>scenario_indirect_prod_4506_iotable_2020_xlsx_3[[#This Row],[2049]]+scenario_indirect_prod_1610_iotable_2020_xlsx_3[[#This Row],[2049]]</f>
        <v>55579.648780629956</v>
      </c>
      <c r="AA108">
        <f>scenario_indirect_prod_4506_iotable_2020_xlsx_3[[#This Row],[2050]]+scenario_indirect_prod_1610_iotable_2020_xlsx_3[[#This Row],[2050]]</f>
        <v>55579.648780629956</v>
      </c>
    </row>
    <row r="109" spans="1:27" x14ac:dyDescent="0.2">
      <c r="A109" t="s">
        <v>573</v>
      </c>
      <c r="B109" t="s">
        <v>574</v>
      </c>
      <c r="C109">
        <f>scenario_indirect_prod_4506_iotable_2020_xlsx_3[[#This Row],[2026]]+scenario_indirect_prod_1610_iotable_2020_xlsx_3[[#This Row],[2026]]</f>
        <v>7881.866718601882</v>
      </c>
      <c r="D109">
        <f>scenario_indirect_prod_4506_iotable_2020_xlsx_3[[#This Row],[2027]]+scenario_indirect_prod_1610_iotable_2020_xlsx_3[[#This Row],[2027]]</f>
        <v>8006.9739551541415</v>
      </c>
      <c r="E109">
        <f>scenario_indirect_prod_4506_iotable_2020_xlsx_3[[#This Row],[2028]]+scenario_indirect_prod_1610_iotable_2020_xlsx_3[[#This Row],[2028]]</f>
        <v>8386.394845711684</v>
      </c>
      <c r="F109">
        <f>scenario_indirect_prod_4506_iotable_2020_xlsx_3[[#This Row],[2029]]+scenario_indirect_prod_1610_iotable_2020_xlsx_3[[#This Row],[2029]]</f>
        <v>8706.5317694135683</v>
      </c>
      <c r="G109">
        <f>scenario_indirect_prod_4506_iotable_2020_xlsx_3[[#This Row],[2030]]+scenario_indirect_prod_1610_iotable_2020_xlsx_3[[#This Row],[2030]]</f>
        <v>8784.4435769617812</v>
      </c>
      <c r="H109">
        <f>scenario_indirect_prod_4506_iotable_2020_xlsx_3[[#This Row],[2031]]+scenario_indirect_prod_1610_iotable_2020_xlsx_3[[#This Row],[2031]]</f>
        <v>9296.3580983462889</v>
      </c>
      <c r="I109">
        <f>scenario_indirect_prod_4506_iotable_2020_xlsx_3[[#This Row],[2032]]+scenario_indirect_prod_1610_iotable_2020_xlsx_3[[#This Row],[2032]]</f>
        <v>10011.292283220046</v>
      </c>
      <c r="J109">
        <f>scenario_indirect_prod_4506_iotable_2020_xlsx_3[[#This Row],[2033]]+scenario_indirect_prod_1610_iotable_2020_xlsx_3[[#This Row],[2033]]</f>
        <v>11353.809564236939</v>
      </c>
      <c r="K109">
        <f>scenario_indirect_prod_4506_iotable_2020_xlsx_3[[#This Row],[2034]]+scenario_indirect_prod_1610_iotable_2020_xlsx_3[[#This Row],[2034]]</f>
        <v>12019.093098597326</v>
      </c>
      <c r="L109">
        <f>scenario_indirect_prod_4506_iotable_2020_xlsx_3[[#This Row],[2035]]+scenario_indirect_prod_1610_iotable_2020_xlsx_3[[#This Row],[2035]]</f>
        <v>13959.459489758476</v>
      </c>
      <c r="M109">
        <f>scenario_indirect_prod_4506_iotable_2020_xlsx_3[[#This Row],[2036]]+scenario_indirect_prod_1610_iotable_2020_xlsx_3[[#This Row],[2036]]</f>
        <v>14740.343206609054</v>
      </c>
      <c r="N109">
        <f>scenario_indirect_prod_4506_iotable_2020_xlsx_3[[#This Row],[2037]]+scenario_indirect_prod_1610_iotable_2020_xlsx_3[[#This Row],[2037]]</f>
        <v>15449.877281953319</v>
      </c>
      <c r="O109">
        <f>scenario_indirect_prod_4506_iotable_2020_xlsx_3[[#This Row],[2038]]+scenario_indirect_prod_1610_iotable_2020_xlsx_3[[#This Row],[2038]]</f>
        <v>15449.877281953319</v>
      </c>
      <c r="P109">
        <f>scenario_indirect_prod_4506_iotable_2020_xlsx_3[[#This Row],[2039]]+scenario_indirect_prod_1610_iotable_2020_xlsx_3[[#This Row],[2039]]</f>
        <v>15449.877281953319</v>
      </c>
      <c r="Q109">
        <f>scenario_indirect_prod_4506_iotable_2020_xlsx_3[[#This Row],[2040]]+scenario_indirect_prod_1610_iotable_2020_xlsx_3[[#This Row],[2040]]</f>
        <v>16068.17709015646</v>
      </c>
      <c r="R109">
        <f>scenario_indirect_prod_4506_iotable_2020_xlsx_3[[#This Row],[2041]]+scenario_indirect_prod_1610_iotable_2020_xlsx_3[[#This Row],[2041]]</f>
        <v>16068.17709015646</v>
      </c>
      <c r="S109">
        <f>scenario_indirect_prod_4506_iotable_2020_xlsx_3[[#This Row],[2042]]+scenario_indirect_prod_1610_iotable_2020_xlsx_3[[#This Row],[2042]]</f>
        <v>16765.166439118511</v>
      </c>
      <c r="T109">
        <f>scenario_indirect_prod_4506_iotable_2020_xlsx_3[[#This Row],[2043]]+scenario_indirect_prod_1610_iotable_2020_xlsx_3[[#This Row],[2043]]</f>
        <v>16765.166439118511</v>
      </c>
      <c r="U109">
        <f>scenario_indirect_prod_4506_iotable_2020_xlsx_3[[#This Row],[2044]]+scenario_indirect_prod_1610_iotable_2020_xlsx_3[[#This Row],[2044]]</f>
        <v>17383.997533026057</v>
      </c>
      <c r="V109">
        <f>scenario_indirect_prod_4506_iotable_2020_xlsx_3[[#This Row],[2045]]+scenario_indirect_prod_1610_iotable_2020_xlsx_3[[#This Row],[2045]]</f>
        <v>17383.997533026057</v>
      </c>
      <c r="W109">
        <f>scenario_indirect_prod_4506_iotable_2020_xlsx_3[[#This Row],[2046]]+scenario_indirect_prod_1610_iotable_2020_xlsx_3[[#This Row],[2046]]</f>
        <v>17924.878047646846</v>
      </c>
      <c r="X109">
        <f>scenario_indirect_prod_4506_iotable_2020_xlsx_3[[#This Row],[2047]]+scenario_indirect_prod_1610_iotable_2020_xlsx_3[[#This Row],[2047]]</f>
        <v>17924.878047646846</v>
      </c>
      <c r="Y109">
        <f>scenario_indirect_prod_4506_iotable_2020_xlsx_3[[#This Row],[2048]]+scenario_indirect_prod_1610_iotable_2020_xlsx_3[[#This Row],[2048]]</f>
        <v>17924.878047646846</v>
      </c>
      <c r="Z109">
        <f>scenario_indirect_prod_4506_iotable_2020_xlsx_3[[#This Row],[2049]]+scenario_indirect_prod_1610_iotable_2020_xlsx_3[[#This Row],[2049]]</f>
        <v>17924.878047646846</v>
      </c>
      <c r="AA109">
        <f>scenario_indirect_prod_4506_iotable_2020_xlsx_3[[#This Row],[2050]]+scenario_indirect_prod_1610_iotable_2020_xlsx_3[[#This Row],[2050]]</f>
        <v>17924.878047646846</v>
      </c>
    </row>
    <row r="110" spans="1:27" x14ac:dyDescent="0.2">
      <c r="A110" t="s">
        <v>376</v>
      </c>
      <c r="B110" t="s">
        <v>377</v>
      </c>
      <c r="C110">
        <f>scenario_indirect_prod_4506_iotable_2020_xlsx_3[[#This Row],[2026]]+scenario_indirect_prod_1610_iotable_2020_xlsx_3[[#This Row],[2026]]</f>
        <v>92751.963010203704</v>
      </c>
      <c r="D110">
        <f>scenario_indirect_prod_4506_iotable_2020_xlsx_3[[#This Row],[2027]]+scenario_indirect_prod_1610_iotable_2020_xlsx_3[[#This Row],[2027]]</f>
        <v>99877.702996965512</v>
      </c>
      <c r="E110">
        <f>scenario_indirect_prod_4506_iotable_2020_xlsx_3[[#This Row],[2028]]+scenario_indirect_prod_1610_iotable_2020_xlsx_3[[#This Row],[2028]]</f>
        <v>104006.61657016944</v>
      </c>
      <c r="F110">
        <f>scenario_indirect_prod_4506_iotable_2020_xlsx_3[[#This Row],[2029]]+scenario_indirect_prod_1610_iotable_2020_xlsx_3[[#This Row],[2029]]</f>
        <v>109796.11548955845</v>
      </c>
      <c r="G110">
        <f>scenario_indirect_prod_4506_iotable_2020_xlsx_3[[#This Row],[2030]]+scenario_indirect_prod_1610_iotable_2020_xlsx_3[[#This Row],[2030]]</f>
        <v>130188.06910824089</v>
      </c>
      <c r="H110">
        <f>scenario_indirect_prod_4506_iotable_2020_xlsx_3[[#This Row],[2031]]+scenario_indirect_prod_1610_iotable_2020_xlsx_3[[#This Row],[2031]]</f>
        <v>135758.797732484</v>
      </c>
      <c r="I110">
        <f>scenario_indirect_prod_4506_iotable_2020_xlsx_3[[#This Row],[2032]]+scenario_indirect_prod_1610_iotable_2020_xlsx_3[[#This Row],[2032]]</f>
        <v>143538.81600067968</v>
      </c>
      <c r="J110">
        <f>scenario_indirect_prod_4506_iotable_2020_xlsx_3[[#This Row],[2033]]+scenario_indirect_prod_1610_iotable_2020_xlsx_3[[#This Row],[2033]]</f>
        <v>169050.99287375921</v>
      </c>
      <c r="K110">
        <f>scenario_indirect_prod_4506_iotable_2020_xlsx_3[[#This Row],[2034]]+scenario_indirect_prod_1610_iotable_2020_xlsx_3[[#This Row],[2034]]</f>
        <v>176290.70550796145</v>
      </c>
      <c r="L110">
        <f>scenario_indirect_prod_4506_iotable_2020_xlsx_3[[#This Row],[2035]]+scenario_indirect_prod_1610_iotable_2020_xlsx_3[[#This Row],[2035]]</f>
        <v>211207.58302296605</v>
      </c>
      <c r="M110">
        <f>scenario_indirect_prod_4506_iotable_2020_xlsx_3[[#This Row],[2036]]+scenario_indirect_prod_1610_iotable_2020_xlsx_3[[#This Row],[2036]]</f>
        <v>228764.32431897876</v>
      </c>
      <c r="N110">
        <f>scenario_indirect_prod_4506_iotable_2020_xlsx_3[[#This Row],[2037]]+scenario_indirect_prod_1610_iotable_2020_xlsx_3[[#This Row],[2037]]</f>
        <v>244405.05232637443</v>
      </c>
      <c r="O110">
        <f>scenario_indirect_prod_4506_iotable_2020_xlsx_3[[#This Row],[2038]]+scenario_indirect_prod_1610_iotable_2020_xlsx_3[[#This Row],[2038]]</f>
        <v>244405.05232637443</v>
      </c>
      <c r="P110">
        <f>scenario_indirect_prod_4506_iotable_2020_xlsx_3[[#This Row],[2039]]+scenario_indirect_prod_1610_iotable_2020_xlsx_3[[#This Row],[2039]]</f>
        <v>244405.05232637443</v>
      </c>
      <c r="Q110">
        <f>scenario_indirect_prod_4506_iotable_2020_xlsx_3[[#This Row],[2040]]+scenario_indirect_prod_1610_iotable_2020_xlsx_3[[#This Row],[2040]]</f>
        <v>258086.04234770162</v>
      </c>
      <c r="R110">
        <f>scenario_indirect_prod_4506_iotable_2020_xlsx_3[[#This Row],[2041]]+scenario_indirect_prod_1610_iotable_2020_xlsx_3[[#This Row],[2041]]</f>
        <v>258086.04234770162</v>
      </c>
      <c r="S110">
        <f>scenario_indirect_prod_4506_iotable_2020_xlsx_3[[#This Row],[2042]]+scenario_indirect_prod_1610_iotable_2020_xlsx_3[[#This Row],[2042]]</f>
        <v>273344.69182835019</v>
      </c>
      <c r="T110">
        <f>scenario_indirect_prod_4506_iotable_2020_xlsx_3[[#This Row],[2043]]+scenario_indirect_prod_1610_iotable_2020_xlsx_3[[#This Row],[2043]]</f>
        <v>273344.69182835019</v>
      </c>
      <c r="U110">
        <f>scenario_indirect_prod_4506_iotable_2020_xlsx_3[[#This Row],[2044]]+scenario_indirect_prod_1610_iotable_2020_xlsx_3[[#This Row],[2044]]</f>
        <v>287376.79100243584</v>
      </c>
      <c r="V110">
        <f>scenario_indirect_prod_4506_iotable_2020_xlsx_3[[#This Row],[2045]]+scenario_indirect_prod_1610_iotable_2020_xlsx_3[[#This Row],[2045]]</f>
        <v>287376.79100243584</v>
      </c>
      <c r="W110">
        <f>scenario_indirect_prod_4506_iotable_2020_xlsx_3[[#This Row],[2046]]+scenario_indirect_prod_1610_iotable_2020_xlsx_3[[#This Row],[2046]]</f>
        <v>299476.67941713374</v>
      </c>
      <c r="X110">
        <f>scenario_indirect_prod_4506_iotable_2020_xlsx_3[[#This Row],[2047]]+scenario_indirect_prod_1610_iotable_2020_xlsx_3[[#This Row],[2047]]</f>
        <v>299476.67941713374</v>
      </c>
      <c r="Y110">
        <f>scenario_indirect_prod_4506_iotable_2020_xlsx_3[[#This Row],[2048]]+scenario_indirect_prod_1610_iotable_2020_xlsx_3[[#This Row],[2048]]</f>
        <v>299476.67941713374</v>
      </c>
      <c r="Z110">
        <f>scenario_indirect_prod_4506_iotable_2020_xlsx_3[[#This Row],[2049]]+scenario_indirect_prod_1610_iotable_2020_xlsx_3[[#This Row],[2049]]</f>
        <v>299476.67941713374</v>
      </c>
      <c r="AA110">
        <f>scenario_indirect_prod_4506_iotable_2020_xlsx_3[[#This Row],[2050]]+scenario_indirect_prod_1610_iotable_2020_xlsx_3[[#This Row],[2050]]</f>
        <v>299476.67941713374</v>
      </c>
    </row>
    <row r="111" spans="1:27" x14ac:dyDescent="0.2">
      <c r="A111" t="s">
        <v>360</v>
      </c>
      <c r="B111" t="s">
        <v>361</v>
      </c>
      <c r="C111">
        <f>scenario_indirect_prod_4506_iotable_2020_xlsx_3[[#This Row],[2026]]+scenario_indirect_prod_1610_iotable_2020_xlsx_3[[#This Row],[2026]]</f>
        <v>136263.31621222739</v>
      </c>
      <c r="D111">
        <f>scenario_indirect_prod_4506_iotable_2020_xlsx_3[[#This Row],[2027]]+scenario_indirect_prod_1610_iotable_2020_xlsx_3[[#This Row],[2027]]</f>
        <v>147779.87609373673</v>
      </c>
      <c r="E111">
        <f>scenario_indirect_prod_4506_iotable_2020_xlsx_3[[#This Row],[2028]]+scenario_indirect_prod_1610_iotable_2020_xlsx_3[[#This Row],[2028]]</f>
        <v>153783.43498112049</v>
      </c>
      <c r="F111">
        <f>scenario_indirect_prod_4506_iotable_2020_xlsx_3[[#This Row],[2029]]+scenario_indirect_prod_1610_iotable_2020_xlsx_3[[#This Row],[2029]]</f>
        <v>162663.74442520281</v>
      </c>
      <c r="G111">
        <f>scenario_indirect_prod_4506_iotable_2020_xlsx_3[[#This Row],[2030]]+scenario_indirect_prod_1610_iotable_2020_xlsx_3[[#This Row],[2030]]</f>
        <v>196232.09896706618</v>
      </c>
      <c r="H111">
        <f>scenario_indirect_prod_4506_iotable_2020_xlsx_3[[#This Row],[2031]]+scenario_indirect_prod_1610_iotable_2020_xlsx_3[[#This Row],[2031]]</f>
        <v>204332.0983369551</v>
      </c>
      <c r="I111">
        <f>scenario_indirect_prod_4506_iotable_2020_xlsx_3[[#This Row],[2032]]+scenario_indirect_prod_1610_iotable_2020_xlsx_3[[#This Row],[2032]]</f>
        <v>215644.46828365515</v>
      </c>
      <c r="J111">
        <f>scenario_indirect_prod_4506_iotable_2020_xlsx_3[[#This Row],[2033]]+scenario_indirect_prod_1610_iotable_2020_xlsx_3[[#This Row],[2033]]</f>
        <v>254925.49454925873</v>
      </c>
      <c r="K111">
        <f>scenario_indirect_prod_4506_iotable_2020_xlsx_3[[#This Row],[2034]]+scenario_indirect_prod_1610_iotable_2020_xlsx_3[[#This Row],[2034]]</f>
        <v>265452.24459053949</v>
      </c>
      <c r="L111">
        <f>scenario_indirect_prod_4506_iotable_2020_xlsx_3[[#This Row],[2035]]+scenario_indirect_prod_1610_iotable_2020_xlsx_3[[#This Row],[2035]]</f>
        <v>318989.0813869441</v>
      </c>
      <c r="M111">
        <f>scenario_indirect_prod_4506_iotable_2020_xlsx_3[[#This Row],[2036]]+scenario_indirect_prod_1610_iotable_2020_xlsx_3[[#This Row],[2036]]</f>
        <v>346333.09103034181</v>
      </c>
      <c r="N111">
        <f>scenario_indirect_prod_4506_iotable_2020_xlsx_3[[#This Row],[2037]]+scenario_indirect_prod_1610_iotable_2020_xlsx_3[[#This Row],[2037]]</f>
        <v>370662.71959721763</v>
      </c>
      <c r="O111">
        <f>scenario_indirect_prod_4506_iotable_2020_xlsx_3[[#This Row],[2038]]+scenario_indirect_prod_1610_iotable_2020_xlsx_3[[#This Row],[2038]]</f>
        <v>370662.71959721763</v>
      </c>
      <c r="P111">
        <f>scenario_indirect_prod_4506_iotable_2020_xlsx_3[[#This Row],[2039]]+scenario_indirect_prod_1610_iotable_2020_xlsx_3[[#This Row],[2039]]</f>
        <v>370662.71959721763</v>
      </c>
      <c r="Q111">
        <f>scenario_indirect_prod_4506_iotable_2020_xlsx_3[[#This Row],[2040]]+scenario_indirect_prod_1610_iotable_2020_xlsx_3[[#This Row],[2040]]</f>
        <v>391949.00259126606</v>
      </c>
      <c r="R111">
        <f>scenario_indirect_prod_4506_iotable_2020_xlsx_3[[#This Row],[2041]]+scenario_indirect_prod_1610_iotable_2020_xlsx_3[[#This Row],[2041]]</f>
        <v>391949.00259126606</v>
      </c>
      <c r="S111">
        <f>scenario_indirect_prod_4506_iotable_2020_xlsx_3[[#This Row],[2042]]+scenario_indirect_prod_1610_iotable_2020_xlsx_3[[#This Row],[2042]]</f>
        <v>415673.85133750876</v>
      </c>
      <c r="T111">
        <f>scenario_indirect_prod_4506_iotable_2020_xlsx_3[[#This Row],[2043]]+scenario_indirect_prod_1610_iotable_2020_xlsx_3[[#This Row],[2043]]</f>
        <v>415673.85133750876</v>
      </c>
      <c r="U111">
        <f>scenario_indirect_prod_4506_iotable_2020_xlsx_3[[#This Row],[2044]]+scenario_indirect_prod_1610_iotable_2020_xlsx_3[[#This Row],[2044]]</f>
        <v>437539.88250353275</v>
      </c>
      <c r="V111">
        <f>scenario_indirect_prod_4506_iotable_2020_xlsx_3[[#This Row],[2045]]+scenario_indirect_prod_1610_iotable_2020_xlsx_3[[#This Row],[2045]]</f>
        <v>437539.88250353275</v>
      </c>
      <c r="W111">
        <f>scenario_indirect_prod_4506_iotable_2020_xlsx_3[[#This Row],[2046]]+scenario_indirect_prod_1610_iotable_2020_xlsx_3[[#This Row],[2046]]</f>
        <v>456379.13373950415</v>
      </c>
      <c r="X111">
        <f>scenario_indirect_prod_4506_iotable_2020_xlsx_3[[#This Row],[2047]]+scenario_indirect_prod_1610_iotable_2020_xlsx_3[[#This Row],[2047]]</f>
        <v>456379.13373950415</v>
      </c>
      <c r="Y111">
        <f>scenario_indirect_prod_4506_iotable_2020_xlsx_3[[#This Row],[2048]]+scenario_indirect_prod_1610_iotable_2020_xlsx_3[[#This Row],[2048]]</f>
        <v>456379.13373950415</v>
      </c>
      <c r="Z111">
        <f>scenario_indirect_prod_4506_iotable_2020_xlsx_3[[#This Row],[2049]]+scenario_indirect_prod_1610_iotable_2020_xlsx_3[[#This Row],[2049]]</f>
        <v>456379.13373950415</v>
      </c>
      <c r="AA111">
        <f>scenario_indirect_prod_4506_iotable_2020_xlsx_3[[#This Row],[2050]]+scenario_indirect_prod_1610_iotable_2020_xlsx_3[[#This Row],[2050]]</f>
        <v>456379.13373950415</v>
      </c>
    </row>
    <row r="112" spans="1:27" x14ac:dyDescent="0.2">
      <c r="A112" t="s">
        <v>378</v>
      </c>
      <c r="B112" t="s">
        <v>379</v>
      </c>
      <c r="C112">
        <f>scenario_indirect_prod_4506_iotable_2020_xlsx_3[[#This Row],[2026]]+scenario_indirect_prod_1610_iotable_2020_xlsx_3[[#This Row],[2026]]</f>
        <v>88751.033875341687</v>
      </c>
      <c r="D112">
        <f>scenario_indirect_prod_4506_iotable_2020_xlsx_3[[#This Row],[2027]]+scenario_indirect_prod_1610_iotable_2020_xlsx_3[[#This Row],[2027]]</f>
        <v>94736.015024258711</v>
      </c>
      <c r="E112">
        <f>scenario_indirect_prod_4506_iotable_2020_xlsx_3[[#This Row],[2028]]+scenario_indirect_prod_1610_iotable_2020_xlsx_3[[#This Row],[2028]]</f>
        <v>98736.357807748398</v>
      </c>
      <c r="F112">
        <f>scenario_indirect_prod_4506_iotable_2020_xlsx_3[[#This Row],[2029]]+scenario_indirect_prod_1610_iotable_2020_xlsx_3[[#This Row],[2029]]</f>
        <v>103978.02892345385</v>
      </c>
      <c r="G112">
        <f>scenario_indirect_prod_4506_iotable_2020_xlsx_3[[#This Row],[2030]]+scenario_indirect_prod_1610_iotable_2020_xlsx_3[[#This Row],[2030]]</f>
        <v>120619.53107053752</v>
      </c>
      <c r="H112">
        <f>scenario_indirect_prod_4506_iotable_2020_xlsx_3[[#This Row],[2031]]+scenario_indirect_prod_1610_iotable_2020_xlsx_3[[#This Row],[2031]]</f>
        <v>126016.79203414686</v>
      </c>
      <c r="I112">
        <f>scenario_indirect_prod_4506_iotable_2020_xlsx_3[[#This Row],[2032]]+scenario_indirect_prod_1610_iotable_2020_xlsx_3[[#This Row],[2032]]</f>
        <v>133554.54727721537</v>
      </c>
      <c r="J112">
        <f>scenario_indirect_prod_4506_iotable_2020_xlsx_3[[#This Row],[2033]]+scenario_indirect_prod_1610_iotable_2020_xlsx_3[[#This Row],[2033]]</f>
        <v>156534.33115804999</v>
      </c>
      <c r="K112">
        <f>scenario_indirect_prod_4506_iotable_2020_xlsx_3[[#This Row],[2034]]+scenario_indirect_prod_1610_iotable_2020_xlsx_3[[#This Row],[2034]]</f>
        <v>163548.60541622897</v>
      </c>
      <c r="L112">
        <f>scenario_indirect_prod_4506_iotable_2020_xlsx_3[[#This Row],[2035]]+scenario_indirect_prod_1610_iotable_2020_xlsx_3[[#This Row],[2035]]</f>
        <v>195178.14416198892</v>
      </c>
      <c r="M112">
        <f>scenario_indirect_prod_4506_iotable_2020_xlsx_3[[#This Row],[2036]]+scenario_indirect_prod_1610_iotable_2020_xlsx_3[[#This Row],[2036]]</f>
        <v>210744.1093373184</v>
      </c>
      <c r="N112">
        <f>scenario_indirect_prod_4506_iotable_2020_xlsx_3[[#This Row],[2037]]+scenario_indirect_prod_1610_iotable_2020_xlsx_3[[#This Row],[2037]]</f>
        <v>224635.38040964602</v>
      </c>
      <c r="O112">
        <f>scenario_indirect_prod_4506_iotable_2020_xlsx_3[[#This Row],[2038]]+scenario_indirect_prod_1610_iotable_2020_xlsx_3[[#This Row],[2038]]</f>
        <v>224635.38040964602</v>
      </c>
      <c r="P112">
        <f>scenario_indirect_prod_4506_iotable_2020_xlsx_3[[#This Row],[2039]]+scenario_indirect_prod_1610_iotable_2020_xlsx_3[[#This Row],[2039]]</f>
        <v>224635.38040964602</v>
      </c>
      <c r="Q112">
        <f>scenario_indirect_prod_4506_iotable_2020_xlsx_3[[#This Row],[2040]]+scenario_indirect_prod_1610_iotable_2020_xlsx_3[[#This Row],[2040]]</f>
        <v>236782.0706186599</v>
      </c>
      <c r="R112">
        <f>scenario_indirect_prod_4506_iotable_2020_xlsx_3[[#This Row],[2041]]+scenario_indirect_prod_1610_iotable_2020_xlsx_3[[#This Row],[2041]]</f>
        <v>236782.0706186599</v>
      </c>
      <c r="S112">
        <f>scenario_indirect_prod_4506_iotable_2020_xlsx_3[[#This Row],[2042]]+scenario_indirect_prod_1610_iotable_2020_xlsx_3[[#This Row],[2042]]</f>
        <v>250342.30549029331</v>
      </c>
      <c r="T112">
        <f>scenario_indirect_prod_4506_iotable_2020_xlsx_3[[#This Row],[2043]]+scenario_indirect_prod_1610_iotable_2020_xlsx_3[[#This Row],[2043]]</f>
        <v>250342.30549029331</v>
      </c>
      <c r="U112">
        <f>scenario_indirect_prod_4506_iotable_2020_xlsx_3[[#This Row],[2044]]+scenario_indirect_prod_1610_iotable_2020_xlsx_3[[#This Row],[2044]]</f>
        <v>262774.12404015358</v>
      </c>
      <c r="V112">
        <f>scenario_indirect_prod_4506_iotable_2020_xlsx_3[[#This Row],[2045]]+scenario_indirect_prod_1610_iotable_2020_xlsx_3[[#This Row],[2045]]</f>
        <v>262774.12404015358</v>
      </c>
      <c r="W112">
        <f>scenario_indirect_prod_4506_iotable_2020_xlsx_3[[#This Row],[2046]]+scenario_indirect_prod_1610_iotable_2020_xlsx_3[[#This Row],[2046]]</f>
        <v>273506.68680934689</v>
      </c>
      <c r="X112">
        <f>scenario_indirect_prod_4506_iotable_2020_xlsx_3[[#This Row],[2047]]+scenario_indirect_prod_1610_iotable_2020_xlsx_3[[#This Row],[2047]]</f>
        <v>273506.68680934689</v>
      </c>
      <c r="Y112">
        <f>scenario_indirect_prod_4506_iotable_2020_xlsx_3[[#This Row],[2048]]+scenario_indirect_prod_1610_iotable_2020_xlsx_3[[#This Row],[2048]]</f>
        <v>273506.68680934689</v>
      </c>
      <c r="Z112">
        <f>scenario_indirect_prod_4506_iotable_2020_xlsx_3[[#This Row],[2049]]+scenario_indirect_prod_1610_iotable_2020_xlsx_3[[#This Row],[2049]]</f>
        <v>273506.68680934689</v>
      </c>
      <c r="AA112">
        <f>scenario_indirect_prod_4506_iotable_2020_xlsx_3[[#This Row],[2050]]+scenario_indirect_prod_1610_iotable_2020_xlsx_3[[#This Row],[2050]]</f>
        <v>273506.68680934689</v>
      </c>
    </row>
    <row r="113" spans="1:27" x14ac:dyDescent="0.2">
      <c r="A113" t="s">
        <v>789</v>
      </c>
      <c r="B113" t="s">
        <v>790</v>
      </c>
      <c r="C113">
        <f>scenario_indirect_prod_4506_iotable_2020_xlsx_3[[#This Row],[2026]]+scenario_indirect_prod_1610_iotable_2020_xlsx_3[[#This Row],[2026]]</f>
        <v>1210.2578182947245</v>
      </c>
      <c r="D113">
        <f>scenario_indirect_prod_4506_iotable_2020_xlsx_3[[#This Row],[2027]]+scenario_indirect_prod_1610_iotable_2020_xlsx_3[[#This Row],[2027]]</f>
        <v>1112.0959699647055</v>
      </c>
      <c r="E113">
        <f>scenario_indirect_prod_4506_iotable_2020_xlsx_3[[#This Row],[2028]]+scenario_indirect_prod_1610_iotable_2020_xlsx_3[[#This Row],[2028]]</f>
        <v>1177.3320523965544</v>
      </c>
      <c r="F113">
        <f>scenario_indirect_prod_4506_iotable_2020_xlsx_3[[#This Row],[2029]]+scenario_indirect_prod_1610_iotable_2020_xlsx_3[[#This Row],[2029]]</f>
        <v>1184.5061754114774</v>
      </c>
      <c r="G113">
        <f>scenario_indirect_prod_4506_iotable_2020_xlsx_3[[#This Row],[2030]]+scenario_indirect_prod_1610_iotable_2020_xlsx_3[[#This Row],[2030]]</f>
        <v>792.14837033391836</v>
      </c>
      <c r="H113">
        <f>scenario_indirect_prod_4506_iotable_2020_xlsx_3[[#This Row],[2031]]+scenario_indirect_prod_1610_iotable_2020_xlsx_3[[#This Row],[2031]]</f>
        <v>880.16486796541972</v>
      </c>
      <c r="I113">
        <f>scenario_indirect_prod_4506_iotable_2020_xlsx_3[[#This Row],[2032]]+scenario_indirect_prod_1610_iotable_2020_xlsx_3[[#This Row],[2032]]</f>
        <v>1003.0877395796749</v>
      </c>
      <c r="J113">
        <f>scenario_indirect_prod_4506_iotable_2020_xlsx_3[[#This Row],[2033]]+scenario_indirect_prod_1610_iotable_2020_xlsx_3[[#This Row],[2033]]</f>
        <v>1007.5644377992717</v>
      </c>
      <c r="K113">
        <f>scenario_indirect_prod_4506_iotable_2020_xlsx_3[[#This Row],[2034]]+scenario_indirect_prod_1610_iotable_2020_xlsx_3[[#This Row],[2034]]</f>
        <v>1121.950578805664</v>
      </c>
      <c r="L113">
        <f>scenario_indirect_prod_4506_iotable_2020_xlsx_3[[#This Row],[2035]]+scenario_indirect_prod_1610_iotable_2020_xlsx_3[[#This Row],[2035]]</f>
        <v>1169.0368593912463</v>
      </c>
      <c r="M113">
        <f>scenario_indirect_prod_4506_iotable_2020_xlsx_3[[#This Row],[2036]]+scenario_indirect_prod_1610_iotable_2020_xlsx_3[[#This Row],[2036]]</f>
        <v>1115.2245893575641</v>
      </c>
      <c r="N113">
        <f>scenario_indirect_prod_4506_iotable_2020_xlsx_3[[#This Row],[2037]]+scenario_indirect_prod_1610_iotable_2020_xlsx_3[[#This Row],[2037]]</f>
        <v>1072.8034014831187</v>
      </c>
      <c r="O113">
        <f>scenario_indirect_prod_4506_iotable_2020_xlsx_3[[#This Row],[2038]]+scenario_indirect_prod_1610_iotable_2020_xlsx_3[[#This Row],[2038]]</f>
        <v>1072.8034014831187</v>
      </c>
      <c r="P113">
        <f>scenario_indirect_prod_4506_iotable_2020_xlsx_3[[#This Row],[2039]]+scenario_indirect_prod_1610_iotable_2020_xlsx_3[[#This Row],[2039]]</f>
        <v>1072.8034014831187</v>
      </c>
      <c r="Q113">
        <f>scenario_indirect_prod_4506_iotable_2020_xlsx_3[[#This Row],[2040]]+scenario_indirect_prod_1610_iotable_2020_xlsx_3[[#This Row],[2040]]</f>
        <v>1034.769777429497</v>
      </c>
      <c r="R113">
        <f>scenario_indirect_prod_4506_iotable_2020_xlsx_3[[#This Row],[2041]]+scenario_indirect_prod_1610_iotable_2020_xlsx_3[[#This Row],[2041]]</f>
        <v>1034.769777429497</v>
      </c>
      <c r="S113">
        <f>scenario_indirect_prod_4506_iotable_2020_xlsx_3[[#This Row],[2042]]+scenario_indirect_prod_1610_iotable_2020_xlsx_3[[#This Row],[2042]]</f>
        <v>995.2898556289706</v>
      </c>
      <c r="T113">
        <f>scenario_indirect_prod_4506_iotable_2020_xlsx_3[[#This Row],[2043]]+scenario_indirect_prod_1610_iotable_2020_xlsx_3[[#This Row],[2043]]</f>
        <v>995.2898556289706</v>
      </c>
      <c r="U113">
        <f>scenario_indirect_prod_4506_iotable_2020_xlsx_3[[#This Row],[2044]]+scenario_indirect_prod_1610_iotable_2020_xlsx_3[[#This Row],[2044]]</f>
        <v>950.17825907493125</v>
      </c>
      <c r="V113">
        <f>scenario_indirect_prod_4506_iotable_2020_xlsx_3[[#This Row],[2045]]+scenario_indirect_prod_1610_iotable_2020_xlsx_3[[#This Row],[2045]]</f>
        <v>950.17825907493125</v>
      </c>
      <c r="W113">
        <f>scenario_indirect_prod_4506_iotable_2020_xlsx_3[[#This Row],[2046]]+scenario_indirect_prod_1610_iotable_2020_xlsx_3[[#This Row],[2046]]</f>
        <v>914.16777457632179</v>
      </c>
      <c r="X113">
        <f>scenario_indirect_prod_4506_iotable_2020_xlsx_3[[#This Row],[2047]]+scenario_indirect_prod_1610_iotable_2020_xlsx_3[[#This Row],[2047]]</f>
        <v>914.16777457632179</v>
      </c>
      <c r="Y113">
        <f>scenario_indirect_prod_4506_iotable_2020_xlsx_3[[#This Row],[2048]]+scenario_indirect_prod_1610_iotable_2020_xlsx_3[[#This Row],[2048]]</f>
        <v>914.16777457632179</v>
      </c>
      <c r="Z113">
        <f>scenario_indirect_prod_4506_iotable_2020_xlsx_3[[#This Row],[2049]]+scenario_indirect_prod_1610_iotable_2020_xlsx_3[[#This Row],[2049]]</f>
        <v>914.16777457632179</v>
      </c>
      <c r="AA113">
        <f>scenario_indirect_prod_4506_iotable_2020_xlsx_3[[#This Row],[2050]]+scenario_indirect_prod_1610_iotable_2020_xlsx_3[[#This Row],[2050]]</f>
        <v>914.16777457632179</v>
      </c>
    </row>
    <row r="114" spans="1:27" x14ac:dyDescent="0.2">
      <c r="A114" t="s">
        <v>415</v>
      </c>
      <c r="B114" t="s">
        <v>416</v>
      </c>
      <c r="C114">
        <f>scenario_indirect_prod_4506_iotable_2020_xlsx_3[[#This Row],[2026]]+scenario_indirect_prod_1610_iotable_2020_xlsx_3[[#This Row],[2026]]</f>
        <v>39398.626685840129</v>
      </c>
      <c r="D114">
        <f>scenario_indirect_prod_4506_iotable_2020_xlsx_3[[#This Row],[2027]]+scenario_indirect_prod_1610_iotable_2020_xlsx_3[[#This Row],[2027]]</f>
        <v>39571.374613418069</v>
      </c>
      <c r="E114">
        <f>scenario_indirect_prod_4506_iotable_2020_xlsx_3[[#This Row],[2028]]+scenario_indirect_prod_1610_iotable_2020_xlsx_3[[#This Row],[2028]]</f>
        <v>41494.865539048194</v>
      </c>
      <c r="F114">
        <f>scenario_indirect_prod_4506_iotable_2020_xlsx_3[[#This Row],[2029]]+scenario_indirect_prod_1610_iotable_2020_xlsx_3[[#This Row],[2029]]</f>
        <v>42933.21827478295</v>
      </c>
      <c r="G114">
        <f>scenario_indirect_prod_4506_iotable_2020_xlsx_3[[#This Row],[2030]]+scenario_indirect_prod_1610_iotable_2020_xlsx_3[[#This Row],[2030]]</f>
        <v>41763.499639375506</v>
      </c>
      <c r="H114">
        <f>scenario_indirect_prod_4506_iotable_2020_xlsx_3[[#This Row],[2031]]+scenario_indirect_prod_1610_iotable_2020_xlsx_3[[#This Row],[2031]]</f>
        <v>44358.672865431872</v>
      </c>
      <c r="I114">
        <f>scenario_indirect_prod_4506_iotable_2020_xlsx_3[[#This Row],[2032]]+scenario_indirect_prod_1610_iotable_2020_xlsx_3[[#This Row],[2032]]</f>
        <v>47983.063222554003</v>
      </c>
      <c r="J114">
        <f>scenario_indirect_prod_4506_iotable_2020_xlsx_3[[#This Row],[2033]]+scenario_indirect_prod_1610_iotable_2020_xlsx_3[[#This Row],[2033]]</f>
        <v>53916.145838534227</v>
      </c>
      <c r="K114">
        <f>scenario_indirect_prod_4506_iotable_2020_xlsx_3[[#This Row],[2034]]+scenario_indirect_prod_1610_iotable_2020_xlsx_3[[#This Row],[2034]]</f>
        <v>57288.830034791681</v>
      </c>
      <c r="L114">
        <f>scenario_indirect_prod_4506_iotable_2020_xlsx_3[[#This Row],[2035]]+scenario_indirect_prod_1610_iotable_2020_xlsx_3[[#This Row],[2035]]</f>
        <v>66020.656354289429</v>
      </c>
      <c r="M114">
        <f>scenario_indirect_prod_4506_iotable_2020_xlsx_3[[#This Row],[2036]]+scenario_indirect_prod_1610_iotable_2020_xlsx_3[[#This Row],[2036]]</f>
        <v>69254.115564983338</v>
      </c>
      <c r="N114">
        <f>scenario_indirect_prod_4506_iotable_2020_xlsx_3[[#This Row],[2037]]+scenario_indirect_prod_1610_iotable_2020_xlsx_3[[#This Row],[2037]]</f>
        <v>72217.098783414316</v>
      </c>
      <c r="O114">
        <f>scenario_indirect_prod_4506_iotable_2020_xlsx_3[[#This Row],[2038]]+scenario_indirect_prod_1610_iotable_2020_xlsx_3[[#This Row],[2038]]</f>
        <v>72217.098783414316</v>
      </c>
      <c r="P114">
        <f>scenario_indirect_prod_4506_iotable_2020_xlsx_3[[#This Row],[2039]]+scenario_indirect_prod_1610_iotable_2020_xlsx_3[[#This Row],[2039]]</f>
        <v>72217.098783414316</v>
      </c>
      <c r="Q114">
        <f>scenario_indirect_prod_4506_iotable_2020_xlsx_3[[#This Row],[2040]]+scenario_indirect_prod_1610_iotable_2020_xlsx_3[[#This Row],[2040]]</f>
        <v>74794.976692960743</v>
      </c>
      <c r="R114">
        <f>scenario_indirect_prod_4506_iotable_2020_xlsx_3[[#This Row],[2041]]+scenario_indirect_prod_1610_iotable_2020_xlsx_3[[#This Row],[2041]]</f>
        <v>74794.976692960743</v>
      </c>
      <c r="S114">
        <f>scenario_indirect_prod_4506_iotable_2020_xlsx_3[[#This Row],[2042]]+scenario_indirect_prod_1610_iotable_2020_xlsx_3[[#This Row],[2042]]</f>
        <v>77714.023735908864</v>
      </c>
      <c r="T114">
        <f>scenario_indirect_prod_4506_iotable_2020_xlsx_3[[#This Row],[2043]]+scenario_indirect_prod_1610_iotable_2020_xlsx_3[[#This Row],[2043]]</f>
        <v>77714.023735908864</v>
      </c>
      <c r="U114">
        <f>scenario_indirect_prod_4506_iotable_2020_xlsx_3[[#This Row],[2044]]+scenario_indirect_prod_1610_iotable_2020_xlsx_3[[#This Row],[2044]]</f>
        <v>80266.948183062996</v>
      </c>
      <c r="V114">
        <f>scenario_indirect_prod_4506_iotable_2020_xlsx_3[[#This Row],[2045]]+scenario_indirect_prod_1610_iotable_2020_xlsx_3[[#This Row],[2045]]</f>
        <v>80266.948183062996</v>
      </c>
      <c r="W114">
        <f>scenario_indirect_prod_4506_iotable_2020_xlsx_3[[#This Row],[2046]]+scenario_indirect_prod_1610_iotable_2020_xlsx_3[[#This Row],[2046]]</f>
        <v>82511.47877762944</v>
      </c>
      <c r="X114">
        <f>scenario_indirect_prod_4506_iotable_2020_xlsx_3[[#This Row],[2047]]+scenario_indirect_prod_1610_iotable_2020_xlsx_3[[#This Row],[2047]]</f>
        <v>82511.47877762944</v>
      </c>
      <c r="Y114">
        <f>scenario_indirect_prod_4506_iotable_2020_xlsx_3[[#This Row],[2048]]+scenario_indirect_prod_1610_iotable_2020_xlsx_3[[#This Row],[2048]]</f>
        <v>82511.47877762944</v>
      </c>
      <c r="Z114">
        <f>scenario_indirect_prod_4506_iotable_2020_xlsx_3[[#This Row],[2049]]+scenario_indirect_prod_1610_iotable_2020_xlsx_3[[#This Row],[2049]]</f>
        <v>82511.47877762944</v>
      </c>
      <c r="AA114">
        <f>scenario_indirect_prod_4506_iotable_2020_xlsx_3[[#This Row],[2050]]+scenario_indirect_prod_1610_iotable_2020_xlsx_3[[#This Row],[2050]]</f>
        <v>82511.47877762944</v>
      </c>
    </row>
    <row r="115" spans="1:27" x14ac:dyDescent="0.2">
      <c r="A115" t="s">
        <v>759</v>
      </c>
      <c r="B115" t="s">
        <v>760</v>
      </c>
      <c r="C115">
        <f>scenario_indirect_prod_4506_iotable_2020_xlsx_3[[#This Row],[2026]]+scenario_indirect_prod_1610_iotable_2020_xlsx_3[[#This Row],[2026]]</f>
        <v>1229.0772180001411</v>
      </c>
      <c r="D115">
        <f>scenario_indirect_prod_4506_iotable_2020_xlsx_3[[#This Row],[2027]]+scenario_indirect_prod_1610_iotable_2020_xlsx_3[[#This Row],[2027]]</f>
        <v>660.99862273958729</v>
      </c>
      <c r="E115">
        <f>scenario_indirect_prod_4506_iotable_2020_xlsx_3[[#This Row],[2028]]+scenario_indirect_prod_1610_iotable_2020_xlsx_3[[#This Row],[2028]]</f>
        <v>755.08843596241741</v>
      </c>
      <c r="F115">
        <f>scenario_indirect_prod_4506_iotable_2020_xlsx_3[[#This Row],[2029]]+scenario_indirect_prod_1610_iotable_2020_xlsx_3[[#This Row],[2029]]</f>
        <v>594.83561760017483</v>
      </c>
      <c r="G115">
        <f>scenario_indirect_prod_4506_iotable_2020_xlsx_3[[#This Row],[2030]]+scenario_indirect_prod_1610_iotable_2020_xlsx_3[[#This Row],[2030]]</f>
        <v>-1417.1263805036797</v>
      </c>
      <c r="H115">
        <f>scenario_indirect_prod_4506_iotable_2020_xlsx_3[[#This Row],[2031]]+scenario_indirect_prod_1610_iotable_2020_xlsx_3[[#This Row],[2031]]</f>
        <v>-1290.1804402515645</v>
      </c>
      <c r="I115">
        <f>scenario_indirect_prod_4506_iotable_2020_xlsx_3[[#This Row],[2032]]+scenario_indirect_prod_1610_iotable_2020_xlsx_3[[#This Row],[2032]]</f>
        <v>-1112.8891376494844</v>
      </c>
      <c r="J115">
        <f>scenario_indirect_prod_4506_iotable_2020_xlsx_3[[#This Row],[2033]]+scenario_indirect_prod_1610_iotable_2020_xlsx_3[[#This Row],[2033]]</f>
        <v>-1913.1221134426223</v>
      </c>
      <c r="K115">
        <f>scenario_indirect_prod_4506_iotable_2020_xlsx_3[[#This Row],[2034]]+scenario_indirect_prod_1610_iotable_2020_xlsx_3[[#This Row],[2034]]</f>
        <v>-1748.1433127334403</v>
      </c>
      <c r="L115">
        <f>scenario_indirect_prod_4506_iotable_2020_xlsx_3[[#This Row],[2035]]+scenario_indirect_prod_1610_iotable_2020_xlsx_3[[#This Row],[2035]]</f>
        <v>-2701.4038139541344</v>
      </c>
      <c r="M115">
        <f>scenario_indirect_prod_4506_iotable_2020_xlsx_3[[#This Row],[2036]]+scenario_indirect_prod_1610_iotable_2020_xlsx_3[[#This Row],[2036]]</f>
        <v>-3449.2948904261475</v>
      </c>
      <c r="N115">
        <f>scenario_indirect_prod_4506_iotable_2020_xlsx_3[[#This Row],[2037]]+scenario_indirect_prod_1610_iotable_2020_xlsx_3[[#This Row],[2037]]</f>
        <v>-4096.439579849608</v>
      </c>
      <c r="O115">
        <f>scenario_indirect_prod_4506_iotable_2020_xlsx_3[[#This Row],[2038]]+scenario_indirect_prod_1610_iotable_2020_xlsx_3[[#This Row],[2038]]</f>
        <v>-4096.439579849608</v>
      </c>
      <c r="P115">
        <f>scenario_indirect_prod_4506_iotable_2020_xlsx_3[[#This Row],[2039]]+scenario_indirect_prod_1610_iotable_2020_xlsx_3[[#This Row],[2039]]</f>
        <v>-4096.439579849608</v>
      </c>
      <c r="Q115">
        <f>scenario_indirect_prod_4506_iotable_2020_xlsx_3[[#This Row],[2040]]+scenario_indirect_prod_1610_iotable_2020_xlsx_3[[#This Row],[2040]]</f>
        <v>-4665.7143241023532</v>
      </c>
      <c r="R115">
        <f>scenario_indirect_prod_4506_iotable_2020_xlsx_3[[#This Row],[2041]]+scenario_indirect_prod_1610_iotable_2020_xlsx_3[[#This Row],[2041]]</f>
        <v>-4665.7143241023532</v>
      </c>
      <c r="S115">
        <f>scenario_indirect_prod_4506_iotable_2020_xlsx_3[[#This Row],[2042]]+scenario_indirect_prod_1610_iotable_2020_xlsx_3[[#This Row],[2042]]</f>
        <v>-5290.4475178145904</v>
      </c>
      <c r="T115">
        <f>scenario_indirect_prod_4506_iotable_2020_xlsx_3[[#This Row],[2043]]+scenario_indirect_prod_1610_iotable_2020_xlsx_3[[#This Row],[2043]]</f>
        <v>-5290.4475178145904</v>
      </c>
      <c r="U115">
        <f>scenario_indirect_prod_4506_iotable_2020_xlsx_3[[#This Row],[2044]]+scenario_indirect_prod_1610_iotable_2020_xlsx_3[[#This Row],[2044]]</f>
        <v>-5895.4815405019435</v>
      </c>
      <c r="V115">
        <f>scenario_indirect_prod_4506_iotable_2020_xlsx_3[[#This Row],[2045]]+scenario_indirect_prod_1610_iotable_2020_xlsx_3[[#This Row],[2045]]</f>
        <v>-5895.4815405019435</v>
      </c>
      <c r="W115">
        <f>scenario_indirect_prod_4506_iotable_2020_xlsx_3[[#This Row],[2046]]+scenario_indirect_prod_1610_iotable_2020_xlsx_3[[#This Row],[2046]]</f>
        <v>-6407.1884112218722</v>
      </c>
      <c r="X115">
        <f>scenario_indirect_prod_4506_iotable_2020_xlsx_3[[#This Row],[2047]]+scenario_indirect_prod_1610_iotable_2020_xlsx_3[[#This Row],[2047]]</f>
        <v>-6407.1884112218722</v>
      </c>
      <c r="Y115">
        <f>scenario_indirect_prod_4506_iotable_2020_xlsx_3[[#This Row],[2048]]+scenario_indirect_prod_1610_iotable_2020_xlsx_3[[#This Row],[2048]]</f>
        <v>-6407.1884112218722</v>
      </c>
      <c r="Z115">
        <f>scenario_indirect_prod_4506_iotable_2020_xlsx_3[[#This Row],[2049]]+scenario_indirect_prod_1610_iotable_2020_xlsx_3[[#This Row],[2049]]</f>
        <v>-6407.1884112218722</v>
      </c>
      <c r="AA115">
        <f>scenario_indirect_prod_4506_iotable_2020_xlsx_3[[#This Row],[2050]]+scenario_indirect_prod_1610_iotable_2020_xlsx_3[[#This Row],[2050]]</f>
        <v>-6407.1884112218722</v>
      </c>
    </row>
    <row r="116" spans="1:27" x14ac:dyDescent="0.2">
      <c r="A116" t="s">
        <v>735</v>
      </c>
      <c r="B116" t="s">
        <v>275</v>
      </c>
      <c r="C116">
        <f>scenario_indirect_prod_4506_iotable_2020_xlsx_3[[#This Row],[2026]]+scenario_indirect_prod_1610_iotable_2020_xlsx_3[[#This Row],[2026]]</f>
        <v>2032.8906748931336</v>
      </c>
      <c r="D116">
        <f>scenario_indirect_prod_4506_iotable_2020_xlsx_3[[#This Row],[2027]]+scenario_indirect_prod_1610_iotable_2020_xlsx_3[[#This Row],[2027]]</f>
        <v>1820.3645328200273</v>
      </c>
      <c r="E116">
        <f>scenario_indirect_prod_4506_iotable_2020_xlsx_3[[#This Row],[2028]]+scenario_indirect_prod_1610_iotable_2020_xlsx_3[[#This Row],[2028]]</f>
        <v>1932.7743493709172</v>
      </c>
      <c r="F116">
        <f>scenario_indirect_prod_4506_iotable_2020_xlsx_3[[#This Row],[2029]]+scenario_indirect_prod_1610_iotable_2020_xlsx_3[[#This Row],[2029]]</f>
        <v>1927.7837785946033</v>
      </c>
      <c r="G116">
        <f>scenario_indirect_prod_4506_iotable_2020_xlsx_3[[#This Row],[2030]]+scenario_indirect_prod_1610_iotable_2020_xlsx_3[[#This Row],[2030]]</f>
        <v>1104.6172935367672</v>
      </c>
      <c r="H116">
        <f>scenario_indirect_prod_4506_iotable_2020_xlsx_3[[#This Row],[2031]]+scenario_indirect_prod_1610_iotable_2020_xlsx_3[[#This Row],[2031]]</f>
        <v>1256.2805753186699</v>
      </c>
      <c r="I116">
        <f>scenario_indirect_prod_4506_iotable_2020_xlsx_3[[#This Row],[2032]]+scenario_indirect_prod_1610_iotable_2020_xlsx_3[[#This Row],[2032]]</f>
        <v>1468.0918449868354</v>
      </c>
      <c r="J116">
        <f>scenario_indirect_prod_4506_iotable_2020_xlsx_3[[#This Row],[2033]]+scenario_indirect_prod_1610_iotable_2020_xlsx_3[[#This Row],[2033]]</f>
        <v>1393.7538390463401</v>
      </c>
      <c r="K116">
        <f>scenario_indirect_prod_4506_iotable_2020_xlsx_3[[#This Row],[2034]]+scenario_indirect_prod_1610_iotable_2020_xlsx_3[[#This Row],[2034]]</f>
        <v>1590.8552689172325</v>
      </c>
      <c r="L116">
        <f>scenario_indirect_prod_4506_iotable_2020_xlsx_3[[#This Row],[2035]]+scenario_indirect_prod_1610_iotable_2020_xlsx_3[[#This Row],[2035]]</f>
        <v>1568.1228120901842</v>
      </c>
      <c r="M116">
        <f>scenario_indirect_prod_4506_iotable_2020_xlsx_3[[#This Row],[2036]]+scenario_indirect_prod_1610_iotable_2020_xlsx_3[[#This Row],[2036]]</f>
        <v>1407.2207712989511</v>
      </c>
      <c r="N116">
        <f>scenario_indirect_prod_4506_iotable_2020_xlsx_3[[#This Row],[2037]]+scenario_indirect_prod_1610_iotable_2020_xlsx_3[[#This Row],[2037]]</f>
        <v>1274.5232242424354</v>
      </c>
      <c r="O116">
        <f>scenario_indirect_prod_4506_iotable_2020_xlsx_3[[#This Row],[2038]]+scenario_indirect_prod_1610_iotable_2020_xlsx_3[[#This Row],[2038]]</f>
        <v>1274.5232242424354</v>
      </c>
      <c r="P116">
        <f>scenario_indirect_prod_4506_iotable_2020_xlsx_3[[#This Row],[2039]]+scenario_indirect_prod_1610_iotable_2020_xlsx_3[[#This Row],[2039]]</f>
        <v>1274.5232242424354</v>
      </c>
      <c r="Q116">
        <f>scenario_indirect_prod_4506_iotable_2020_xlsx_3[[#This Row],[2040]]+scenario_indirect_prod_1610_iotable_2020_xlsx_3[[#This Row],[2040]]</f>
        <v>1156.6628150570996</v>
      </c>
      <c r="R116">
        <f>scenario_indirect_prod_4506_iotable_2020_xlsx_3[[#This Row],[2041]]+scenario_indirect_prod_1610_iotable_2020_xlsx_3[[#This Row],[2041]]</f>
        <v>1156.6628150570996</v>
      </c>
      <c r="S116">
        <f>scenario_indirect_prod_4506_iotable_2020_xlsx_3[[#This Row],[2042]]+scenario_indirect_prod_1610_iotable_2020_xlsx_3[[#This Row],[2042]]</f>
        <v>1030.8815121964144</v>
      </c>
      <c r="T116">
        <f>scenario_indirect_prod_4506_iotable_2020_xlsx_3[[#This Row],[2043]]+scenario_indirect_prod_1610_iotable_2020_xlsx_3[[#This Row],[2043]]</f>
        <v>1030.8815121964144</v>
      </c>
      <c r="U116">
        <f>scenario_indirect_prod_4506_iotable_2020_xlsx_3[[#This Row],[2044]]+scenario_indirect_prod_1610_iotable_2020_xlsx_3[[#This Row],[2044]]</f>
        <v>898.22600684960162</v>
      </c>
      <c r="V116">
        <f>scenario_indirect_prod_4506_iotable_2020_xlsx_3[[#This Row],[2045]]+scenario_indirect_prod_1610_iotable_2020_xlsx_3[[#This Row],[2045]]</f>
        <v>898.22600684960162</v>
      </c>
      <c r="W116">
        <f>scenario_indirect_prod_4506_iotable_2020_xlsx_3[[#This Row],[2046]]+scenario_indirect_prod_1610_iotable_2020_xlsx_3[[#This Row],[2046]]</f>
        <v>789.41039558070406</v>
      </c>
      <c r="X116">
        <f>scenario_indirect_prod_4506_iotable_2020_xlsx_3[[#This Row],[2047]]+scenario_indirect_prod_1610_iotable_2020_xlsx_3[[#This Row],[2047]]</f>
        <v>789.41039558070406</v>
      </c>
      <c r="Y116">
        <f>scenario_indirect_prod_4506_iotable_2020_xlsx_3[[#This Row],[2048]]+scenario_indirect_prod_1610_iotable_2020_xlsx_3[[#This Row],[2048]]</f>
        <v>789.41039558070406</v>
      </c>
      <c r="Z116">
        <f>scenario_indirect_prod_4506_iotable_2020_xlsx_3[[#This Row],[2049]]+scenario_indirect_prod_1610_iotable_2020_xlsx_3[[#This Row],[2049]]</f>
        <v>789.41039558070406</v>
      </c>
      <c r="AA116">
        <f>scenario_indirect_prod_4506_iotable_2020_xlsx_3[[#This Row],[2050]]+scenario_indirect_prod_1610_iotable_2020_xlsx_3[[#This Row],[2050]]</f>
        <v>789.41039558070406</v>
      </c>
    </row>
    <row r="117" spans="1:27" x14ac:dyDescent="0.2">
      <c r="A117" t="s">
        <v>612</v>
      </c>
      <c r="B117" t="s">
        <v>225</v>
      </c>
      <c r="C117">
        <f>scenario_indirect_prod_4506_iotable_2020_xlsx_3[[#This Row],[2026]]+scenario_indirect_prod_1610_iotable_2020_xlsx_3[[#This Row],[2026]]</f>
        <v>4476.3969296577416</v>
      </c>
      <c r="D117">
        <f>scenario_indirect_prod_4506_iotable_2020_xlsx_3[[#This Row],[2027]]+scenario_indirect_prod_1610_iotable_2020_xlsx_3[[#This Row],[2027]]</f>
        <v>3069.8051291262391</v>
      </c>
      <c r="E117">
        <f>scenario_indirect_prod_4506_iotable_2020_xlsx_3[[#This Row],[2028]]+scenario_indirect_prod_1610_iotable_2020_xlsx_3[[#This Row],[2028]]</f>
        <v>3373.1174679845344</v>
      </c>
      <c r="F117">
        <f>scenario_indirect_prod_4506_iotable_2020_xlsx_3[[#This Row],[2029]]+scenario_indirect_prod_1610_iotable_2020_xlsx_3[[#This Row],[2029]]</f>
        <v>3026.3961878020846</v>
      </c>
      <c r="G117">
        <f>scenario_indirect_prod_4506_iotable_2020_xlsx_3[[#This Row],[2030]]+scenario_indirect_prod_1610_iotable_2020_xlsx_3[[#This Row],[2030]]</f>
        <v>-2019.5202562094655</v>
      </c>
      <c r="H117">
        <f>scenario_indirect_prod_4506_iotable_2020_xlsx_3[[#This Row],[2031]]+scenario_indirect_prod_1610_iotable_2020_xlsx_3[[#This Row],[2031]]</f>
        <v>-1610.2913638611935</v>
      </c>
      <c r="I117">
        <f>scenario_indirect_prod_4506_iotable_2020_xlsx_3[[#This Row],[2032]]+scenario_indirect_prod_1610_iotable_2020_xlsx_3[[#This Row],[2032]]</f>
        <v>-1038.766798028355</v>
      </c>
      <c r="J117">
        <f>scenario_indirect_prod_4506_iotable_2020_xlsx_3[[#This Row],[2033]]+scenario_indirect_prod_1610_iotable_2020_xlsx_3[[#This Row],[2033]]</f>
        <v>-2815.1635058826996</v>
      </c>
      <c r="K117">
        <f>scenario_indirect_prod_4506_iotable_2020_xlsx_3[[#This Row],[2034]]+scenario_indirect_prod_1610_iotable_2020_xlsx_3[[#This Row],[2034]]</f>
        <v>-2283.3300991500273</v>
      </c>
      <c r="L117">
        <f>scenario_indirect_prod_4506_iotable_2020_xlsx_3[[#This Row],[2035]]+scenario_indirect_prod_1610_iotable_2020_xlsx_3[[#This Row],[2035]]</f>
        <v>-4339.4590525128879</v>
      </c>
      <c r="M117">
        <f>scenario_indirect_prod_4506_iotable_2020_xlsx_3[[#This Row],[2036]]+scenario_indirect_prod_1610_iotable_2020_xlsx_3[[#This Row],[2036]]</f>
        <v>-6082.9579092107924</v>
      </c>
      <c r="N117">
        <f>scenario_indirect_prod_4506_iotable_2020_xlsx_3[[#This Row],[2037]]+scenario_indirect_prod_1610_iotable_2020_xlsx_3[[#This Row],[2037]]</f>
        <v>-7585.645806346507</v>
      </c>
      <c r="O117">
        <f>scenario_indirect_prod_4506_iotable_2020_xlsx_3[[#This Row],[2038]]+scenario_indirect_prod_1610_iotable_2020_xlsx_3[[#This Row],[2038]]</f>
        <v>-7585.645806346507</v>
      </c>
      <c r="P117">
        <f>scenario_indirect_prod_4506_iotable_2020_xlsx_3[[#This Row],[2039]]+scenario_indirect_prod_1610_iotable_2020_xlsx_3[[#This Row],[2039]]</f>
        <v>-7585.645806346507</v>
      </c>
      <c r="Q117">
        <f>scenario_indirect_prod_4506_iotable_2020_xlsx_3[[#This Row],[2040]]+scenario_indirect_prod_1610_iotable_2020_xlsx_3[[#This Row],[2040]]</f>
        <v>-8908.5471552725139</v>
      </c>
      <c r="R117">
        <f>scenario_indirect_prod_4506_iotable_2020_xlsx_3[[#This Row],[2041]]+scenario_indirect_prod_1610_iotable_2020_xlsx_3[[#This Row],[2041]]</f>
        <v>-8908.5471552725139</v>
      </c>
      <c r="S117">
        <f>scenario_indirect_prod_4506_iotable_2020_xlsx_3[[#This Row],[2042]]+scenario_indirect_prod_1610_iotable_2020_xlsx_3[[#This Row],[2042]]</f>
        <v>-10357.080638177751</v>
      </c>
      <c r="T117">
        <f>scenario_indirect_prod_4506_iotable_2020_xlsx_3[[#This Row],[2043]]+scenario_indirect_prod_1610_iotable_2020_xlsx_3[[#This Row],[2043]]</f>
        <v>-10357.080638177751</v>
      </c>
      <c r="U117">
        <f>scenario_indirect_prod_4506_iotable_2020_xlsx_3[[#This Row],[2044]]+scenario_indirect_prod_1610_iotable_2020_xlsx_3[[#This Row],[2044]]</f>
        <v>-11769.814791327997</v>
      </c>
      <c r="V117">
        <f>scenario_indirect_prod_4506_iotable_2020_xlsx_3[[#This Row],[2045]]+scenario_indirect_prod_1610_iotable_2020_xlsx_3[[#This Row],[2045]]</f>
        <v>-11769.814791327997</v>
      </c>
      <c r="W117">
        <f>scenario_indirect_prod_4506_iotable_2020_xlsx_3[[#This Row],[2046]]+scenario_indirect_prod_1610_iotable_2020_xlsx_3[[#This Row],[2046]]</f>
        <v>-12961.55600225295</v>
      </c>
      <c r="X117">
        <f>scenario_indirect_prod_4506_iotable_2020_xlsx_3[[#This Row],[2047]]+scenario_indirect_prod_1610_iotable_2020_xlsx_3[[#This Row],[2047]]</f>
        <v>-12961.55600225295</v>
      </c>
      <c r="Y117">
        <f>scenario_indirect_prod_4506_iotable_2020_xlsx_3[[#This Row],[2048]]+scenario_indirect_prod_1610_iotable_2020_xlsx_3[[#This Row],[2048]]</f>
        <v>-12961.55600225295</v>
      </c>
      <c r="Z117">
        <f>scenario_indirect_prod_4506_iotable_2020_xlsx_3[[#This Row],[2049]]+scenario_indirect_prod_1610_iotable_2020_xlsx_3[[#This Row],[2049]]</f>
        <v>-12961.55600225295</v>
      </c>
      <c r="AA117">
        <f>scenario_indirect_prod_4506_iotable_2020_xlsx_3[[#This Row],[2050]]+scenario_indirect_prod_1610_iotable_2020_xlsx_3[[#This Row],[2050]]</f>
        <v>-12961.55600225295</v>
      </c>
    </row>
    <row r="118" spans="1:27" x14ac:dyDescent="0.2">
      <c r="A118" t="s">
        <v>647</v>
      </c>
      <c r="B118" t="s">
        <v>648</v>
      </c>
      <c r="C118">
        <f>scenario_indirect_prod_4506_iotable_2020_xlsx_3[[#This Row],[2026]]+scenario_indirect_prod_1610_iotable_2020_xlsx_3[[#This Row],[2026]]</f>
        <v>4382.2497986033241</v>
      </c>
      <c r="D118">
        <f>scenario_indirect_prod_4506_iotable_2020_xlsx_3[[#This Row],[2027]]+scenario_indirect_prod_1610_iotable_2020_xlsx_3[[#This Row],[2027]]</f>
        <v>4482.5945529822475</v>
      </c>
      <c r="E118">
        <f>scenario_indirect_prod_4506_iotable_2020_xlsx_3[[#This Row],[2028]]+scenario_indirect_prod_1610_iotable_2020_xlsx_3[[#This Row],[2028]]</f>
        <v>4691.7194763386697</v>
      </c>
      <c r="F118">
        <f>scenario_indirect_prod_4506_iotable_2020_xlsx_3[[#This Row],[2029]]+scenario_indirect_prod_1610_iotable_2020_xlsx_3[[#This Row],[2029]]</f>
        <v>4880.7247573468503</v>
      </c>
      <c r="G118">
        <f>scenario_indirect_prod_4506_iotable_2020_xlsx_3[[#This Row],[2030]]+scenario_indirect_prod_1610_iotable_2020_xlsx_3[[#This Row],[2030]]</f>
        <v>5030.0948672234226</v>
      </c>
      <c r="H118">
        <f>scenario_indirect_prod_4506_iotable_2020_xlsx_3[[#This Row],[2031]]+scenario_indirect_prod_1610_iotable_2020_xlsx_3[[#This Row],[2031]]</f>
        <v>5312.2461343617824</v>
      </c>
      <c r="I118">
        <f>scenario_indirect_prod_4506_iotable_2020_xlsx_3[[#This Row],[2032]]+scenario_indirect_prod_1610_iotable_2020_xlsx_3[[#This Row],[2032]]</f>
        <v>5706.2954878302016</v>
      </c>
      <c r="J118">
        <f>scenario_indirect_prod_4506_iotable_2020_xlsx_3[[#This Row],[2033]]+scenario_indirect_prod_1610_iotable_2020_xlsx_3[[#This Row],[2033]]</f>
        <v>6505.6197749776147</v>
      </c>
      <c r="K118">
        <f>scenario_indirect_prod_4506_iotable_2020_xlsx_3[[#This Row],[2034]]+scenario_indirect_prod_1610_iotable_2020_xlsx_3[[#This Row],[2034]]</f>
        <v>6872.3032433785374</v>
      </c>
      <c r="L118">
        <f>scenario_indirect_prod_4506_iotable_2020_xlsx_3[[#This Row],[2035]]+scenario_indirect_prod_1610_iotable_2020_xlsx_3[[#This Row],[2035]]</f>
        <v>8016.9287938726684</v>
      </c>
      <c r="M118">
        <f>scenario_indirect_prod_4506_iotable_2020_xlsx_3[[#This Row],[2036]]+scenario_indirect_prod_1610_iotable_2020_xlsx_3[[#This Row],[2036]]</f>
        <v>8496.6585862934644</v>
      </c>
      <c r="N118">
        <f>scenario_indirect_prod_4506_iotable_2020_xlsx_3[[#This Row],[2037]]+scenario_indirect_prod_1610_iotable_2020_xlsx_3[[#This Row],[2037]]</f>
        <v>8930.8571196824632</v>
      </c>
      <c r="O118">
        <f>scenario_indirect_prod_4506_iotable_2020_xlsx_3[[#This Row],[2038]]+scenario_indirect_prod_1610_iotable_2020_xlsx_3[[#This Row],[2038]]</f>
        <v>8930.8571196824632</v>
      </c>
      <c r="P118">
        <f>scenario_indirect_prod_4506_iotable_2020_xlsx_3[[#This Row],[2039]]+scenario_indirect_prod_1610_iotable_2020_xlsx_3[[#This Row],[2039]]</f>
        <v>8930.8571196824632</v>
      </c>
      <c r="Q118">
        <f>scenario_indirect_prod_4506_iotable_2020_xlsx_3[[#This Row],[2040]]+scenario_indirect_prod_1610_iotable_2020_xlsx_3[[#This Row],[2040]]</f>
        <v>9309.5048464584779</v>
      </c>
      <c r="R118">
        <f>scenario_indirect_prod_4506_iotable_2020_xlsx_3[[#This Row],[2041]]+scenario_indirect_prod_1610_iotable_2020_xlsx_3[[#This Row],[2041]]</f>
        <v>9309.5048464584779</v>
      </c>
      <c r="S118">
        <f>scenario_indirect_prod_4506_iotable_2020_xlsx_3[[#This Row],[2042]]+scenario_indirect_prod_1610_iotable_2020_xlsx_3[[#This Row],[2042]]</f>
        <v>9735.4518934283187</v>
      </c>
      <c r="T118">
        <f>scenario_indirect_prod_4506_iotable_2020_xlsx_3[[#This Row],[2043]]+scenario_indirect_prod_1610_iotable_2020_xlsx_3[[#This Row],[2043]]</f>
        <v>9735.4518934283187</v>
      </c>
      <c r="U118">
        <f>scenario_indirect_prod_4506_iotable_2020_xlsx_3[[#This Row],[2044]]+scenario_indirect_prod_1610_iotable_2020_xlsx_3[[#This Row],[2044]]</f>
        <v>10116.272932142183</v>
      </c>
      <c r="V118">
        <f>scenario_indirect_prod_4506_iotable_2020_xlsx_3[[#This Row],[2045]]+scenario_indirect_prod_1610_iotable_2020_xlsx_3[[#This Row],[2045]]</f>
        <v>10116.272932142183</v>
      </c>
      <c r="W118">
        <f>scenario_indirect_prod_4506_iotable_2020_xlsx_3[[#This Row],[2046]]+scenario_indirect_prod_1610_iotable_2020_xlsx_3[[#This Row],[2046]]</f>
        <v>10448.2274416653</v>
      </c>
      <c r="X118">
        <f>scenario_indirect_prod_4506_iotable_2020_xlsx_3[[#This Row],[2047]]+scenario_indirect_prod_1610_iotable_2020_xlsx_3[[#This Row],[2047]]</f>
        <v>10448.2274416653</v>
      </c>
      <c r="Y118">
        <f>scenario_indirect_prod_4506_iotable_2020_xlsx_3[[#This Row],[2048]]+scenario_indirect_prod_1610_iotable_2020_xlsx_3[[#This Row],[2048]]</f>
        <v>10448.2274416653</v>
      </c>
      <c r="Z118">
        <f>scenario_indirect_prod_4506_iotable_2020_xlsx_3[[#This Row],[2049]]+scenario_indirect_prod_1610_iotable_2020_xlsx_3[[#This Row],[2049]]</f>
        <v>10448.2274416653</v>
      </c>
      <c r="AA118">
        <f>scenario_indirect_prod_4506_iotable_2020_xlsx_3[[#This Row],[2050]]+scenario_indirect_prod_1610_iotable_2020_xlsx_3[[#This Row],[2050]]</f>
        <v>10448.2274416653</v>
      </c>
    </row>
    <row r="119" spans="1:27" x14ac:dyDescent="0.2">
      <c r="A119" t="s">
        <v>750</v>
      </c>
      <c r="B119" t="s">
        <v>751</v>
      </c>
      <c r="C119">
        <f>scenario_indirect_prod_4506_iotable_2020_xlsx_3[[#This Row],[2026]]+scenario_indirect_prod_1610_iotable_2020_xlsx_3[[#This Row],[2026]]</f>
        <v>2098.7175747846991</v>
      </c>
      <c r="D119">
        <f>scenario_indirect_prod_4506_iotable_2020_xlsx_3[[#This Row],[2027]]+scenario_indirect_prod_1610_iotable_2020_xlsx_3[[#This Row],[2027]]</f>
        <v>2157.308572493364</v>
      </c>
      <c r="E119">
        <f>scenario_indirect_prod_4506_iotable_2020_xlsx_3[[#This Row],[2028]]+scenario_indirect_prod_1610_iotable_2020_xlsx_3[[#This Row],[2028]]</f>
        <v>2256.8351392529485</v>
      </c>
      <c r="F119">
        <f>scenario_indirect_prod_4506_iotable_2020_xlsx_3[[#This Row],[2029]]+scenario_indirect_prod_1610_iotable_2020_xlsx_3[[#This Row],[2029]]</f>
        <v>2351.1203831981152</v>
      </c>
      <c r="G119">
        <f>scenario_indirect_prod_4506_iotable_2020_xlsx_3[[#This Row],[2030]]+scenario_indirect_prod_1610_iotable_2020_xlsx_3[[#This Row],[2030]]</f>
        <v>2458.9449953877856</v>
      </c>
      <c r="H119">
        <f>scenario_indirect_prod_4506_iotable_2020_xlsx_3[[#This Row],[2031]]+scenario_indirect_prod_1610_iotable_2020_xlsx_3[[#This Row],[2031]]</f>
        <v>2593.226201446073</v>
      </c>
      <c r="I119">
        <f>scenario_indirect_prod_4506_iotable_2020_xlsx_3[[#This Row],[2032]]+scenario_indirect_prod_1610_iotable_2020_xlsx_3[[#This Row],[2032]]</f>
        <v>2780.7618555187537</v>
      </c>
      <c r="J119">
        <f>scenario_indirect_prod_4506_iotable_2020_xlsx_3[[#This Row],[2033]]+scenario_indirect_prod_1610_iotable_2020_xlsx_3[[#This Row],[2033]]</f>
        <v>3181.6691470823253</v>
      </c>
      <c r="K119">
        <f>scenario_indirect_prod_4506_iotable_2020_xlsx_3[[#This Row],[2034]]+scenario_indirect_prod_1610_iotable_2020_xlsx_3[[#This Row],[2034]]</f>
        <v>3356.1808509562852</v>
      </c>
      <c r="L119">
        <f>scenario_indirect_prod_4506_iotable_2020_xlsx_3[[#This Row],[2035]]+scenario_indirect_prod_1610_iotable_2020_xlsx_3[[#This Row],[2035]]</f>
        <v>3926.8724738078363</v>
      </c>
      <c r="M119">
        <f>scenario_indirect_prod_4506_iotable_2020_xlsx_3[[#This Row],[2036]]+scenario_indirect_prod_1610_iotable_2020_xlsx_3[[#This Row],[2036]]</f>
        <v>4172.2131377460719</v>
      </c>
      <c r="N119">
        <f>scenario_indirect_prod_4506_iotable_2020_xlsx_3[[#This Row],[2037]]+scenario_indirect_prod_1610_iotable_2020_xlsx_3[[#This Row],[2037]]</f>
        <v>4393.7425719807507</v>
      </c>
      <c r="O119">
        <f>scenario_indirect_prod_4506_iotable_2020_xlsx_3[[#This Row],[2038]]+scenario_indirect_prod_1610_iotable_2020_xlsx_3[[#This Row],[2038]]</f>
        <v>4393.7425719807507</v>
      </c>
      <c r="P119">
        <f>scenario_indirect_prod_4506_iotable_2020_xlsx_3[[#This Row],[2039]]+scenario_indirect_prod_1610_iotable_2020_xlsx_3[[#This Row],[2039]]</f>
        <v>4393.7425719807507</v>
      </c>
      <c r="Q119">
        <f>scenario_indirect_prod_4506_iotable_2020_xlsx_3[[#This Row],[2040]]+scenario_indirect_prod_1610_iotable_2020_xlsx_3[[#This Row],[2040]]</f>
        <v>4587.0168306668747</v>
      </c>
      <c r="R119">
        <f>scenario_indirect_prod_4506_iotable_2020_xlsx_3[[#This Row],[2041]]+scenario_indirect_prod_1610_iotable_2020_xlsx_3[[#This Row],[2041]]</f>
        <v>4587.0168306668747</v>
      </c>
      <c r="S119">
        <f>scenario_indirect_prod_4506_iotable_2020_xlsx_3[[#This Row],[2042]]+scenario_indirect_prod_1610_iotable_2020_xlsx_3[[#This Row],[2042]]</f>
        <v>4804.1576424469195</v>
      </c>
      <c r="T119">
        <f>scenario_indirect_prod_4506_iotable_2020_xlsx_3[[#This Row],[2043]]+scenario_indirect_prod_1610_iotable_2020_xlsx_3[[#This Row],[2043]]</f>
        <v>4804.1576424469195</v>
      </c>
      <c r="U119">
        <f>scenario_indirect_prod_4506_iotable_2020_xlsx_3[[#This Row],[2044]]+scenario_indirect_prod_1610_iotable_2020_xlsx_3[[#This Row],[2044]]</f>
        <v>4999.1153246815229</v>
      </c>
      <c r="V119">
        <f>scenario_indirect_prod_4506_iotable_2020_xlsx_3[[#This Row],[2045]]+scenario_indirect_prod_1610_iotable_2020_xlsx_3[[#This Row],[2045]]</f>
        <v>4999.1153246815229</v>
      </c>
      <c r="W119">
        <f>scenario_indirect_prod_4506_iotable_2020_xlsx_3[[#This Row],[2046]]+scenario_indirect_prod_1610_iotable_2020_xlsx_3[[#This Row],[2046]]</f>
        <v>5168.7790334592355</v>
      </c>
      <c r="X119">
        <f>scenario_indirect_prod_4506_iotable_2020_xlsx_3[[#This Row],[2047]]+scenario_indirect_prod_1610_iotable_2020_xlsx_3[[#This Row],[2047]]</f>
        <v>5168.7790334592355</v>
      </c>
      <c r="Y119">
        <f>scenario_indirect_prod_4506_iotable_2020_xlsx_3[[#This Row],[2048]]+scenario_indirect_prod_1610_iotable_2020_xlsx_3[[#This Row],[2048]]</f>
        <v>5168.7790334592355</v>
      </c>
      <c r="Z119">
        <f>scenario_indirect_prod_4506_iotable_2020_xlsx_3[[#This Row],[2049]]+scenario_indirect_prod_1610_iotable_2020_xlsx_3[[#This Row],[2049]]</f>
        <v>5168.7790334592355</v>
      </c>
      <c r="AA119">
        <f>scenario_indirect_prod_4506_iotable_2020_xlsx_3[[#This Row],[2050]]+scenario_indirect_prod_1610_iotable_2020_xlsx_3[[#This Row],[2050]]</f>
        <v>5168.7790334592355</v>
      </c>
    </row>
    <row r="120" spans="1:27" x14ac:dyDescent="0.2">
      <c r="A120" t="s">
        <v>608</v>
      </c>
      <c r="B120" t="s">
        <v>609</v>
      </c>
      <c r="C120">
        <f>scenario_indirect_prod_4506_iotable_2020_xlsx_3[[#This Row],[2026]]+scenario_indirect_prod_1610_iotable_2020_xlsx_3[[#This Row],[2026]]</f>
        <v>6588.1761969993713</v>
      </c>
      <c r="D120">
        <f>scenario_indirect_prod_4506_iotable_2020_xlsx_3[[#This Row],[2027]]+scenario_indirect_prod_1610_iotable_2020_xlsx_3[[#This Row],[2027]]</f>
        <v>6829.4654559451292</v>
      </c>
      <c r="E120">
        <f>scenario_indirect_prod_4506_iotable_2020_xlsx_3[[#This Row],[2028]]+scenario_indirect_prod_1610_iotable_2020_xlsx_3[[#This Row],[2028]]</f>
        <v>7138.4841810533917</v>
      </c>
      <c r="F120">
        <f>scenario_indirect_prod_4506_iotable_2020_xlsx_3[[#This Row],[2029]]+scenario_indirect_prod_1610_iotable_2020_xlsx_3[[#This Row],[2029]]</f>
        <v>7454.9775314698909</v>
      </c>
      <c r="G120">
        <f>scenario_indirect_prod_4506_iotable_2020_xlsx_3[[#This Row],[2030]]+scenario_indirect_prod_1610_iotable_2020_xlsx_3[[#This Row],[2030]]</f>
        <v>7991.0599658681649</v>
      </c>
      <c r="H120">
        <f>scenario_indirect_prod_4506_iotable_2020_xlsx_3[[#This Row],[2031]]+scenario_indirect_prod_1610_iotable_2020_xlsx_3[[#This Row],[2031]]</f>
        <v>8407.9879123768405</v>
      </c>
      <c r="I120">
        <f>scenario_indirect_prod_4506_iotable_2020_xlsx_3[[#This Row],[2032]]+scenario_indirect_prod_1610_iotable_2020_xlsx_3[[#This Row],[2032]]</f>
        <v>8990.2648924908262</v>
      </c>
      <c r="J120">
        <f>scenario_indirect_prod_4506_iotable_2020_xlsx_3[[#This Row],[2033]]+scenario_indirect_prod_1610_iotable_2020_xlsx_3[[#This Row],[2033]]</f>
        <v>10347.331715397191</v>
      </c>
      <c r="K120">
        <f>scenario_indirect_prod_4506_iotable_2020_xlsx_3[[#This Row],[2034]]+scenario_indirect_prod_1610_iotable_2020_xlsx_3[[#This Row],[2034]]</f>
        <v>10889.170804229305</v>
      </c>
      <c r="L120">
        <f>scenario_indirect_prod_4506_iotable_2020_xlsx_3[[#This Row],[2035]]+scenario_indirect_prod_1610_iotable_2020_xlsx_3[[#This Row],[2035]]</f>
        <v>12803.255845026362</v>
      </c>
      <c r="M120">
        <f>scenario_indirect_prod_4506_iotable_2020_xlsx_3[[#This Row],[2036]]+scenario_indirect_prod_1610_iotable_2020_xlsx_3[[#This Row],[2036]]</f>
        <v>13658.316707465403</v>
      </c>
      <c r="N120">
        <f>scenario_indirect_prod_4506_iotable_2020_xlsx_3[[#This Row],[2037]]+scenario_indirect_prod_1610_iotable_2020_xlsx_3[[#This Row],[2037]]</f>
        <v>14427.709059077348</v>
      </c>
      <c r="O120">
        <f>scenario_indirect_prod_4506_iotable_2020_xlsx_3[[#This Row],[2038]]+scenario_indirect_prod_1610_iotable_2020_xlsx_3[[#This Row],[2038]]</f>
        <v>14427.709059077348</v>
      </c>
      <c r="P120">
        <f>scenario_indirect_prod_4506_iotable_2020_xlsx_3[[#This Row],[2039]]+scenario_indirect_prod_1610_iotable_2020_xlsx_3[[#This Row],[2039]]</f>
        <v>14427.709059077348</v>
      </c>
      <c r="Q120">
        <f>scenario_indirect_prod_4506_iotable_2020_xlsx_3[[#This Row],[2040]]+scenario_indirect_prod_1610_iotable_2020_xlsx_3[[#This Row],[2040]]</f>
        <v>15099.413332020849</v>
      </c>
      <c r="R120">
        <f>scenario_indirect_prod_4506_iotable_2020_xlsx_3[[#This Row],[2041]]+scenario_indirect_prod_1610_iotable_2020_xlsx_3[[#This Row],[2041]]</f>
        <v>15099.413332020849</v>
      </c>
      <c r="S120">
        <f>scenario_indirect_prod_4506_iotable_2020_xlsx_3[[#This Row],[2042]]+scenario_indirect_prod_1610_iotable_2020_xlsx_3[[#This Row],[2042]]</f>
        <v>15852.650252071457</v>
      </c>
      <c r="T120">
        <f>scenario_indirect_prod_4506_iotable_2020_xlsx_3[[#This Row],[2043]]+scenario_indirect_prod_1610_iotable_2020_xlsx_3[[#This Row],[2043]]</f>
        <v>15852.650252071457</v>
      </c>
      <c r="U120">
        <f>scenario_indirect_prod_4506_iotable_2020_xlsx_3[[#This Row],[2044]]+scenario_indirect_prod_1610_iotable_2020_xlsx_3[[#This Row],[2044]]</f>
        <v>16533.138149477054</v>
      </c>
      <c r="V120">
        <f>scenario_indirect_prod_4506_iotable_2020_xlsx_3[[#This Row],[2045]]+scenario_indirect_prod_1610_iotable_2020_xlsx_3[[#This Row],[2045]]</f>
        <v>16533.138149477054</v>
      </c>
      <c r="W120">
        <f>scenario_indirect_prod_4506_iotable_2020_xlsx_3[[#This Row],[2046]]+scenario_indirect_prod_1610_iotable_2020_xlsx_3[[#This Row],[2046]]</f>
        <v>17123.926809535733</v>
      </c>
      <c r="X120">
        <f>scenario_indirect_prod_4506_iotable_2020_xlsx_3[[#This Row],[2047]]+scenario_indirect_prod_1610_iotable_2020_xlsx_3[[#This Row],[2047]]</f>
        <v>17123.926809535733</v>
      </c>
      <c r="Y120">
        <f>scenario_indirect_prod_4506_iotable_2020_xlsx_3[[#This Row],[2048]]+scenario_indirect_prod_1610_iotable_2020_xlsx_3[[#This Row],[2048]]</f>
        <v>17123.926809535733</v>
      </c>
      <c r="Z120">
        <f>scenario_indirect_prod_4506_iotable_2020_xlsx_3[[#This Row],[2049]]+scenario_indirect_prod_1610_iotable_2020_xlsx_3[[#This Row],[2049]]</f>
        <v>17123.926809535733</v>
      </c>
      <c r="AA120">
        <f>scenario_indirect_prod_4506_iotable_2020_xlsx_3[[#This Row],[2050]]+scenario_indirect_prod_1610_iotable_2020_xlsx_3[[#This Row],[2050]]</f>
        <v>17123.926809535733</v>
      </c>
    </row>
    <row r="121" spans="1:27" x14ac:dyDescent="0.2">
      <c r="A121" t="s">
        <v>787</v>
      </c>
      <c r="B121" t="s">
        <v>788</v>
      </c>
      <c r="C121">
        <f>scenario_indirect_prod_4506_iotable_2020_xlsx_3[[#This Row],[2026]]+scenario_indirect_prod_1610_iotable_2020_xlsx_3[[#This Row],[2026]]</f>
        <v>1329.0143465466108</v>
      </c>
      <c r="D121">
        <f>scenario_indirect_prod_4506_iotable_2020_xlsx_3[[#This Row],[2027]]+scenario_indirect_prod_1610_iotable_2020_xlsx_3[[#This Row],[2027]]</f>
        <v>1303.0828367108281</v>
      </c>
      <c r="E121">
        <f>scenario_indirect_prod_4506_iotable_2020_xlsx_3[[#This Row],[2028]]+scenario_indirect_prod_1610_iotable_2020_xlsx_3[[#This Row],[2028]]</f>
        <v>1369.8546192008264</v>
      </c>
      <c r="F121">
        <f>scenario_indirect_prod_4506_iotable_2020_xlsx_3[[#This Row],[2029]]+scenario_indirect_prod_1610_iotable_2020_xlsx_3[[#This Row],[2029]]</f>
        <v>1407.0140818298282</v>
      </c>
      <c r="G121">
        <f>scenario_indirect_prod_4506_iotable_2020_xlsx_3[[#This Row],[2030]]+scenario_indirect_prod_1610_iotable_2020_xlsx_3[[#This Row],[2030]]</f>
        <v>1258.1546103225924</v>
      </c>
      <c r="H121">
        <f>scenario_indirect_prod_4506_iotable_2020_xlsx_3[[#This Row],[2031]]+scenario_indirect_prod_1610_iotable_2020_xlsx_3[[#This Row],[2031]]</f>
        <v>1348.2430738890812</v>
      </c>
      <c r="I121">
        <f>scenario_indirect_prod_4506_iotable_2020_xlsx_3[[#This Row],[2032]]+scenario_indirect_prod_1610_iotable_2020_xlsx_3[[#This Row],[2032]]</f>
        <v>1474.0596303177663</v>
      </c>
      <c r="J121">
        <f>scenario_indirect_prod_4506_iotable_2020_xlsx_3[[#This Row],[2033]]+scenario_indirect_prod_1610_iotable_2020_xlsx_3[[#This Row],[2033]]</f>
        <v>1619.630125409848</v>
      </c>
      <c r="K121">
        <f>scenario_indirect_prod_4506_iotable_2020_xlsx_3[[#This Row],[2034]]+scenario_indirect_prod_1610_iotable_2020_xlsx_3[[#This Row],[2034]]</f>
        <v>1736.7089910073978</v>
      </c>
      <c r="L121">
        <f>scenario_indirect_prod_4506_iotable_2020_xlsx_3[[#This Row],[2035]]+scenario_indirect_prod_1610_iotable_2020_xlsx_3[[#This Row],[2035]]</f>
        <v>1963.3782201439992</v>
      </c>
      <c r="M121">
        <f>scenario_indirect_prod_4506_iotable_2020_xlsx_3[[#This Row],[2036]]+scenario_indirect_prod_1610_iotable_2020_xlsx_3[[#This Row],[2036]]</f>
        <v>2025.4463270081269</v>
      </c>
      <c r="N121">
        <f>scenario_indirect_prod_4506_iotable_2020_xlsx_3[[#This Row],[2037]]+scenario_indirect_prod_1610_iotable_2020_xlsx_3[[#This Row],[2037]]</f>
        <v>2084.4372366162888</v>
      </c>
      <c r="O121">
        <f>scenario_indirect_prod_4506_iotable_2020_xlsx_3[[#This Row],[2038]]+scenario_indirect_prod_1610_iotable_2020_xlsx_3[[#This Row],[2038]]</f>
        <v>2084.4372366162888</v>
      </c>
      <c r="P121">
        <f>scenario_indirect_prod_4506_iotable_2020_xlsx_3[[#This Row],[2039]]+scenario_indirect_prod_1610_iotable_2020_xlsx_3[[#This Row],[2039]]</f>
        <v>2084.4372366162888</v>
      </c>
      <c r="Q121">
        <f>scenario_indirect_prod_4506_iotable_2020_xlsx_3[[#This Row],[2040]]+scenario_indirect_prod_1610_iotable_2020_xlsx_3[[#This Row],[2040]]</f>
        <v>2135.4153517557393</v>
      </c>
      <c r="R121">
        <f>scenario_indirect_prod_4506_iotable_2020_xlsx_3[[#This Row],[2041]]+scenario_indirect_prod_1610_iotable_2020_xlsx_3[[#This Row],[2041]]</f>
        <v>2135.4153517557393</v>
      </c>
      <c r="S121">
        <f>scenario_indirect_prod_4506_iotable_2020_xlsx_3[[#This Row],[2042]]+scenario_indirect_prod_1610_iotable_2020_xlsx_3[[#This Row],[2042]]</f>
        <v>2194.2412421185395</v>
      </c>
      <c r="T121">
        <f>scenario_indirect_prod_4506_iotable_2020_xlsx_3[[#This Row],[2043]]+scenario_indirect_prod_1610_iotable_2020_xlsx_3[[#This Row],[2043]]</f>
        <v>2194.2412421185395</v>
      </c>
      <c r="U121">
        <f>scenario_indirect_prod_4506_iotable_2020_xlsx_3[[#This Row],[2044]]+scenario_indirect_prod_1610_iotable_2020_xlsx_3[[#This Row],[2044]]</f>
        <v>2242.4403703620114</v>
      </c>
      <c r="V121">
        <f>scenario_indirect_prod_4506_iotable_2020_xlsx_3[[#This Row],[2045]]+scenario_indirect_prod_1610_iotable_2020_xlsx_3[[#This Row],[2045]]</f>
        <v>2242.4403703620114</v>
      </c>
      <c r="W121">
        <f>scenario_indirect_prod_4506_iotable_2020_xlsx_3[[#This Row],[2046]]+scenario_indirect_prod_1610_iotable_2020_xlsx_3[[#This Row],[2046]]</f>
        <v>2285.9378667915316</v>
      </c>
      <c r="X121">
        <f>scenario_indirect_prod_4506_iotable_2020_xlsx_3[[#This Row],[2047]]+scenario_indirect_prod_1610_iotable_2020_xlsx_3[[#This Row],[2047]]</f>
        <v>2285.9378667915316</v>
      </c>
      <c r="Y121">
        <f>scenario_indirect_prod_4506_iotable_2020_xlsx_3[[#This Row],[2048]]+scenario_indirect_prod_1610_iotable_2020_xlsx_3[[#This Row],[2048]]</f>
        <v>2285.9378667915316</v>
      </c>
      <c r="Z121">
        <f>scenario_indirect_prod_4506_iotable_2020_xlsx_3[[#This Row],[2049]]+scenario_indirect_prod_1610_iotable_2020_xlsx_3[[#This Row],[2049]]</f>
        <v>2285.9378667915316</v>
      </c>
      <c r="AA121">
        <f>scenario_indirect_prod_4506_iotable_2020_xlsx_3[[#This Row],[2050]]+scenario_indirect_prod_1610_iotable_2020_xlsx_3[[#This Row],[2050]]</f>
        <v>2285.9378667915316</v>
      </c>
    </row>
    <row r="122" spans="1:27" x14ac:dyDescent="0.2">
      <c r="A122" t="s">
        <v>639</v>
      </c>
      <c r="B122" t="s">
        <v>640</v>
      </c>
      <c r="C122">
        <f>scenario_indirect_prod_4506_iotable_2020_xlsx_3[[#This Row],[2026]]+scenario_indirect_prod_1610_iotable_2020_xlsx_3[[#This Row],[2026]]</f>
        <v>4483.8645799396636</v>
      </c>
      <c r="D122">
        <f>scenario_indirect_prod_4506_iotable_2020_xlsx_3[[#This Row],[2027]]+scenario_indirect_prod_1610_iotable_2020_xlsx_3[[#This Row],[2027]]</f>
        <v>4062.768478148756</v>
      </c>
      <c r="E122">
        <f>scenario_indirect_prod_4506_iotable_2020_xlsx_3[[#This Row],[2028]]+scenario_indirect_prod_1610_iotable_2020_xlsx_3[[#This Row],[2028]]</f>
        <v>4307.8732790849972</v>
      </c>
      <c r="F122">
        <f>scenario_indirect_prod_4506_iotable_2020_xlsx_3[[#This Row],[2029]]+scenario_indirect_prod_1610_iotable_2020_xlsx_3[[#This Row],[2029]]</f>
        <v>4313.9147818129495</v>
      </c>
      <c r="G122">
        <f>scenario_indirect_prod_4506_iotable_2020_xlsx_3[[#This Row],[2030]]+scenario_indirect_prod_1610_iotable_2020_xlsx_3[[#This Row],[2030]]</f>
        <v>2662.4826392691266</v>
      </c>
      <c r="H122">
        <f>scenario_indirect_prod_4506_iotable_2020_xlsx_3[[#This Row],[2031]]+scenario_indirect_prod_1610_iotable_2020_xlsx_3[[#This Row],[2031]]</f>
        <v>2993.1779435681192</v>
      </c>
      <c r="I122">
        <f>scenario_indirect_prod_4506_iotable_2020_xlsx_3[[#This Row],[2032]]+scenario_indirect_prod_1610_iotable_2020_xlsx_3[[#This Row],[2032]]</f>
        <v>3455.0233649114134</v>
      </c>
      <c r="J122">
        <f>scenario_indirect_prod_4506_iotable_2020_xlsx_3[[#This Row],[2033]]+scenario_indirect_prod_1610_iotable_2020_xlsx_3[[#This Row],[2033]]</f>
        <v>3372.954746211667</v>
      </c>
      <c r="K122">
        <f>scenario_indirect_prod_4506_iotable_2020_xlsx_3[[#This Row],[2034]]+scenario_indirect_prod_1610_iotable_2020_xlsx_3[[#This Row],[2034]]</f>
        <v>3802.7259905307301</v>
      </c>
      <c r="L122">
        <f>scenario_indirect_prod_4506_iotable_2020_xlsx_3[[#This Row],[2035]]+scenario_indirect_prod_1610_iotable_2020_xlsx_3[[#This Row],[2035]]</f>
        <v>3854.4574297230138</v>
      </c>
      <c r="M122">
        <f>scenario_indirect_prod_4506_iotable_2020_xlsx_3[[#This Row],[2036]]+scenario_indirect_prod_1610_iotable_2020_xlsx_3[[#This Row],[2036]]</f>
        <v>3570.1078065202291</v>
      </c>
      <c r="N122">
        <f>scenario_indirect_prod_4506_iotable_2020_xlsx_3[[#This Row],[2037]]+scenario_indirect_prod_1610_iotable_2020_xlsx_3[[#This Row],[2037]]</f>
        <v>3338.8927695059501</v>
      </c>
      <c r="O122">
        <f>scenario_indirect_prod_4506_iotable_2020_xlsx_3[[#This Row],[2038]]+scenario_indirect_prod_1610_iotable_2020_xlsx_3[[#This Row],[2038]]</f>
        <v>3338.8927695059501</v>
      </c>
      <c r="P122">
        <f>scenario_indirect_prod_4506_iotable_2020_xlsx_3[[#This Row],[2039]]+scenario_indirect_prod_1610_iotable_2020_xlsx_3[[#This Row],[2039]]</f>
        <v>3338.8927695059501</v>
      </c>
      <c r="Q122">
        <f>scenario_indirect_prod_4506_iotable_2020_xlsx_3[[#This Row],[2040]]+scenario_indirect_prod_1610_iotable_2020_xlsx_3[[#This Row],[2040]]</f>
        <v>3132.9326569793484</v>
      </c>
      <c r="R122">
        <f>scenario_indirect_prod_4506_iotable_2020_xlsx_3[[#This Row],[2041]]+scenario_indirect_prod_1610_iotable_2020_xlsx_3[[#This Row],[2041]]</f>
        <v>3132.9326569793484</v>
      </c>
      <c r="S122">
        <f>scenario_indirect_prod_4506_iotable_2020_xlsx_3[[#This Row],[2042]]+scenario_indirect_prod_1610_iotable_2020_xlsx_3[[#This Row],[2042]]</f>
        <v>2914.9958300549624</v>
      </c>
      <c r="T122">
        <f>scenario_indirect_prod_4506_iotable_2020_xlsx_3[[#This Row],[2043]]+scenario_indirect_prod_1610_iotable_2020_xlsx_3[[#This Row],[2043]]</f>
        <v>2914.9958300549624</v>
      </c>
      <c r="U122">
        <f>scenario_indirect_prod_4506_iotable_2020_xlsx_3[[#This Row],[2044]]+scenario_indirect_prod_1610_iotable_2020_xlsx_3[[#This Row],[2044]]</f>
        <v>2679.3102318655219</v>
      </c>
      <c r="V122">
        <f>scenario_indirect_prod_4506_iotable_2020_xlsx_3[[#This Row],[2045]]+scenario_indirect_prod_1610_iotable_2020_xlsx_3[[#This Row],[2045]]</f>
        <v>2679.3102318655219</v>
      </c>
      <c r="W122">
        <f>scenario_indirect_prod_4506_iotable_2020_xlsx_3[[#This Row],[2046]]+scenario_indirect_prod_1610_iotable_2020_xlsx_3[[#This Row],[2046]]</f>
        <v>2487.6507383846038</v>
      </c>
      <c r="X122">
        <f>scenario_indirect_prod_4506_iotable_2020_xlsx_3[[#This Row],[2047]]+scenario_indirect_prod_1610_iotable_2020_xlsx_3[[#This Row],[2047]]</f>
        <v>2487.6507383846038</v>
      </c>
      <c r="Y122">
        <f>scenario_indirect_prod_4506_iotable_2020_xlsx_3[[#This Row],[2048]]+scenario_indirect_prod_1610_iotable_2020_xlsx_3[[#This Row],[2048]]</f>
        <v>2487.6507383846038</v>
      </c>
      <c r="Z122">
        <f>scenario_indirect_prod_4506_iotable_2020_xlsx_3[[#This Row],[2049]]+scenario_indirect_prod_1610_iotable_2020_xlsx_3[[#This Row],[2049]]</f>
        <v>2487.6507383846038</v>
      </c>
      <c r="AA122">
        <f>scenario_indirect_prod_4506_iotable_2020_xlsx_3[[#This Row],[2050]]+scenario_indirect_prod_1610_iotable_2020_xlsx_3[[#This Row],[2050]]</f>
        <v>2487.6507383846038</v>
      </c>
    </row>
    <row r="123" spans="1:27" x14ac:dyDescent="0.2">
      <c r="A123" t="s">
        <v>564</v>
      </c>
      <c r="B123" t="s">
        <v>565</v>
      </c>
      <c r="C123">
        <f>scenario_indirect_prod_4506_iotable_2020_xlsx_3[[#This Row],[2026]]+scenario_indirect_prod_1610_iotable_2020_xlsx_3[[#This Row],[2026]]</f>
        <v>6067.371926838684</v>
      </c>
      <c r="D123">
        <f>scenario_indirect_prod_4506_iotable_2020_xlsx_3[[#This Row],[2027]]+scenario_indirect_prod_1610_iotable_2020_xlsx_3[[#This Row],[2027]]</f>
        <v>4416.9527402344911</v>
      </c>
      <c r="E123">
        <f>scenario_indirect_prod_4506_iotable_2020_xlsx_3[[#This Row],[2028]]+scenario_indirect_prod_1610_iotable_2020_xlsx_3[[#This Row],[2028]]</f>
        <v>4812.8452716613338</v>
      </c>
      <c r="F123">
        <f>scenario_indirect_prod_4506_iotable_2020_xlsx_3[[#This Row],[2029]]+scenario_indirect_prod_1610_iotable_2020_xlsx_3[[#This Row],[2029]]</f>
        <v>4434.4970334666514</v>
      </c>
      <c r="G123">
        <f>scenario_indirect_prod_4506_iotable_2020_xlsx_3[[#This Row],[2030]]+scenario_indirect_prod_1610_iotable_2020_xlsx_3[[#This Row],[2030]]</f>
        <v>-1522.6169899774977</v>
      </c>
      <c r="H123">
        <f>scenario_indirect_prod_4506_iotable_2020_xlsx_3[[#This Row],[2031]]+scenario_indirect_prod_1610_iotable_2020_xlsx_3[[#This Row],[2031]]</f>
        <v>-988.4789369903101</v>
      </c>
      <c r="I123">
        <f>scenario_indirect_prod_4506_iotable_2020_xlsx_3[[#This Row],[2032]]+scenario_indirect_prod_1610_iotable_2020_xlsx_3[[#This Row],[2032]]</f>
        <v>-242.50761254018471</v>
      </c>
      <c r="J123">
        <f>scenario_indirect_prod_4506_iotable_2020_xlsx_3[[#This Row],[2033]]+scenario_indirect_prod_1610_iotable_2020_xlsx_3[[#This Row],[2033]]</f>
        <v>-2210.2428905551933</v>
      </c>
      <c r="K123">
        <f>scenario_indirect_prod_4506_iotable_2020_xlsx_3[[#This Row],[2034]]+scenario_indirect_prod_1610_iotable_2020_xlsx_3[[#This Row],[2034]]</f>
        <v>-1516.0776796004066</v>
      </c>
      <c r="L123">
        <f>scenario_indirect_prod_4506_iotable_2020_xlsx_3[[#This Row],[2035]]+scenario_indirect_prod_1610_iotable_2020_xlsx_3[[#This Row],[2035]]</f>
        <v>-3755.6379527340323</v>
      </c>
      <c r="M123">
        <f>scenario_indirect_prod_4506_iotable_2020_xlsx_3[[#This Row],[2036]]+scenario_indirect_prod_1610_iotable_2020_xlsx_3[[#This Row],[2036]]</f>
        <v>-5739.7666977868794</v>
      </c>
      <c r="N123">
        <f>scenario_indirect_prod_4506_iotable_2020_xlsx_3[[#This Row],[2037]]+scenario_indirect_prod_1610_iotable_2020_xlsx_3[[#This Row],[2037]]</f>
        <v>-7446.2555667650995</v>
      </c>
      <c r="O123">
        <f>scenario_indirect_prod_4506_iotable_2020_xlsx_3[[#This Row],[2038]]+scenario_indirect_prod_1610_iotable_2020_xlsx_3[[#This Row],[2038]]</f>
        <v>-7446.2555667650995</v>
      </c>
      <c r="P123">
        <f>scenario_indirect_prod_4506_iotable_2020_xlsx_3[[#This Row],[2039]]+scenario_indirect_prod_1610_iotable_2020_xlsx_3[[#This Row],[2039]]</f>
        <v>-7446.2555667650995</v>
      </c>
      <c r="Q123">
        <f>scenario_indirect_prod_4506_iotable_2020_xlsx_3[[#This Row],[2040]]+scenario_indirect_prod_1610_iotable_2020_xlsx_3[[#This Row],[2040]]</f>
        <v>-8949.1988381579504</v>
      </c>
      <c r="R123">
        <f>scenario_indirect_prod_4506_iotable_2020_xlsx_3[[#This Row],[2041]]+scenario_indirect_prod_1610_iotable_2020_xlsx_3[[#This Row],[2041]]</f>
        <v>-8949.1988381579504</v>
      </c>
      <c r="S123">
        <f>scenario_indirect_prod_4506_iotable_2020_xlsx_3[[#This Row],[2042]]+scenario_indirect_prod_1610_iotable_2020_xlsx_3[[#This Row],[2042]]</f>
        <v>-10592.906506808089</v>
      </c>
      <c r="T123">
        <f>scenario_indirect_prod_4506_iotable_2020_xlsx_3[[#This Row],[2043]]+scenario_indirect_prod_1610_iotable_2020_xlsx_3[[#This Row],[2043]]</f>
        <v>-10592.906506808089</v>
      </c>
      <c r="U123">
        <f>scenario_indirect_prod_4506_iotable_2020_xlsx_3[[#This Row],[2044]]+scenario_indirect_prod_1610_iotable_2020_xlsx_3[[#This Row],[2044]]</f>
        <v>-12201.988932301407</v>
      </c>
      <c r="V123">
        <f>scenario_indirect_prod_4506_iotable_2020_xlsx_3[[#This Row],[2045]]+scenario_indirect_prod_1610_iotable_2020_xlsx_3[[#This Row],[2045]]</f>
        <v>-12201.988932301407</v>
      </c>
      <c r="W123">
        <f>scenario_indirect_prod_4506_iotable_2020_xlsx_3[[#This Row],[2046]]+scenario_indirect_prod_1610_iotable_2020_xlsx_3[[#This Row],[2046]]</f>
        <v>-13557.508115809349</v>
      </c>
      <c r="X123">
        <f>scenario_indirect_prod_4506_iotable_2020_xlsx_3[[#This Row],[2047]]+scenario_indirect_prod_1610_iotable_2020_xlsx_3[[#This Row],[2047]]</f>
        <v>-13557.508115809349</v>
      </c>
      <c r="Y123">
        <f>scenario_indirect_prod_4506_iotable_2020_xlsx_3[[#This Row],[2048]]+scenario_indirect_prod_1610_iotable_2020_xlsx_3[[#This Row],[2048]]</f>
        <v>-13557.508115809349</v>
      </c>
      <c r="Z123">
        <f>scenario_indirect_prod_4506_iotable_2020_xlsx_3[[#This Row],[2049]]+scenario_indirect_prod_1610_iotable_2020_xlsx_3[[#This Row],[2049]]</f>
        <v>-13557.508115809349</v>
      </c>
      <c r="AA123">
        <f>scenario_indirect_prod_4506_iotable_2020_xlsx_3[[#This Row],[2050]]+scenario_indirect_prod_1610_iotable_2020_xlsx_3[[#This Row],[2050]]</f>
        <v>-13557.508115809349</v>
      </c>
    </row>
    <row r="124" spans="1:27" x14ac:dyDescent="0.2">
      <c r="A124" t="s">
        <v>544</v>
      </c>
      <c r="B124" t="s">
        <v>545</v>
      </c>
      <c r="C124">
        <f>scenario_indirect_prod_4506_iotable_2020_xlsx_3[[#This Row],[2026]]+scenario_indirect_prod_1610_iotable_2020_xlsx_3[[#This Row],[2026]]</f>
        <v>11246.483146104798</v>
      </c>
      <c r="D124">
        <f>scenario_indirect_prod_4506_iotable_2020_xlsx_3[[#This Row],[2027]]+scenario_indirect_prod_1610_iotable_2020_xlsx_3[[#This Row],[2027]]</f>
        <v>11870.273306997362</v>
      </c>
      <c r="E124">
        <f>scenario_indirect_prod_4506_iotable_2020_xlsx_3[[#This Row],[2028]]+scenario_indirect_prod_1610_iotable_2020_xlsx_3[[#This Row],[2028]]</f>
        <v>12385.196084102823</v>
      </c>
      <c r="F124">
        <f>scenario_indirect_prod_4506_iotable_2020_xlsx_3[[#This Row],[2029]]+scenario_indirect_prod_1610_iotable_2020_xlsx_3[[#This Row],[2029]]</f>
        <v>13001.264380994862</v>
      </c>
      <c r="G124">
        <f>scenario_indirect_prod_4506_iotable_2020_xlsx_3[[#This Row],[2030]]+scenario_indirect_prod_1610_iotable_2020_xlsx_3[[#This Row],[2030]]</f>
        <v>14646.318084547751</v>
      </c>
      <c r="H124">
        <f>scenario_indirect_prod_4506_iotable_2020_xlsx_3[[#This Row],[2031]]+scenario_indirect_prod_1610_iotable_2020_xlsx_3[[#This Row],[2031]]</f>
        <v>15341.051699780646</v>
      </c>
      <c r="I124">
        <f>scenario_indirect_prod_4506_iotable_2020_xlsx_3[[#This Row],[2032]]+scenario_indirect_prod_1610_iotable_2020_xlsx_3[[#This Row],[2032]]</f>
        <v>16311.309018458773</v>
      </c>
      <c r="J124">
        <f>scenario_indirect_prod_4506_iotable_2020_xlsx_3[[#This Row],[2033]]+scenario_indirect_prod_1610_iotable_2020_xlsx_3[[#This Row],[2033]]</f>
        <v>18991.98745880117</v>
      </c>
      <c r="K124">
        <f>scenario_indirect_prod_4506_iotable_2020_xlsx_3[[#This Row],[2034]]+scenario_indirect_prod_1610_iotable_2020_xlsx_3[[#This Row],[2034]]</f>
        <v>19894.862481238648</v>
      </c>
      <c r="L124">
        <f>scenario_indirect_prod_4506_iotable_2020_xlsx_3[[#This Row],[2035]]+scenario_indirect_prod_1610_iotable_2020_xlsx_3[[#This Row],[2035]]</f>
        <v>23615.213294992249</v>
      </c>
      <c r="M124">
        <f>scenario_indirect_prod_4506_iotable_2020_xlsx_3[[#This Row],[2036]]+scenario_indirect_prod_1610_iotable_2020_xlsx_3[[#This Row],[2036]]</f>
        <v>25388.474349118194</v>
      </c>
      <c r="N124">
        <f>scenario_indirect_prod_4506_iotable_2020_xlsx_3[[#This Row],[2037]]+scenario_indirect_prod_1610_iotable_2020_xlsx_3[[#This Row],[2037]]</f>
        <v>26975.150407667868</v>
      </c>
      <c r="O124">
        <f>scenario_indirect_prod_4506_iotable_2020_xlsx_3[[#This Row],[2038]]+scenario_indirect_prod_1610_iotable_2020_xlsx_3[[#This Row],[2038]]</f>
        <v>26975.150407667868</v>
      </c>
      <c r="P124">
        <f>scenario_indirect_prod_4506_iotable_2020_xlsx_3[[#This Row],[2039]]+scenario_indirect_prod_1610_iotable_2020_xlsx_3[[#This Row],[2039]]</f>
        <v>26975.150407667868</v>
      </c>
      <c r="Q124">
        <f>scenario_indirect_prod_4506_iotable_2020_xlsx_3[[#This Row],[2040]]+scenario_indirect_prod_1610_iotable_2020_xlsx_3[[#This Row],[2040]]</f>
        <v>28361.854608317139</v>
      </c>
      <c r="R124">
        <f>scenario_indirect_prod_4506_iotable_2020_xlsx_3[[#This Row],[2041]]+scenario_indirect_prod_1610_iotable_2020_xlsx_3[[#This Row],[2041]]</f>
        <v>28361.854608317139</v>
      </c>
      <c r="S124">
        <f>scenario_indirect_prod_4506_iotable_2020_xlsx_3[[#This Row],[2042]]+scenario_indirect_prod_1610_iotable_2020_xlsx_3[[#This Row],[2042]]</f>
        <v>29912.164870785349</v>
      </c>
      <c r="T124">
        <f>scenario_indirect_prod_4506_iotable_2020_xlsx_3[[#This Row],[2043]]+scenario_indirect_prod_1610_iotable_2020_xlsx_3[[#This Row],[2043]]</f>
        <v>29912.164870785349</v>
      </c>
      <c r="U124">
        <f>scenario_indirect_prod_4506_iotable_2020_xlsx_3[[#This Row],[2044]]+scenario_indirect_prod_1610_iotable_2020_xlsx_3[[#This Row],[2044]]</f>
        <v>31326.788515086482</v>
      </c>
      <c r="V124">
        <f>scenario_indirect_prod_4506_iotable_2020_xlsx_3[[#This Row],[2045]]+scenario_indirect_prod_1610_iotable_2020_xlsx_3[[#This Row],[2045]]</f>
        <v>31326.788515086482</v>
      </c>
      <c r="W124">
        <f>scenario_indirect_prod_4506_iotable_2020_xlsx_3[[#This Row],[2046]]+scenario_indirect_prod_1610_iotable_2020_xlsx_3[[#This Row],[2046]]</f>
        <v>32550.250717065392</v>
      </c>
      <c r="X124">
        <f>scenario_indirect_prod_4506_iotable_2020_xlsx_3[[#This Row],[2047]]+scenario_indirect_prod_1610_iotable_2020_xlsx_3[[#This Row],[2047]]</f>
        <v>32550.250717065392</v>
      </c>
      <c r="Y124">
        <f>scenario_indirect_prod_4506_iotable_2020_xlsx_3[[#This Row],[2048]]+scenario_indirect_prod_1610_iotable_2020_xlsx_3[[#This Row],[2048]]</f>
        <v>32550.250717065392</v>
      </c>
      <c r="Z124">
        <f>scenario_indirect_prod_4506_iotable_2020_xlsx_3[[#This Row],[2049]]+scenario_indirect_prod_1610_iotable_2020_xlsx_3[[#This Row],[2049]]</f>
        <v>32550.250717065392</v>
      </c>
      <c r="AA124">
        <f>scenario_indirect_prod_4506_iotable_2020_xlsx_3[[#This Row],[2050]]+scenario_indirect_prod_1610_iotable_2020_xlsx_3[[#This Row],[2050]]</f>
        <v>32550.250717065392</v>
      </c>
    </row>
    <row r="125" spans="1:27" x14ac:dyDescent="0.2">
      <c r="A125" t="s">
        <v>807</v>
      </c>
      <c r="B125" t="s">
        <v>808</v>
      </c>
      <c r="C125">
        <f>scenario_indirect_prod_4506_iotable_2020_xlsx_3[[#This Row],[2026]]+scenario_indirect_prod_1610_iotable_2020_xlsx_3[[#This Row],[2026]]</f>
        <v>1099.3906480869312</v>
      </c>
      <c r="D125">
        <f>scenario_indirect_prod_4506_iotable_2020_xlsx_3[[#This Row],[2027]]+scenario_indirect_prod_1610_iotable_2020_xlsx_3[[#This Row],[2027]]</f>
        <v>1009.1333627557483</v>
      </c>
      <c r="E125">
        <f>scenario_indirect_prod_4506_iotable_2020_xlsx_3[[#This Row],[2028]]+scenario_indirect_prod_1610_iotable_2020_xlsx_3[[#This Row],[2028]]</f>
        <v>1068.4580600616212</v>
      </c>
      <c r="F125">
        <f>scenario_indirect_prod_4506_iotable_2020_xlsx_3[[#This Row],[2029]]+scenario_indirect_prod_1610_iotable_2020_xlsx_3[[#This Row],[2029]]</f>
        <v>1074.5859382552267</v>
      </c>
      <c r="G125">
        <f>scenario_indirect_prod_4506_iotable_2020_xlsx_3[[#This Row],[2030]]+scenario_indirect_prod_1610_iotable_2020_xlsx_3[[#This Row],[2030]]</f>
        <v>714.42375276468101</v>
      </c>
      <c r="H125">
        <f>scenario_indirect_prod_4506_iotable_2020_xlsx_3[[#This Row],[2031]]+scenario_indirect_prod_1610_iotable_2020_xlsx_3[[#This Row],[2031]]</f>
        <v>794.46461183016504</v>
      </c>
      <c r="I125">
        <f>scenario_indirect_prod_4506_iotable_2020_xlsx_3[[#This Row],[2032]]+scenario_indirect_prod_1610_iotable_2020_xlsx_3[[#This Row],[2032]]</f>
        <v>906.2487944273123</v>
      </c>
      <c r="J125">
        <f>scenario_indirect_prod_4506_iotable_2020_xlsx_3[[#This Row],[2033]]+scenario_indirect_prod_1610_iotable_2020_xlsx_3[[#This Row],[2033]]</f>
        <v>908.44657684240269</v>
      </c>
      <c r="K125">
        <f>scenario_indirect_prod_4506_iotable_2020_xlsx_3[[#This Row],[2034]]+scenario_indirect_prod_1610_iotable_2020_xlsx_3[[#This Row],[2034]]</f>
        <v>1012.4675869678997</v>
      </c>
      <c r="L125">
        <f>scenario_indirect_prod_4506_iotable_2020_xlsx_3[[#This Row],[2035]]+scenario_indirect_prod_1610_iotable_2020_xlsx_3[[#This Row],[2035]]</f>
        <v>1052.9158097431559</v>
      </c>
      <c r="M125">
        <f>scenario_indirect_prod_4506_iotable_2020_xlsx_3[[#This Row],[2036]]+scenario_indirect_prod_1610_iotable_2020_xlsx_3[[#This Row],[2036]]</f>
        <v>1002.4232640232767</v>
      </c>
      <c r="N125">
        <f>scenario_indirect_prod_4506_iotable_2020_xlsx_3[[#This Row],[2037]]+scenario_indirect_prod_1610_iotable_2020_xlsx_3[[#This Row],[2037]]</f>
        <v>962.48539178814599</v>
      </c>
      <c r="O125">
        <f>scenario_indirect_prod_4506_iotable_2020_xlsx_3[[#This Row],[2038]]+scenario_indirect_prod_1610_iotable_2020_xlsx_3[[#This Row],[2038]]</f>
        <v>962.48539178814599</v>
      </c>
      <c r="P125">
        <f>scenario_indirect_prod_4506_iotable_2020_xlsx_3[[#This Row],[2039]]+scenario_indirect_prod_1610_iotable_2020_xlsx_3[[#This Row],[2039]]</f>
        <v>962.48539178814599</v>
      </c>
      <c r="Q125">
        <f>scenario_indirect_prod_4506_iotable_2020_xlsx_3[[#This Row],[2040]]+scenario_indirect_prod_1610_iotable_2020_xlsx_3[[#This Row],[2040]]</f>
        <v>926.70363419509977</v>
      </c>
      <c r="R125">
        <f>scenario_indirect_prod_4506_iotable_2020_xlsx_3[[#This Row],[2041]]+scenario_indirect_prod_1610_iotable_2020_xlsx_3[[#This Row],[2041]]</f>
        <v>926.70363419509977</v>
      </c>
      <c r="S125">
        <f>scenario_indirect_prod_4506_iotable_2020_xlsx_3[[#This Row],[2042]]+scenario_indirect_prod_1610_iotable_2020_xlsx_3[[#This Row],[2042]]</f>
        <v>889.48269638858937</v>
      </c>
      <c r="T125">
        <f>scenario_indirect_prod_4506_iotable_2020_xlsx_3[[#This Row],[2043]]+scenario_indirect_prod_1610_iotable_2020_xlsx_3[[#This Row],[2043]]</f>
        <v>889.48269638858937</v>
      </c>
      <c r="U125">
        <f>scenario_indirect_prod_4506_iotable_2020_xlsx_3[[#This Row],[2044]]+scenario_indirect_prod_1610_iotable_2020_xlsx_3[[#This Row],[2044]]</f>
        <v>847.20500589511585</v>
      </c>
      <c r="V125">
        <f>scenario_indirect_prod_4506_iotable_2020_xlsx_3[[#This Row],[2045]]+scenario_indirect_prod_1610_iotable_2020_xlsx_3[[#This Row],[2045]]</f>
        <v>847.20500589511585</v>
      </c>
      <c r="W125">
        <f>scenario_indirect_prod_4506_iotable_2020_xlsx_3[[#This Row],[2046]]+scenario_indirect_prod_1610_iotable_2020_xlsx_3[[#This Row],[2046]]</f>
        <v>813.38996607788431</v>
      </c>
      <c r="X125">
        <f>scenario_indirect_prod_4506_iotable_2020_xlsx_3[[#This Row],[2047]]+scenario_indirect_prod_1610_iotable_2020_xlsx_3[[#This Row],[2047]]</f>
        <v>813.38996607788431</v>
      </c>
      <c r="Y125">
        <f>scenario_indirect_prod_4506_iotable_2020_xlsx_3[[#This Row],[2048]]+scenario_indirect_prod_1610_iotable_2020_xlsx_3[[#This Row],[2048]]</f>
        <v>813.38996607788431</v>
      </c>
      <c r="Z125">
        <f>scenario_indirect_prod_4506_iotable_2020_xlsx_3[[#This Row],[2049]]+scenario_indirect_prod_1610_iotable_2020_xlsx_3[[#This Row],[2049]]</f>
        <v>813.38996607788431</v>
      </c>
      <c r="AA125">
        <f>scenario_indirect_prod_4506_iotable_2020_xlsx_3[[#This Row],[2050]]+scenario_indirect_prod_1610_iotable_2020_xlsx_3[[#This Row],[2050]]</f>
        <v>813.38996607788431</v>
      </c>
    </row>
    <row r="126" spans="1:27" x14ac:dyDescent="0.2">
      <c r="A126" t="s">
        <v>364</v>
      </c>
      <c r="B126" t="s">
        <v>125</v>
      </c>
      <c r="C126">
        <f>scenario_indirect_prod_4506_iotable_2020_xlsx_3[[#This Row],[2026]]+scenario_indirect_prod_1610_iotable_2020_xlsx_3[[#This Row],[2026]]</f>
        <v>101588.90407545406</v>
      </c>
      <c r="D126">
        <f>scenario_indirect_prod_4506_iotable_2020_xlsx_3[[#This Row],[2027]]+scenario_indirect_prod_1610_iotable_2020_xlsx_3[[#This Row],[2027]]</f>
        <v>100086.29551254456</v>
      </c>
      <c r="E126">
        <f>scenario_indirect_prod_4506_iotable_2020_xlsx_3[[#This Row],[2028]]+scenario_indirect_prod_1610_iotable_2020_xlsx_3[[#This Row],[2028]]</f>
        <v>105161.77847214637</v>
      </c>
      <c r="F126">
        <f>scenario_indirect_prod_4506_iotable_2020_xlsx_3[[#This Row],[2029]]+scenario_indirect_prod_1610_iotable_2020_xlsx_3[[#This Row],[2029]]</f>
        <v>108173.76118087</v>
      </c>
      <c r="G126">
        <f>scenario_indirect_prod_4506_iotable_2020_xlsx_3[[#This Row],[2030]]+scenario_indirect_prod_1610_iotable_2020_xlsx_3[[#This Row],[2030]]</f>
        <v>98447.090151093798</v>
      </c>
      <c r="H126">
        <f>scenario_indirect_prod_4506_iotable_2020_xlsx_3[[#This Row],[2031]]+scenario_indirect_prod_1610_iotable_2020_xlsx_3[[#This Row],[2031]]</f>
        <v>105294.92983182892</v>
      </c>
      <c r="I126">
        <f>scenario_indirect_prod_4506_iotable_2020_xlsx_3[[#This Row],[2032]]+scenario_indirect_prod_1610_iotable_2020_xlsx_3[[#This Row],[2032]]</f>
        <v>114858.54734174372</v>
      </c>
      <c r="J126">
        <f>scenario_indirect_prod_4506_iotable_2020_xlsx_3[[#This Row],[2033]]+scenario_indirect_prod_1610_iotable_2020_xlsx_3[[#This Row],[2033]]</f>
        <v>126809.8524354113</v>
      </c>
      <c r="K126">
        <f>scenario_indirect_prod_4506_iotable_2020_xlsx_3[[#This Row],[2034]]+scenario_indirect_prod_1610_iotable_2020_xlsx_3[[#This Row],[2034]]</f>
        <v>135709.297157572</v>
      </c>
      <c r="L126">
        <f>scenario_indirect_prod_4506_iotable_2020_xlsx_3[[#This Row],[2035]]+scenario_indirect_prod_1610_iotable_2020_xlsx_3[[#This Row],[2035]]</f>
        <v>154060.71949555268</v>
      </c>
      <c r="M126">
        <f>scenario_indirect_prod_4506_iotable_2020_xlsx_3[[#This Row],[2036]]+scenario_indirect_prod_1610_iotable_2020_xlsx_3[[#This Row],[2036]]</f>
        <v>159514.9606509702</v>
      </c>
      <c r="N126">
        <f>scenario_indirect_prod_4506_iotable_2020_xlsx_3[[#This Row],[2037]]+scenario_indirect_prod_1610_iotable_2020_xlsx_3[[#This Row],[2037]]</f>
        <v>164642.6749307604</v>
      </c>
      <c r="O126">
        <f>scenario_indirect_prod_4506_iotable_2020_xlsx_3[[#This Row],[2038]]+scenario_indirect_prod_1610_iotable_2020_xlsx_3[[#This Row],[2038]]</f>
        <v>164642.6749307604</v>
      </c>
      <c r="P126">
        <f>scenario_indirect_prod_4506_iotable_2020_xlsx_3[[#This Row],[2039]]+scenario_indirect_prod_1610_iotable_2020_xlsx_3[[#This Row],[2039]]</f>
        <v>164642.6749307604</v>
      </c>
      <c r="Q126">
        <f>scenario_indirect_prod_4506_iotable_2020_xlsx_3[[#This Row],[2040]]+scenario_indirect_prod_1610_iotable_2020_xlsx_3[[#This Row],[2040]]</f>
        <v>169082.72935186626</v>
      </c>
      <c r="R126">
        <f>scenario_indirect_prod_4506_iotable_2020_xlsx_3[[#This Row],[2041]]+scenario_indirect_prod_1610_iotable_2020_xlsx_3[[#This Row],[2041]]</f>
        <v>169082.72935186626</v>
      </c>
      <c r="S126">
        <f>scenario_indirect_prod_4506_iotable_2020_xlsx_3[[#This Row],[2042]]+scenario_indirect_prod_1610_iotable_2020_xlsx_3[[#This Row],[2042]]</f>
        <v>174177.94124733546</v>
      </c>
      <c r="T126">
        <f>scenario_indirect_prod_4506_iotable_2020_xlsx_3[[#This Row],[2043]]+scenario_indirect_prod_1610_iotable_2020_xlsx_3[[#This Row],[2043]]</f>
        <v>174177.94124733546</v>
      </c>
      <c r="U126">
        <f>scenario_indirect_prod_4506_iotable_2020_xlsx_3[[#This Row],[2044]]+scenario_indirect_prod_1610_iotable_2020_xlsx_3[[#This Row],[2044]]</f>
        <v>178434.8255470554</v>
      </c>
      <c r="V126">
        <f>scenario_indirect_prod_4506_iotable_2020_xlsx_3[[#This Row],[2045]]+scenario_indirect_prod_1610_iotable_2020_xlsx_3[[#This Row],[2045]]</f>
        <v>178434.8255470554</v>
      </c>
      <c r="W126">
        <f>scenario_indirect_prod_4506_iotable_2020_xlsx_3[[#This Row],[2046]]+scenario_indirect_prod_1610_iotable_2020_xlsx_3[[#This Row],[2046]]</f>
        <v>182246.22767184881</v>
      </c>
      <c r="X126">
        <f>scenario_indirect_prod_4506_iotable_2020_xlsx_3[[#This Row],[2047]]+scenario_indirect_prod_1610_iotable_2020_xlsx_3[[#This Row],[2047]]</f>
        <v>182246.22767184881</v>
      </c>
      <c r="Y126">
        <f>scenario_indirect_prod_4506_iotable_2020_xlsx_3[[#This Row],[2048]]+scenario_indirect_prod_1610_iotable_2020_xlsx_3[[#This Row],[2048]]</f>
        <v>182246.22767184881</v>
      </c>
      <c r="Z126">
        <f>scenario_indirect_prod_4506_iotable_2020_xlsx_3[[#This Row],[2049]]+scenario_indirect_prod_1610_iotable_2020_xlsx_3[[#This Row],[2049]]</f>
        <v>182246.22767184881</v>
      </c>
      <c r="AA126">
        <f>scenario_indirect_prod_4506_iotable_2020_xlsx_3[[#This Row],[2050]]+scenario_indirect_prod_1610_iotable_2020_xlsx_3[[#This Row],[2050]]</f>
        <v>182246.22767184881</v>
      </c>
    </row>
    <row r="127" spans="1:27" x14ac:dyDescent="0.2">
      <c r="A127" t="s">
        <v>422</v>
      </c>
      <c r="B127" t="s">
        <v>167</v>
      </c>
      <c r="C127">
        <f>scenario_indirect_prod_4506_iotable_2020_xlsx_3[[#This Row],[2026]]+scenario_indirect_prod_1610_iotable_2020_xlsx_3[[#This Row],[2026]]</f>
        <v>38715.185937385002</v>
      </c>
      <c r="D127">
        <f>scenario_indirect_prod_4506_iotable_2020_xlsx_3[[#This Row],[2027]]+scenario_indirect_prod_1610_iotable_2020_xlsx_3[[#This Row],[2027]]</f>
        <v>41087.502968985071</v>
      </c>
      <c r="E127">
        <f>scenario_indirect_prod_4506_iotable_2020_xlsx_3[[#This Row],[2028]]+scenario_indirect_prod_1610_iotable_2020_xlsx_3[[#This Row],[2028]]</f>
        <v>42846.715436675673</v>
      </c>
      <c r="F127">
        <f>scenario_indirect_prod_4506_iotable_2020_xlsx_3[[#This Row],[2029]]+scenario_indirect_prod_1610_iotable_2020_xlsx_3[[#This Row],[2029]]</f>
        <v>45047.952869920118</v>
      </c>
      <c r="G127">
        <f>scenario_indirect_prod_4506_iotable_2020_xlsx_3[[#This Row],[2030]]+scenario_indirect_prod_1610_iotable_2020_xlsx_3[[#This Row],[2030]]</f>
        <v>51485.886054389601</v>
      </c>
      <c r="H127">
        <f>scenario_indirect_prod_4506_iotable_2020_xlsx_3[[#This Row],[2031]]+scenario_indirect_prod_1610_iotable_2020_xlsx_3[[#This Row],[2031]]</f>
        <v>53859.414847409302</v>
      </c>
      <c r="I127">
        <f>scenario_indirect_prod_4506_iotable_2020_xlsx_3[[#This Row],[2032]]+scenario_indirect_prod_1610_iotable_2020_xlsx_3[[#This Row],[2032]]</f>
        <v>57174.259029446752</v>
      </c>
      <c r="J127">
        <f>scenario_indirect_prod_4506_iotable_2020_xlsx_3[[#This Row],[2033]]+scenario_indirect_prod_1610_iotable_2020_xlsx_3[[#This Row],[2033]]</f>
        <v>66788.827693259838</v>
      </c>
      <c r="K127">
        <f>scenario_indirect_prod_4506_iotable_2020_xlsx_3[[#This Row],[2034]]+scenario_indirect_prod_1610_iotable_2020_xlsx_3[[#This Row],[2034]]</f>
        <v>69873.463034440589</v>
      </c>
      <c r="L127">
        <f>scenario_indirect_prod_4506_iotable_2020_xlsx_3[[#This Row],[2035]]+scenario_indirect_prod_1610_iotable_2020_xlsx_3[[#This Row],[2035]]</f>
        <v>83161.308671101098</v>
      </c>
      <c r="M127">
        <f>scenario_indirect_prod_4506_iotable_2020_xlsx_3[[#This Row],[2036]]+scenario_indirect_prod_1610_iotable_2020_xlsx_3[[#This Row],[2036]]</f>
        <v>89598.58934306739</v>
      </c>
      <c r="N127">
        <f>scenario_indirect_prod_4506_iotable_2020_xlsx_3[[#This Row],[2037]]+scenario_indirect_prod_1610_iotable_2020_xlsx_3[[#This Row],[2037]]</f>
        <v>95350.733139191332</v>
      </c>
      <c r="O127">
        <f>scenario_indirect_prod_4506_iotable_2020_xlsx_3[[#This Row],[2038]]+scenario_indirect_prod_1610_iotable_2020_xlsx_3[[#This Row],[2038]]</f>
        <v>95350.733139191332</v>
      </c>
      <c r="P127">
        <f>scenario_indirect_prod_4506_iotable_2020_xlsx_3[[#This Row],[2039]]+scenario_indirect_prod_1610_iotable_2020_xlsx_3[[#This Row],[2039]]</f>
        <v>95350.733139191332</v>
      </c>
      <c r="Q127">
        <f>scenario_indirect_prod_4506_iotable_2020_xlsx_3[[#This Row],[2040]]+scenario_indirect_prod_1610_iotable_2020_xlsx_3[[#This Row],[2040]]</f>
        <v>100379.228157292</v>
      </c>
      <c r="R127">
        <f>scenario_indirect_prod_4506_iotable_2020_xlsx_3[[#This Row],[2041]]+scenario_indirect_prod_1610_iotable_2020_xlsx_3[[#This Row],[2041]]</f>
        <v>100379.228157292</v>
      </c>
      <c r="S127">
        <f>scenario_indirect_prod_4506_iotable_2020_xlsx_3[[#This Row],[2042]]+scenario_indirect_prod_1610_iotable_2020_xlsx_3[[#This Row],[2042]]</f>
        <v>105996.85590350592</v>
      </c>
      <c r="T127">
        <f>scenario_indirect_prod_4506_iotable_2020_xlsx_3[[#This Row],[2043]]+scenario_indirect_prod_1610_iotable_2020_xlsx_3[[#This Row],[2043]]</f>
        <v>105996.85590350592</v>
      </c>
      <c r="U127">
        <f>scenario_indirect_prod_4506_iotable_2020_xlsx_3[[#This Row],[2044]]+scenario_indirect_prod_1610_iotable_2020_xlsx_3[[#This Row],[2044]]</f>
        <v>111135.18416761633</v>
      </c>
      <c r="V127">
        <f>scenario_indirect_prod_4506_iotable_2020_xlsx_3[[#This Row],[2045]]+scenario_indirect_prod_1610_iotable_2020_xlsx_3[[#This Row],[2045]]</f>
        <v>111135.18416761633</v>
      </c>
      <c r="W127">
        <f>scenario_indirect_prod_4506_iotable_2020_xlsx_3[[#This Row],[2046]]+scenario_indirect_prod_1610_iotable_2020_xlsx_3[[#This Row],[2046]]</f>
        <v>115575.06793452767</v>
      </c>
      <c r="X127">
        <f>scenario_indirect_prod_4506_iotable_2020_xlsx_3[[#This Row],[2047]]+scenario_indirect_prod_1610_iotable_2020_xlsx_3[[#This Row],[2047]]</f>
        <v>115575.06793452767</v>
      </c>
      <c r="Y127">
        <f>scenario_indirect_prod_4506_iotable_2020_xlsx_3[[#This Row],[2048]]+scenario_indirect_prod_1610_iotable_2020_xlsx_3[[#This Row],[2048]]</f>
        <v>115575.06793452767</v>
      </c>
      <c r="Z127">
        <f>scenario_indirect_prod_4506_iotable_2020_xlsx_3[[#This Row],[2049]]+scenario_indirect_prod_1610_iotable_2020_xlsx_3[[#This Row],[2049]]</f>
        <v>115575.06793452767</v>
      </c>
      <c r="AA127">
        <f>scenario_indirect_prod_4506_iotable_2020_xlsx_3[[#This Row],[2050]]+scenario_indirect_prod_1610_iotable_2020_xlsx_3[[#This Row],[2050]]</f>
        <v>115575.06793452767</v>
      </c>
    </row>
    <row r="128" spans="1:27" x14ac:dyDescent="0.2">
      <c r="A128" t="s">
        <v>610</v>
      </c>
      <c r="B128" t="s">
        <v>611</v>
      </c>
      <c r="C128">
        <f>scenario_indirect_prod_4506_iotable_2020_xlsx_3[[#This Row],[2026]]+scenario_indirect_prod_1610_iotable_2020_xlsx_3[[#This Row],[2026]]</f>
        <v>5978.1575331899103</v>
      </c>
      <c r="D128">
        <f>scenario_indirect_prod_4506_iotable_2020_xlsx_3[[#This Row],[2027]]+scenario_indirect_prod_1610_iotable_2020_xlsx_3[[#This Row],[2027]]</f>
        <v>5743.7743208205575</v>
      </c>
      <c r="E128">
        <f>scenario_indirect_prod_4506_iotable_2020_xlsx_3[[#This Row],[2028]]+scenario_indirect_prod_1610_iotable_2020_xlsx_3[[#This Row],[2028]]</f>
        <v>6051.1243247327402</v>
      </c>
      <c r="F128">
        <f>scenario_indirect_prod_4506_iotable_2020_xlsx_3[[#This Row],[2029]]+scenario_indirect_prod_1610_iotable_2020_xlsx_3[[#This Row],[2029]]</f>
        <v>6176.1607738407947</v>
      </c>
      <c r="G128">
        <f>scenario_indirect_prod_4506_iotable_2020_xlsx_3[[#This Row],[2030]]+scenario_indirect_prod_1610_iotable_2020_xlsx_3[[#This Row],[2030]]</f>
        <v>5100.9795777630789</v>
      </c>
      <c r="H128">
        <f>scenario_indirect_prod_4506_iotable_2020_xlsx_3[[#This Row],[2031]]+scenario_indirect_prod_1610_iotable_2020_xlsx_3[[#This Row],[2031]]</f>
        <v>5515.6560862680062</v>
      </c>
      <c r="I128">
        <f>scenario_indirect_prod_4506_iotable_2020_xlsx_3[[#This Row],[2032]]+scenario_indirect_prod_1610_iotable_2020_xlsx_3[[#This Row],[2032]]</f>
        <v>6094.7887328521492</v>
      </c>
      <c r="J128">
        <f>scenario_indirect_prod_4506_iotable_2020_xlsx_3[[#This Row],[2033]]+scenario_indirect_prod_1610_iotable_2020_xlsx_3[[#This Row],[2033]]</f>
        <v>6547.2964829061048</v>
      </c>
      <c r="K128">
        <f>scenario_indirect_prod_4506_iotable_2020_xlsx_3[[#This Row],[2034]]+scenario_indirect_prod_1610_iotable_2020_xlsx_3[[#This Row],[2034]]</f>
        <v>7086.2096054490112</v>
      </c>
      <c r="L128">
        <f>scenario_indirect_prod_4506_iotable_2020_xlsx_3[[#This Row],[2035]]+scenario_indirect_prod_1610_iotable_2020_xlsx_3[[#This Row],[2035]]</f>
        <v>7854.1713020052939</v>
      </c>
      <c r="M128">
        <f>scenario_indirect_prod_4506_iotable_2020_xlsx_3[[#This Row],[2036]]+scenario_indirect_prod_1610_iotable_2020_xlsx_3[[#This Row],[2036]]</f>
        <v>7959.1064458858509</v>
      </c>
      <c r="N128">
        <f>scenario_indirect_prod_4506_iotable_2020_xlsx_3[[#This Row],[2037]]+scenario_indirect_prod_1610_iotable_2020_xlsx_3[[#This Row],[2037]]</f>
        <v>8072.6163225088403</v>
      </c>
      <c r="O128">
        <f>scenario_indirect_prod_4506_iotable_2020_xlsx_3[[#This Row],[2038]]+scenario_indirect_prod_1610_iotable_2020_xlsx_3[[#This Row],[2038]]</f>
        <v>8072.6163225088403</v>
      </c>
      <c r="P128">
        <f>scenario_indirect_prod_4506_iotable_2020_xlsx_3[[#This Row],[2039]]+scenario_indirect_prod_1610_iotable_2020_xlsx_3[[#This Row],[2039]]</f>
        <v>8072.6163225088403</v>
      </c>
      <c r="Q128">
        <f>scenario_indirect_prod_4506_iotable_2020_xlsx_3[[#This Row],[2040]]+scenario_indirect_prod_1610_iotable_2020_xlsx_3[[#This Row],[2040]]</f>
        <v>8168.5371120373384</v>
      </c>
      <c r="R128">
        <f>scenario_indirect_prod_4506_iotable_2020_xlsx_3[[#This Row],[2041]]+scenario_indirect_prod_1610_iotable_2020_xlsx_3[[#This Row],[2041]]</f>
        <v>8168.5371120373384</v>
      </c>
      <c r="S128">
        <f>scenario_indirect_prod_4506_iotable_2020_xlsx_3[[#This Row],[2042]]+scenario_indirect_prod_1610_iotable_2020_xlsx_3[[#This Row],[2042]]</f>
        <v>8286.1873986337359</v>
      </c>
      <c r="T128">
        <f>scenario_indirect_prod_4506_iotable_2020_xlsx_3[[#This Row],[2043]]+scenario_indirect_prod_1610_iotable_2020_xlsx_3[[#This Row],[2043]]</f>
        <v>8286.1873986337359</v>
      </c>
      <c r="U128">
        <f>scenario_indirect_prod_4506_iotable_2020_xlsx_3[[#This Row],[2044]]+scenario_indirect_prod_1610_iotable_2020_xlsx_3[[#This Row],[2044]]</f>
        <v>8362.4258812749049</v>
      </c>
      <c r="V128">
        <f>scenario_indirect_prod_4506_iotable_2020_xlsx_3[[#This Row],[2045]]+scenario_indirect_prod_1610_iotable_2020_xlsx_3[[#This Row],[2045]]</f>
        <v>8362.4258812749049</v>
      </c>
      <c r="W128">
        <f>scenario_indirect_prod_4506_iotable_2020_xlsx_3[[#This Row],[2046]]+scenario_indirect_prod_1610_iotable_2020_xlsx_3[[#This Row],[2046]]</f>
        <v>8438.6517006168815</v>
      </c>
      <c r="X128">
        <f>scenario_indirect_prod_4506_iotable_2020_xlsx_3[[#This Row],[2047]]+scenario_indirect_prod_1610_iotable_2020_xlsx_3[[#This Row],[2047]]</f>
        <v>8438.6517006168815</v>
      </c>
      <c r="Y128">
        <f>scenario_indirect_prod_4506_iotable_2020_xlsx_3[[#This Row],[2048]]+scenario_indirect_prod_1610_iotable_2020_xlsx_3[[#This Row],[2048]]</f>
        <v>8438.6517006168815</v>
      </c>
      <c r="Z128">
        <f>scenario_indirect_prod_4506_iotable_2020_xlsx_3[[#This Row],[2049]]+scenario_indirect_prod_1610_iotable_2020_xlsx_3[[#This Row],[2049]]</f>
        <v>8438.6517006168815</v>
      </c>
      <c r="AA128">
        <f>scenario_indirect_prod_4506_iotable_2020_xlsx_3[[#This Row],[2050]]+scenario_indirect_prod_1610_iotable_2020_xlsx_3[[#This Row],[2050]]</f>
        <v>8438.6517006168815</v>
      </c>
    </row>
    <row r="129" spans="1:27" x14ac:dyDescent="0.2">
      <c r="A129" t="s">
        <v>460</v>
      </c>
      <c r="B129" t="s">
        <v>461</v>
      </c>
      <c r="C129">
        <f>scenario_indirect_prod_4506_iotable_2020_xlsx_3[[#This Row],[2026]]+scenario_indirect_prod_1610_iotable_2020_xlsx_3[[#This Row],[2026]]</f>
        <v>23831.4309873364</v>
      </c>
      <c r="D129">
        <f>scenario_indirect_prod_4506_iotable_2020_xlsx_3[[#This Row],[2027]]+scenario_indirect_prod_1610_iotable_2020_xlsx_3[[#This Row],[2027]]</f>
        <v>24248.387910180245</v>
      </c>
      <c r="E129">
        <f>scenario_indirect_prod_4506_iotable_2020_xlsx_3[[#This Row],[2028]]+scenario_indirect_prod_1610_iotable_2020_xlsx_3[[#This Row],[2028]]</f>
        <v>25393.296870625629</v>
      </c>
      <c r="F129">
        <f>scenario_indirect_prod_4506_iotable_2020_xlsx_3[[#This Row],[2029]]+scenario_indirect_prod_1610_iotable_2020_xlsx_3[[#This Row],[2029]]</f>
        <v>26375.092946512803</v>
      </c>
      <c r="G129">
        <f>scenario_indirect_prod_4506_iotable_2020_xlsx_3[[#This Row],[2030]]+scenario_indirect_prod_1610_iotable_2020_xlsx_3[[#This Row],[2030]]</f>
        <v>26743.928651096765</v>
      </c>
      <c r="H129">
        <f>scenario_indirect_prod_4506_iotable_2020_xlsx_3[[#This Row],[2031]]+scenario_indirect_prod_1610_iotable_2020_xlsx_3[[#This Row],[2031]]</f>
        <v>28288.639385537339</v>
      </c>
      <c r="I129">
        <f>scenario_indirect_prod_4506_iotable_2020_xlsx_3[[#This Row],[2032]]+scenario_indirect_prod_1610_iotable_2020_xlsx_3[[#This Row],[2032]]</f>
        <v>30445.96539146149</v>
      </c>
      <c r="J129">
        <f>scenario_indirect_prod_4506_iotable_2020_xlsx_3[[#This Row],[2033]]+scenario_indirect_prod_1610_iotable_2020_xlsx_3[[#This Row],[2033]]</f>
        <v>34571.638559123989</v>
      </c>
      <c r="K129">
        <f>scenario_indirect_prod_4506_iotable_2020_xlsx_3[[#This Row],[2034]]+scenario_indirect_prod_1610_iotable_2020_xlsx_3[[#This Row],[2034]]</f>
        <v>36579.142886591886</v>
      </c>
      <c r="L129">
        <f>scenario_indirect_prod_4506_iotable_2020_xlsx_3[[#This Row],[2035]]+scenario_indirect_prod_1610_iotable_2020_xlsx_3[[#This Row],[2035]]</f>
        <v>42528.671771771216</v>
      </c>
      <c r="M129">
        <f>scenario_indirect_prod_4506_iotable_2020_xlsx_3[[#This Row],[2036]]+scenario_indirect_prod_1610_iotable_2020_xlsx_3[[#This Row],[2036]]</f>
        <v>44946.990460221044</v>
      </c>
      <c r="N129">
        <f>scenario_indirect_prod_4506_iotable_2020_xlsx_3[[#This Row],[2037]]+scenario_indirect_prod_1610_iotable_2020_xlsx_3[[#This Row],[2037]]</f>
        <v>47142.21255904538</v>
      </c>
      <c r="O129">
        <f>scenario_indirect_prod_4506_iotable_2020_xlsx_3[[#This Row],[2038]]+scenario_indirect_prod_1610_iotable_2020_xlsx_3[[#This Row],[2038]]</f>
        <v>47142.21255904538</v>
      </c>
      <c r="P129">
        <f>scenario_indirect_prod_4506_iotable_2020_xlsx_3[[#This Row],[2039]]+scenario_indirect_prod_1610_iotable_2020_xlsx_3[[#This Row],[2039]]</f>
        <v>47142.21255904538</v>
      </c>
      <c r="Q129">
        <f>scenario_indirect_prod_4506_iotable_2020_xlsx_3[[#This Row],[2040]]+scenario_indirect_prod_1610_iotable_2020_xlsx_3[[#This Row],[2040]]</f>
        <v>49055.51736215179</v>
      </c>
      <c r="R129">
        <f>scenario_indirect_prod_4506_iotable_2020_xlsx_3[[#This Row],[2041]]+scenario_indirect_prod_1610_iotable_2020_xlsx_3[[#This Row],[2041]]</f>
        <v>49055.51736215179</v>
      </c>
      <c r="S129">
        <f>scenario_indirect_prod_4506_iotable_2020_xlsx_3[[#This Row],[2042]]+scenario_indirect_prod_1610_iotable_2020_xlsx_3[[#This Row],[2042]]</f>
        <v>51211.205196026778</v>
      </c>
      <c r="T129">
        <f>scenario_indirect_prod_4506_iotable_2020_xlsx_3[[#This Row],[2043]]+scenario_indirect_prod_1610_iotable_2020_xlsx_3[[#This Row],[2043]]</f>
        <v>51211.205196026778</v>
      </c>
      <c r="U129">
        <f>scenario_indirect_prod_4506_iotable_2020_xlsx_3[[#This Row],[2044]]+scenario_indirect_prod_1610_iotable_2020_xlsx_3[[#This Row],[2044]]</f>
        <v>53128.476154672237</v>
      </c>
      <c r="V129">
        <f>scenario_indirect_prod_4506_iotable_2020_xlsx_3[[#This Row],[2045]]+scenario_indirect_prod_1610_iotable_2020_xlsx_3[[#This Row],[2045]]</f>
        <v>53128.476154672237</v>
      </c>
      <c r="W129">
        <f>scenario_indirect_prod_4506_iotable_2020_xlsx_3[[#This Row],[2046]]+scenario_indirect_prod_1610_iotable_2020_xlsx_3[[#This Row],[2046]]</f>
        <v>54803.112778110655</v>
      </c>
      <c r="X129">
        <f>scenario_indirect_prod_4506_iotable_2020_xlsx_3[[#This Row],[2047]]+scenario_indirect_prod_1610_iotable_2020_xlsx_3[[#This Row],[2047]]</f>
        <v>54803.112778110655</v>
      </c>
      <c r="Y129">
        <f>scenario_indirect_prod_4506_iotable_2020_xlsx_3[[#This Row],[2048]]+scenario_indirect_prod_1610_iotable_2020_xlsx_3[[#This Row],[2048]]</f>
        <v>54803.112778110655</v>
      </c>
      <c r="Z129">
        <f>scenario_indirect_prod_4506_iotable_2020_xlsx_3[[#This Row],[2049]]+scenario_indirect_prod_1610_iotable_2020_xlsx_3[[#This Row],[2049]]</f>
        <v>54803.112778110655</v>
      </c>
      <c r="AA129">
        <f>scenario_indirect_prod_4506_iotable_2020_xlsx_3[[#This Row],[2050]]+scenario_indirect_prod_1610_iotable_2020_xlsx_3[[#This Row],[2050]]</f>
        <v>54803.112778110655</v>
      </c>
    </row>
    <row r="130" spans="1:27" x14ac:dyDescent="0.2">
      <c r="A130" t="s">
        <v>439</v>
      </c>
      <c r="B130" t="s">
        <v>440</v>
      </c>
      <c r="C130">
        <f>scenario_indirect_prod_4506_iotable_2020_xlsx_3[[#This Row],[2026]]+scenario_indirect_prod_1610_iotable_2020_xlsx_3[[#This Row],[2026]]</f>
        <v>28912.920172571772</v>
      </c>
      <c r="D130">
        <f>scenario_indirect_prod_4506_iotable_2020_xlsx_3[[#This Row],[2027]]+scenario_indirect_prod_1610_iotable_2020_xlsx_3[[#This Row],[2027]]</f>
        <v>29637.391643658626</v>
      </c>
      <c r="E130">
        <f>scenario_indirect_prod_4506_iotable_2020_xlsx_3[[#This Row],[2028]]+scenario_indirect_prod_1610_iotable_2020_xlsx_3[[#This Row],[2028]]</f>
        <v>31013.432132634931</v>
      </c>
      <c r="F130">
        <f>scenario_indirect_prod_4506_iotable_2020_xlsx_3[[#This Row],[2029]]+scenario_indirect_prod_1610_iotable_2020_xlsx_3[[#This Row],[2029]]</f>
        <v>32282.767006612372</v>
      </c>
      <c r="G130">
        <f>scenario_indirect_prod_4506_iotable_2020_xlsx_3[[#This Row],[2030]]+scenario_indirect_prod_1610_iotable_2020_xlsx_3[[#This Row],[2030]]</f>
        <v>33483.306502152212</v>
      </c>
      <c r="H130">
        <f>scenario_indirect_prod_4506_iotable_2020_xlsx_3[[#This Row],[2031]]+scenario_indirect_prod_1610_iotable_2020_xlsx_3[[#This Row],[2031]]</f>
        <v>35339.859807071465</v>
      </c>
      <c r="I130">
        <f>scenario_indirect_prod_4506_iotable_2020_xlsx_3[[#This Row],[2032]]+scenario_indirect_prod_1610_iotable_2020_xlsx_3[[#This Row],[2032]]</f>
        <v>37932.701713836126</v>
      </c>
      <c r="J130">
        <f>scenario_indirect_prod_4506_iotable_2020_xlsx_3[[#This Row],[2033]]+scenario_indirect_prod_1610_iotable_2020_xlsx_3[[#This Row],[2033]]</f>
        <v>43313.685793789758</v>
      </c>
      <c r="K130">
        <f>scenario_indirect_prod_4506_iotable_2020_xlsx_3[[#This Row],[2034]]+scenario_indirect_prod_1610_iotable_2020_xlsx_3[[#This Row],[2034]]</f>
        <v>45726.460373976777</v>
      </c>
      <c r="L130">
        <f>scenario_indirect_prod_4506_iotable_2020_xlsx_3[[#This Row],[2035]]+scenario_indirect_prod_1610_iotable_2020_xlsx_3[[#This Row],[2035]]</f>
        <v>53411.811772378889</v>
      </c>
      <c r="M130">
        <f>scenario_indirect_prod_4506_iotable_2020_xlsx_3[[#This Row],[2036]]+scenario_indirect_prod_1610_iotable_2020_xlsx_3[[#This Row],[2036]]</f>
        <v>56669.331444582713</v>
      </c>
      <c r="N130">
        <f>scenario_indirect_prod_4506_iotable_2020_xlsx_3[[#This Row],[2037]]+scenario_indirect_prod_1610_iotable_2020_xlsx_3[[#This Row],[2037]]</f>
        <v>59614.562987469159</v>
      </c>
      <c r="O130">
        <f>scenario_indirect_prod_4506_iotable_2020_xlsx_3[[#This Row],[2038]]+scenario_indirect_prod_1610_iotable_2020_xlsx_3[[#This Row],[2038]]</f>
        <v>59614.562987469159</v>
      </c>
      <c r="P130">
        <f>scenario_indirect_prod_4506_iotable_2020_xlsx_3[[#This Row],[2039]]+scenario_indirect_prod_1610_iotable_2020_xlsx_3[[#This Row],[2039]]</f>
        <v>59614.562987469159</v>
      </c>
      <c r="Q130">
        <f>scenario_indirect_prod_4506_iotable_2020_xlsx_3[[#This Row],[2040]]+scenario_indirect_prod_1610_iotable_2020_xlsx_3[[#This Row],[2040]]</f>
        <v>62183.500993818394</v>
      </c>
      <c r="R130">
        <f>scenario_indirect_prod_4506_iotable_2020_xlsx_3[[#This Row],[2041]]+scenario_indirect_prod_1610_iotable_2020_xlsx_3[[#This Row],[2041]]</f>
        <v>62183.500993818394</v>
      </c>
      <c r="S130">
        <f>scenario_indirect_prod_4506_iotable_2020_xlsx_3[[#This Row],[2042]]+scenario_indirect_prod_1610_iotable_2020_xlsx_3[[#This Row],[2042]]</f>
        <v>65071.702675104018</v>
      </c>
      <c r="T130">
        <f>scenario_indirect_prod_4506_iotable_2020_xlsx_3[[#This Row],[2043]]+scenario_indirect_prod_1610_iotable_2020_xlsx_3[[#This Row],[2043]]</f>
        <v>65071.702675104018</v>
      </c>
      <c r="U130">
        <f>scenario_indirect_prod_4506_iotable_2020_xlsx_3[[#This Row],[2044]]+scenario_indirect_prod_1610_iotable_2020_xlsx_3[[#This Row],[2044]]</f>
        <v>67658.787370372738</v>
      </c>
      <c r="V130">
        <f>scenario_indirect_prod_4506_iotable_2020_xlsx_3[[#This Row],[2045]]+scenario_indirect_prod_1610_iotable_2020_xlsx_3[[#This Row],[2045]]</f>
        <v>67658.787370372738</v>
      </c>
      <c r="W130">
        <f>scenario_indirect_prod_4506_iotable_2020_xlsx_3[[#This Row],[2046]]+scenario_indirect_prod_1610_iotable_2020_xlsx_3[[#This Row],[2046]]</f>
        <v>69912.257552740601</v>
      </c>
      <c r="X130">
        <f>scenario_indirect_prod_4506_iotable_2020_xlsx_3[[#This Row],[2047]]+scenario_indirect_prod_1610_iotable_2020_xlsx_3[[#This Row],[2047]]</f>
        <v>69912.257552740601</v>
      </c>
      <c r="Y130">
        <f>scenario_indirect_prod_4506_iotable_2020_xlsx_3[[#This Row],[2048]]+scenario_indirect_prod_1610_iotable_2020_xlsx_3[[#This Row],[2048]]</f>
        <v>69912.257552740601</v>
      </c>
      <c r="Z130">
        <f>scenario_indirect_prod_4506_iotable_2020_xlsx_3[[#This Row],[2049]]+scenario_indirect_prod_1610_iotable_2020_xlsx_3[[#This Row],[2049]]</f>
        <v>69912.257552740601</v>
      </c>
      <c r="AA130">
        <f>scenario_indirect_prod_4506_iotable_2020_xlsx_3[[#This Row],[2050]]+scenario_indirect_prod_1610_iotable_2020_xlsx_3[[#This Row],[2050]]</f>
        <v>69912.257552740601</v>
      </c>
    </row>
    <row r="131" spans="1:27" x14ac:dyDescent="0.2">
      <c r="A131" t="s">
        <v>441</v>
      </c>
      <c r="B131" t="s">
        <v>45</v>
      </c>
      <c r="C131">
        <f>scenario_indirect_prod_4506_iotable_2020_xlsx_3[[#This Row],[2026]]+scenario_indirect_prod_1610_iotable_2020_xlsx_3[[#This Row],[2026]]</f>
        <v>27563.471146584103</v>
      </c>
      <c r="D131">
        <f>scenario_indirect_prod_4506_iotable_2020_xlsx_3[[#This Row],[2027]]+scenario_indirect_prod_1610_iotable_2020_xlsx_3[[#This Row],[2027]]</f>
        <v>27212.783089096934</v>
      </c>
      <c r="E131">
        <f>scenario_indirect_prod_4506_iotable_2020_xlsx_3[[#This Row],[2028]]+scenario_indirect_prod_1610_iotable_2020_xlsx_3[[#This Row],[2028]]</f>
        <v>28586.493428670681</v>
      </c>
      <c r="F131">
        <f>scenario_indirect_prod_4506_iotable_2020_xlsx_3[[#This Row],[2029]]+scenario_indirect_prod_1610_iotable_2020_xlsx_3[[#This Row],[2029]]</f>
        <v>29424.105710821172</v>
      </c>
      <c r="G131">
        <f>scenario_indirect_prod_4506_iotable_2020_xlsx_3[[#This Row],[2030]]+scenario_indirect_prod_1610_iotable_2020_xlsx_3[[#This Row],[2030]]</f>
        <v>26981.400355670652</v>
      </c>
      <c r="H131">
        <f>scenario_indirect_prod_4506_iotable_2020_xlsx_3[[#This Row],[2031]]+scenario_indirect_prod_1610_iotable_2020_xlsx_3[[#This Row],[2031]]</f>
        <v>28834.80982390128</v>
      </c>
      <c r="I131">
        <f>scenario_indirect_prod_4506_iotable_2020_xlsx_3[[#This Row],[2032]]+scenario_indirect_prod_1610_iotable_2020_xlsx_3[[#This Row],[2032]]</f>
        <v>31423.26108295727</v>
      </c>
      <c r="J131">
        <f>scenario_indirect_prod_4506_iotable_2020_xlsx_3[[#This Row],[2033]]+scenario_indirect_prod_1610_iotable_2020_xlsx_3[[#This Row],[2033]]</f>
        <v>34763.877854537335</v>
      </c>
      <c r="K131">
        <f>scenario_indirect_prod_4506_iotable_2020_xlsx_3[[#This Row],[2034]]+scenario_indirect_prod_1610_iotable_2020_xlsx_3[[#This Row],[2034]]</f>
        <v>37172.566708111248</v>
      </c>
      <c r="L131">
        <f>scenario_indirect_prod_4506_iotable_2020_xlsx_3[[#This Row],[2035]]+scenario_indirect_prod_1610_iotable_2020_xlsx_3[[#This Row],[2035]]</f>
        <v>42273.577116583401</v>
      </c>
      <c r="M131">
        <f>scenario_indirect_prod_4506_iotable_2020_xlsx_3[[#This Row],[2036]]+scenario_indirect_prod_1610_iotable_2020_xlsx_3[[#This Row],[2036]]</f>
        <v>43837.81228195611</v>
      </c>
      <c r="N131">
        <f>scenario_indirect_prod_4506_iotable_2020_xlsx_3[[#This Row],[2037]]+scenario_indirect_prod_1610_iotable_2020_xlsx_3[[#This Row],[2037]]</f>
        <v>45302.599610788711</v>
      </c>
      <c r="O131">
        <f>scenario_indirect_prod_4506_iotable_2020_xlsx_3[[#This Row],[2038]]+scenario_indirect_prod_1610_iotable_2020_xlsx_3[[#This Row],[2038]]</f>
        <v>45302.599610788711</v>
      </c>
      <c r="P131">
        <f>scenario_indirect_prod_4506_iotable_2020_xlsx_3[[#This Row],[2039]]+scenario_indirect_prod_1610_iotable_2020_xlsx_3[[#This Row],[2039]]</f>
        <v>45302.599610788711</v>
      </c>
      <c r="Q131">
        <f>scenario_indirect_prod_4506_iotable_2020_xlsx_3[[#This Row],[2040]]+scenario_indirect_prod_1610_iotable_2020_xlsx_3[[#This Row],[2040]]</f>
        <v>46571.873738473085</v>
      </c>
      <c r="R131">
        <f>scenario_indirect_prod_4506_iotable_2020_xlsx_3[[#This Row],[2041]]+scenario_indirect_prod_1610_iotable_2020_xlsx_3[[#This Row],[2041]]</f>
        <v>46571.873738473085</v>
      </c>
      <c r="S131">
        <f>scenario_indirect_prod_4506_iotable_2020_xlsx_3[[#This Row],[2042]]+scenario_indirect_prod_1610_iotable_2020_xlsx_3[[#This Row],[2042]]</f>
        <v>48025.478355787913</v>
      </c>
      <c r="T131">
        <f>scenario_indirect_prod_4506_iotable_2020_xlsx_3[[#This Row],[2043]]+scenario_indirect_prod_1610_iotable_2020_xlsx_3[[#This Row],[2043]]</f>
        <v>48025.478355787913</v>
      </c>
      <c r="U131">
        <f>scenario_indirect_prod_4506_iotable_2020_xlsx_3[[#This Row],[2044]]+scenario_indirect_prod_1610_iotable_2020_xlsx_3[[#This Row],[2044]]</f>
        <v>49248.531345730051</v>
      </c>
      <c r="V131">
        <f>scenario_indirect_prod_4506_iotable_2020_xlsx_3[[#This Row],[2045]]+scenario_indirect_prod_1610_iotable_2020_xlsx_3[[#This Row],[2045]]</f>
        <v>49248.531345730051</v>
      </c>
      <c r="W131">
        <f>scenario_indirect_prod_4506_iotable_2020_xlsx_3[[#This Row],[2046]]+scenario_indirect_prod_1610_iotable_2020_xlsx_3[[#This Row],[2046]]</f>
        <v>50340.481034809069</v>
      </c>
      <c r="X131">
        <f>scenario_indirect_prod_4506_iotable_2020_xlsx_3[[#This Row],[2047]]+scenario_indirect_prod_1610_iotable_2020_xlsx_3[[#This Row],[2047]]</f>
        <v>50340.481034809069</v>
      </c>
      <c r="Y131">
        <f>scenario_indirect_prod_4506_iotable_2020_xlsx_3[[#This Row],[2048]]+scenario_indirect_prod_1610_iotable_2020_xlsx_3[[#This Row],[2048]]</f>
        <v>50340.481034809069</v>
      </c>
      <c r="Z131">
        <f>scenario_indirect_prod_4506_iotable_2020_xlsx_3[[#This Row],[2049]]+scenario_indirect_prod_1610_iotable_2020_xlsx_3[[#This Row],[2049]]</f>
        <v>50340.481034809069</v>
      </c>
      <c r="AA131">
        <f>scenario_indirect_prod_4506_iotable_2020_xlsx_3[[#This Row],[2050]]+scenario_indirect_prod_1610_iotable_2020_xlsx_3[[#This Row],[2050]]</f>
        <v>50340.481034809069</v>
      </c>
    </row>
    <row r="132" spans="1:27" x14ac:dyDescent="0.2">
      <c r="A132" t="s">
        <v>631</v>
      </c>
      <c r="B132" t="s">
        <v>241</v>
      </c>
      <c r="C132">
        <f>scenario_indirect_prod_4506_iotable_2020_xlsx_3[[#This Row],[2026]]+scenario_indirect_prod_1610_iotable_2020_xlsx_3[[#This Row],[2026]]</f>
        <v>4283.0617584682077</v>
      </c>
      <c r="D132">
        <f>scenario_indirect_prod_4506_iotable_2020_xlsx_3[[#This Row],[2027]]+scenario_indirect_prod_1610_iotable_2020_xlsx_3[[#This Row],[2027]]</f>
        <v>3528.1822612744099</v>
      </c>
      <c r="E132">
        <f>scenario_indirect_prod_4506_iotable_2020_xlsx_3[[#This Row],[2028]]+scenario_indirect_prod_1610_iotable_2020_xlsx_3[[#This Row],[2028]]</f>
        <v>3783.2700815321705</v>
      </c>
      <c r="F132">
        <f>scenario_indirect_prod_4506_iotable_2020_xlsx_3[[#This Row],[2029]]+scenario_indirect_prod_1610_iotable_2020_xlsx_3[[#This Row],[2029]]</f>
        <v>3662.9047107521301</v>
      </c>
      <c r="G132">
        <f>scenario_indirect_prod_4506_iotable_2020_xlsx_3[[#This Row],[2030]]+scenario_indirect_prod_1610_iotable_2020_xlsx_3[[#This Row],[2030]]</f>
        <v>870.65584871135434</v>
      </c>
      <c r="H132">
        <f>scenario_indirect_prod_4506_iotable_2020_xlsx_3[[#This Row],[2031]]+scenario_indirect_prod_1610_iotable_2020_xlsx_3[[#This Row],[2031]]</f>
        <v>1214.8202388860291</v>
      </c>
      <c r="I132">
        <f>scenario_indirect_prod_4506_iotable_2020_xlsx_3[[#This Row],[2032]]+scenario_indirect_prod_1610_iotable_2020_xlsx_3[[#This Row],[2032]]</f>
        <v>1695.4764372814834</v>
      </c>
      <c r="J132">
        <f>scenario_indirect_prod_4506_iotable_2020_xlsx_3[[#This Row],[2033]]+scenario_indirect_prod_1610_iotable_2020_xlsx_3[[#This Row],[2033]]</f>
        <v>1011.1812413024145</v>
      </c>
      <c r="K132">
        <f>scenario_indirect_prod_4506_iotable_2020_xlsx_3[[#This Row],[2034]]+scenario_indirect_prod_1610_iotable_2020_xlsx_3[[#This Row],[2034]]</f>
        <v>1458.4568944273524</v>
      </c>
      <c r="L132">
        <f>scenario_indirect_prod_4506_iotable_2020_xlsx_3[[#This Row],[2035]]+scenario_indirect_prod_1610_iotable_2020_xlsx_3[[#This Row],[2035]]</f>
        <v>754.17970832589526</v>
      </c>
      <c r="M132">
        <f>scenario_indirect_prod_4506_iotable_2020_xlsx_3[[#This Row],[2036]]+scenario_indirect_prod_1610_iotable_2020_xlsx_3[[#This Row],[2036]]</f>
        <v>-39.363533280882621</v>
      </c>
      <c r="N132">
        <f>scenario_indirect_prod_4506_iotable_2020_xlsx_3[[#This Row],[2037]]+scenario_indirect_prod_1610_iotable_2020_xlsx_3[[#This Row],[2037]]</f>
        <v>-715.01131089712908</v>
      </c>
      <c r="O132">
        <f>scenario_indirect_prod_4506_iotable_2020_xlsx_3[[#This Row],[2038]]+scenario_indirect_prod_1610_iotable_2020_xlsx_3[[#This Row],[2038]]</f>
        <v>-715.01131089712908</v>
      </c>
      <c r="P132">
        <f>scenario_indirect_prod_4506_iotable_2020_xlsx_3[[#This Row],[2039]]+scenario_indirect_prod_1610_iotable_2020_xlsx_3[[#This Row],[2039]]</f>
        <v>-715.01131089712908</v>
      </c>
      <c r="Q132">
        <f>scenario_indirect_prod_4506_iotable_2020_xlsx_3[[#This Row],[2040]]+scenario_indirect_prod_1610_iotable_2020_xlsx_3[[#This Row],[2040]]</f>
        <v>-1311.2631477891846</v>
      </c>
      <c r="R132">
        <f>scenario_indirect_prod_4506_iotable_2020_xlsx_3[[#This Row],[2041]]+scenario_indirect_prod_1610_iotable_2020_xlsx_3[[#This Row],[2041]]</f>
        <v>-1311.2631477891846</v>
      </c>
      <c r="S132">
        <f>scenario_indirect_prod_4506_iotable_2020_xlsx_3[[#This Row],[2042]]+scenario_indirect_prod_1610_iotable_2020_xlsx_3[[#This Row],[2042]]</f>
        <v>-1959.6030547665723</v>
      </c>
      <c r="T132">
        <f>scenario_indirect_prod_4506_iotable_2020_xlsx_3[[#This Row],[2043]]+scenario_indirect_prod_1610_iotable_2020_xlsx_3[[#This Row],[2043]]</f>
        <v>-1959.6030547665723</v>
      </c>
      <c r="U132">
        <f>scenario_indirect_prod_4506_iotable_2020_xlsx_3[[#This Row],[2044]]+scenario_indirect_prod_1610_iotable_2020_xlsx_3[[#This Row],[2044]]</f>
        <v>-2605.7598744755669</v>
      </c>
      <c r="V132">
        <f>scenario_indirect_prod_4506_iotable_2020_xlsx_3[[#This Row],[2045]]+scenario_indirect_prod_1610_iotable_2020_xlsx_3[[#This Row],[2045]]</f>
        <v>-2605.7598744755669</v>
      </c>
      <c r="W132">
        <f>scenario_indirect_prod_4506_iotable_2020_xlsx_3[[#This Row],[2046]]+scenario_indirect_prod_1610_iotable_2020_xlsx_3[[#This Row],[2046]]</f>
        <v>-3146.5567123634974</v>
      </c>
      <c r="X132">
        <f>scenario_indirect_prod_4506_iotable_2020_xlsx_3[[#This Row],[2047]]+scenario_indirect_prod_1610_iotable_2020_xlsx_3[[#This Row],[2047]]</f>
        <v>-3146.5567123634974</v>
      </c>
      <c r="Y132">
        <f>scenario_indirect_prod_4506_iotable_2020_xlsx_3[[#This Row],[2048]]+scenario_indirect_prod_1610_iotable_2020_xlsx_3[[#This Row],[2048]]</f>
        <v>-3146.5567123634974</v>
      </c>
      <c r="Z132">
        <f>scenario_indirect_prod_4506_iotable_2020_xlsx_3[[#This Row],[2049]]+scenario_indirect_prod_1610_iotable_2020_xlsx_3[[#This Row],[2049]]</f>
        <v>-3146.5567123634974</v>
      </c>
      <c r="AA132">
        <f>scenario_indirect_prod_4506_iotable_2020_xlsx_3[[#This Row],[2050]]+scenario_indirect_prod_1610_iotable_2020_xlsx_3[[#This Row],[2050]]</f>
        <v>-3146.5567123634974</v>
      </c>
    </row>
    <row r="133" spans="1:27" x14ac:dyDescent="0.2">
      <c r="A133" t="s">
        <v>490</v>
      </c>
      <c r="B133" t="s">
        <v>491</v>
      </c>
      <c r="C133">
        <f>scenario_indirect_prod_4506_iotable_2020_xlsx_3[[#This Row],[2026]]+scenario_indirect_prod_1610_iotable_2020_xlsx_3[[#This Row],[2026]]</f>
        <v>7260.2585445678142</v>
      </c>
      <c r="D133">
        <f>scenario_indirect_prod_4506_iotable_2020_xlsx_3[[#This Row],[2027]]+scenario_indirect_prod_1610_iotable_2020_xlsx_3[[#This Row],[2027]]</f>
        <v>-2102.4687173602397</v>
      </c>
      <c r="E133">
        <f>scenario_indirect_prod_4506_iotable_2020_xlsx_3[[#This Row],[2028]]+scenario_indirect_prod_1610_iotable_2020_xlsx_3[[#This Row],[2028]]</f>
        <v>-1189.6372235661984</v>
      </c>
      <c r="F133">
        <f>scenario_indirect_prod_4506_iotable_2020_xlsx_3[[#This Row],[2029]]+scenario_indirect_prod_1610_iotable_2020_xlsx_3[[#This Row],[2029]]</f>
        <v>-4284.9215578511976</v>
      </c>
      <c r="G133">
        <f>scenario_indirect_prod_4506_iotable_2020_xlsx_3[[#This Row],[2030]]+scenario_indirect_prod_1610_iotable_2020_xlsx_3[[#This Row],[2030]]</f>
        <v>-36862.696546652238</v>
      </c>
      <c r="H133">
        <f>scenario_indirect_prod_4506_iotable_2020_xlsx_3[[#This Row],[2031]]+scenario_indirect_prod_1610_iotable_2020_xlsx_3[[#This Row],[2031]]</f>
        <v>-35631.104642043065</v>
      </c>
      <c r="I133">
        <f>scenario_indirect_prod_4506_iotable_2020_xlsx_3[[#This Row],[2032]]+scenario_indirect_prod_1610_iotable_2020_xlsx_3[[#This Row],[2032]]</f>
        <v>-33911.07694672099</v>
      </c>
      <c r="J133">
        <f>scenario_indirect_prod_4506_iotable_2020_xlsx_3[[#This Row],[2033]]+scenario_indirect_prod_1610_iotable_2020_xlsx_3[[#This Row],[2033]]</f>
        <v>-48959.300443565742</v>
      </c>
      <c r="K133">
        <f>scenario_indirect_prod_4506_iotable_2020_xlsx_3[[#This Row],[2034]]+scenario_indirect_prod_1610_iotable_2020_xlsx_3[[#This Row],[2034]]</f>
        <v>-47358.724994031632</v>
      </c>
      <c r="L133">
        <f>scenario_indirect_prod_4506_iotable_2020_xlsx_3[[#This Row],[2035]]+scenario_indirect_prod_1610_iotable_2020_xlsx_3[[#This Row],[2035]]</f>
        <v>-65828.410633616659</v>
      </c>
      <c r="M133">
        <f>scenario_indirect_prod_4506_iotable_2020_xlsx_3[[#This Row],[2036]]+scenario_indirect_prod_1610_iotable_2020_xlsx_3[[#This Row],[2036]]</f>
        <v>-79136.996482345683</v>
      </c>
      <c r="N133">
        <f>scenario_indirect_prod_4506_iotable_2020_xlsx_3[[#This Row],[2037]]+scenario_indirect_prod_1610_iotable_2020_xlsx_3[[#This Row],[2037]]</f>
        <v>-90706.767569427568</v>
      </c>
      <c r="O133">
        <f>scenario_indirect_prod_4506_iotable_2020_xlsx_3[[#This Row],[2038]]+scenario_indirect_prod_1610_iotable_2020_xlsx_3[[#This Row],[2038]]</f>
        <v>-90706.767569427568</v>
      </c>
      <c r="P133">
        <f>scenario_indirect_prod_4506_iotable_2020_xlsx_3[[#This Row],[2039]]+scenario_indirect_prod_1610_iotable_2020_xlsx_3[[#This Row],[2039]]</f>
        <v>-90706.767569427568</v>
      </c>
      <c r="Q133">
        <f>scenario_indirect_prod_4506_iotable_2020_xlsx_3[[#This Row],[2040]]+scenario_indirect_prod_1610_iotable_2020_xlsx_3[[#This Row],[2040]]</f>
        <v>-100875.02824778014</v>
      </c>
      <c r="R133">
        <f>scenario_indirect_prod_4506_iotable_2020_xlsx_3[[#This Row],[2041]]+scenario_indirect_prod_1610_iotable_2020_xlsx_3[[#This Row],[2041]]</f>
        <v>-100875.02824778014</v>
      </c>
      <c r="S133">
        <f>scenario_indirect_prod_4506_iotable_2020_xlsx_3[[#This Row],[2042]]+scenario_indirect_prod_1610_iotable_2020_xlsx_3[[#This Row],[2042]]</f>
        <v>-112063.29638903332</v>
      </c>
      <c r="T133">
        <f>scenario_indirect_prod_4506_iotable_2020_xlsx_3[[#This Row],[2043]]+scenario_indirect_prod_1610_iotable_2020_xlsx_3[[#This Row],[2043]]</f>
        <v>-112063.29638903332</v>
      </c>
      <c r="U133">
        <f>scenario_indirect_prod_4506_iotable_2020_xlsx_3[[#This Row],[2044]]+scenario_indirect_prod_1610_iotable_2020_xlsx_3[[#This Row],[2044]]</f>
        <v>-122809.21225525845</v>
      </c>
      <c r="V133">
        <f>scenario_indirect_prod_4506_iotable_2020_xlsx_3[[#This Row],[2045]]+scenario_indirect_prod_1610_iotable_2020_xlsx_3[[#This Row],[2045]]</f>
        <v>-122809.21225525845</v>
      </c>
      <c r="W133">
        <f>scenario_indirect_prod_4506_iotable_2020_xlsx_3[[#This Row],[2046]]+scenario_indirect_prod_1610_iotable_2020_xlsx_3[[#This Row],[2046]]</f>
        <v>-131925.46481430024</v>
      </c>
      <c r="X133">
        <f>scenario_indirect_prod_4506_iotable_2020_xlsx_3[[#This Row],[2047]]+scenario_indirect_prod_1610_iotable_2020_xlsx_3[[#This Row],[2047]]</f>
        <v>-131925.46481430024</v>
      </c>
      <c r="Y133">
        <f>scenario_indirect_prod_4506_iotable_2020_xlsx_3[[#This Row],[2048]]+scenario_indirect_prod_1610_iotable_2020_xlsx_3[[#This Row],[2048]]</f>
        <v>-131925.46481430024</v>
      </c>
      <c r="Z133">
        <f>scenario_indirect_prod_4506_iotable_2020_xlsx_3[[#This Row],[2049]]+scenario_indirect_prod_1610_iotable_2020_xlsx_3[[#This Row],[2049]]</f>
        <v>-131925.46481430024</v>
      </c>
      <c r="AA133">
        <f>scenario_indirect_prod_4506_iotable_2020_xlsx_3[[#This Row],[2050]]+scenario_indirect_prod_1610_iotable_2020_xlsx_3[[#This Row],[2050]]</f>
        <v>-131925.46481430024</v>
      </c>
    </row>
    <row r="134" spans="1:27" x14ac:dyDescent="0.2">
      <c r="A134" t="s">
        <v>815</v>
      </c>
      <c r="B134" t="s">
        <v>107</v>
      </c>
      <c r="C134">
        <f>scenario_indirect_prod_4506_iotable_2020_xlsx_3[[#This Row],[2026]]+scenario_indirect_prod_1610_iotable_2020_xlsx_3[[#This Row],[2026]]</f>
        <v>-52.258253804761807</v>
      </c>
      <c r="D134">
        <f>scenario_indirect_prod_4506_iotable_2020_xlsx_3[[#This Row],[2027]]+scenario_indirect_prod_1610_iotable_2020_xlsx_3[[#This Row],[2027]]</f>
        <v>-1038.3818717352106</v>
      </c>
      <c r="E134">
        <f>scenario_indirect_prod_4506_iotable_2020_xlsx_3[[#This Row],[2028]]+scenario_indirect_prod_1610_iotable_2020_xlsx_3[[#This Row],[2028]]</f>
        <v>-982.33541943714226</v>
      </c>
      <c r="F134">
        <f>scenario_indirect_prod_4506_iotable_2020_xlsx_3[[#This Row],[2029]]+scenario_indirect_prod_1610_iotable_2020_xlsx_3[[#This Row],[2029]]</f>
        <v>-1336.8877574359817</v>
      </c>
      <c r="G134">
        <f>scenario_indirect_prod_4506_iotable_2020_xlsx_3[[#This Row],[2030]]+scenario_indirect_prod_1610_iotable_2020_xlsx_3[[#This Row],[2030]]</f>
        <v>-4731.5287816014297</v>
      </c>
      <c r="H134">
        <f>scenario_indirect_prod_4506_iotable_2020_xlsx_3[[#This Row],[2031]]+scenario_indirect_prod_1610_iotable_2020_xlsx_3[[#This Row],[2031]]</f>
        <v>-4655.9109294549553</v>
      </c>
      <c r="I134">
        <f>scenario_indirect_prod_4506_iotable_2020_xlsx_3[[#This Row],[2032]]+scenario_indirect_prod_1610_iotable_2020_xlsx_3[[#This Row],[2032]]</f>
        <v>-4550.3038696277945</v>
      </c>
      <c r="J134">
        <f>scenario_indirect_prod_4506_iotable_2020_xlsx_3[[#This Row],[2033]]+scenario_indirect_prod_1610_iotable_2020_xlsx_3[[#This Row],[2033]]</f>
        <v>-6252.1184708396522</v>
      </c>
      <c r="K134">
        <f>scenario_indirect_prod_4506_iotable_2020_xlsx_3[[#This Row],[2034]]+scenario_indirect_prod_1610_iotable_2020_xlsx_3[[#This Row],[2034]]</f>
        <v>-6153.8455955152913</v>
      </c>
      <c r="L134">
        <f>scenario_indirect_prod_4506_iotable_2020_xlsx_3[[#This Row],[2035]]+scenario_indirect_prod_1610_iotable_2020_xlsx_3[[#This Row],[2035]]</f>
        <v>-8272.5551229460525</v>
      </c>
      <c r="M134">
        <f>scenario_indirect_prod_4506_iotable_2020_xlsx_3[[#This Row],[2036]]+scenario_indirect_prod_1610_iotable_2020_xlsx_3[[#This Row],[2036]]</f>
        <v>-9736.0190231751676</v>
      </c>
      <c r="N134">
        <f>scenario_indirect_prod_4506_iotable_2020_xlsx_3[[#This Row],[2037]]+scenario_indirect_prod_1610_iotable_2020_xlsx_3[[#This Row],[2037]]</f>
        <v>-11011.416897377596</v>
      </c>
      <c r="O134">
        <f>scenario_indirect_prod_4506_iotable_2020_xlsx_3[[#This Row],[2038]]+scenario_indirect_prod_1610_iotable_2020_xlsx_3[[#This Row],[2038]]</f>
        <v>-11011.416897377596</v>
      </c>
      <c r="P134">
        <f>scenario_indirect_prod_4506_iotable_2020_xlsx_3[[#This Row],[2039]]+scenario_indirect_prod_1610_iotable_2020_xlsx_3[[#This Row],[2039]]</f>
        <v>-11011.416897377596</v>
      </c>
      <c r="Q134">
        <f>scenario_indirect_prod_4506_iotable_2020_xlsx_3[[#This Row],[2040]]+scenario_indirect_prod_1610_iotable_2020_xlsx_3[[#This Row],[2040]]</f>
        <v>-12131.777701508023</v>
      </c>
      <c r="R134">
        <f>scenario_indirect_prod_4506_iotable_2020_xlsx_3[[#This Row],[2041]]+scenario_indirect_prod_1610_iotable_2020_xlsx_3[[#This Row],[2041]]</f>
        <v>-12131.777701508023</v>
      </c>
      <c r="S134">
        <f>scenario_indirect_prod_4506_iotable_2020_xlsx_3[[#This Row],[2042]]+scenario_indirect_prod_1610_iotable_2020_xlsx_3[[#This Row],[2042]]</f>
        <v>-13366.2315265752</v>
      </c>
      <c r="T134">
        <f>scenario_indirect_prod_4506_iotable_2020_xlsx_3[[#This Row],[2043]]+scenario_indirect_prod_1610_iotable_2020_xlsx_3[[#This Row],[2043]]</f>
        <v>-13366.2315265752</v>
      </c>
      <c r="U134">
        <f>scenario_indirect_prod_4506_iotable_2020_xlsx_3[[#This Row],[2044]]+scenario_indirect_prod_1610_iotable_2020_xlsx_3[[#This Row],[2044]]</f>
        <v>-14546.697603527002</v>
      </c>
      <c r="V134">
        <f>scenario_indirect_prod_4506_iotable_2020_xlsx_3[[#This Row],[2045]]+scenario_indirect_prod_1610_iotable_2020_xlsx_3[[#This Row],[2045]]</f>
        <v>-14546.697603527002</v>
      </c>
      <c r="W134">
        <f>scenario_indirect_prod_4506_iotable_2020_xlsx_3[[#This Row],[2046]]+scenario_indirect_prod_1610_iotable_2020_xlsx_3[[#This Row],[2046]]</f>
        <v>-15549.768775926632</v>
      </c>
      <c r="X134">
        <f>scenario_indirect_prod_4506_iotable_2020_xlsx_3[[#This Row],[2047]]+scenario_indirect_prod_1610_iotable_2020_xlsx_3[[#This Row],[2047]]</f>
        <v>-15549.768775926632</v>
      </c>
      <c r="Y134">
        <f>scenario_indirect_prod_4506_iotable_2020_xlsx_3[[#This Row],[2048]]+scenario_indirect_prod_1610_iotable_2020_xlsx_3[[#This Row],[2048]]</f>
        <v>-15549.768775926632</v>
      </c>
      <c r="Z134">
        <f>scenario_indirect_prod_4506_iotable_2020_xlsx_3[[#This Row],[2049]]+scenario_indirect_prod_1610_iotable_2020_xlsx_3[[#This Row],[2049]]</f>
        <v>-15549.768775926632</v>
      </c>
      <c r="AA134">
        <f>scenario_indirect_prod_4506_iotable_2020_xlsx_3[[#This Row],[2050]]+scenario_indirect_prod_1610_iotable_2020_xlsx_3[[#This Row],[2050]]</f>
        <v>-15549.768775926632</v>
      </c>
    </row>
    <row r="135" spans="1:27" x14ac:dyDescent="0.2">
      <c r="A135" t="s">
        <v>542</v>
      </c>
      <c r="B135" t="s">
        <v>543</v>
      </c>
      <c r="C135">
        <f>scenario_indirect_prod_4506_iotable_2020_xlsx_3[[#This Row],[2026]]+scenario_indirect_prod_1610_iotable_2020_xlsx_3[[#This Row],[2026]]</f>
        <v>11749.558387330715</v>
      </c>
      <c r="D135">
        <f>scenario_indirect_prod_4506_iotable_2020_xlsx_3[[#This Row],[2027]]+scenario_indirect_prod_1610_iotable_2020_xlsx_3[[#This Row],[2027]]</f>
        <v>12733.149669402634</v>
      </c>
      <c r="E135">
        <f>scenario_indirect_prod_4506_iotable_2020_xlsx_3[[#This Row],[2028]]+scenario_indirect_prod_1610_iotable_2020_xlsx_3[[#This Row],[2028]]</f>
        <v>13251.379130448526</v>
      </c>
      <c r="F135">
        <f>scenario_indirect_prod_4506_iotable_2020_xlsx_3[[#This Row],[2029]]+scenario_indirect_prod_1610_iotable_2020_xlsx_3[[#This Row],[2029]]</f>
        <v>14013.721781772347</v>
      </c>
      <c r="G135">
        <f>scenario_indirect_prod_4506_iotable_2020_xlsx_3[[#This Row],[2030]]+scenario_indirect_prod_1610_iotable_2020_xlsx_3[[#This Row],[2030]]</f>
        <v>16875.677819452048</v>
      </c>
      <c r="H135">
        <f>scenario_indirect_prod_4506_iotable_2020_xlsx_3[[#This Row],[2031]]+scenario_indirect_prod_1610_iotable_2020_xlsx_3[[#This Row],[2031]]</f>
        <v>17574.872811401048</v>
      </c>
      <c r="I135">
        <f>scenario_indirect_prod_4506_iotable_2020_xlsx_3[[#This Row],[2032]]+scenario_indirect_prod_1610_iotable_2020_xlsx_3[[#This Row],[2032]]</f>
        <v>18551.360839685363</v>
      </c>
      <c r="J135">
        <f>scenario_indirect_prod_4506_iotable_2020_xlsx_3[[#This Row],[2033]]+scenario_indirect_prod_1610_iotable_2020_xlsx_3[[#This Row],[2033]]</f>
        <v>21922.211361611611</v>
      </c>
      <c r="K135">
        <f>scenario_indirect_prod_4506_iotable_2020_xlsx_3[[#This Row],[2034]]+scenario_indirect_prod_1610_iotable_2020_xlsx_3[[#This Row],[2034]]</f>
        <v>22830.884384195237</v>
      </c>
      <c r="L135">
        <f>scenario_indirect_prod_4506_iotable_2020_xlsx_3[[#This Row],[2035]]+scenario_indirect_prod_1610_iotable_2020_xlsx_3[[#This Row],[2035]]</f>
        <v>27427.010158830679</v>
      </c>
      <c r="M135">
        <f>scenario_indirect_prod_4506_iotable_2020_xlsx_3[[#This Row],[2036]]+scenario_indirect_prod_1610_iotable_2020_xlsx_3[[#This Row],[2036]]</f>
        <v>29770.818435677873</v>
      </c>
      <c r="N135">
        <f>scenario_indirect_prod_4506_iotable_2020_xlsx_3[[#This Row],[2037]]+scenario_indirect_prod_1610_iotable_2020_xlsx_3[[#This Row],[2037]]</f>
        <v>31856.504452943889</v>
      </c>
      <c r="O135">
        <f>scenario_indirect_prod_4506_iotable_2020_xlsx_3[[#This Row],[2038]]+scenario_indirect_prod_1610_iotable_2020_xlsx_3[[#This Row],[2038]]</f>
        <v>31856.504452943889</v>
      </c>
      <c r="P135">
        <f>scenario_indirect_prod_4506_iotable_2020_xlsx_3[[#This Row],[2039]]+scenario_indirect_prod_1610_iotable_2020_xlsx_3[[#This Row],[2039]]</f>
        <v>31856.504452943889</v>
      </c>
      <c r="Q135">
        <f>scenario_indirect_prod_4506_iotable_2020_xlsx_3[[#This Row],[2040]]+scenario_indirect_prod_1610_iotable_2020_xlsx_3[[#This Row],[2040]]</f>
        <v>33681.252795841196</v>
      </c>
      <c r="R135">
        <f>scenario_indirect_prod_4506_iotable_2020_xlsx_3[[#This Row],[2041]]+scenario_indirect_prod_1610_iotable_2020_xlsx_3[[#This Row],[2041]]</f>
        <v>33681.252795841196</v>
      </c>
      <c r="S135">
        <f>scenario_indirect_prod_4506_iotable_2020_xlsx_3[[#This Row],[2042]]+scenario_indirect_prod_1610_iotable_2020_xlsx_3[[#This Row],[2042]]</f>
        <v>35715.182260179943</v>
      </c>
      <c r="T135">
        <f>scenario_indirect_prod_4506_iotable_2020_xlsx_3[[#This Row],[2043]]+scenario_indirect_prod_1610_iotable_2020_xlsx_3[[#This Row],[2043]]</f>
        <v>35715.182260179943</v>
      </c>
      <c r="U135">
        <f>scenario_indirect_prod_4506_iotable_2020_xlsx_3[[#This Row],[2044]]+scenario_indirect_prod_1610_iotable_2020_xlsx_3[[#This Row],[2044]]</f>
        <v>37589.344302129939</v>
      </c>
      <c r="V135">
        <f>scenario_indirect_prod_4506_iotable_2020_xlsx_3[[#This Row],[2045]]+scenario_indirect_prod_1610_iotable_2020_xlsx_3[[#This Row],[2045]]</f>
        <v>37589.344302129939</v>
      </c>
      <c r="W135">
        <f>scenario_indirect_prod_4506_iotable_2020_xlsx_3[[#This Row],[2046]]+scenario_indirect_prod_1610_iotable_2020_xlsx_3[[#This Row],[2046]]</f>
        <v>39204.212251609199</v>
      </c>
      <c r="X135">
        <f>scenario_indirect_prod_4506_iotable_2020_xlsx_3[[#This Row],[2047]]+scenario_indirect_prod_1610_iotable_2020_xlsx_3[[#This Row],[2047]]</f>
        <v>39204.212251609199</v>
      </c>
      <c r="Y135">
        <f>scenario_indirect_prod_4506_iotable_2020_xlsx_3[[#This Row],[2048]]+scenario_indirect_prod_1610_iotable_2020_xlsx_3[[#This Row],[2048]]</f>
        <v>39204.212251609199</v>
      </c>
      <c r="Z135">
        <f>scenario_indirect_prod_4506_iotable_2020_xlsx_3[[#This Row],[2049]]+scenario_indirect_prod_1610_iotable_2020_xlsx_3[[#This Row],[2049]]</f>
        <v>39204.212251609199</v>
      </c>
      <c r="AA135">
        <f>scenario_indirect_prod_4506_iotable_2020_xlsx_3[[#This Row],[2050]]+scenario_indirect_prod_1610_iotable_2020_xlsx_3[[#This Row],[2050]]</f>
        <v>39204.212251609199</v>
      </c>
    </row>
    <row r="136" spans="1:27" x14ac:dyDescent="0.2">
      <c r="A136" t="s">
        <v>816</v>
      </c>
      <c r="B136" t="s">
        <v>817</v>
      </c>
      <c r="C136">
        <f>scenario_indirect_prod_4506_iotable_2020_xlsx_3[[#This Row],[2026]]+scenario_indirect_prod_1610_iotable_2020_xlsx_3[[#This Row],[2026]]</f>
        <v>1159.4946933719364</v>
      </c>
      <c r="D136">
        <f>scenario_indirect_prod_4506_iotable_2020_xlsx_3[[#This Row],[2027]]+scenario_indirect_prod_1610_iotable_2020_xlsx_3[[#This Row],[2027]]</f>
        <v>1200.1647880137884</v>
      </c>
      <c r="E136">
        <f>scenario_indirect_prod_4506_iotable_2020_xlsx_3[[#This Row],[2028]]+scenario_indirect_prod_1610_iotable_2020_xlsx_3[[#This Row],[2028]]</f>
        <v>1254.6576858451485</v>
      </c>
      <c r="F136">
        <f>scenario_indirect_prod_4506_iotable_2020_xlsx_3[[#This Row],[2029]]+scenario_indirect_prod_1610_iotable_2020_xlsx_3[[#This Row],[2029]]</f>
        <v>1309.7169633157296</v>
      </c>
      <c r="G136">
        <f>scenario_indirect_prod_4506_iotable_2020_xlsx_3[[#This Row],[2030]]+scenario_indirect_prod_1610_iotable_2020_xlsx_3[[#This Row],[2030]]</f>
        <v>1397.8789235388563</v>
      </c>
      <c r="H136">
        <f>scenario_indirect_prod_4506_iotable_2020_xlsx_3[[#This Row],[2031]]+scenario_indirect_prod_1610_iotable_2020_xlsx_3[[#This Row],[2031]]</f>
        <v>1471.4007205891041</v>
      </c>
      <c r="I136">
        <f>scenario_indirect_prod_4506_iotable_2020_xlsx_3[[#This Row],[2032]]+scenario_indirect_prod_1610_iotable_2020_xlsx_3[[#This Row],[2032]]</f>
        <v>1574.0804529444426</v>
      </c>
      <c r="J136">
        <f>scenario_indirect_prod_4506_iotable_2020_xlsx_3[[#This Row],[2033]]+scenario_indirect_prod_1610_iotable_2020_xlsx_3[[#This Row],[2033]]</f>
        <v>1809.8334820892583</v>
      </c>
      <c r="K136">
        <f>scenario_indirect_prod_4506_iotable_2020_xlsx_3[[#This Row],[2034]]+scenario_indirect_prod_1610_iotable_2020_xlsx_3[[#This Row],[2034]]</f>
        <v>1905.3823265756923</v>
      </c>
      <c r="L136">
        <f>scenario_indirect_prod_4506_iotable_2020_xlsx_3[[#This Row],[2035]]+scenario_indirect_prod_1610_iotable_2020_xlsx_3[[#This Row],[2035]]</f>
        <v>2238.4158445867524</v>
      </c>
      <c r="M136">
        <f>scenario_indirect_prod_4506_iotable_2020_xlsx_3[[#This Row],[2036]]+scenario_indirect_prod_1610_iotable_2020_xlsx_3[[#This Row],[2036]]</f>
        <v>2386.2453390240953</v>
      </c>
      <c r="N136">
        <f>scenario_indirect_prod_4506_iotable_2020_xlsx_3[[#This Row],[2037]]+scenario_indirect_prod_1610_iotable_2020_xlsx_3[[#This Row],[2037]]</f>
        <v>2519.3394229243249</v>
      </c>
      <c r="O136">
        <f>scenario_indirect_prod_4506_iotable_2020_xlsx_3[[#This Row],[2038]]+scenario_indirect_prod_1610_iotable_2020_xlsx_3[[#This Row],[2038]]</f>
        <v>2519.3394229243249</v>
      </c>
      <c r="P136">
        <f>scenario_indirect_prod_4506_iotable_2020_xlsx_3[[#This Row],[2039]]+scenario_indirect_prod_1610_iotable_2020_xlsx_3[[#This Row],[2039]]</f>
        <v>2519.3394229243249</v>
      </c>
      <c r="Q136">
        <f>scenario_indirect_prod_4506_iotable_2020_xlsx_3[[#This Row],[2040]]+scenario_indirect_prod_1610_iotable_2020_xlsx_3[[#This Row],[2040]]</f>
        <v>2635.522253565558</v>
      </c>
      <c r="R136">
        <f>scenario_indirect_prod_4506_iotable_2020_xlsx_3[[#This Row],[2041]]+scenario_indirect_prod_1610_iotable_2020_xlsx_3[[#This Row],[2041]]</f>
        <v>2635.522253565558</v>
      </c>
      <c r="S136">
        <f>scenario_indirect_prod_4506_iotable_2020_xlsx_3[[#This Row],[2042]]+scenario_indirect_prod_1610_iotable_2020_xlsx_3[[#This Row],[2042]]</f>
        <v>2765.8475194492312</v>
      </c>
      <c r="T136">
        <f>scenario_indirect_prod_4506_iotable_2020_xlsx_3[[#This Row],[2043]]+scenario_indirect_prod_1610_iotable_2020_xlsx_3[[#This Row],[2043]]</f>
        <v>2765.8475194492312</v>
      </c>
      <c r="U136">
        <f>scenario_indirect_prod_4506_iotable_2020_xlsx_3[[#This Row],[2044]]+scenario_indirect_prod_1610_iotable_2020_xlsx_3[[#This Row],[2044]]</f>
        <v>2883.4666863637858</v>
      </c>
      <c r="V136">
        <f>scenario_indirect_prod_4506_iotable_2020_xlsx_3[[#This Row],[2045]]+scenario_indirect_prod_1610_iotable_2020_xlsx_3[[#This Row],[2045]]</f>
        <v>2883.4666863637858</v>
      </c>
      <c r="W136">
        <f>scenario_indirect_prod_4506_iotable_2020_xlsx_3[[#This Row],[2046]]+scenario_indirect_prod_1610_iotable_2020_xlsx_3[[#This Row],[2046]]</f>
        <v>2985.621519414799</v>
      </c>
      <c r="X136">
        <f>scenario_indirect_prod_4506_iotable_2020_xlsx_3[[#This Row],[2047]]+scenario_indirect_prod_1610_iotable_2020_xlsx_3[[#This Row],[2047]]</f>
        <v>2985.621519414799</v>
      </c>
      <c r="Y136">
        <f>scenario_indirect_prod_4506_iotable_2020_xlsx_3[[#This Row],[2048]]+scenario_indirect_prod_1610_iotable_2020_xlsx_3[[#This Row],[2048]]</f>
        <v>2985.621519414799</v>
      </c>
      <c r="Z136">
        <f>scenario_indirect_prod_4506_iotable_2020_xlsx_3[[#This Row],[2049]]+scenario_indirect_prod_1610_iotable_2020_xlsx_3[[#This Row],[2049]]</f>
        <v>2985.621519414799</v>
      </c>
      <c r="AA136">
        <f>scenario_indirect_prod_4506_iotable_2020_xlsx_3[[#This Row],[2050]]+scenario_indirect_prod_1610_iotable_2020_xlsx_3[[#This Row],[2050]]</f>
        <v>2985.621519414799</v>
      </c>
    </row>
    <row r="137" spans="1:27" x14ac:dyDescent="0.2">
      <c r="A137" t="s">
        <v>657</v>
      </c>
      <c r="B137" t="s">
        <v>658</v>
      </c>
      <c r="C137">
        <f>scenario_indirect_prod_4506_iotable_2020_xlsx_3[[#This Row],[2026]]+scenario_indirect_prod_1610_iotable_2020_xlsx_3[[#This Row],[2026]]</f>
        <v>3833.5213638994733</v>
      </c>
      <c r="D137">
        <f>scenario_indirect_prod_4506_iotable_2020_xlsx_3[[#This Row],[2027]]+scenario_indirect_prod_1610_iotable_2020_xlsx_3[[#This Row],[2027]]</f>
        <v>3849.0124604542189</v>
      </c>
      <c r="E137">
        <f>scenario_indirect_prod_4506_iotable_2020_xlsx_3[[#This Row],[2028]]+scenario_indirect_prod_1610_iotable_2020_xlsx_3[[#This Row],[2028]]</f>
        <v>4036.2481386169366</v>
      </c>
      <c r="F137">
        <f>scenario_indirect_prod_4506_iotable_2020_xlsx_3[[#This Row],[2029]]+scenario_indirect_prod_1610_iotable_2020_xlsx_3[[#This Row],[2029]]</f>
        <v>4175.7299056200545</v>
      </c>
      <c r="G137">
        <f>scenario_indirect_prod_4506_iotable_2020_xlsx_3[[#This Row],[2030]]+scenario_indirect_prod_1610_iotable_2020_xlsx_3[[#This Row],[2030]]</f>
        <v>4057.3769825061545</v>
      </c>
      <c r="H137">
        <f>scenario_indirect_prod_4506_iotable_2020_xlsx_3[[#This Row],[2031]]+scenario_indirect_prod_1610_iotable_2020_xlsx_3[[#This Row],[2031]]</f>
        <v>4309.9952883456845</v>
      </c>
      <c r="I137">
        <f>scenario_indirect_prod_4506_iotable_2020_xlsx_3[[#This Row],[2032]]+scenario_indirect_prod_1610_iotable_2020_xlsx_3[[#This Row],[2032]]</f>
        <v>4662.799233193964</v>
      </c>
      <c r="J137">
        <f>scenario_indirect_prod_4506_iotable_2020_xlsx_3[[#This Row],[2033]]+scenario_indirect_prod_1610_iotable_2020_xlsx_3[[#This Row],[2033]]</f>
        <v>5237.8298572351669</v>
      </c>
      <c r="K137">
        <f>scenario_indirect_prod_4506_iotable_2020_xlsx_3[[#This Row],[2034]]+scenario_indirect_prod_1610_iotable_2020_xlsx_3[[#This Row],[2034]]</f>
        <v>5566.1323224563494</v>
      </c>
      <c r="L137">
        <f>scenario_indirect_prod_4506_iotable_2020_xlsx_3[[#This Row],[2035]]+scenario_indirect_prod_1610_iotable_2020_xlsx_3[[#This Row],[2035]]</f>
        <v>6412.9310668510316</v>
      </c>
      <c r="M137">
        <f>scenario_indirect_prod_4506_iotable_2020_xlsx_3[[#This Row],[2036]]+scenario_indirect_prod_1610_iotable_2020_xlsx_3[[#This Row],[2036]]</f>
        <v>6725.5996543452629</v>
      </c>
      <c r="N137">
        <f>scenario_indirect_prod_4506_iotable_2020_xlsx_3[[#This Row],[2037]]+scenario_indirect_prod_1610_iotable_2020_xlsx_3[[#This Row],[2037]]</f>
        <v>7012.2015168999887</v>
      </c>
      <c r="O137">
        <f>scenario_indirect_prod_4506_iotable_2020_xlsx_3[[#This Row],[2038]]+scenario_indirect_prod_1610_iotable_2020_xlsx_3[[#This Row],[2038]]</f>
        <v>7012.2015168999887</v>
      </c>
      <c r="P137">
        <f>scenario_indirect_prod_4506_iotable_2020_xlsx_3[[#This Row],[2039]]+scenario_indirect_prod_1610_iotable_2020_xlsx_3[[#This Row],[2039]]</f>
        <v>7012.2015168999887</v>
      </c>
      <c r="Q137">
        <f>scenario_indirect_prod_4506_iotable_2020_xlsx_3[[#This Row],[2040]]+scenario_indirect_prod_1610_iotable_2020_xlsx_3[[#This Row],[2040]]</f>
        <v>7261.538781135896</v>
      </c>
      <c r="R137">
        <f>scenario_indirect_prod_4506_iotable_2020_xlsx_3[[#This Row],[2041]]+scenario_indirect_prod_1610_iotable_2020_xlsx_3[[#This Row],[2041]]</f>
        <v>7261.538781135896</v>
      </c>
      <c r="S137">
        <f>scenario_indirect_prod_4506_iotable_2020_xlsx_3[[#This Row],[2042]]+scenario_indirect_prod_1610_iotable_2020_xlsx_3[[#This Row],[2042]]</f>
        <v>7543.9202496026419</v>
      </c>
      <c r="T137">
        <f>scenario_indirect_prod_4506_iotable_2020_xlsx_3[[#This Row],[2043]]+scenario_indirect_prod_1610_iotable_2020_xlsx_3[[#This Row],[2043]]</f>
        <v>7543.9202496026419</v>
      </c>
      <c r="U137">
        <f>scenario_indirect_prod_4506_iotable_2020_xlsx_3[[#This Row],[2044]]+scenario_indirect_prod_1610_iotable_2020_xlsx_3[[#This Row],[2044]]</f>
        <v>7790.7491581393379</v>
      </c>
      <c r="V137">
        <f>scenario_indirect_prod_4506_iotable_2020_xlsx_3[[#This Row],[2045]]+scenario_indirect_prod_1610_iotable_2020_xlsx_3[[#This Row],[2045]]</f>
        <v>7790.7491581393379</v>
      </c>
      <c r="W137">
        <f>scenario_indirect_prod_4506_iotable_2020_xlsx_3[[#This Row],[2046]]+scenario_indirect_prod_1610_iotable_2020_xlsx_3[[#This Row],[2046]]</f>
        <v>8007.807573450792</v>
      </c>
      <c r="X137">
        <f>scenario_indirect_prod_4506_iotable_2020_xlsx_3[[#This Row],[2047]]+scenario_indirect_prod_1610_iotable_2020_xlsx_3[[#This Row],[2047]]</f>
        <v>8007.807573450792</v>
      </c>
      <c r="Y137">
        <f>scenario_indirect_prod_4506_iotable_2020_xlsx_3[[#This Row],[2048]]+scenario_indirect_prod_1610_iotable_2020_xlsx_3[[#This Row],[2048]]</f>
        <v>8007.807573450792</v>
      </c>
      <c r="Z137">
        <f>scenario_indirect_prod_4506_iotable_2020_xlsx_3[[#This Row],[2049]]+scenario_indirect_prod_1610_iotable_2020_xlsx_3[[#This Row],[2049]]</f>
        <v>8007.807573450792</v>
      </c>
      <c r="AA137">
        <f>scenario_indirect_prod_4506_iotable_2020_xlsx_3[[#This Row],[2050]]+scenario_indirect_prod_1610_iotable_2020_xlsx_3[[#This Row],[2050]]</f>
        <v>8007.807573450792</v>
      </c>
    </row>
    <row r="138" spans="1:27" x14ac:dyDescent="0.2">
      <c r="A138" t="s">
        <v>822</v>
      </c>
      <c r="B138" t="s">
        <v>823</v>
      </c>
      <c r="C138">
        <f>scenario_indirect_prod_4506_iotable_2020_xlsx_3[[#This Row],[2026]]+scenario_indirect_prod_1610_iotable_2020_xlsx_3[[#This Row],[2026]]</f>
        <v>984.18864318117619</v>
      </c>
      <c r="D138">
        <f>scenario_indirect_prod_4506_iotable_2020_xlsx_3[[#This Row],[2027]]+scenario_indirect_prod_1610_iotable_2020_xlsx_3[[#This Row],[2027]]</f>
        <v>907.34806616830235</v>
      </c>
      <c r="E138">
        <f>scenario_indirect_prod_4506_iotable_2020_xlsx_3[[#This Row],[2028]]+scenario_indirect_prod_1610_iotable_2020_xlsx_3[[#This Row],[2028]]</f>
        <v>960.22099587900107</v>
      </c>
      <c r="F138">
        <f>scenario_indirect_prod_4506_iotable_2020_xlsx_3[[#This Row],[2029]]+scenario_indirect_prod_1610_iotable_2020_xlsx_3[[#This Row],[2029]]</f>
        <v>967.1228116940564</v>
      </c>
      <c r="G138">
        <f>scenario_indirect_prod_4506_iotable_2020_xlsx_3[[#This Row],[2030]]+scenario_indirect_prod_1610_iotable_2020_xlsx_3[[#This Row],[2030]]</f>
        <v>658.33856203928713</v>
      </c>
      <c r="H138">
        <f>scenario_indirect_prod_4506_iotable_2020_xlsx_3[[#This Row],[2031]]+scenario_indirect_prod_1610_iotable_2020_xlsx_3[[#This Row],[2031]]</f>
        <v>729.67469871662274</v>
      </c>
      <c r="I138">
        <f>scenario_indirect_prod_4506_iotable_2020_xlsx_3[[#This Row],[2032]]+scenario_indirect_prod_1610_iotable_2020_xlsx_3[[#This Row],[2032]]</f>
        <v>829.30196185719387</v>
      </c>
      <c r="J138">
        <f>scenario_indirect_prod_4506_iotable_2020_xlsx_3[[#This Row],[2033]]+scenario_indirect_prod_1610_iotable_2020_xlsx_3[[#This Row],[2033]]</f>
        <v>838.07155993863785</v>
      </c>
      <c r="K138">
        <f>scenario_indirect_prod_4506_iotable_2020_xlsx_3[[#This Row],[2034]]+scenario_indirect_prod_1610_iotable_2020_xlsx_3[[#This Row],[2034]]</f>
        <v>930.77992267067771</v>
      </c>
      <c r="L138">
        <f>scenario_indirect_prod_4506_iotable_2020_xlsx_3[[#This Row],[2035]]+scenario_indirect_prod_1610_iotable_2020_xlsx_3[[#This Row],[2035]]</f>
        <v>975.45096106075925</v>
      </c>
      <c r="M138">
        <f>scenario_indirect_prod_4506_iotable_2020_xlsx_3[[#This Row],[2036]]+scenario_indirect_prod_1610_iotable_2020_xlsx_3[[#This Row],[2036]]</f>
        <v>936.1087703658327</v>
      </c>
      <c r="N138">
        <f>scenario_indirect_prod_4506_iotable_2020_xlsx_3[[#This Row],[2037]]+scenario_indirect_prod_1610_iotable_2020_xlsx_3[[#This Row],[2037]]</f>
        <v>905.46151179533035</v>
      </c>
      <c r="O138">
        <f>scenario_indirect_prod_4506_iotable_2020_xlsx_3[[#This Row],[2038]]+scenario_indirect_prod_1610_iotable_2020_xlsx_3[[#This Row],[2038]]</f>
        <v>905.46151179533035</v>
      </c>
      <c r="P138">
        <f>scenario_indirect_prod_4506_iotable_2020_xlsx_3[[#This Row],[2039]]+scenario_indirect_prod_1610_iotable_2020_xlsx_3[[#This Row],[2039]]</f>
        <v>905.46151179533035</v>
      </c>
      <c r="Q138">
        <f>scenario_indirect_prod_4506_iotable_2020_xlsx_3[[#This Row],[2040]]+scenario_indirect_prod_1610_iotable_2020_xlsx_3[[#This Row],[2040]]</f>
        <v>877.91435305859841</v>
      </c>
      <c r="R138">
        <f>scenario_indirect_prod_4506_iotable_2020_xlsx_3[[#This Row],[2041]]+scenario_indirect_prod_1610_iotable_2020_xlsx_3[[#This Row],[2041]]</f>
        <v>877.91435305859841</v>
      </c>
      <c r="S138">
        <f>scenario_indirect_prod_4506_iotable_2020_xlsx_3[[#This Row],[2042]]+scenario_indirect_prod_1610_iotable_2020_xlsx_3[[#This Row],[2042]]</f>
        <v>849.53515039600416</v>
      </c>
      <c r="T138">
        <f>scenario_indirect_prod_4506_iotable_2020_xlsx_3[[#This Row],[2043]]+scenario_indirect_prod_1610_iotable_2020_xlsx_3[[#This Row],[2043]]</f>
        <v>849.53515039600416</v>
      </c>
      <c r="U138">
        <f>scenario_indirect_prod_4506_iotable_2020_xlsx_3[[#This Row],[2044]]+scenario_indirect_prod_1610_iotable_2020_xlsx_3[[#This Row],[2044]]</f>
        <v>816.41423744010262</v>
      </c>
      <c r="V138">
        <f>scenario_indirect_prod_4506_iotable_2020_xlsx_3[[#This Row],[2045]]+scenario_indirect_prod_1610_iotable_2020_xlsx_3[[#This Row],[2045]]</f>
        <v>816.41423744010262</v>
      </c>
      <c r="W138">
        <f>scenario_indirect_prod_4506_iotable_2020_xlsx_3[[#This Row],[2046]]+scenario_indirect_prod_1610_iotable_2020_xlsx_3[[#This Row],[2046]]</f>
        <v>790.15850323734549</v>
      </c>
      <c r="X138">
        <f>scenario_indirect_prod_4506_iotable_2020_xlsx_3[[#This Row],[2047]]+scenario_indirect_prod_1610_iotable_2020_xlsx_3[[#This Row],[2047]]</f>
        <v>790.15850323734549</v>
      </c>
      <c r="Y138">
        <f>scenario_indirect_prod_4506_iotable_2020_xlsx_3[[#This Row],[2048]]+scenario_indirect_prod_1610_iotable_2020_xlsx_3[[#This Row],[2048]]</f>
        <v>790.15850323734549</v>
      </c>
      <c r="Z138">
        <f>scenario_indirect_prod_4506_iotable_2020_xlsx_3[[#This Row],[2049]]+scenario_indirect_prod_1610_iotable_2020_xlsx_3[[#This Row],[2049]]</f>
        <v>790.15850323734549</v>
      </c>
      <c r="AA138">
        <f>scenario_indirect_prod_4506_iotable_2020_xlsx_3[[#This Row],[2050]]+scenario_indirect_prod_1610_iotable_2020_xlsx_3[[#This Row],[2050]]</f>
        <v>790.15850323734549</v>
      </c>
    </row>
    <row r="139" spans="1:27" x14ac:dyDescent="0.2">
      <c r="A139" t="s">
        <v>872</v>
      </c>
      <c r="B139" t="s">
        <v>873</v>
      </c>
      <c r="C139">
        <f>scenario_indirect_prod_4506_iotable_2020_xlsx_3[[#This Row],[2026]]+scenario_indirect_prod_1610_iotable_2020_xlsx_3[[#This Row],[2026]]</f>
        <v>464.21698733971436</v>
      </c>
      <c r="D139">
        <f>scenario_indirect_prod_4506_iotable_2020_xlsx_3[[#This Row],[2027]]+scenario_indirect_prod_1610_iotable_2020_xlsx_3[[#This Row],[2027]]</f>
        <v>422.36885375706402</v>
      </c>
      <c r="E139">
        <f>scenario_indirect_prod_4506_iotable_2020_xlsx_3[[#This Row],[2028]]+scenario_indirect_prod_1610_iotable_2020_xlsx_3[[#This Row],[2028]]</f>
        <v>447.64078472292817</v>
      </c>
      <c r="F139">
        <f>scenario_indirect_prod_4506_iotable_2020_xlsx_3[[#This Row],[2029]]+scenario_indirect_prod_1610_iotable_2020_xlsx_3[[#This Row],[2029]]</f>
        <v>448.89157099687321</v>
      </c>
      <c r="G139">
        <f>scenario_indirect_prod_4506_iotable_2020_xlsx_3[[#This Row],[2030]]+scenario_indirect_prod_1610_iotable_2020_xlsx_3[[#This Row],[2030]]</f>
        <v>283.93998391361151</v>
      </c>
      <c r="H139">
        <f>scenario_indirect_prod_4506_iotable_2020_xlsx_3[[#This Row],[2031]]+scenario_indirect_prod_1610_iotable_2020_xlsx_3[[#This Row],[2031]]</f>
        <v>318.03686357103425</v>
      </c>
      <c r="I139">
        <f>scenario_indirect_prod_4506_iotable_2020_xlsx_3[[#This Row],[2032]]+scenario_indirect_prod_1610_iotable_2020_xlsx_3[[#This Row],[2032]]</f>
        <v>365.65619032638563</v>
      </c>
      <c r="J139">
        <f>scenario_indirect_prod_4506_iotable_2020_xlsx_3[[#This Row],[2033]]+scenario_indirect_prod_1610_iotable_2020_xlsx_3[[#This Row],[2033]]</f>
        <v>360.16326904057019</v>
      </c>
      <c r="K139">
        <f>scenario_indirect_prod_4506_iotable_2020_xlsx_3[[#This Row],[2034]]+scenario_indirect_prod_1610_iotable_2020_xlsx_3[[#This Row],[2034]]</f>
        <v>404.47553536933219</v>
      </c>
      <c r="L139">
        <f>scenario_indirect_prod_4506_iotable_2020_xlsx_3[[#This Row],[2035]]+scenario_indirect_prod_1610_iotable_2020_xlsx_3[[#This Row],[2035]]</f>
        <v>413.56766019466829</v>
      </c>
      <c r="M139">
        <f>scenario_indirect_prod_4506_iotable_2020_xlsx_3[[#This Row],[2036]]+scenario_indirect_prod_1610_iotable_2020_xlsx_3[[#This Row],[2036]]</f>
        <v>386.71618232987112</v>
      </c>
      <c r="N139">
        <f>scenario_indirect_prod_4506_iotable_2020_xlsx_3[[#This Row],[2037]]+scenario_indirect_prod_1610_iotable_2020_xlsx_3[[#This Row],[2037]]</f>
        <v>365.03291677289462</v>
      </c>
      <c r="O139">
        <f>scenario_indirect_prod_4506_iotable_2020_xlsx_3[[#This Row],[2038]]+scenario_indirect_prod_1610_iotable_2020_xlsx_3[[#This Row],[2038]]</f>
        <v>365.03291677289462</v>
      </c>
      <c r="P139">
        <f>scenario_indirect_prod_4506_iotable_2020_xlsx_3[[#This Row],[2039]]+scenario_indirect_prod_1610_iotable_2020_xlsx_3[[#This Row],[2039]]</f>
        <v>365.03291677289462</v>
      </c>
      <c r="Q139">
        <f>scenario_indirect_prod_4506_iotable_2020_xlsx_3[[#This Row],[2040]]+scenario_indirect_prod_1610_iotable_2020_xlsx_3[[#This Row],[2040]]</f>
        <v>345.6903029394573</v>
      </c>
      <c r="R139">
        <f>scenario_indirect_prod_4506_iotable_2020_xlsx_3[[#This Row],[2041]]+scenario_indirect_prod_1610_iotable_2020_xlsx_3[[#This Row],[2041]]</f>
        <v>345.6903029394573</v>
      </c>
      <c r="S139">
        <f>scenario_indirect_prod_4506_iotable_2020_xlsx_3[[#This Row],[2042]]+scenario_indirect_prod_1610_iotable_2020_xlsx_3[[#This Row],[2042]]</f>
        <v>325.30923954705031</v>
      </c>
      <c r="T139">
        <f>scenario_indirect_prod_4506_iotable_2020_xlsx_3[[#This Row],[2043]]+scenario_indirect_prod_1610_iotable_2020_xlsx_3[[#This Row],[2043]]</f>
        <v>325.30923954705031</v>
      </c>
      <c r="U139">
        <f>scenario_indirect_prod_4506_iotable_2020_xlsx_3[[#This Row],[2044]]+scenario_indirect_prod_1610_iotable_2020_xlsx_3[[#This Row],[2044]]</f>
        <v>302.99576652387668</v>
      </c>
      <c r="V139">
        <f>scenario_indirect_prod_4506_iotable_2020_xlsx_3[[#This Row],[2045]]+scenario_indirect_prod_1610_iotable_2020_xlsx_3[[#This Row],[2045]]</f>
        <v>302.99576652387668</v>
      </c>
      <c r="W139">
        <f>scenario_indirect_prod_4506_iotable_2020_xlsx_3[[#This Row],[2046]]+scenario_indirect_prod_1610_iotable_2020_xlsx_3[[#This Row],[2046]]</f>
        <v>284.92651078802965</v>
      </c>
      <c r="X139">
        <f>scenario_indirect_prod_4506_iotable_2020_xlsx_3[[#This Row],[2047]]+scenario_indirect_prod_1610_iotable_2020_xlsx_3[[#This Row],[2047]]</f>
        <v>284.92651078802965</v>
      </c>
      <c r="Y139">
        <f>scenario_indirect_prod_4506_iotable_2020_xlsx_3[[#This Row],[2048]]+scenario_indirect_prod_1610_iotable_2020_xlsx_3[[#This Row],[2048]]</f>
        <v>284.92651078802965</v>
      </c>
      <c r="Z139">
        <f>scenario_indirect_prod_4506_iotable_2020_xlsx_3[[#This Row],[2049]]+scenario_indirect_prod_1610_iotable_2020_xlsx_3[[#This Row],[2049]]</f>
        <v>284.92651078802965</v>
      </c>
      <c r="AA139">
        <f>scenario_indirect_prod_4506_iotable_2020_xlsx_3[[#This Row],[2050]]+scenario_indirect_prod_1610_iotable_2020_xlsx_3[[#This Row],[2050]]</f>
        <v>284.92651078802965</v>
      </c>
    </row>
    <row r="140" spans="1:27" x14ac:dyDescent="0.2">
      <c r="A140" t="s">
        <v>765</v>
      </c>
      <c r="B140" t="s">
        <v>766</v>
      </c>
      <c r="C140">
        <f>scenario_indirect_prod_4506_iotable_2020_xlsx_3[[#This Row],[2026]]+scenario_indirect_prod_1610_iotable_2020_xlsx_3[[#This Row],[2026]]</f>
        <v>1973.0990714564798</v>
      </c>
      <c r="D140">
        <f>scenario_indirect_prod_4506_iotable_2020_xlsx_3[[#This Row],[2027]]+scenario_indirect_prod_1610_iotable_2020_xlsx_3[[#This Row],[2027]]</f>
        <v>2086.0866672522579</v>
      </c>
      <c r="E140">
        <f>scenario_indirect_prod_4506_iotable_2020_xlsx_3[[#This Row],[2028]]+scenario_indirect_prod_1610_iotable_2020_xlsx_3[[#This Row],[2028]]</f>
        <v>2176.214518536442</v>
      </c>
      <c r="F140">
        <f>scenario_indirect_prod_4506_iotable_2020_xlsx_3[[#This Row],[2029]]+scenario_indirect_prod_1610_iotable_2020_xlsx_3[[#This Row],[2029]]</f>
        <v>2285.5678474760771</v>
      </c>
      <c r="G140">
        <f>scenario_indirect_prod_4506_iotable_2020_xlsx_3[[#This Row],[2030]]+scenario_indirect_prod_1610_iotable_2020_xlsx_3[[#This Row],[2030]]</f>
        <v>2586.4038122021652</v>
      </c>
      <c r="H140">
        <f>scenario_indirect_prod_4506_iotable_2020_xlsx_3[[#This Row],[2031]]+scenario_indirect_prod_1610_iotable_2020_xlsx_3[[#This Row],[2031]]</f>
        <v>2708.0042749119548</v>
      </c>
      <c r="I140">
        <f>scenario_indirect_prod_4506_iotable_2020_xlsx_3[[#This Row],[2032]]+scenario_indirect_prod_1610_iotable_2020_xlsx_3[[#This Row],[2032]]</f>
        <v>2877.8301424270417</v>
      </c>
      <c r="J140">
        <f>scenario_indirect_prod_4506_iotable_2020_xlsx_3[[#This Row],[2033]]+scenario_indirect_prod_1610_iotable_2020_xlsx_3[[#This Row],[2033]]</f>
        <v>3354.2299507427256</v>
      </c>
      <c r="K140">
        <f>scenario_indirect_prod_4506_iotable_2020_xlsx_3[[#This Row],[2034]]+scenario_indirect_prod_1610_iotable_2020_xlsx_3[[#This Row],[2034]]</f>
        <v>3512.2617748695952</v>
      </c>
      <c r="L140">
        <f>scenario_indirect_prod_4506_iotable_2020_xlsx_3[[#This Row],[2035]]+scenario_indirect_prod_1610_iotable_2020_xlsx_3[[#This Row],[2035]]</f>
        <v>4172.5505378846001</v>
      </c>
      <c r="M140">
        <f>scenario_indirect_prod_4506_iotable_2020_xlsx_3[[#This Row],[2036]]+scenario_indirect_prod_1610_iotable_2020_xlsx_3[[#This Row],[2036]]</f>
        <v>4488.9066340139743</v>
      </c>
      <c r="N140">
        <f>scenario_indirect_prod_4506_iotable_2020_xlsx_3[[#This Row],[2037]]+scenario_indirect_prod_1610_iotable_2020_xlsx_3[[#This Row],[2037]]</f>
        <v>4771.8522955470035</v>
      </c>
      <c r="O140">
        <f>scenario_indirect_prod_4506_iotable_2020_xlsx_3[[#This Row],[2038]]+scenario_indirect_prod_1610_iotable_2020_xlsx_3[[#This Row],[2038]]</f>
        <v>4771.8522955470035</v>
      </c>
      <c r="P140">
        <f>scenario_indirect_prod_4506_iotable_2020_xlsx_3[[#This Row],[2039]]+scenario_indirect_prod_1610_iotable_2020_xlsx_3[[#This Row],[2039]]</f>
        <v>4771.8522955470035</v>
      </c>
      <c r="Q140">
        <f>scenario_indirect_prod_4506_iotable_2020_xlsx_3[[#This Row],[2040]]+scenario_indirect_prod_1610_iotable_2020_xlsx_3[[#This Row],[2040]]</f>
        <v>5019.1583550332653</v>
      </c>
      <c r="R140">
        <f>scenario_indirect_prod_4506_iotable_2020_xlsx_3[[#This Row],[2041]]+scenario_indirect_prod_1610_iotable_2020_xlsx_3[[#This Row],[2041]]</f>
        <v>5019.1583550332653</v>
      </c>
      <c r="S140">
        <f>scenario_indirect_prod_4506_iotable_2020_xlsx_3[[#This Row],[2042]]+scenario_indirect_prod_1610_iotable_2020_xlsx_3[[#This Row],[2042]]</f>
        <v>5295.5767714052408</v>
      </c>
      <c r="T140">
        <f>scenario_indirect_prod_4506_iotable_2020_xlsx_3[[#This Row],[2043]]+scenario_indirect_prod_1610_iotable_2020_xlsx_3[[#This Row],[2043]]</f>
        <v>5295.5767714052408</v>
      </c>
      <c r="U140">
        <f>scenario_indirect_prod_4506_iotable_2020_xlsx_3[[#This Row],[2044]]+scenario_indirect_prod_1610_iotable_2020_xlsx_3[[#This Row],[2044]]</f>
        <v>5547.99754016529</v>
      </c>
      <c r="V140">
        <f>scenario_indirect_prod_4506_iotable_2020_xlsx_3[[#This Row],[2045]]+scenario_indirect_prod_1610_iotable_2020_xlsx_3[[#This Row],[2045]]</f>
        <v>5547.99754016529</v>
      </c>
      <c r="W140">
        <f>scenario_indirect_prod_4506_iotable_2020_xlsx_3[[#This Row],[2046]]+scenario_indirect_prod_1610_iotable_2020_xlsx_3[[#This Row],[2046]]</f>
        <v>5766.2435702268276</v>
      </c>
      <c r="X140">
        <f>scenario_indirect_prod_4506_iotable_2020_xlsx_3[[#This Row],[2047]]+scenario_indirect_prod_1610_iotable_2020_xlsx_3[[#This Row],[2047]]</f>
        <v>5766.2435702268276</v>
      </c>
      <c r="Y140">
        <f>scenario_indirect_prod_4506_iotable_2020_xlsx_3[[#This Row],[2048]]+scenario_indirect_prod_1610_iotable_2020_xlsx_3[[#This Row],[2048]]</f>
        <v>5766.2435702268276</v>
      </c>
      <c r="Z140">
        <f>scenario_indirect_prod_4506_iotable_2020_xlsx_3[[#This Row],[2049]]+scenario_indirect_prod_1610_iotable_2020_xlsx_3[[#This Row],[2049]]</f>
        <v>5766.2435702268276</v>
      </c>
      <c r="AA140">
        <f>scenario_indirect_prod_4506_iotable_2020_xlsx_3[[#This Row],[2050]]+scenario_indirect_prod_1610_iotable_2020_xlsx_3[[#This Row],[2050]]</f>
        <v>5766.2435702268276</v>
      </c>
    </row>
    <row r="141" spans="1:27" x14ac:dyDescent="0.2">
      <c r="A141" t="s">
        <v>700</v>
      </c>
      <c r="B141" t="s">
        <v>701</v>
      </c>
      <c r="C141">
        <f>scenario_indirect_prod_4506_iotable_2020_xlsx_3[[#This Row],[2026]]+scenario_indirect_prod_1610_iotable_2020_xlsx_3[[#This Row],[2026]]</f>
        <v>2851.3593330628919</v>
      </c>
      <c r="D141">
        <f>scenario_indirect_prod_4506_iotable_2020_xlsx_3[[#This Row],[2027]]+scenario_indirect_prod_1610_iotable_2020_xlsx_3[[#This Row],[2027]]</f>
        <v>2760.3613073398856</v>
      </c>
      <c r="E141">
        <f>scenario_indirect_prod_4506_iotable_2020_xlsx_3[[#This Row],[2028]]+scenario_indirect_prod_1610_iotable_2020_xlsx_3[[#This Row],[2028]]</f>
        <v>2905.7199361142552</v>
      </c>
      <c r="F141">
        <f>scenario_indirect_prod_4506_iotable_2020_xlsx_3[[#This Row],[2029]]+scenario_indirect_prod_1610_iotable_2020_xlsx_3[[#This Row],[2029]]</f>
        <v>2972.7955121414179</v>
      </c>
      <c r="G141">
        <f>scenario_indirect_prod_4506_iotable_2020_xlsx_3[[#This Row],[2030]]+scenario_indirect_prod_1610_iotable_2020_xlsx_3[[#This Row],[2030]]</f>
        <v>2531.6050333366097</v>
      </c>
      <c r="H141">
        <f>scenario_indirect_prod_4506_iotable_2020_xlsx_3[[#This Row],[2031]]+scenario_indirect_prod_1610_iotable_2020_xlsx_3[[#This Row],[2031]]</f>
        <v>2727.7228400519862</v>
      </c>
      <c r="I141">
        <f>scenario_indirect_prod_4506_iotable_2020_xlsx_3[[#This Row],[2032]]+scenario_indirect_prod_1610_iotable_2020_xlsx_3[[#This Row],[2032]]</f>
        <v>3001.6188098402135</v>
      </c>
      <c r="J141">
        <f>scenario_indirect_prod_4506_iotable_2020_xlsx_3[[#This Row],[2033]]+scenario_indirect_prod_1610_iotable_2020_xlsx_3[[#This Row],[2033]]</f>
        <v>3253.1761890514513</v>
      </c>
      <c r="K141">
        <f>scenario_indirect_prod_4506_iotable_2020_xlsx_3[[#This Row],[2034]]+scenario_indirect_prod_1610_iotable_2020_xlsx_3[[#This Row],[2034]]</f>
        <v>3508.0506693645643</v>
      </c>
      <c r="L141">
        <f>scenario_indirect_prod_4506_iotable_2020_xlsx_3[[#This Row],[2035]]+scenario_indirect_prod_1610_iotable_2020_xlsx_3[[#This Row],[2035]]</f>
        <v>3918.7825512004688</v>
      </c>
      <c r="M141">
        <f>scenario_indirect_prod_4506_iotable_2020_xlsx_3[[#This Row],[2036]]+scenario_indirect_prod_1610_iotable_2020_xlsx_3[[#This Row],[2036]]</f>
        <v>3999.6090252658787</v>
      </c>
      <c r="N141">
        <f>scenario_indirect_prod_4506_iotable_2020_xlsx_3[[#This Row],[2037]]+scenario_indirect_prod_1610_iotable_2020_xlsx_3[[#This Row],[2037]]</f>
        <v>4080.5662862837426</v>
      </c>
      <c r="O141">
        <f>scenario_indirect_prod_4506_iotable_2020_xlsx_3[[#This Row],[2038]]+scenario_indirect_prod_1610_iotable_2020_xlsx_3[[#This Row],[2038]]</f>
        <v>4080.5662862837426</v>
      </c>
      <c r="P141">
        <f>scenario_indirect_prod_4506_iotable_2020_xlsx_3[[#This Row],[2039]]+scenario_indirect_prod_1610_iotable_2020_xlsx_3[[#This Row],[2039]]</f>
        <v>4080.5662862837426</v>
      </c>
      <c r="Q141">
        <f>scenario_indirect_prod_4506_iotable_2020_xlsx_3[[#This Row],[2040]]+scenario_indirect_prod_1610_iotable_2020_xlsx_3[[#This Row],[2040]]</f>
        <v>4149.8750026004591</v>
      </c>
      <c r="R141">
        <f>scenario_indirect_prod_4506_iotable_2020_xlsx_3[[#This Row],[2041]]+scenario_indirect_prod_1610_iotable_2020_xlsx_3[[#This Row],[2041]]</f>
        <v>4149.8750026004591</v>
      </c>
      <c r="S141">
        <f>scenario_indirect_prod_4506_iotable_2020_xlsx_3[[#This Row],[2042]]+scenario_indirect_prod_1610_iotable_2020_xlsx_3[[#This Row],[2042]]</f>
        <v>4231.9447401088264</v>
      </c>
      <c r="T141">
        <f>scenario_indirect_prod_4506_iotable_2020_xlsx_3[[#This Row],[2043]]+scenario_indirect_prod_1610_iotable_2020_xlsx_3[[#This Row],[2043]]</f>
        <v>4231.9447401088264</v>
      </c>
      <c r="U141">
        <f>scenario_indirect_prod_4506_iotable_2020_xlsx_3[[#This Row],[2044]]+scenario_indirect_prod_1610_iotable_2020_xlsx_3[[#This Row],[2044]]</f>
        <v>4293.1341394477813</v>
      </c>
      <c r="V141">
        <f>scenario_indirect_prod_4506_iotable_2020_xlsx_3[[#This Row],[2045]]+scenario_indirect_prod_1610_iotable_2020_xlsx_3[[#This Row],[2045]]</f>
        <v>4293.1341394477813</v>
      </c>
      <c r="W141">
        <f>scenario_indirect_prod_4506_iotable_2020_xlsx_3[[#This Row],[2046]]+scenario_indirect_prod_1610_iotable_2020_xlsx_3[[#This Row],[2046]]</f>
        <v>4350.5845880205243</v>
      </c>
      <c r="X141">
        <f>scenario_indirect_prod_4506_iotable_2020_xlsx_3[[#This Row],[2047]]+scenario_indirect_prod_1610_iotable_2020_xlsx_3[[#This Row],[2047]]</f>
        <v>4350.5845880205243</v>
      </c>
      <c r="Y141">
        <f>scenario_indirect_prod_4506_iotable_2020_xlsx_3[[#This Row],[2048]]+scenario_indirect_prod_1610_iotable_2020_xlsx_3[[#This Row],[2048]]</f>
        <v>4350.5845880205243</v>
      </c>
      <c r="Z141">
        <f>scenario_indirect_prod_4506_iotable_2020_xlsx_3[[#This Row],[2049]]+scenario_indirect_prod_1610_iotable_2020_xlsx_3[[#This Row],[2049]]</f>
        <v>4350.5845880205243</v>
      </c>
      <c r="AA141">
        <f>scenario_indirect_prod_4506_iotable_2020_xlsx_3[[#This Row],[2050]]+scenario_indirect_prod_1610_iotable_2020_xlsx_3[[#This Row],[2050]]</f>
        <v>4350.5845880205243</v>
      </c>
    </row>
    <row r="142" spans="1:27" x14ac:dyDescent="0.2">
      <c r="A142" t="s">
        <v>862</v>
      </c>
      <c r="B142" t="s">
        <v>863</v>
      </c>
      <c r="C142">
        <f>scenario_indirect_prod_4506_iotable_2020_xlsx_3[[#This Row],[2026]]+scenario_indirect_prod_1610_iotable_2020_xlsx_3[[#This Row],[2026]]</f>
        <v>558.37906912506355</v>
      </c>
      <c r="D142">
        <f>scenario_indirect_prod_4506_iotable_2020_xlsx_3[[#This Row],[2027]]+scenario_indirect_prod_1610_iotable_2020_xlsx_3[[#This Row],[2027]]</f>
        <v>538.79640819236647</v>
      </c>
      <c r="E142">
        <f>scenario_indirect_prod_4506_iotable_2020_xlsx_3[[#This Row],[2028]]+scenario_indirect_prod_1610_iotable_2020_xlsx_3[[#This Row],[2028]]</f>
        <v>567.3666166727246</v>
      </c>
      <c r="F142">
        <f>scenario_indirect_prod_4506_iotable_2020_xlsx_3[[#This Row],[2029]]+scenario_indirect_prod_1610_iotable_2020_xlsx_3[[#This Row],[2029]]</f>
        <v>579.87150012196867</v>
      </c>
      <c r="G142">
        <f>scenario_indirect_prod_4506_iotable_2020_xlsx_3[[#This Row],[2030]]+scenario_indirect_prod_1610_iotable_2020_xlsx_3[[#This Row],[2030]]</f>
        <v>487.40179595854318</v>
      </c>
      <c r="H142">
        <f>scenario_indirect_prod_4506_iotable_2020_xlsx_3[[#This Row],[2031]]+scenario_indirect_prod_1610_iotable_2020_xlsx_3[[#This Row],[2031]]</f>
        <v>525.94871038538645</v>
      </c>
      <c r="I142">
        <f>scenario_indirect_prod_4506_iotable_2020_xlsx_3[[#This Row],[2032]]+scenario_indirect_prod_1610_iotable_2020_xlsx_3[[#This Row],[2032]]</f>
        <v>579.78290670906131</v>
      </c>
      <c r="J142">
        <f>scenario_indirect_prod_4506_iotable_2020_xlsx_3[[#This Row],[2033]]+scenario_indirect_prod_1610_iotable_2020_xlsx_3[[#This Row],[2033]]</f>
        <v>626.01668835319515</v>
      </c>
      <c r="K142">
        <f>scenario_indirect_prod_4506_iotable_2020_xlsx_3[[#This Row],[2034]]+scenario_indirect_prod_1610_iotable_2020_xlsx_3[[#This Row],[2034]]</f>
        <v>676.11221484699354</v>
      </c>
      <c r="L142">
        <f>scenario_indirect_prod_4506_iotable_2020_xlsx_3[[#This Row],[2035]]+scenario_indirect_prod_1610_iotable_2020_xlsx_3[[#This Row],[2035]]</f>
        <v>752.77829649427974</v>
      </c>
      <c r="M142">
        <f>scenario_indirect_prod_4506_iotable_2020_xlsx_3[[#This Row],[2036]]+scenario_indirect_prod_1610_iotable_2020_xlsx_3[[#This Row],[2036]]</f>
        <v>765.99772867418301</v>
      </c>
      <c r="N142">
        <f>scenario_indirect_prod_4506_iotable_2020_xlsx_3[[#This Row],[2037]]+scenario_indirect_prod_1610_iotable_2020_xlsx_3[[#This Row],[2037]]</f>
        <v>779.57835946901332</v>
      </c>
      <c r="O142">
        <f>scenario_indirect_prod_4506_iotable_2020_xlsx_3[[#This Row],[2038]]+scenario_indirect_prod_1610_iotable_2020_xlsx_3[[#This Row],[2038]]</f>
        <v>779.57835946901332</v>
      </c>
      <c r="P142">
        <f>scenario_indirect_prod_4506_iotable_2020_xlsx_3[[#This Row],[2039]]+scenario_indirect_prod_1610_iotable_2020_xlsx_3[[#This Row],[2039]]</f>
        <v>779.57835946901332</v>
      </c>
      <c r="Q142">
        <f>scenario_indirect_prod_4506_iotable_2020_xlsx_3[[#This Row],[2040]]+scenario_indirect_prod_1610_iotable_2020_xlsx_3[[#This Row],[2040]]</f>
        <v>791.15413158071283</v>
      </c>
      <c r="R142">
        <f>scenario_indirect_prod_4506_iotable_2020_xlsx_3[[#This Row],[2041]]+scenario_indirect_prod_1610_iotable_2020_xlsx_3[[#This Row],[2041]]</f>
        <v>791.15413158071283</v>
      </c>
      <c r="S142">
        <f>scenario_indirect_prod_4506_iotable_2020_xlsx_3[[#This Row],[2042]]+scenario_indirect_prod_1610_iotable_2020_xlsx_3[[#This Row],[2042]]</f>
        <v>805.02571400493139</v>
      </c>
      <c r="T142">
        <f>scenario_indirect_prod_4506_iotable_2020_xlsx_3[[#This Row],[2043]]+scenario_indirect_prod_1610_iotable_2020_xlsx_3[[#This Row],[2043]]</f>
        <v>805.02571400493139</v>
      </c>
      <c r="U142">
        <f>scenario_indirect_prod_4506_iotable_2020_xlsx_3[[#This Row],[2044]]+scenario_indirect_prod_1610_iotable_2020_xlsx_3[[#This Row],[2044]]</f>
        <v>814.90397120230637</v>
      </c>
      <c r="V142">
        <f>scenario_indirect_prod_4506_iotable_2020_xlsx_3[[#This Row],[2045]]+scenario_indirect_prod_1610_iotable_2020_xlsx_3[[#This Row],[2045]]</f>
        <v>814.90397120230637</v>
      </c>
      <c r="W142">
        <f>scenario_indirect_prod_4506_iotable_2020_xlsx_3[[#This Row],[2046]]+scenario_indirect_prod_1610_iotable_2020_xlsx_3[[#This Row],[2046]]</f>
        <v>824.36645188846614</v>
      </c>
      <c r="X142">
        <f>scenario_indirect_prod_4506_iotable_2020_xlsx_3[[#This Row],[2047]]+scenario_indirect_prod_1610_iotable_2020_xlsx_3[[#This Row],[2047]]</f>
        <v>824.36645188846614</v>
      </c>
      <c r="Y142">
        <f>scenario_indirect_prod_4506_iotable_2020_xlsx_3[[#This Row],[2048]]+scenario_indirect_prod_1610_iotable_2020_xlsx_3[[#This Row],[2048]]</f>
        <v>824.36645188846614</v>
      </c>
      <c r="Z142">
        <f>scenario_indirect_prod_4506_iotable_2020_xlsx_3[[#This Row],[2049]]+scenario_indirect_prod_1610_iotable_2020_xlsx_3[[#This Row],[2049]]</f>
        <v>824.36645188846614</v>
      </c>
      <c r="AA142">
        <f>scenario_indirect_prod_4506_iotable_2020_xlsx_3[[#This Row],[2050]]+scenario_indirect_prod_1610_iotable_2020_xlsx_3[[#This Row],[2050]]</f>
        <v>824.36645188846614</v>
      </c>
    </row>
    <row r="143" spans="1:27" x14ac:dyDescent="0.2">
      <c r="A143" t="s">
        <v>834</v>
      </c>
      <c r="B143" t="s">
        <v>287</v>
      </c>
      <c r="C143">
        <f>scenario_indirect_prod_4506_iotable_2020_xlsx_3[[#This Row],[2026]]+scenario_indirect_prod_1610_iotable_2020_xlsx_3[[#This Row],[2026]]</f>
        <v>741.32756532452333</v>
      </c>
      <c r="D143">
        <f>scenario_indirect_prod_4506_iotable_2020_xlsx_3[[#This Row],[2027]]+scenario_indirect_prod_1610_iotable_2020_xlsx_3[[#This Row],[2027]]</f>
        <v>669.67044411399525</v>
      </c>
      <c r="E143">
        <f>scenario_indirect_prod_4506_iotable_2020_xlsx_3[[#This Row],[2028]]+scenario_indirect_prod_1610_iotable_2020_xlsx_3[[#This Row],[2028]]</f>
        <v>710.31521258910891</v>
      </c>
      <c r="F143">
        <f>scenario_indirect_prod_4506_iotable_2020_xlsx_3[[#This Row],[2029]]+scenario_indirect_prod_1610_iotable_2020_xlsx_3[[#This Row],[2029]]</f>
        <v>710.58568919531842</v>
      </c>
      <c r="G143">
        <f>scenario_indirect_prod_4506_iotable_2020_xlsx_3[[#This Row],[2030]]+scenario_indirect_prod_1610_iotable_2020_xlsx_3[[#This Row],[2030]]</f>
        <v>430.53588898226076</v>
      </c>
      <c r="H143">
        <f>scenario_indirect_prod_4506_iotable_2020_xlsx_3[[#This Row],[2031]]+scenario_indirect_prod_1610_iotable_2020_xlsx_3[[#This Row],[2031]]</f>
        <v>485.37379516646558</v>
      </c>
      <c r="I143">
        <f>scenario_indirect_prod_4506_iotable_2020_xlsx_3[[#This Row],[2032]]+scenario_indirect_prod_1610_iotable_2020_xlsx_3[[#This Row],[2032]]</f>
        <v>561.95981123015179</v>
      </c>
      <c r="J143">
        <f>scenario_indirect_prod_4506_iotable_2020_xlsx_3[[#This Row],[2033]]+scenario_indirect_prod_1610_iotable_2020_xlsx_3[[#This Row],[2033]]</f>
        <v>544.89241621744054</v>
      </c>
      <c r="K143">
        <f>scenario_indirect_prod_4506_iotable_2020_xlsx_3[[#This Row],[2034]]+scenario_indirect_prod_1610_iotable_2020_xlsx_3[[#This Row],[2034]]</f>
        <v>616.15969721677834</v>
      </c>
      <c r="L143">
        <f>scenario_indirect_prod_4506_iotable_2020_xlsx_3[[#This Row],[2035]]+scenario_indirect_prod_1610_iotable_2020_xlsx_3[[#This Row],[2035]]</f>
        <v>620.36035219756059</v>
      </c>
      <c r="M143">
        <f>scenario_indirect_prod_4506_iotable_2020_xlsx_3[[#This Row],[2036]]+scenario_indirect_prod_1610_iotable_2020_xlsx_3[[#This Row],[2036]]</f>
        <v>570.33428869489944</v>
      </c>
      <c r="N143">
        <f>scenario_indirect_prod_4506_iotable_2020_xlsx_3[[#This Row],[2037]]+scenario_indirect_prod_1610_iotable_2020_xlsx_3[[#This Row],[2037]]</f>
        <v>529.48079249141665</v>
      </c>
      <c r="O143">
        <f>scenario_indirect_prod_4506_iotable_2020_xlsx_3[[#This Row],[2038]]+scenario_indirect_prod_1610_iotable_2020_xlsx_3[[#This Row],[2038]]</f>
        <v>529.48079249141665</v>
      </c>
      <c r="P143">
        <f>scenario_indirect_prod_4506_iotable_2020_xlsx_3[[#This Row],[2039]]+scenario_indirect_prod_1610_iotable_2020_xlsx_3[[#This Row],[2039]]</f>
        <v>529.48079249141665</v>
      </c>
      <c r="Q143">
        <f>scenario_indirect_prod_4506_iotable_2020_xlsx_3[[#This Row],[2040]]+scenario_indirect_prod_1610_iotable_2020_xlsx_3[[#This Row],[2040]]</f>
        <v>493.12192091876614</v>
      </c>
      <c r="R143">
        <f>scenario_indirect_prod_4506_iotable_2020_xlsx_3[[#This Row],[2041]]+scenario_indirect_prod_1610_iotable_2020_xlsx_3[[#This Row],[2041]]</f>
        <v>493.12192091876614</v>
      </c>
      <c r="S143">
        <f>scenario_indirect_prod_4506_iotable_2020_xlsx_3[[#This Row],[2042]]+scenario_indirect_prod_1610_iotable_2020_xlsx_3[[#This Row],[2042]]</f>
        <v>454.54819008472714</v>
      </c>
      <c r="T143">
        <f>scenario_indirect_prod_4506_iotable_2020_xlsx_3[[#This Row],[2043]]+scenario_indirect_prod_1610_iotable_2020_xlsx_3[[#This Row],[2043]]</f>
        <v>454.54819008472714</v>
      </c>
      <c r="U143">
        <f>scenario_indirect_prod_4506_iotable_2020_xlsx_3[[#This Row],[2044]]+scenario_indirect_prod_1610_iotable_2020_xlsx_3[[#This Row],[2044]]</f>
        <v>413.15052174781113</v>
      </c>
      <c r="V143">
        <f>scenario_indirect_prod_4506_iotable_2020_xlsx_3[[#This Row],[2045]]+scenario_indirect_prod_1610_iotable_2020_xlsx_3[[#This Row],[2045]]</f>
        <v>413.15052174781113</v>
      </c>
      <c r="W143">
        <f>scenario_indirect_prod_4506_iotable_2020_xlsx_3[[#This Row],[2046]]+scenario_indirect_prod_1610_iotable_2020_xlsx_3[[#This Row],[2046]]</f>
        <v>379.39734984863571</v>
      </c>
      <c r="X143">
        <f>scenario_indirect_prod_4506_iotable_2020_xlsx_3[[#This Row],[2047]]+scenario_indirect_prod_1610_iotable_2020_xlsx_3[[#This Row],[2047]]</f>
        <v>379.39734984863571</v>
      </c>
      <c r="Y143">
        <f>scenario_indirect_prod_4506_iotable_2020_xlsx_3[[#This Row],[2048]]+scenario_indirect_prod_1610_iotable_2020_xlsx_3[[#This Row],[2048]]</f>
        <v>379.39734984863571</v>
      </c>
      <c r="Z143">
        <f>scenario_indirect_prod_4506_iotable_2020_xlsx_3[[#This Row],[2049]]+scenario_indirect_prod_1610_iotable_2020_xlsx_3[[#This Row],[2049]]</f>
        <v>379.39734984863571</v>
      </c>
      <c r="AA143">
        <f>scenario_indirect_prod_4506_iotable_2020_xlsx_3[[#This Row],[2050]]+scenario_indirect_prod_1610_iotable_2020_xlsx_3[[#This Row],[2050]]</f>
        <v>379.39734984863571</v>
      </c>
    </row>
    <row r="144" spans="1:27" x14ac:dyDescent="0.2">
      <c r="A144" t="s">
        <v>742</v>
      </c>
      <c r="B144" t="s">
        <v>743</v>
      </c>
      <c r="C144">
        <f>scenario_indirect_prod_4506_iotable_2020_xlsx_3[[#This Row],[2026]]+scenario_indirect_prod_1610_iotable_2020_xlsx_3[[#This Row],[2026]]</f>
        <v>2001.1820789759636</v>
      </c>
      <c r="D144">
        <f>scenario_indirect_prod_4506_iotable_2020_xlsx_3[[#This Row],[2027]]+scenario_indirect_prod_1610_iotable_2020_xlsx_3[[#This Row],[2027]]</f>
        <v>1845.30201130826</v>
      </c>
      <c r="E144">
        <f>scenario_indirect_prod_4506_iotable_2020_xlsx_3[[#This Row],[2028]]+scenario_indirect_prod_1610_iotable_2020_xlsx_3[[#This Row],[2028]]</f>
        <v>1952.7886863463268</v>
      </c>
      <c r="F144">
        <f>scenario_indirect_prod_4506_iotable_2020_xlsx_3[[#This Row],[2029]]+scenario_indirect_prod_1610_iotable_2020_xlsx_3[[#This Row],[2029]]</f>
        <v>1966.9519669986732</v>
      </c>
      <c r="G144">
        <f>scenario_indirect_prod_4506_iotable_2020_xlsx_3[[#This Row],[2030]]+scenario_indirect_prod_1610_iotable_2020_xlsx_3[[#This Row],[2030]]</f>
        <v>1340.3392497934756</v>
      </c>
      <c r="H144">
        <f>scenario_indirect_prod_4506_iotable_2020_xlsx_3[[#This Row],[2031]]+scenario_indirect_prod_1610_iotable_2020_xlsx_3[[#This Row],[2031]]</f>
        <v>1485.3602309167572</v>
      </c>
      <c r="I144">
        <f>scenario_indirect_prod_4506_iotable_2020_xlsx_3[[#This Row],[2032]]+scenario_indirect_prod_1610_iotable_2020_xlsx_3[[#This Row],[2032]]</f>
        <v>1687.8949366105035</v>
      </c>
      <c r="J144">
        <f>scenario_indirect_prod_4506_iotable_2020_xlsx_3[[#This Row],[2033]]+scenario_indirect_prod_1610_iotable_2020_xlsx_3[[#This Row],[2033]]</f>
        <v>1706.348974369389</v>
      </c>
      <c r="K144">
        <f>scenario_indirect_prod_4506_iotable_2020_xlsx_3[[#This Row],[2034]]+scenario_indirect_prod_1610_iotable_2020_xlsx_3[[#This Row],[2034]]</f>
        <v>1894.8180777993357</v>
      </c>
      <c r="L144">
        <f>scenario_indirect_prod_4506_iotable_2020_xlsx_3[[#This Row],[2035]]+scenario_indirect_prod_1610_iotable_2020_xlsx_3[[#This Row],[2035]]</f>
        <v>1986.4235034238204</v>
      </c>
      <c r="M144">
        <f>scenario_indirect_prod_4506_iotable_2020_xlsx_3[[#This Row],[2036]]+scenario_indirect_prod_1610_iotable_2020_xlsx_3[[#This Row],[2036]]</f>
        <v>1906.9640310814921</v>
      </c>
      <c r="N144">
        <f>scenario_indirect_prod_4506_iotable_2020_xlsx_3[[#This Row],[2037]]+scenario_indirect_prod_1610_iotable_2020_xlsx_3[[#This Row],[2037]]</f>
        <v>1845.1152572948631</v>
      </c>
      <c r="O144">
        <f>scenario_indirect_prod_4506_iotable_2020_xlsx_3[[#This Row],[2038]]+scenario_indirect_prod_1610_iotable_2020_xlsx_3[[#This Row],[2038]]</f>
        <v>1845.1152572948631</v>
      </c>
      <c r="P144">
        <f>scenario_indirect_prod_4506_iotable_2020_xlsx_3[[#This Row],[2039]]+scenario_indirect_prod_1610_iotable_2020_xlsx_3[[#This Row],[2039]]</f>
        <v>1845.1152572948631</v>
      </c>
      <c r="Q144">
        <f>scenario_indirect_prod_4506_iotable_2020_xlsx_3[[#This Row],[2040]]+scenario_indirect_prod_1610_iotable_2020_xlsx_3[[#This Row],[2040]]</f>
        <v>1789.5132257918503</v>
      </c>
      <c r="R144">
        <f>scenario_indirect_prod_4506_iotable_2020_xlsx_3[[#This Row],[2041]]+scenario_indirect_prod_1610_iotable_2020_xlsx_3[[#This Row],[2041]]</f>
        <v>1789.5132257918503</v>
      </c>
      <c r="S144">
        <f>scenario_indirect_prod_4506_iotable_2020_xlsx_3[[#This Row],[2042]]+scenario_indirect_prod_1610_iotable_2020_xlsx_3[[#This Row],[2042]]</f>
        <v>1732.2611364705872</v>
      </c>
      <c r="T144">
        <f>scenario_indirect_prod_4506_iotable_2020_xlsx_3[[#This Row],[2043]]+scenario_indirect_prod_1610_iotable_2020_xlsx_3[[#This Row],[2043]]</f>
        <v>1732.2611364705872</v>
      </c>
      <c r="U144">
        <f>scenario_indirect_prod_4506_iotable_2020_xlsx_3[[#This Row],[2044]]+scenario_indirect_prod_1610_iotable_2020_xlsx_3[[#This Row],[2044]]</f>
        <v>1665.3479144051071</v>
      </c>
      <c r="V144">
        <f>scenario_indirect_prod_4506_iotable_2020_xlsx_3[[#This Row],[2045]]+scenario_indirect_prod_1610_iotable_2020_xlsx_3[[#This Row],[2045]]</f>
        <v>1665.3479144051071</v>
      </c>
      <c r="W144">
        <f>scenario_indirect_prod_4506_iotable_2020_xlsx_3[[#This Row],[2046]]+scenario_indirect_prod_1610_iotable_2020_xlsx_3[[#This Row],[2046]]</f>
        <v>1612.3288353389225</v>
      </c>
      <c r="X144">
        <f>scenario_indirect_prod_4506_iotable_2020_xlsx_3[[#This Row],[2047]]+scenario_indirect_prod_1610_iotable_2020_xlsx_3[[#This Row],[2047]]</f>
        <v>1612.3288353389225</v>
      </c>
      <c r="Y144">
        <f>scenario_indirect_prod_4506_iotable_2020_xlsx_3[[#This Row],[2048]]+scenario_indirect_prod_1610_iotable_2020_xlsx_3[[#This Row],[2048]]</f>
        <v>1612.3288353389225</v>
      </c>
      <c r="Z144">
        <f>scenario_indirect_prod_4506_iotable_2020_xlsx_3[[#This Row],[2049]]+scenario_indirect_prod_1610_iotable_2020_xlsx_3[[#This Row],[2049]]</f>
        <v>1612.3288353389225</v>
      </c>
      <c r="AA144">
        <f>scenario_indirect_prod_4506_iotable_2020_xlsx_3[[#This Row],[2050]]+scenario_indirect_prod_1610_iotable_2020_xlsx_3[[#This Row],[2050]]</f>
        <v>1612.3288353389225</v>
      </c>
    </row>
    <row r="145" spans="1:27" x14ac:dyDescent="0.2">
      <c r="A145" t="s">
        <v>845</v>
      </c>
      <c r="B145" t="s">
        <v>221</v>
      </c>
      <c r="C145">
        <f>scenario_indirect_prod_4506_iotable_2020_xlsx_3[[#This Row],[2026]]+scenario_indirect_prod_1610_iotable_2020_xlsx_3[[#This Row],[2026]]</f>
        <v>668.33537364018366</v>
      </c>
      <c r="D145">
        <f>scenario_indirect_prod_4506_iotable_2020_xlsx_3[[#This Row],[2027]]+scenario_indirect_prod_1610_iotable_2020_xlsx_3[[#This Row],[2027]]</f>
        <v>607.47015387340332</v>
      </c>
      <c r="E145">
        <f>scenario_indirect_prod_4506_iotable_2020_xlsx_3[[#This Row],[2028]]+scenario_indirect_prod_1610_iotable_2020_xlsx_3[[#This Row],[2028]]</f>
        <v>643.89089984969689</v>
      </c>
      <c r="F145">
        <f>scenario_indirect_prod_4506_iotable_2020_xlsx_3[[#This Row],[2029]]+scenario_indirect_prod_1610_iotable_2020_xlsx_3[[#This Row],[2029]]</f>
        <v>645.47123072709417</v>
      </c>
      <c r="G145">
        <f>scenario_indirect_prod_4506_iotable_2020_xlsx_3[[#This Row],[2030]]+scenario_indirect_prod_1610_iotable_2020_xlsx_3[[#This Row],[2030]]</f>
        <v>405.8667560127866</v>
      </c>
      <c r="H145">
        <f>scenario_indirect_prod_4506_iotable_2020_xlsx_3[[#This Row],[2031]]+scenario_indirect_prod_1610_iotable_2020_xlsx_3[[#This Row],[2031]]</f>
        <v>455.00561264644216</v>
      </c>
      <c r="I145">
        <f>scenario_indirect_prod_4506_iotable_2020_xlsx_3[[#This Row],[2032]]+scenario_indirect_prod_1610_iotable_2020_xlsx_3[[#This Row],[2032]]</f>
        <v>523.63239884894506</v>
      </c>
      <c r="J145">
        <f>scenario_indirect_prod_4506_iotable_2020_xlsx_3[[#This Row],[2033]]+scenario_indirect_prod_1610_iotable_2020_xlsx_3[[#This Row],[2033]]</f>
        <v>514.66535859602595</v>
      </c>
      <c r="K145">
        <f>scenario_indirect_prod_4506_iotable_2020_xlsx_3[[#This Row],[2034]]+scenario_indirect_prod_1610_iotable_2020_xlsx_3[[#This Row],[2034]]</f>
        <v>578.52616123012831</v>
      </c>
      <c r="L145">
        <f>scenario_indirect_prod_4506_iotable_2020_xlsx_3[[#This Row],[2035]]+scenario_indirect_prod_1610_iotable_2020_xlsx_3[[#This Row],[2035]]</f>
        <v>590.29900691125886</v>
      </c>
      <c r="M145">
        <f>scenario_indirect_prod_4506_iotable_2020_xlsx_3[[#This Row],[2036]]+scenario_indirect_prod_1610_iotable_2020_xlsx_3[[#This Row],[2036]]</f>
        <v>550.72870321194341</v>
      </c>
      <c r="N145">
        <f>scenario_indirect_prod_4506_iotable_2020_xlsx_3[[#This Row],[2037]]+scenario_indirect_prod_1610_iotable_2020_xlsx_3[[#This Row],[2037]]</f>
        <v>518.71643157651351</v>
      </c>
      <c r="O145">
        <f>scenario_indirect_prod_4506_iotable_2020_xlsx_3[[#This Row],[2038]]+scenario_indirect_prod_1610_iotable_2020_xlsx_3[[#This Row],[2038]]</f>
        <v>518.71643157651351</v>
      </c>
      <c r="P145">
        <f>scenario_indirect_prod_4506_iotable_2020_xlsx_3[[#This Row],[2039]]+scenario_indirect_prod_1610_iotable_2020_xlsx_3[[#This Row],[2039]]</f>
        <v>518.71643157651351</v>
      </c>
      <c r="Q145">
        <f>scenario_indirect_prod_4506_iotable_2020_xlsx_3[[#This Row],[2040]]+scenario_indirect_prod_1610_iotable_2020_xlsx_3[[#This Row],[2040]]</f>
        <v>490.17059890230098</v>
      </c>
      <c r="R145">
        <f>scenario_indirect_prod_4506_iotable_2020_xlsx_3[[#This Row],[2041]]+scenario_indirect_prod_1610_iotable_2020_xlsx_3[[#This Row],[2041]]</f>
        <v>490.17059890230098</v>
      </c>
      <c r="S145">
        <f>scenario_indirect_prod_4506_iotable_2020_xlsx_3[[#This Row],[2042]]+scenario_indirect_prod_1610_iotable_2020_xlsx_3[[#This Row],[2042]]</f>
        <v>460.05867081937731</v>
      </c>
      <c r="T145">
        <f>scenario_indirect_prod_4506_iotable_2020_xlsx_3[[#This Row],[2043]]+scenario_indirect_prod_1610_iotable_2020_xlsx_3[[#This Row],[2043]]</f>
        <v>460.05867081937731</v>
      </c>
      <c r="U145">
        <f>scenario_indirect_prod_4506_iotable_2020_xlsx_3[[#This Row],[2044]]+scenario_indirect_prod_1610_iotable_2020_xlsx_3[[#This Row],[2044]]</f>
        <v>427.1980867816319</v>
      </c>
      <c r="V145">
        <f>scenario_indirect_prod_4506_iotable_2020_xlsx_3[[#This Row],[2045]]+scenario_indirect_prod_1610_iotable_2020_xlsx_3[[#This Row],[2045]]</f>
        <v>427.1980867816319</v>
      </c>
      <c r="W145">
        <f>scenario_indirect_prod_4506_iotable_2020_xlsx_3[[#This Row],[2046]]+scenario_indirect_prod_1610_iotable_2020_xlsx_3[[#This Row],[2046]]</f>
        <v>400.55855307207821</v>
      </c>
      <c r="X145">
        <f>scenario_indirect_prod_4506_iotable_2020_xlsx_3[[#This Row],[2047]]+scenario_indirect_prod_1610_iotable_2020_xlsx_3[[#This Row],[2047]]</f>
        <v>400.55855307207821</v>
      </c>
      <c r="Y145">
        <f>scenario_indirect_prod_4506_iotable_2020_xlsx_3[[#This Row],[2048]]+scenario_indirect_prod_1610_iotable_2020_xlsx_3[[#This Row],[2048]]</f>
        <v>400.55855307207821</v>
      </c>
      <c r="Z145">
        <f>scenario_indirect_prod_4506_iotable_2020_xlsx_3[[#This Row],[2049]]+scenario_indirect_prod_1610_iotable_2020_xlsx_3[[#This Row],[2049]]</f>
        <v>400.55855307207821</v>
      </c>
      <c r="AA145">
        <f>scenario_indirect_prod_4506_iotable_2020_xlsx_3[[#This Row],[2050]]+scenario_indirect_prod_1610_iotable_2020_xlsx_3[[#This Row],[2050]]</f>
        <v>400.55855307207821</v>
      </c>
    </row>
    <row r="146" spans="1:27" x14ac:dyDescent="0.2">
      <c r="A146" t="s">
        <v>781</v>
      </c>
      <c r="B146" t="s">
        <v>782</v>
      </c>
      <c r="C146">
        <f>scenario_indirect_prod_4506_iotable_2020_xlsx_3[[#This Row],[2026]]+scenario_indirect_prod_1610_iotable_2020_xlsx_3[[#This Row],[2026]]</f>
        <v>1260.8157612546913</v>
      </c>
      <c r="D146">
        <f>scenario_indirect_prod_4506_iotable_2020_xlsx_3[[#This Row],[2027]]+scenario_indirect_prod_1610_iotable_2020_xlsx_3[[#This Row],[2027]]</f>
        <v>1028.6585947566327</v>
      </c>
      <c r="E146">
        <f>scenario_indirect_prod_4506_iotable_2020_xlsx_3[[#This Row],[2028]]+scenario_indirect_prod_1610_iotable_2020_xlsx_3[[#This Row],[2028]]</f>
        <v>1104.3403207459617</v>
      </c>
      <c r="F146">
        <f>scenario_indirect_prod_4506_iotable_2020_xlsx_3[[#This Row],[2029]]+scenario_indirect_prod_1610_iotable_2020_xlsx_3[[#This Row],[2029]]</f>
        <v>1065.3521322721074</v>
      </c>
      <c r="G146">
        <f>scenario_indirect_prod_4506_iotable_2020_xlsx_3[[#This Row],[2030]]+scenario_indirect_prod_1610_iotable_2020_xlsx_3[[#This Row],[2030]]</f>
        <v>209.14487545803422</v>
      </c>
      <c r="H146">
        <f>scenario_indirect_prod_4506_iotable_2020_xlsx_3[[#This Row],[2031]]+scenario_indirect_prod_1610_iotable_2020_xlsx_3[[#This Row],[2031]]</f>
        <v>311.25463140860938</v>
      </c>
      <c r="I146">
        <f>scenario_indirect_prod_4506_iotable_2020_xlsx_3[[#This Row],[2032]]+scenario_indirect_prod_1610_iotable_2020_xlsx_3[[#This Row],[2032]]</f>
        <v>453.85999243791775</v>
      </c>
      <c r="J146">
        <f>scenario_indirect_prod_4506_iotable_2020_xlsx_3[[#This Row],[2033]]+scenario_indirect_prod_1610_iotable_2020_xlsx_3[[#This Row],[2033]]</f>
        <v>235.34120276854856</v>
      </c>
      <c r="K146">
        <f>scenario_indirect_prod_4506_iotable_2020_xlsx_3[[#This Row],[2034]]+scenario_indirect_prod_1610_iotable_2020_xlsx_3[[#This Row],[2034]]</f>
        <v>368.04292638394691</v>
      </c>
      <c r="L146">
        <f>scenario_indirect_prod_4506_iotable_2020_xlsx_3[[#This Row],[2035]]+scenario_indirect_prod_1610_iotable_2020_xlsx_3[[#This Row],[2035]]</f>
        <v>139.47561568193623</v>
      </c>
      <c r="M146">
        <f>scenario_indirect_prod_4506_iotable_2020_xlsx_3[[#This Row],[2036]]+scenario_indirect_prod_1610_iotable_2020_xlsx_3[[#This Row],[2036]]</f>
        <v>-108.83547072919555</v>
      </c>
      <c r="N146">
        <f>scenario_indirect_prod_4506_iotable_2020_xlsx_3[[#This Row],[2037]]+scenario_indirect_prod_1610_iotable_2020_xlsx_3[[#This Row],[2037]]</f>
        <v>-320.548603785458</v>
      </c>
      <c r="O146">
        <f>scenario_indirect_prod_4506_iotable_2020_xlsx_3[[#This Row],[2038]]+scenario_indirect_prod_1610_iotable_2020_xlsx_3[[#This Row],[2038]]</f>
        <v>-320.548603785458</v>
      </c>
      <c r="P146">
        <f>scenario_indirect_prod_4506_iotable_2020_xlsx_3[[#This Row],[2039]]+scenario_indirect_prod_1610_iotable_2020_xlsx_3[[#This Row],[2039]]</f>
        <v>-320.548603785458</v>
      </c>
      <c r="Q146">
        <f>scenario_indirect_prod_4506_iotable_2020_xlsx_3[[#This Row],[2040]]+scenario_indirect_prod_1610_iotable_2020_xlsx_3[[#This Row],[2040]]</f>
        <v>-507.33157004633085</v>
      </c>
      <c r="R146">
        <f>scenario_indirect_prod_4506_iotable_2020_xlsx_3[[#This Row],[2041]]+scenario_indirect_prod_1610_iotable_2020_xlsx_3[[#This Row],[2041]]</f>
        <v>-507.33157004633085</v>
      </c>
      <c r="S146">
        <f>scenario_indirect_prod_4506_iotable_2020_xlsx_3[[#This Row],[2042]]+scenario_indirect_prod_1610_iotable_2020_xlsx_3[[#This Row],[2042]]</f>
        <v>-710.59373983623573</v>
      </c>
      <c r="T146">
        <f>scenario_indirect_prod_4506_iotable_2020_xlsx_3[[#This Row],[2043]]+scenario_indirect_prod_1610_iotable_2020_xlsx_3[[#This Row],[2043]]</f>
        <v>-710.59373983623573</v>
      </c>
      <c r="U146">
        <f>scenario_indirect_prod_4506_iotable_2020_xlsx_3[[#This Row],[2044]]+scenario_indirect_prod_1610_iotable_2020_xlsx_3[[#This Row],[2044]]</f>
        <v>-912.67377427777501</v>
      </c>
      <c r="V146">
        <f>scenario_indirect_prod_4506_iotable_2020_xlsx_3[[#This Row],[2045]]+scenario_indirect_prod_1610_iotable_2020_xlsx_3[[#This Row],[2045]]</f>
        <v>-912.67377427777501</v>
      </c>
      <c r="W146">
        <f>scenario_indirect_prod_4506_iotable_2020_xlsx_3[[#This Row],[2046]]+scenario_indirect_prod_1610_iotable_2020_xlsx_3[[#This Row],[2046]]</f>
        <v>-1081.9540676138977</v>
      </c>
      <c r="X146">
        <f>scenario_indirect_prod_4506_iotable_2020_xlsx_3[[#This Row],[2047]]+scenario_indirect_prod_1610_iotable_2020_xlsx_3[[#This Row],[2047]]</f>
        <v>-1081.9540676138977</v>
      </c>
      <c r="Y146">
        <f>scenario_indirect_prod_4506_iotable_2020_xlsx_3[[#This Row],[2048]]+scenario_indirect_prod_1610_iotable_2020_xlsx_3[[#This Row],[2048]]</f>
        <v>-1081.9540676138977</v>
      </c>
      <c r="Z146">
        <f>scenario_indirect_prod_4506_iotable_2020_xlsx_3[[#This Row],[2049]]+scenario_indirect_prod_1610_iotable_2020_xlsx_3[[#This Row],[2049]]</f>
        <v>-1081.9540676138977</v>
      </c>
      <c r="AA146">
        <f>scenario_indirect_prod_4506_iotable_2020_xlsx_3[[#This Row],[2050]]+scenario_indirect_prod_1610_iotable_2020_xlsx_3[[#This Row],[2050]]</f>
        <v>-1081.9540676138977</v>
      </c>
    </row>
    <row r="147" spans="1:27" x14ac:dyDescent="0.2">
      <c r="A147" t="s">
        <v>728</v>
      </c>
      <c r="B147" t="s">
        <v>729</v>
      </c>
      <c r="C147">
        <f>scenario_indirect_prod_4506_iotable_2020_xlsx_3[[#This Row],[2026]]+scenario_indirect_prod_1610_iotable_2020_xlsx_3[[#This Row],[2026]]</f>
        <v>2554.8400320579112</v>
      </c>
      <c r="D147">
        <f>scenario_indirect_prod_4506_iotable_2020_xlsx_3[[#This Row],[2027]]+scenario_indirect_prod_1610_iotable_2020_xlsx_3[[#This Row],[2027]]</f>
        <v>2647.7694381487909</v>
      </c>
      <c r="E147">
        <f>scenario_indirect_prod_4506_iotable_2020_xlsx_3[[#This Row],[2028]]+scenario_indirect_prod_1610_iotable_2020_xlsx_3[[#This Row],[2028]]</f>
        <v>2767.6424069032937</v>
      </c>
      <c r="F147">
        <f>scenario_indirect_prod_4506_iotable_2020_xlsx_3[[#This Row],[2029]]+scenario_indirect_prod_1610_iotable_2020_xlsx_3[[#This Row],[2029]]</f>
        <v>2890.146776832943</v>
      </c>
      <c r="G147">
        <f>scenario_indirect_prod_4506_iotable_2020_xlsx_3[[#This Row],[2030]]+scenario_indirect_prod_1610_iotable_2020_xlsx_3[[#This Row],[2030]]</f>
        <v>3095.8284858373463</v>
      </c>
      <c r="H147">
        <f>scenario_indirect_prod_4506_iotable_2020_xlsx_3[[#This Row],[2031]]+scenario_indirect_prod_1610_iotable_2020_xlsx_3[[#This Row],[2031]]</f>
        <v>3257.5610497368434</v>
      </c>
      <c r="I147">
        <f>scenario_indirect_prod_4506_iotable_2020_xlsx_3[[#This Row],[2032]]+scenario_indirect_prod_1610_iotable_2020_xlsx_3[[#This Row],[2032]]</f>
        <v>3483.4349679572233</v>
      </c>
      <c r="J147">
        <f>scenario_indirect_prod_4506_iotable_2020_xlsx_3[[#This Row],[2033]]+scenario_indirect_prod_1610_iotable_2020_xlsx_3[[#This Row],[2033]]</f>
        <v>4008.5936081361551</v>
      </c>
      <c r="K147">
        <f>scenario_indirect_prod_4506_iotable_2020_xlsx_3[[#This Row],[2034]]+scenario_indirect_prod_1610_iotable_2020_xlsx_3[[#This Row],[2034]]</f>
        <v>4218.781065685158</v>
      </c>
      <c r="L147">
        <f>scenario_indirect_prod_4506_iotable_2020_xlsx_3[[#This Row],[2035]]+scenario_indirect_prod_1610_iotable_2020_xlsx_3[[#This Row],[2035]]</f>
        <v>4959.678289019168</v>
      </c>
      <c r="M147">
        <f>scenario_indirect_prod_4506_iotable_2020_xlsx_3[[#This Row],[2036]]+scenario_indirect_prod_1610_iotable_2020_xlsx_3[[#This Row],[2036]]</f>
        <v>5290.3157226170179</v>
      </c>
      <c r="N147">
        <f>scenario_indirect_prod_4506_iotable_2020_xlsx_3[[#This Row],[2037]]+scenario_indirect_prod_1610_iotable_2020_xlsx_3[[#This Row],[2037]]</f>
        <v>5587.8535780145139</v>
      </c>
      <c r="O147">
        <f>scenario_indirect_prod_4506_iotable_2020_xlsx_3[[#This Row],[2038]]+scenario_indirect_prod_1610_iotable_2020_xlsx_3[[#This Row],[2038]]</f>
        <v>5587.8535780145139</v>
      </c>
      <c r="P147">
        <f>scenario_indirect_prod_4506_iotable_2020_xlsx_3[[#This Row],[2039]]+scenario_indirect_prod_1610_iotable_2020_xlsx_3[[#This Row],[2039]]</f>
        <v>5587.8535780145139</v>
      </c>
      <c r="Q147">
        <f>scenario_indirect_prod_4506_iotable_2020_xlsx_3[[#This Row],[2040]]+scenario_indirect_prod_1610_iotable_2020_xlsx_3[[#This Row],[2040]]</f>
        <v>5847.6092079004329</v>
      </c>
      <c r="R147">
        <f>scenario_indirect_prod_4506_iotable_2020_xlsx_3[[#This Row],[2041]]+scenario_indirect_prod_1610_iotable_2020_xlsx_3[[#This Row],[2041]]</f>
        <v>5847.6092079004329</v>
      </c>
      <c r="S147">
        <f>scenario_indirect_prod_4506_iotable_2020_xlsx_3[[#This Row],[2042]]+scenario_indirect_prod_1610_iotable_2020_xlsx_3[[#This Row],[2042]]</f>
        <v>6138.9086857806333</v>
      </c>
      <c r="T147">
        <f>scenario_indirect_prod_4506_iotable_2020_xlsx_3[[#This Row],[2043]]+scenario_indirect_prod_1610_iotable_2020_xlsx_3[[#This Row],[2043]]</f>
        <v>6138.9086857806333</v>
      </c>
      <c r="U147">
        <f>scenario_indirect_prod_4506_iotable_2020_xlsx_3[[#This Row],[2044]]+scenario_indirect_prod_1610_iotable_2020_xlsx_3[[#This Row],[2044]]</f>
        <v>6402.0314586020104</v>
      </c>
      <c r="V147">
        <f>scenario_indirect_prod_4506_iotable_2020_xlsx_3[[#This Row],[2045]]+scenario_indirect_prod_1610_iotable_2020_xlsx_3[[#This Row],[2045]]</f>
        <v>6402.0314586020104</v>
      </c>
      <c r="W147">
        <f>scenario_indirect_prod_4506_iotable_2020_xlsx_3[[#This Row],[2046]]+scenario_indirect_prod_1610_iotable_2020_xlsx_3[[#This Row],[2046]]</f>
        <v>6630.4846049171574</v>
      </c>
      <c r="X147">
        <f>scenario_indirect_prod_4506_iotable_2020_xlsx_3[[#This Row],[2047]]+scenario_indirect_prod_1610_iotable_2020_xlsx_3[[#This Row],[2047]]</f>
        <v>6630.4846049171574</v>
      </c>
      <c r="Y147">
        <f>scenario_indirect_prod_4506_iotable_2020_xlsx_3[[#This Row],[2048]]+scenario_indirect_prod_1610_iotable_2020_xlsx_3[[#This Row],[2048]]</f>
        <v>6630.4846049171574</v>
      </c>
      <c r="Z147">
        <f>scenario_indirect_prod_4506_iotable_2020_xlsx_3[[#This Row],[2049]]+scenario_indirect_prod_1610_iotable_2020_xlsx_3[[#This Row],[2049]]</f>
        <v>6630.4846049171574</v>
      </c>
      <c r="AA147">
        <f>scenario_indirect_prod_4506_iotable_2020_xlsx_3[[#This Row],[2050]]+scenario_indirect_prod_1610_iotable_2020_xlsx_3[[#This Row],[2050]]</f>
        <v>6630.4846049171574</v>
      </c>
    </row>
    <row r="148" spans="1:27" x14ac:dyDescent="0.2">
      <c r="A148" t="s">
        <v>752</v>
      </c>
      <c r="B148" t="s">
        <v>753</v>
      </c>
      <c r="C148">
        <f>scenario_indirect_prod_4506_iotable_2020_xlsx_3[[#This Row],[2026]]+scenario_indirect_prod_1610_iotable_2020_xlsx_3[[#This Row],[2026]]</f>
        <v>1685.0817119972924</v>
      </c>
      <c r="D148">
        <f>scenario_indirect_prod_4506_iotable_2020_xlsx_3[[#This Row],[2027]]+scenario_indirect_prod_1610_iotable_2020_xlsx_3[[#This Row],[2027]]</f>
        <v>1459.5296255044493</v>
      </c>
      <c r="E148">
        <f>scenario_indirect_prod_4506_iotable_2020_xlsx_3[[#This Row],[2028]]+scenario_indirect_prod_1610_iotable_2020_xlsx_3[[#This Row],[2028]]</f>
        <v>1555.642538573813</v>
      </c>
      <c r="F148">
        <f>scenario_indirect_prod_4506_iotable_2020_xlsx_3[[#This Row],[2029]]+scenario_indirect_prod_1610_iotable_2020_xlsx_3[[#This Row],[2029]]</f>
        <v>1533.8404986034384</v>
      </c>
      <c r="G148">
        <f>scenario_indirect_prod_4506_iotable_2020_xlsx_3[[#This Row],[2030]]+scenario_indirect_prod_1610_iotable_2020_xlsx_3[[#This Row],[2030]]</f>
        <v>681.38200191408987</v>
      </c>
      <c r="H148">
        <f>scenario_indirect_prod_4506_iotable_2020_xlsx_3[[#This Row],[2031]]+scenario_indirect_prod_1610_iotable_2020_xlsx_3[[#This Row],[2031]]</f>
        <v>811.05750771050089</v>
      </c>
      <c r="I148">
        <f>scenario_indirect_prod_4506_iotable_2020_xlsx_3[[#This Row],[2032]]+scenario_indirect_prod_1610_iotable_2020_xlsx_3[[#This Row],[2032]]</f>
        <v>992.16089150182324</v>
      </c>
      <c r="J148">
        <f>scenario_indirect_prod_4506_iotable_2020_xlsx_3[[#This Row],[2033]]+scenario_indirect_prod_1610_iotable_2020_xlsx_3[[#This Row],[2033]]</f>
        <v>845.68526486155679</v>
      </c>
      <c r="K148">
        <f>scenario_indirect_prod_4506_iotable_2020_xlsx_3[[#This Row],[2034]]+scenario_indirect_prod_1610_iotable_2020_xlsx_3[[#This Row],[2034]]</f>
        <v>1014.2114058721336</v>
      </c>
      <c r="L148">
        <f>scenario_indirect_prod_4506_iotable_2020_xlsx_3[[#This Row],[2035]]+scenario_indirect_prod_1610_iotable_2020_xlsx_3[[#This Row],[2035]]</f>
        <v>889.81419371101219</v>
      </c>
      <c r="M148">
        <f>scenario_indirect_prod_4506_iotable_2020_xlsx_3[[#This Row],[2036]]+scenario_indirect_prod_1610_iotable_2020_xlsx_3[[#This Row],[2036]]</f>
        <v>683.34536731832031</v>
      </c>
      <c r="N148">
        <f>scenario_indirect_prod_4506_iotable_2020_xlsx_3[[#This Row],[2037]]+scenario_indirect_prod_1610_iotable_2020_xlsx_3[[#This Row],[2037]]</f>
        <v>509.65847807386854</v>
      </c>
      <c r="O148">
        <f>scenario_indirect_prod_4506_iotable_2020_xlsx_3[[#This Row],[2038]]+scenario_indirect_prod_1610_iotable_2020_xlsx_3[[#This Row],[2038]]</f>
        <v>509.65847807386854</v>
      </c>
      <c r="P148">
        <f>scenario_indirect_prod_4506_iotable_2020_xlsx_3[[#This Row],[2039]]+scenario_indirect_prod_1610_iotable_2020_xlsx_3[[#This Row],[2039]]</f>
        <v>509.65847807386854</v>
      </c>
      <c r="Q148">
        <f>scenario_indirect_prod_4506_iotable_2020_xlsx_3[[#This Row],[2040]]+scenario_indirect_prod_1610_iotable_2020_xlsx_3[[#This Row],[2040]]</f>
        <v>356.01103919301477</v>
      </c>
      <c r="R148">
        <f>scenario_indirect_prod_4506_iotable_2020_xlsx_3[[#This Row],[2041]]+scenario_indirect_prod_1610_iotable_2020_xlsx_3[[#This Row],[2041]]</f>
        <v>356.01103919301477</v>
      </c>
      <c r="S148">
        <f>scenario_indirect_prod_4506_iotable_2020_xlsx_3[[#This Row],[2042]]+scenario_indirect_prod_1610_iotable_2020_xlsx_3[[#This Row],[2042]]</f>
        <v>190.105212610536</v>
      </c>
      <c r="T148">
        <f>scenario_indirect_prod_4506_iotable_2020_xlsx_3[[#This Row],[2043]]+scenario_indirect_prod_1610_iotable_2020_xlsx_3[[#This Row],[2043]]</f>
        <v>190.105212610536</v>
      </c>
      <c r="U148">
        <f>scenario_indirect_prod_4506_iotable_2020_xlsx_3[[#This Row],[2044]]+scenario_indirect_prod_1610_iotable_2020_xlsx_3[[#This Row],[2044]]</f>
        <v>21.181422273642056</v>
      </c>
      <c r="V148">
        <f>scenario_indirect_prod_4506_iotable_2020_xlsx_3[[#This Row],[2045]]+scenario_indirect_prod_1610_iotable_2020_xlsx_3[[#This Row],[2045]]</f>
        <v>21.181422273642056</v>
      </c>
      <c r="W148">
        <f>scenario_indirect_prod_4506_iotable_2020_xlsx_3[[#This Row],[2046]]+scenario_indirect_prod_1610_iotable_2020_xlsx_3[[#This Row],[2046]]</f>
        <v>-119.11536422272729</v>
      </c>
      <c r="X148">
        <f>scenario_indirect_prod_4506_iotable_2020_xlsx_3[[#This Row],[2047]]+scenario_indirect_prod_1610_iotable_2020_xlsx_3[[#This Row],[2047]]</f>
        <v>-119.11536422272729</v>
      </c>
      <c r="Y148">
        <f>scenario_indirect_prod_4506_iotable_2020_xlsx_3[[#This Row],[2048]]+scenario_indirect_prod_1610_iotable_2020_xlsx_3[[#This Row],[2048]]</f>
        <v>-119.11536422272729</v>
      </c>
      <c r="Z148">
        <f>scenario_indirect_prod_4506_iotable_2020_xlsx_3[[#This Row],[2049]]+scenario_indirect_prod_1610_iotable_2020_xlsx_3[[#This Row],[2049]]</f>
        <v>-119.11536422272729</v>
      </c>
      <c r="AA148">
        <f>scenario_indirect_prod_4506_iotable_2020_xlsx_3[[#This Row],[2050]]+scenario_indirect_prod_1610_iotable_2020_xlsx_3[[#This Row],[2050]]</f>
        <v>-119.11536422272729</v>
      </c>
    </row>
    <row r="149" spans="1:27" x14ac:dyDescent="0.2">
      <c r="A149" t="s">
        <v>828</v>
      </c>
      <c r="B149" t="s">
        <v>829</v>
      </c>
      <c r="C149">
        <f>scenario_indirect_prod_4506_iotable_2020_xlsx_3[[#This Row],[2026]]+scenario_indirect_prod_1610_iotable_2020_xlsx_3[[#This Row],[2026]]</f>
        <v>1068.0829389125754</v>
      </c>
      <c r="D149">
        <f>scenario_indirect_prod_4506_iotable_2020_xlsx_3[[#This Row],[2027]]+scenario_indirect_prod_1610_iotable_2020_xlsx_3[[#This Row],[2027]]</f>
        <v>1121.2716854227342</v>
      </c>
      <c r="E149">
        <f>scenario_indirect_prod_4506_iotable_2020_xlsx_3[[#This Row],[2028]]+scenario_indirect_prod_1610_iotable_2020_xlsx_3[[#This Row],[2028]]</f>
        <v>1170.5338627253695</v>
      </c>
      <c r="F149">
        <f>scenario_indirect_prod_4506_iotable_2020_xlsx_3[[#This Row],[2029]]+scenario_indirect_prod_1610_iotable_2020_xlsx_3[[#This Row],[2029]]</f>
        <v>1226.8770680564953</v>
      </c>
      <c r="G149">
        <f>scenario_indirect_prod_4506_iotable_2020_xlsx_3[[#This Row],[2030]]+scenario_indirect_prod_1610_iotable_2020_xlsx_3[[#This Row],[2030]]</f>
        <v>1362.25770875993</v>
      </c>
      <c r="H149">
        <f>scenario_indirect_prod_4506_iotable_2020_xlsx_3[[#This Row],[2031]]+scenario_indirect_prod_1610_iotable_2020_xlsx_3[[#This Row],[2031]]</f>
        <v>1428.7222196601617</v>
      </c>
      <c r="I149">
        <f>scenario_indirect_prod_4506_iotable_2020_xlsx_3[[#This Row],[2032]]+scenario_indirect_prod_1610_iotable_2020_xlsx_3[[#This Row],[2032]]</f>
        <v>1521.5458238723938</v>
      </c>
      <c r="J149">
        <f>scenario_indirect_prod_4506_iotable_2020_xlsx_3[[#This Row],[2033]]+scenario_indirect_prod_1610_iotable_2020_xlsx_3[[#This Row],[2033]]</f>
        <v>1765.7310199389572</v>
      </c>
      <c r="K149">
        <f>scenario_indirect_prod_4506_iotable_2020_xlsx_3[[#This Row],[2034]]+scenario_indirect_prod_1610_iotable_2020_xlsx_3[[#This Row],[2034]]</f>
        <v>1852.1082233080874</v>
      </c>
      <c r="L149">
        <f>scenario_indirect_prod_4506_iotable_2020_xlsx_3[[#This Row],[2035]]+scenario_indirect_prod_1610_iotable_2020_xlsx_3[[#This Row],[2035]]</f>
        <v>2192.4947997527497</v>
      </c>
      <c r="M149">
        <f>scenario_indirect_prod_4506_iotable_2020_xlsx_3[[#This Row],[2036]]+scenario_indirect_prod_1610_iotable_2020_xlsx_3[[#This Row],[2036]]</f>
        <v>2351.9435673465136</v>
      </c>
      <c r="N149">
        <f>scenario_indirect_prod_4506_iotable_2020_xlsx_3[[#This Row],[2037]]+scenario_indirect_prod_1610_iotable_2020_xlsx_3[[#This Row],[2037]]</f>
        <v>2494.8247039370726</v>
      </c>
      <c r="O149">
        <f>scenario_indirect_prod_4506_iotable_2020_xlsx_3[[#This Row],[2038]]+scenario_indirect_prod_1610_iotable_2020_xlsx_3[[#This Row],[2038]]</f>
        <v>2494.8247039370726</v>
      </c>
      <c r="P149">
        <f>scenario_indirect_prod_4506_iotable_2020_xlsx_3[[#This Row],[2039]]+scenario_indirect_prod_1610_iotable_2020_xlsx_3[[#This Row],[2039]]</f>
        <v>2494.8247039370726</v>
      </c>
      <c r="Q149">
        <f>scenario_indirect_prod_4506_iotable_2020_xlsx_3[[#This Row],[2040]]+scenario_indirect_prod_1610_iotable_2020_xlsx_3[[#This Row],[2040]]</f>
        <v>2619.6631408022017</v>
      </c>
      <c r="R149">
        <f>scenario_indirect_prod_4506_iotable_2020_xlsx_3[[#This Row],[2041]]+scenario_indirect_prod_1610_iotable_2020_xlsx_3[[#This Row],[2041]]</f>
        <v>2619.6631408022017</v>
      </c>
      <c r="S149">
        <f>scenario_indirect_prod_4506_iotable_2020_xlsx_3[[#This Row],[2042]]+scenario_indirect_prod_1610_iotable_2020_xlsx_3[[#This Row],[2042]]</f>
        <v>2759.3416196014255</v>
      </c>
      <c r="T149">
        <f>scenario_indirect_prod_4506_iotable_2020_xlsx_3[[#This Row],[2043]]+scenario_indirect_prod_1610_iotable_2020_xlsx_3[[#This Row],[2043]]</f>
        <v>2759.3416196014255</v>
      </c>
      <c r="U149">
        <f>scenario_indirect_prod_4506_iotable_2020_xlsx_3[[#This Row],[2044]]+scenario_indirect_prod_1610_iotable_2020_xlsx_3[[#This Row],[2044]]</f>
        <v>2886.4623604476665</v>
      </c>
      <c r="V149">
        <f>scenario_indirect_prod_4506_iotable_2020_xlsx_3[[#This Row],[2045]]+scenario_indirect_prod_1610_iotable_2020_xlsx_3[[#This Row],[2045]]</f>
        <v>2886.4623604476665</v>
      </c>
      <c r="W149">
        <f>scenario_indirect_prod_4506_iotable_2020_xlsx_3[[#This Row],[2046]]+scenario_indirect_prod_1610_iotable_2020_xlsx_3[[#This Row],[2046]]</f>
        <v>2996.5150197311323</v>
      </c>
      <c r="X149">
        <f>scenario_indirect_prod_4506_iotable_2020_xlsx_3[[#This Row],[2047]]+scenario_indirect_prod_1610_iotable_2020_xlsx_3[[#This Row],[2047]]</f>
        <v>2996.5150197311323</v>
      </c>
      <c r="Y149">
        <f>scenario_indirect_prod_4506_iotable_2020_xlsx_3[[#This Row],[2048]]+scenario_indirect_prod_1610_iotable_2020_xlsx_3[[#This Row],[2048]]</f>
        <v>2996.5150197311323</v>
      </c>
      <c r="Z149">
        <f>scenario_indirect_prod_4506_iotable_2020_xlsx_3[[#This Row],[2049]]+scenario_indirect_prod_1610_iotable_2020_xlsx_3[[#This Row],[2049]]</f>
        <v>2996.5150197311323</v>
      </c>
      <c r="AA149">
        <f>scenario_indirect_prod_4506_iotable_2020_xlsx_3[[#This Row],[2050]]+scenario_indirect_prod_1610_iotable_2020_xlsx_3[[#This Row],[2050]]</f>
        <v>2996.5150197311323</v>
      </c>
    </row>
    <row r="150" spans="1:27" x14ac:dyDescent="0.2">
      <c r="A150" t="s">
        <v>737</v>
      </c>
      <c r="B150" t="s">
        <v>155</v>
      </c>
      <c r="C150">
        <f>scenario_indirect_prod_4506_iotable_2020_xlsx_3[[#This Row],[2026]]+scenario_indirect_prod_1610_iotable_2020_xlsx_3[[#This Row],[2026]]</f>
        <v>163.57558423012961</v>
      </c>
      <c r="D150">
        <f>scenario_indirect_prod_4506_iotable_2020_xlsx_3[[#This Row],[2027]]+scenario_indirect_prod_1610_iotable_2020_xlsx_3[[#This Row],[2027]]</f>
        <v>-1578.0863601279916</v>
      </c>
      <c r="E150">
        <f>scenario_indirect_prod_4506_iotable_2020_xlsx_3[[#This Row],[2028]]+scenario_indirect_prod_1610_iotable_2020_xlsx_3[[#This Row],[2028]]</f>
        <v>-1466.5400940664736</v>
      </c>
      <c r="F150">
        <f>scenario_indirect_prod_4506_iotable_2020_xlsx_3[[#This Row],[2029]]+scenario_indirect_prod_1610_iotable_2020_xlsx_3[[#This Row],[2029]]</f>
        <v>-2083.799773474625</v>
      </c>
      <c r="G150">
        <f>scenario_indirect_prod_4506_iotable_2020_xlsx_3[[#This Row],[2030]]+scenario_indirect_prod_1610_iotable_2020_xlsx_3[[#This Row],[2030]]</f>
        <v>-8090.7742874736923</v>
      </c>
      <c r="H150">
        <f>scenario_indirect_prod_4506_iotable_2020_xlsx_3[[#This Row],[2031]]+scenario_indirect_prod_1610_iotable_2020_xlsx_3[[#This Row],[2031]]</f>
        <v>-7940.2761076839633</v>
      </c>
      <c r="I150">
        <f>scenario_indirect_prod_4506_iotable_2020_xlsx_3[[#This Row],[2032]]+scenario_indirect_prod_1610_iotable_2020_xlsx_3[[#This Row],[2032]]</f>
        <v>-7730.0920066313965</v>
      </c>
      <c r="J150">
        <f>scenario_indirect_prod_4506_iotable_2020_xlsx_3[[#This Row],[2033]]+scenario_indirect_prod_1610_iotable_2020_xlsx_3[[#This Row],[2033]]</f>
        <v>-10699.181395027666</v>
      </c>
      <c r="K150">
        <f>scenario_indirect_prod_4506_iotable_2020_xlsx_3[[#This Row],[2034]]+scenario_indirect_prod_1610_iotable_2020_xlsx_3[[#This Row],[2034]]</f>
        <v>-10503.594130391124</v>
      </c>
      <c r="L150">
        <f>scenario_indirect_prod_4506_iotable_2020_xlsx_3[[#This Row],[2035]]+scenario_indirect_prod_1610_iotable_2020_xlsx_3[[#This Row],[2035]]</f>
        <v>-14191.284700845592</v>
      </c>
      <c r="M150">
        <f>scenario_indirect_prod_4506_iotable_2020_xlsx_3[[#This Row],[2036]]+scenario_indirect_prod_1610_iotable_2020_xlsx_3[[#This Row],[2036]]</f>
        <v>-16756.671653889127</v>
      </c>
      <c r="N150">
        <f>scenario_indirect_prod_4506_iotable_2020_xlsx_3[[#This Row],[2037]]+scenario_indirect_prod_1610_iotable_2020_xlsx_3[[#This Row],[2037]]</f>
        <v>-18991.445026209643</v>
      </c>
      <c r="O150">
        <f>scenario_indirect_prod_4506_iotable_2020_xlsx_3[[#This Row],[2038]]+scenario_indirect_prod_1610_iotable_2020_xlsx_3[[#This Row],[2038]]</f>
        <v>-18991.445026209643</v>
      </c>
      <c r="P150">
        <f>scenario_indirect_prod_4506_iotable_2020_xlsx_3[[#This Row],[2039]]+scenario_indirect_prod_1610_iotable_2020_xlsx_3[[#This Row],[2039]]</f>
        <v>-18991.445026209643</v>
      </c>
      <c r="Q150">
        <f>scenario_indirect_prod_4506_iotable_2020_xlsx_3[[#This Row],[2040]]+scenario_indirect_prod_1610_iotable_2020_xlsx_3[[#This Row],[2040]]</f>
        <v>-20954.721781977674</v>
      </c>
      <c r="R150">
        <f>scenario_indirect_prod_4506_iotable_2020_xlsx_3[[#This Row],[2041]]+scenario_indirect_prod_1610_iotable_2020_xlsx_3[[#This Row],[2041]]</f>
        <v>-20954.721781977674</v>
      </c>
      <c r="S150">
        <f>scenario_indirect_prod_4506_iotable_2020_xlsx_3[[#This Row],[2042]]+scenario_indirect_prod_1610_iotable_2020_xlsx_3[[#This Row],[2042]]</f>
        <v>-23117.419818565206</v>
      </c>
      <c r="T150">
        <f>scenario_indirect_prod_4506_iotable_2020_xlsx_3[[#This Row],[2043]]+scenario_indirect_prod_1610_iotable_2020_xlsx_3[[#This Row],[2043]]</f>
        <v>-23117.419818565206</v>
      </c>
      <c r="U150">
        <f>scenario_indirect_prod_4506_iotable_2020_xlsx_3[[#This Row],[2044]]+scenario_indirect_prod_1610_iotable_2020_xlsx_3[[#This Row],[2044]]</f>
        <v>-25187.08319751719</v>
      </c>
      <c r="V150">
        <f>scenario_indirect_prod_4506_iotable_2020_xlsx_3[[#This Row],[2045]]+scenario_indirect_prod_1610_iotable_2020_xlsx_3[[#This Row],[2045]]</f>
        <v>-25187.08319751719</v>
      </c>
      <c r="W150">
        <f>scenario_indirect_prod_4506_iotable_2020_xlsx_3[[#This Row],[2046]]+scenario_indirect_prod_1610_iotable_2020_xlsx_3[[#This Row],[2046]]</f>
        <v>-26945.238466559047</v>
      </c>
      <c r="X150">
        <f>scenario_indirect_prod_4506_iotable_2020_xlsx_3[[#This Row],[2047]]+scenario_indirect_prod_1610_iotable_2020_xlsx_3[[#This Row],[2047]]</f>
        <v>-26945.238466559047</v>
      </c>
      <c r="Y150">
        <f>scenario_indirect_prod_4506_iotable_2020_xlsx_3[[#This Row],[2048]]+scenario_indirect_prod_1610_iotable_2020_xlsx_3[[#This Row],[2048]]</f>
        <v>-26945.238466559047</v>
      </c>
      <c r="Z150">
        <f>scenario_indirect_prod_4506_iotable_2020_xlsx_3[[#This Row],[2049]]+scenario_indirect_prod_1610_iotable_2020_xlsx_3[[#This Row],[2049]]</f>
        <v>-26945.238466559047</v>
      </c>
      <c r="AA150">
        <f>scenario_indirect_prod_4506_iotable_2020_xlsx_3[[#This Row],[2050]]+scenario_indirect_prod_1610_iotable_2020_xlsx_3[[#This Row],[2050]]</f>
        <v>-26945.238466559047</v>
      </c>
    </row>
    <row r="151" spans="1:27" x14ac:dyDescent="0.2">
      <c r="A151" t="s">
        <v>818</v>
      </c>
      <c r="B151" t="s">
        <v>819</v>
      </c>
      <c r="C151">
        <f>scenario_indirect_prod_4506_iotable_2020_xlsx_3[[#This Row],[2026]]+scenario_indirect_prod_1610_iotable_2020_xlsx_3[[#This Row],[2026]]</f>
        <v>-1116.1953835664879</v>
      </c>
      <c r="D151">
        <f>scenario_indirect_prod_4506_iotable_2020_xlsx_3[[#This Row],[2027]]+scenario_indirect_prod_1610_iotable_2020_xlsx_3[[#This Row],[2027]]</f>
        <v>-1122.3694058512813</v>
      </c>
      <c r="E151">
        <f>scenario_indirect_prod_4506_iotable_2020_xlsx_3[[#This Row],[2028]]+scenario_indirect_prod_1610_iotable_2020_xlsx_3[[#This Row],[2028]]</f>
        <v>-1176.7874059737346</v>
      </c>
      <c r="F151">
        <f>scenario_indirect_prod_4506_iotable_2020_xlsx_3[[#This Row],[2029]]+scenario_indirect_prod_1610_iotable_2020_xlsx_3[[#This Row],[2029]]</f>
        <v>-1217.9949365274183</v>
      </c>
      <c r="G151">
        <f>scenario_indirect_prod_4506_iotable_2020_xlsx_3[[#This Row],[2030]]+scenario_indirect_prod_1610_iotable_2020_xlsx_3[[#This Row],[2030]]</f>
        <v>-1189.2649366125686</v>
      </c>
      <c r="H151">
        <f>scenario_indirect_prod_4506_iotable_2020_xlsx_3[[#This Row],[2031]]+scenario_indirect_prod_1610_iotable_2020_xlsx_3[[#This Row],[2031]]</f>
        <v>-1262.685681702415</v>
      </c>
      <c r="I151">
        <f>scenario_indirect_prod_4506_iotable_2020_xlsx_3[[#This Row],[2032]]+scenario_indirect_prod_1610_iotable_2020_xlsx_3[[#This Row],[2032]]</f>
        <v>-1365.2242860023434</v>
      </c>
      <c r="J151">
        <f>scenario_indirect_prod_4506_iotable_2020_xlsx_3[[#This Row],[2033]]+scenario_indirect_prod_1610_iotable_2020_xlsx_3[[#This Row],[2033]]</f>
        <v>-1535.5125334784445</v>
      </c>
      <c r="K151">
        <f>scenario_indirect_prod_4506_iotable_2020_xlsx_3[[#This Row],[2034]]+scenario_indirect_prod_1610_iotable_2020_xlsx_3[[#This Row],[2034]]</f>
        <v>-1630.9300509511661</v>
      </c>
      <c r="L151">
        <f>scenario_indirect_prod_4506_iotable_2020_xlsx_3[[#This Row],[2035]]+scenario_indirect_prod_1610_iotable_2020_xlsx_3[[#This Row],[2035]]</f>
        <v>-1881.0454133545661</v>
      </c>
      <c r="M151">
        <f>scenario_indirect_prod_4506_iotable_2020_xlsx_3[[#This Row],[2036]]+scenario_indirect_prod_1610_iotable_2020_xlsx_3[[#This Row],[2036]]</f>
        <v>-1974.5463285302005</v>
      </c>
      <c r="N151">
        <f>scenario_indirect_prod_4506_iotable_2020_xlsx_3[[#This Row],[2037]]+scenario_indirect_prod_1610_iotable_2020_xlsx_3[[#This Row],[2037]]</f>
        <v>-2060.1407472794399</v>
      </c>
      <c r="O151">
        <f>scenario_indirect_prod_4506_iotable_2020_xlsx_3[[#This Row],[2038]]+scenario_indirect_prod_1610_iotable_2020_xlsx_3[[#This Row],[2038]]</f>
        <v>-2060.1407472794399</v>
      </c>
      <c r="P151">
        <f>scenario_indirect_prod_4506_iotable_2020_xlsx_3[[#This Row],[2039]]+scenario_indirect_prod_1610_iotable_2020_xlsx_3[[#This Row],[2039]]</f>
        <v>-2060.1407472794399</v>
      </c>
      <c r="Q151">
        <f>scenario_indirect_prod_4506_iotable_2020_xlsx_3[[#This Row],[2040]]+scenario_indirect_prod_1610_iotable_2020_xlsx_3[[#This Row],[2040]]</f>
        <v>-2134.6242041616752</v>
      </c>
      <c r="R151">
        <f>scenario_indirect_prod_4506_iotable_2020_xlsx_3[[#This Row],[2041]]+scenario_indirect_prod_1610_iotable_2020_xlsx_3[[#This Row],[2041]]</f>
        <v>-2134.6242041616752</v>
      </c>
      <c r="S151">
        <f>scenario_indirect_prod_4506_iotable_2020_xlsx_3[[#This Row],[2042]]+scenario_indirect_prod_1610_iotable_2020_xlsx_3[[#This Row],[2042]]</f>
        <v>-2218.9207953293567</v>
      </c>
      <c r="T151">
        <f>scenario_indirect_prod_4506_iotable_2020_xlsx_3[[#This Row],[2043]]+scenario_indirect_prod_1610_iotable_2020_xlsx_3[[#This Row],[2043]]</f>
        <v>-2218.9207953293567</v>
      </c>
      <c r="U151">
        <f>scenario_indirect_prod_4506_iotable_2020_xlsx_3[[#This Row],[2044]]+scenario_indirect_prod_1610_iotable_2020_xlsx_3[[#This Row],[2044]]</f>
        <v>-2292.7753744699644</v>
      </c>
      <c r="V151">
        <f>scenario_indirect_prod_4506_iotable_2020_xlsx_3[[#This Row],[2045]]+scenario_indirect_prod_1610_iotable_2020_xlsx_3[[#This Row],[2045]]</f>
        <v>-2292.7753744699644</v>
      </c>
      <c r="W151">
        <f>scenario_indirect_prod_4506_iotable_2020_xlsx_3[[#This Row],[2046]]+scenario_indirect_prod_1610_iotable_2020_xlsx_3[[#This Row],[2046]]</f>
        <v>-2357.6631321421942</v>
      </c>
      <c r="X151">
        <f>scenario_indirect_prod_4506_iotable_2020_xlsx_3[[#This Row],[2047]]+scenario_indirect_prod_1610_iotable_2020_xlsx_3[[#This Row],[2047]]</f>
        <v>-2357.6631321421942</v>
      </c>
      <c r="Y151">
        <f>scenario_indirect_prod_4506_iotable_2020_xlsx_3[[#This Row],[2048]]+scenario_indirect_prod_1610_iotable_2020_xlsx_3[[#This Row],[2048]]</f>
        <v>-2357.6631321421942</v>
      </c>
      <c r="Z151">
        <f>scenario_indirect_prod_4506_iotable_2020_xlsx_3[[#This Row],[2049]]+scenario_indirect_prod_1610_iotable_2020_xlsx_3[[#This Row],[2049]]</f>
        <v>-2357.6631321421942</v>
      </c>
      <c r="AA151">
        <f>scenario_indirect_prod_4506_iotable_2020_xlsx_3[[#This Row],[2050]]+scenario_indirect_prod_1610_iotable_2020_xlsx_3[[#This Row],[2050]]</f>
        <v>-2357.6631321421942</v>
      </c>
    </row>
    <row r="152" spans="1:27" x14ac:dyDescent="0.2">
      <c r="A152" t="s">
        <v>718</v>
      </c>
      <c r="B152" t="s">
        <v>719</v>
      </c>
      <c r="C152">
        <f>scenario_indirect_prod_4506_iotable_2020_xlsx_3[[#This Row],[2026]]+scenario_indirect_prod_1610_iotable_2020_xlsx_3[[#This Row],[2026]]</f>
        <v>2920.451387593846</v>
      </c>
      <c r="D152">
        <f>scenario_indirect_prod_4506_iotable_2020_xlsx_3[[#This Row],[2027]]+scenario_indirect_prod_1610_iotable_2020_xlsx_3[[#This Row],[2027]]</f>
        <v>3081.7799734795312</v>
      </c>
      <c r="E152">
        <f>scenario_indirect_prod_4506_iotable_2020_xlsx_3[[#This Row],[2028]]+scenario_indirect_prod_1610_iotable_2020_xlsx_3[[#This Row],[2028]]</f>
        <v>3215.5324489052236</v>
      </c>
      <c r="F152">
        <f>scenario_indirect_prod_4506_iotable_2020_xlsx_3[[#This Row],[2029]]+scenario_indirect_prod_1610_iotable_2020_xlsx_3[[#This Row],[2029]]</f>
        <v>3375.2767397101925</v>
      </c>
      <c r="G152">
        <f>scenario_indirect_prod_4506_iotable_2020_xlsx_3[[#This Row],[2030]]+scenario_indirect_prod_1610_iotable_2020_xlsx_3[[#This Row],[2030]]</f>
        <v>3800.2018093317997</v>
      </c>
      <c r="H152">
        <f>scenario_indirect_prod_4506_iotable_2020_xlsx_3[[#This Row],[2031]]+scenario_indirect_prod_1610_iotable_2020_xlsx_3[[#This Row],[2031]]</f>
        <v>3980.6605983587397</v>
      </c>
      <c r="I152">
        <f>scenario_indirect_prod_4506_iotable_2020_xlsx_3[[#This Row],[2032]]+scenario_indirect_prod_1610_iotable_2020_xlsx_3[[#This Row],[2032]]</f>
        <v>4232.6873564341831</v>
      </c>
      <c r="J152">
        <f>scenario_indirect_prod_4506_iotable_2020_xlsx_3[[#This Row],[2033]]+scenario_indirect_prod_1610_iotable_2020_xlsx_3[[#This Row],[2033]]</f>
        <v>4927.6716134457056</v>
      </c>
      <c r="K152">
        <f>scenario_indirect_prod_4506_iotable_2020_xlsx_3[[#This Row],[2034]]+scenario_indirect_prod_1610_iotable_2020_xlsx_3[[#This Row],[2034]]</f>
        <v>5162.1956520401509</v>
      </c>
      <c r="L152">
        <f>scenario_indirect_prod_4506_iotable_2020_xlsx_3[[#This Row],[2035]]+scenario_indirect_prod_1610_iotable_2020_xlsx_3[[#This Row],[2035]]</f>
        <v>6126.8841376125802</v>
      </c>
      <c r="M152">
        <f>scenario_indirect_prod_4506_iotable_2020_xlsx_3[[#This Row],[2036]]+scenario_indirect_prod_1610_iotable_2020_xlsx_3[[#This Row],[2036]]</f>
        <v>6586.3891420077989</v>
      </c>
      <c r="N152">
        <f>scenario_indirect_prod_4506_iotable_2020_xlsx_3[[#This Row],[2037]]+scenario_indirect_prod_1610_iotable_2020_xlsx_3[[#This Row],[2037]]</f>
        <v>6997.5671023484329</v>
      </c>
      <c r="O152">
        <f>scenario_indirect_prod_4506_iotable_2020_xlsx_3[[#This Row],[2038]]+scenario_indirect_prod_1610_iotable_2020_xlsx_3[[#This Row],[2038]]</f>
        <v>6997.5671023484329</v>
      </c>
      <c r="P152">
        <f>scenario_indirect_prod_4506_iotable_2020_xlsx_3[[#This Row],[2039]]+scenario_indirect_prod_1610_iotable_2020_xlsx_3[[#This Row],[2039]]</f>
        <v>6997.5671023484329</v>
      </c>
      <c r="Q152">
        <f>scenario_indirect_prod_4506_iotable_2020_xlsx_3[[#This Row],[2040]]+scenario_indirect_prod_1610_iotable_2020_xlsx_3[[#This Row],[2040]]</f>
        <v>7356.9197063131878</v>
      </c>
      <c r="R152">
        <f>scenario_indirect_prod_4506_iotable_2020_xlsx_3[[#This Row],[2041]]+scenario_indirect_prod_1610_iotable_2020_xlsx_3[[#This Row],[2041]]</f>
        <v>7356.9197063131878</v>
      </c>
      <c r="S152">
        <f>scenario_indirect_prod_4506_iotable_2020_xlsx_3[[#This Row],[2042]]+scenario_indirect_prod_1610_iotable_2020_xlsx_3[[#This Row],[2042]]</f>
        <v>7758.6814860826926</v>
      </c>
      <c r="T152">
        <f>scenario_indirect_prod_4506_iotable_2020_xlsx_3[[#This Row],[2043]]+scenario_indirect_prod_1610_iotable_2020_xlsx_3[[#This Row],[2043]]</f>
        <v>7758.6814860826926</v>
      </c>
      <c r="U152">
        <f>scenario_indirect_prod_4506_iotable_2020_xlsx_3[[#This Row],[2044]]+scenario_indirect_prod_1610_iotable_2020_xlsx_3[[#This Row],[2044]]</f>
        <v>8125.2441519902277</v>
      </c>
      <c r="V152">
        <f>scenario_indirect_prod_4506_iotable_2020_xlsx_3[[#This Row],[2045]]+scenario_indirect_prod_1610_iotable_2020_xlsx_3[[#This Row],[2045]]</f>
        <v>8125.2441519902277</v>
      </c>
      <c r="W152">
        <f>scenario_indirect_prod_4506_iotable_2020_xlsx_3[[#This Row],[2046]]+scenario_indirect_prod_1610_iotable_2020_xlsx_3[[#This Row],[2046]]</f>
        <v>8442.2842504709133</v>
      </c>
      <c r="X152">
        <f>scenario_indirect_prod_4506_iotable_2020_xlsx_3[[#This Row],[2047]]+scenario_indirect_prod_1610_iotable_2020_xlsx_3[[#This Row],[2047]]</f>
        <v>8442.2842504709133</v>
      </c>
      <c r="Y152">
        <f>scenario_indirect_prod_4506_iotable_2020_xlsx_3[[#This Row],[2048]]+scenario_indirect_prod_1610_iotable_2020_xlsx_3[[#This Row],[2048]]</f>
        <v>8442.2842504709133</v>
      </c>
      <c r="Z152">
        <f>scenario_indirect_prod_4506_iotable_2020_xlsx_3[[#This Row],[2049]]+scenario_indirect_prod_1610_iotable_2020_xlsx_3[[#This Row],[2049]]</f>
        <v>8442.2842504709133</v>
      </c>
      <c r="AA152">
        <f>scenario_indirect_prod_4506_iotable_2020_xlsx_3[[#This Row],[2050]]+scenario_indirect_prod_1610_iotable_2020_xlsx_3[[#This Row],[2050]]</f>
        <v>8442.2842504709133</v>
      </c>
    </row>
    <row r="153" spans="1:27" x14ac:dyDescent="0.2">
      <c r="A153" t="s">
        <v>740</v>
      </c>
      <c r="B153" t="s">
        <v>741</v>
      </c>
      <c r="C153">
        <f>scenario_indirect_prod_4506_iotable_2020_xlsx_3[[#This Row],[2026]]+scenario_indirect_prod_1610_iotable_2020_xlsx_3[[#This Row],[2026]]</f>
        <v>2320.0764143882234</v>
      </c>
      <c r="D153">
        <f>scenario_indirect_prod_4506_iotable_2020_xlsx_3[[#This Row],[2027]]+scenario_indirect_prod_1610_iotable_2020_xlsx_3[[#This Row],[2027]]</f>
        <v>2425.6919700848985</v>
      </c>
      <c r="E153">
        <f>scenario_indirect_prod_4506_iotable_2020_xlsx_3[[#This Row],[2028]]+scenario_indirect_prod_1610_iotable_2020_xlsx_3[[#This Row],[2028]]</f>
        <v>2533.2882849286402</v>
      </c>
      <c r="F153">
        <f>scenario_indirect_prod_4506_iotable_2020_xlsx_3[[#This Row],[2029]]+scenario_indirect_prod_1610_iotable_2020_xlsx_3[[#This Row],[2029]]</f>
        <v>2652.1278735465467</v>
      </c>
      <c r="G153">
        <f>scenario_indirect_prod_4506_iotable_2020_xlsx_3[[#This Row],[2030]]+scenario_indirect_prod_1610_iotable_2020_xlsx_3[[#This Row],[2030]]</f>
        <v>2912.0264712254784</v>
      </c>
      <c r="H153">
        <f>scenario_indirect_prod_4506_iotable_2020_xlsx_3[[#This Row],[2031]]+scenario_indirect_prod_1610_iotable_2020_xlsx_3[[#This Row],[2031]]</f>
        <v>3057.1953783329227</v>
      </c>
      <c r="I153">
        <f>scenario_indirect_prod_4506_iotable_2020_xlsx_3[[#This Row],[2032]]+scenario_indirect_prod_1610_iotable_2020_xlsx_3[[#This Row],[2032]]</f>
        <v>3259.9366758276237</v>
      </c>
      <c r="J153">
        <f>scenario_indirect_prod_4506_iotable_2020_xlsx_3[[#This Row],[2033]]+scenario_indirect_prod_1610_iotable_2020_xlsx_3[[#This Row],[2033]]</f>
        <v>3773.3077100341998</v>
      </c>
      <c r="K153">
        <f>scenario_indirect_prod_4506_iotable_2020_xlsx_3[[#This Row],[2034]]+scenario_indirect_prod_1610_iotable_2020_xlsx_3[[#This Row],[2034]]</f>
        <v>3961.9690579062462</v>
      </c>
      <c r="L153">
        <f>scenario_indirect_prod_4506_iotable_2020_xlsx_3[[#This Row],[2035]]+scenario_indirect_prod_1610_iotable_2020_xlsx_3[[#This Row],[2035]]</f>
        <v>4680.1499567922019</v>
      </c>
      <c r="M153">
        <f>scenario_indirect_prod_4506_iotable_2020_xlsx_3[[#This Row],[2036]]+scenario_indirect_prod_1610_iotable_2020_xlsx_3[[#This Row],[2036]]</f>
        <v>5011.8199073643036</v>
      </c>
      <c r="N153">
        <f>scenario_indirect_prod_4506_iotable_2020_xlsx_3[[#This Row],[2037]]+scenario_indirect_prod_1610_iotable_2020_xlsx_3[[#This Row],[2037]]</f>
        <v>5309.3906253931236</v>
      </c>
      <c r="O153">
        <f>scenario_indirect_prod_4506_iotable_2020_xlsx_3[[#This Row],[2038]]+scenario_indirect_prod_1610_iotable_2020_xlsx_3[[#This Row],[2038]]</f>
        <v>5309.3906253931236</v>
      </c>
      <c r="P153">
        <f>scenario_indirect_prod_4506_iotable_2020_xlsx_3[[#This Row],[2039]]+scenario_indirect_prod_1610_iotable_2020_xlsx_3[[#This Row],[2039]]</f>
        <v>5309.3906253931236</v>
      </c>
      <c r="Q153">
        <f>scenario_indirect_prod_4506_iotable_2020_xlsx_3[[#This Row],[2040]]+scenario_indirect_prod_1610_iotable_2020_xlsx_3[[#This Row],[2040]]</f>
        <v>5569.3241075579281</v>
      </c>
      <c r="R153">
        <f>scenario_indirect_prod_4506_iotable_2020_xlsx_3[[#This Row],[2041]]+scenario_indirect_prod_1610_iotable_2020_xlsx_3[[#This Row],[2041]]</f>
        <v>5569.3241075579281</v>
      </c>
      <c r="S153">
        <f>scenario_indirect_prod_4506_iotable_2020_xlsx_3[[#This Row],[2042]]+scenario_indirect_prod_1610_iotable_2020_xlsx_3[[#This Row],[2042]]</f>
        <v>5860.349457620805</v>
      </c>
      <c r="T153">
        <f>scenario_indirect_prod_4506_iotable_2020_xlsx_3[[#This Row],[2043]]+scenario_indirect_prod_1610_iotable_2020_xlsx_3[[#This Row],[2043]]</f>
        <v>5860.349457620805</v>
      </c>
      <c r="U153">
        <f>scenario_indirect_prod_4506_iotable_2020_xlsx_3[[#This Row],[2044]]+scenario_indirect_prod_1610_iotable_2020_xlsx_3[[#This Row],[2044]]</f>
        <v>6124.6354011082221</v>
      </c>
      <c r="V153">
        <f>scenario_indirect_prod_4506_iotable_2020_xlsx_3[[#This Row],[2045]]+scenario_indirect_prod_1610_iotable_2020_xlsx_3[[#This Row],[2045]]</f>
        <v>6124.6354011082221</v>
      </c>
      <c r="W153">
        <f>scenario_indirect_prod_4506_iotable_2020_xlsx_3[[#This Row],[2046]]+scenario_indirect_prod_1610_iotable_2020_xlsx_3[[#This Row],[2046]]</f>
        <v>6353.6271574035072</v>
      </c>
      <c r="X153">
        <f>scenario_indirect_prod_4506_iotable_2020_xlsx_3[[#This Row],[2047]]+scenario_indirect_prod_1610_iotable_2020_xlsx_3[[#This Row],[2047]]</f>
        <v>6353.6271574035072</v>
      </c>
      <c r="Y153">
        <f>scenario_indirect_prod_4506_iotable_2020_xlsx_3[[#This Row],[2048]]+scenario_indirect_prod_1610_iotable_2020_xlsx_3[[#This Row],[2048]]</f>
        <v>6353.6271574035072</v>
      </c>
      <c r="Z153">
        <f>scenario_indirect_prod_4506_iotable_2020_xlsx_3[[#This Row],[2049]]+scenario_indirect_prod_1610_iotable_2020_xlsx_3[[#This Row],[2049]]</f>
        <v>6353.6271574035072</v>
      </c>
      <c r="AA153">
        <f>scenario_indirect_prod_4506_iotable_2020_xlsx_3[[#This Row],[2050]]+scenario_indirect_prod_1610_iotable_2020_xlsx_3[[#This Row],[2050]]</f>
        <v>6353.6271574035072</v>
      </c>
    </row>
    <row r="154" spans="1:27" x14ac:dyDescent="0.2">
      <c r="A154" t="s">
        <v>420</v>
      </c>
      <c r="B154" t="s">
        <v>421</v>
      </c>
      <c r="C154">
        <f>scenario_indirect_prod_4506_iotable_2020_xlsx_3[[#This Row],[2026]]+scenario_indirect_prod_1610_iotable_2020_xlsx_3[[#This Row],[2026]]</f>
        <v>39743.987422558268</v>
      </c>
      <c r="D154">
        <f>scenario_indirect_prod_4506_iotable_2020_xlsx_3[[#This Row],[2027]]+scenario_indirect_prod_1610_iotable_2020_xlsx_3[[#This Row],[2027]]</f>
        <v>42718.810029657579</v>
      </c>
      <c r="E154">
        <f>scenario_indirect_prod_4506_iotable_2020_xlsx_3[[#This Row],[2028]]+scenario_indirect_prod_1610_iotable_2020_xlsx_3[[#This Row],[2028]]</f>
        <v>44492.707393215132</v>
      </c>
      <c r="F154">
        <f>scenario_indirect_prod_4506_iotable_2020_xlsx_3[[#This Row],[2029]]+scenario_indirect_prod_1610_iotable_2020_xlsx_3[[#This Row],[2029]]</f>
        <v>46945.40065045435</v>
      </c>
      <c r="G154">
        <f>scenario_indirect_prod_4506_iotable_2020_xlsx_3[[#This Row],[2030]]+scenario_indirect_prod_1610_iotable_2020_xlsx_3[[#This Row],[2030]]</f>
        <v>55412.751283980244</v>
      </c>
      <c r="H154">
        <f>scenario_indirect_prod_4506_iotable_2020_xlsx_3[[#This Row],[2031]]+scenario_indirect_prod_1610_iotable_2020_xlsx_3[[#This Row],[2031]]</f>
        <v>57806.092932924315</v>
      </c>
      <c r="I154">
        <f>scenario_indirect_prod_4506_iotable_2020_xlsx_3[[#This Row],[2032]]+scenario_indirect_prod_1610_iotable_2020_xlsx_3[[#This Row],[2032]]</f>
        <v>61148.607531425056</v>
      </c>
      <c r="J154">
        <f>scenario_indirect_prod_4506_iotable_2020_xlsx_3[[#This Row],[2033]]+scenario_indirect_prod_1610_iotable_2020_xlsx_3[[#This Row],[2033]]</f>
        <v>71945.56751059767</v>
      </c>
      <c r="K154">
        <f>scenario_indirect_prod_4506_iotable_2020_xlsx_3[[#This Row],[2034]]+scenario_indirect_prod_1610_iotable_2020_xlsx_3[[#This Row],[2034]]</f>
        <v>75055.951616981431</v>
      </c>
      <c r="L154">
        <f>scenario_indirect_prod_4506_iotable_2020_xlsx_3[[#This Row],[2035]]+scenario_indirect_prod_1610_iotable_2020_xlsx_3[[#This Row],[2035]]</f>
        <v>89849.887218561184</v>
      </c>
      <c r="M154">
        <f>scenario_indirect_prod_4506_iotable_2020_xlsx_3[[#This Row],[2036]]+scenario_indirect_prod_1610_iotable_2020_xlsx_3[[#This Row],[2036]]</f>
        <v>97256.665169857661</v>
      </c>
      <c r="N154">
        <f>scenario_indirect_prod_4506_iotable_2020_xlsx_3[[#This Row],[2037]]+scenario_indirect_prod_1610_iotable_2020_xlsx_3[[#This Row],[2037]]</f>
        <v>103857.38949356804</v>
      </c>
      <c r="O154">
        <f>scenario_indirect_prod_4506_iotable_2020_xlsx_3[[#This Row],[2038]]+scenario_indirect_prod_1610_iotable_2020_xlsx_3[[#This Row],[2038]]</f>
        <v>103857.38949356804</v>
      </c>
      <c r="P154">
        <f>scenario_indirect_prod_4506_iotable_2020_xlsx_3[[#This Row],[2039]]+scenario_indirect_prod_1610_iotable_2020_xlsx_3[[#This Row],[2039]]</f>
        <v>103857.38949356804</v>
      </c>
      <c r="Q154">
        <f>scenario_indirect_prod_4506_iotable_2020_xlsx_3[[#This Row],[2040]]+scenario_indirect_prod_1610_iotable_2020_xlsx_3[[#This Row],[2040]]</f>
        <v>109630.68096353492</v>
      </c>
      <c r="R154">
        <f>scenario_indirect_prod_4506_iotable_2020_xlsx_3[[#This Row],[2041]]+scenario_indirect_prod_1610_iotable_2020_xlsx_3[[#This Row],[2041]]</f>
        <v>109630.68096353492</v>
      </c>
      <c r="S154">
        <f>scenario_indirect_prod_4506_iotable_2020_xlsx_3[[#This Row],[2042]]+scenario_indirect_prod_1610_iotable_2020_xlsx_3[[#This Row],[2042]]</f>
        <v>116070.94266786515</v>
      </c>
      <c r="T154">
        <f>scenario_indirect_prod_4506_iotable_2020_xlsx_3[[#This Row],[2043]]+scenario_indirect_prod_1610_iotable_2020_xlsx_3[[#This Row],[2043]]</f>
        <v>116070.94266786515</v>
      </c>
      <c r="U154">
        <f>scenario_indirect_prod_4506_iotable_2020_xlsx_3[[#This Row],[2044]]+scenario_indirect_prod_1610_iotable_2020_xlsx_3[[#This Row],[2044]]</f>
        <v>121989.89273524437</v>
      </c>
      <c r="V154">
        <f>scenario_indirect_prod_4506_iotable_2020_xlsx_3[[#This Row],[2045]]+scenario_indirect_prod_1610_iotable_2020_xlsx_3[[#This Row],[2045]]</f>
        <v>121989.89273524437</v>
      </c>
      <c r="W154">
        <f>scenario_indirect_prod_4506_iotable_2020_xlsx_3[[#This Row],[2046]]+scenario_indirect_prod_1610_iotable_2020_xlsx_3[[#This Row],[2046]]</f>
        <v>127094.99449761314</v>
      </c>
      <c r="X154">
        <f>scenario_indirect_prod_4506_iotable_2020_xlsx_3[[#This Row],[2047]]+scenario_indirect_prod_1610_iotable_2020_xlsx_3[[#This Row],[2047]]</f>
        <v>127094.99449761314</v>
      </c>
      <c r="Y154">
        <f>scenario_indirect_prod_4506_iotable_2020_xlsx_3[[#This Row],[2048]]+scenario_indirect_prod_1610_iotable_2020_xlsx_3[[#This Row],[2048]]</f>
        <v>127094.99449761314</v>
      </c>
      <c r="Z154">
        <f>scenario_indirect_prod_4506_iotable_2020_xlsx_3[[#This Row],[2049]]+scenario_indirect_prod_1610_iotable_2020_xlsx_3[[#This Row],[2049]]</f>
        <v>127094.99449761314</v>
      </c>
      <c r="AA154">
        <f>scenario_indirect_prod_4506_iotable_2020_xlsx_3[[#This Row],[2050]]+scenario_indirect_prod_1610_iotable_2020_xlsx_3[[#This Row],[2050]]</f>
        <v>127094.99449761314</v>
      </c>
    </row>
    <row r="155" spans="1:27" x14ac:dyDescent="0.2">
      <c r="A155" t="s">
        <v>584</v>
      </c>
      <c r="B155" t="s">
        <v>585</v>
      </c>
      <c r="C155">
        <f>scenario_indirect_prod_4506_iotable_2020_xlsx_3[[#This Row],[2026]]+scenario_indirect_prod_1610_iotable_2020_xlsx_3[[#This Row],[2026]]</f>
        <v>7918.5996200009304</v>
      </c>
      <c r="D155">
        <f>scenario_indirect_prod_4506_iotable_2020_xlsx_3[[#This Row],[2027]]+scenario_indirect_prod_1610_iotable_2020_xlsx_3[[#This Row],[2027]]</f>
        <v>8462.9352183387036</v>
      </c>
      <c r="E155">
        <f>scenario_indirect_prod_4506_iotable_2020_xlsx_3[[#This Row],[2028]]+scenario_indirect_prod_1610_iotable_2020_xlsx_3[[#This Row],[2028]]</f>
        <v>8819.2417112546063</v>
      </c>
      <c r="F155">
        <f>scenario_indirect_prod_4506_iotable_2020_xlsx_3[[#This Row],[2029]]+scenario_indirect_prod_1610_iotable_2020_xlsx_3[[#This Row],[2029]]</f>
        <v>9290.6158138860465</v>
      </c>
      <c r="G155">
        <f>scenario_indirect_prod_4506_iotable_2020_xlsx_3[[#This Row],[2030]]+scenario_indirect_prod_1610_iotable_2020_xlsx_3[[#This Row],[2030]]</f>
        <v>10811.032952922726</v>
      </c>
      <c r="H155">
        <f>scenario_indirect_prod_4506_iotable_2020_xlsx_3[[#This Row],[2031]]+scenario_indirect_prod_1610_iotable_2020_xlsx_3[[#This Row],[2031]]</f>
        <v>11291.761537791132</v>
      </c>
      <c r="I155">
        <f>scenario_indirect_prod_4506_iotable_2020_xlsx_3[[#This Row],[2032]]+scenario_indirect_prod_1610_iotable_2020_xlsx_3[[#This Row],[2032]]</f>
        <v>11963.141787053988</v>
      </c>
      <c r="J155">
        <f>scenario_indirect_prod_4506_iotable_2020_xlsx_3[[#This Row],[2033]]+scenario_indirect_prod_1610_iotable_2020_xlsx_3[[#This Row],[2033]]</f>
        <v>14031.224107374648</v>
      </c>
      <c r="K155">
        <f>scenario_indirect_prod_4506_iotable_2020_xlsx_3[[#This Row],[2034]]+scenario_indirect_prod_1610_iotable_2020_xlsx_3[[#This Row],[2034]]</f>
        <v>14655.978433828101</v>
      </c>
      <c r="L155">
        <f>scenario_indirect_prod_4506_iotable_2020_xlsx_3[[#This Row],[2035]]+scenario_indirect_prod_1610_iotable_2020_xlsx_3[[#This Row],[2035]]</f>
        <v>17500.147927301554</v>
      </c>
      <c r="M155">
        <f>scenario_indirect_prod_4506_iotable_2020_xlsx_3[[#This Row],[2036]]+scenario_indirect_prod_1610_iotable_2020_xlsx_3[[#This Row],[2036]]</f>
        <v>18904.287700176079</v>
      </c>
      <c r="N155">
        <f>scenario_indirect_prod_4506_iotable_2020_xlsx_3[[#This Row],[2037]]+scenario_indirect_prod_1610_iotable_2020_xlsx_3[[#This Row],[2037]]</f>
        <v>20157.038235370499</v>
      </c>
      <c r="O155">
        <f>scenario_indirect_prod_4506_iotable_2020_xlsx_3[[#This Row],[2038]]+scenario_indirect_prod_1610_iotable_2020_xlsx_3[[#This Row],[2038]]</f>
        <v>20157.038235370499</v>
      </c>
      <c r="P155">
        <f>scenario_indirect_prod_4506_iotable_2020_xlsx_3[[#This Row],[2039]]+scenario_indirect_prod_1610_iotable_2020_xlsx_3[[#This Row],[2039]]</f>
        <v>20157.038235370499</v>
      </c>
      <c r="Q155">
        <f>scenario_indirect_prod_4506_iotable_2020_xlsx_3[[#This Row],[2040]]+scenario_indirect_prod_1610_iotable_2020_xlsx_3[[#This Row],[2040]]</f>
        <v>21252.512050368667</v>
      </c>
      <c r="R155">
        <f>scenario_indirect_prod_4506_iotable_2020_xlsx_3[[#This Row],[2041]]+scenario_indirect_prod_1610_iotable_2020_xlsx_3[[#This Row],[2041]]</f>
        <v>21252.512050368667</v>
      </c>
      <c r="S155">
        <f>scenario_indirect_prod_4506_iotable_2020_xlsx_3[[#This Row],[2042]]+scenario_indirect_prod_1610_iotable_2020_xlsx_3[[#This Row],[2042]]</f>
        <v>22475.297865291865</v>
      </c>
      <c r="T155">
        <f>scenario_indirect_prod_4506_iotable_2020_xlsx_3[[#This Row],[2043]]+scenario_indirect_prod_1610_iotable_2020_xlsx_3[[#This Row],[2043]]</f>
        <v>22475.297865291865</v>
      </c>
      <c r="U155">
        <f>scenario_indirect_prod_4506_iotable_2020_xlsx_3[[#This Row],[2044]]+scenario_indirect_prod_1610_iotable_2020_xlsx_3[[#This Row],[2044]]</f>
        <v>23596.842299398708</v>
      </c>
      <c r="V155">
        <f>scenario_indirect_prod_4506_iotable_2020_xlsx_3[[#This Row],[2045]]+scenario_indirect_prod_1610_iotable_2020_xlsx_3[[#This Row],[2045]]</f>
        <v>23596.842299398708</v>
      </c>
      <c r="W155">
        <f>scenario_indirect_prod_4506_iotable_2020_xlsx_3[[#This Row],[2046]]+scenario_indirect_prod_1610_iotable_2020_xlsx_3[[#This Row],[2046]]</f>
        <v>24564.918483192057</v>
      </c>
      <c r="X155">
        <f>scenario_indirect_prod_4506_iotable_2020_xlsx_3[[#This Row],[2047]]+scenario_indirect_prod_1610_iotable_2020_xlsx_3[[#This Row],[2047]]</f>
        <v>24564.918483192057</v>
      </c>
      <c r="Y155">
        <f>scenario_indirect_prod_4506_iotable_2020_xlsx_3[[#This Row],[2048]]+scenario_indirect_prod_1610_iotable_2020_xlsx_3[[#This Row],[2048]]</f>
        <v>24564.918483192057</v>
      </c>
      <c r="Z155">
        <f>scenario_indirect_prod_4506_iotable_2020_xlsx_3[[#This Row],[2049]]+scenario_indirect_prod_1610_iotable_2020_xlsx_3[[#This Row],[2049]]</f>
        <v>24564.918483192057</v>
      </c>
      <c r="AA155">
        <f>scenario_indirect_prod_4506_iotable_2020_xlsx_3[[#This Row],[2050]]+scenario_indirect_prod_1610_iotable_2020_xlsx_3[[#This Row],[2050]]</f>
        <v>24564.918483192057</v>
      </c>
    </row>
    <row r="156" spans="1:27" x14ac:dyDescent="0.2">
      <c r="A156" t="s">
        <v>577</v>
      </c>
      <c r="B156" t="s">
        <v>578</v>
      </c>
      <c r="C156">
        <f>scenario_indirect_prod_4506_iotable_2020_xlsx_3[[#This Row],[2026]]+scenario_indirect_prod_1610_iotable_2020_xlsx_3[[#This Row],[2026]]</f>
        <v>7574.3191746868542</v>
      </c>
      <c r="D156">
        <f>scenario_indirect_prod_4506_iotable_2020_xlsx_3[[#This Row],[2027]]+scenario_indirect_prod_1610_iotable_2020_xlsx_3[[#This Row],[2027]]</f>
        <v>7501.8282000273293</v>
      </c>
      <c r="E156">
        <f>scenario_indirect_prod_4506_iotable_2020_xlsx_3[[#This Row],[2028]]+scenario_indirect_prod_1610_iotable_2020_xlsx_3[[#This Row],[2028]]</f>
        <v>7877.8985567748423</v>
      </c>
      <c r="F156">
        <f>scenario_indirect_prod_4506_iotable_2020_xlsx_3[[#This Row],[2029]]+scenario_indirect_prod_1610_iotable_2020_xlsx_3[[#This Row],[2029]]</f>
        <v>8116.611081688603</v>
      </c>
      <c r="G156">
        <f>scenario_indirect_prod_4506_iotable_2020_xlsx_3[[#This Row],[2030]]+scenario_indirect_prod_1610_iotable_2020_xlsx_3[[#This Row],[2030]]</f>
        <v>7527.6160305698968</v>
      </c>
      <c r="H156">
        <f>scenario_indirect_prod_4506_iotable_2020_xlsx_3[[#This Row],[2031]]+scenario_indirect_prod_1610_iotable_2020_xlsx_3[[#This Row],[2031]]</f>
        <v>8035.0100130109049</v>
      </c>
      <c r="I156">
        <f>scenario_indirect_prod_4506_iotable_2020_xlsx_3[[#This Row],[2032]]+scenario_indirect_prod_1610_iotable_2020_xlsx_3[[#This Row],[2032]]</f>
        <v>8743.6308629630003</v>
      </c>
      <c r="J156">
        <f>scenario_indirect_prod_4506_iotable_2020_xlsx_3[[#This Row],[2033]]+scenario_indirect_prod_1610_iotable_2020_xlsx_3[[#This Row],[2033]]</f>
        <v>9702.6416981268812</v>
      </c>
      <c r="K156">
        <f>scenario_indirect_prod_4506_iotable_2020_xlsx_3[[#This Row],[2034]]+scenario_indirect_prod_1610_iotable_2020_xlsx_3[[#This Row],[2034]]</f>
        <v>10362.050345177155</v>
      </c>
      <c r="L156">
        <f>scenario_indirect_prod_4506_iotable_2020_xlsx_3[[#This Row],[2035]]+scenario_indirect_prod_1610_iotable_2020_xlsx_3[[#This Row],[2035]]</f>
        <v>11814.816036423415</v>
      </c>
      <c r="M156">
        <f>scenario_indirect_prod_4506_iotable_2020_xlsx_3[[#This Row],[2036]]+scenario_indirect_prod_1610_iotable_2020_xlsx_3[[#This Row],[2036]]</f>
        <v>12279.999419855365</v>
      </c>
      <c r="N156">
        <f>scenario_indirect_prod_4506_iotable_2020_xlsx_3[[#This Row],[2037]]+scenario_indirect_prod_1610_iotable_2020_xlsx_3[[#This Row],[2037]]</f>
        <v>12713.30905736426</v>
      </c>
      <c r="O156">
        <f>scenario_indirect_prod_4506_iotable_2020_xlsx_3[[#This Row],[2038]]+scenario_indirect_prod_1610_iotable_2020_xlsx_3[[#This Row],[2038]]</f>
        <v>12713.30905736426</v>
      </c>
      <c r="P156">
        <f>scenario_indirect_prod_4506_iotable_2020_xlsx_3[[#This Row],[2039]]+scenario_indirect_prod_1610_iotable_2020_xlsx_3[[#This Row],[2039]]</f>
        <v>12713.30905736426</v>
      </c>
      <c r="Q156">
        <f>scenario_indirect_prod_4506_iotable_2020_xlsx_3[[#This Row],[2040]]+scenario_indirect_prod_1610_iotable_2020_xlsx_3[[#This Row],[2040]]</f>
        <v>13089.150196883929</v>
      </c>
      <c r="R156">
        <f>scenario_indirect_prod_4506_iotable_2020_xlsx_3[[#This Row],[2041]]+scenario_indirect_prod_1610_iotable_2020_xlsx_3[[#This Row],[2041]]</f>
        <v>13089.150196883929</v>
      </c>
      <c r="S156">
        <f>scenario_indirect_prod_4506_iotable_2020_xlsx_3[[#This Row],[2042]]+scenario_indirect_prod_1610_iotable_2020_xlsx_3[[#This Row],[2042]]</f>
        <v>13518.396697199734</v>
      </c>
      <c r="T156">
        <f>scenario_indirect_prod_4506_iotable_2020_xlsx_3[[#This Row],[2043]]+scenario_indirect_prod_1610_iotable_2020_xlsx_3[[#This Row],[2043]]</f>
        <v>13518.396697199734</v>
      </c>
      <c r="U156">
        <f>scenario_indirect_prod_4506_iotable_2020_xlsx_3[[#This Row],[2044]]+scenario_indirect_prod_1610_iotable_2020_xlsx_3[[#This Row],[2044]]</f>
        <v>13882.992914026634</v>
      </c>
      <c r="V156">
        <f>scenario_indirect_prod_4506_iotable_2020_xlsx_3[[#This Row],[2045]]+scenario_indirect_prod_1610_iotable_2020_xlsx_3[[#This Row],[2045]]</f>
        <v>13882.992914026634</v>
      </c>
      <c r="W156">
        <f>scenario_indirect_prod_4506_iotable_2020_xlsx_3[[#This Row],[2046]]+scenario_indirect_prod_1610_iotable_2020_xlsx_3[[#This Row],[2046]]</f>
        <v>14207.276257119503</v>
      </c>
      <c r="X156">
        <f>scenario_indirect_prod_4506_iotable_2020_xlsx_3[[#This Row],[2047]]+scenario_indirect_prod_1610_iotable_2020_xlsx_3[[#This Row],[2047]]</f>
        <v>14207.276257119503</v>
      </c>
      <c r="Y156">
        <f>scenario_indirect_prod_4506_iotable_2020_xlsx_3[[#This Row],[2048]]+scenario_indirect_prod_1610_iotable_2020_xlsx_3[[#This Row],[2048]]</f>
        <v>14207.276257119503</v>
      </c>
      <c r="Z156">
        <f>scenario_indirect_prod_4506_iotable_2020_xlsx_3[[#This Row],[2049]]+scenario_indirect_prod_1610_iotable_2020_xlsx_3[[#This Row],[2049]]</f>
        <v>14207.276257119503</v>
      </c>
      <c r="AA156">
        <f>scenario_indirect_prod_4506_iotable_2020_xlsx_3[[#This Row],[2050]]+scenario_indirect_prod_1610_iotable_2020_xlsx_3[[#This Row],[2050]]</f>
        <v>14207.276257119503</v>
      </c>
    </row>
    <row r="157" spans="1:27" x14ac:dyDescent="0.2">
      <c r="A157" t="s">
        <v>522</v>
      </c>
      <c r="B157" t="s">
        <v>523</v>
      </c>
      <c r="C157">
        <f>scenario_indirect_prod_4506_iotable_2020_xlsx_3[[#This Row],[2026]]+scenario_indirect_prod_1610_iotable_2020_xlsx_3[[#This Row],[2026]]</f>
        <v>13959.97474544937</v>
      </c>
      <c r="D157">
        <f>scenario_indirect_prod_4506_iotable_2020_xlsx_3[[#This Row],[2027]]+scenario_indirect_prod_1610_iotable_2020_xlsx_3[[#This Row],[2027]]</f>
        <v>14872.901900343297</v>
      </c>
      <c r="E157">
        <f>scenario_indirect_prod_4506_iotable_2020_xlsx_3[[#This Row],[2028]]+scenario_indirect_prod_1610_iotable_2020_xlsx_3[[#This Row],[2028]]</f>
        <v>15503.822739866186</v>
      </c>
      <c r="F157">
        <f>scenario_indirect_prod_4506_iotable_2020_xlsx_3[[#This Row],[2029]]+scenario_indirect_prod_1610_iotable_2020_xlsx_3[[#This Row],[2029]]</f>
        <v>16318.120064390649</v>
      </c>
      <c r="G157">
        <f>scenario_indirect_prod_4506_iotable_2020_xlsx_3[[#This Row],[2030]]+scenario_indirect_prod_1610_iotable_2020_xlsx_3[[#This Row],[2030]]</f>
        <v>18837.641494578023</v>
      </c>
      <c r="H157">
        <f>scenario_indirect_prod_4506_iotable_2020_xlsx_3[[#This Row],[2031]]+scenario_indirect_prod_1610_iotable_2020_xlsx_3[[#This Row],[2031]]</f>
        <v>19688.879651552656</v>
      </c>
      <c r="I157">
        <f>scenario_indirect_prod_4506_iotable_2020_xlsx_3[[#This Row],[2032]]+scenario_indirect_prod_1610_iotable_2020_xlsx_3[[#This Row],[2032]]</f>
        <v>20877.709490261179</v>
      </c>
      <c r="J157">
        <f>scenario_indirect_prod_4506_iotable_2020_xlsx_3[[#This Row],[2033]]+scenario_indirect_prod_1610_iotable_2020_xlsx_3[[#This Row],[2033]]</f>
        <v>24443.362982889237</v>
      </c>
      <c r="K157">
        <f>scenario_indirect_prod_4506_iotable_2020_xlsx_3[[#This Row],[2034]]+scenario_indirect_prod_1610_iotable_2020_xlsx_3[[#This Row],[2034]]</f>
        <v>25549.631131178656</v>
      </c>
      <c r="L157">
        <f>scenario_indirect_prod_4506_iotable_2020_xlsx_3[[#This Row],[2035]]+scenario_indirect_prod_1610_iotable_2020_xlsx_3[[#This Row],[2035]]</f>
        <v>30463.903577757097</v>
      </c>
      <c r="M157">
        <f>scenario_indirect_prod_4506_iotable_2020_xlsx_3[[#This Row],[2036]]+scenario_indirect_prod_1610_iotable_2020_xlsx_3[[#This Row],[2036]]</f>
        <v>32870.190513618072</v>
      </c>
      <c r="N157">
        <f>scenario_indirect_prod_4506_iotable_2020_xlsx_3[[#This Row],[2037]]+scenario_indirect_prod_1610_iotable_2020_xlsx_3[[#This Row],[2037]]</f>
        <v>35018.479634092662</v>
      </c>
      <c r="O157">
        <f>scenario_indirect_prod_4506_iotable_2020_xlsx_3[[#This Row],[2038]]+scenario_indirect_prod_1610_iotable_2020_xlsx_3[[#This Row],[2038]]</f>
        <v>35018.479634092662</v>
      </c>
      <c r="P157">
        <f>scenario_indirect_prod_4506_iotable_2020_xlsx_3[[#This Row],[2039]]+scenario_indirect_prod_1610_iotable_2020_xlsx_3[[#This Row],[2039]]</f>
        <v>35018.479634092662</v>
      </c>
      <c r="Q157">
        <f>scenario_indirect_prod_4506_iotable_2020_xlsx_3[[#This Row],[2040]]+scenario_indirect_prod_1610_iotable_2020_xlsx_3[[#This Row],[2040]]</f>
        <v>36896.819934854502</v>
      </c>
      <c r="R157">
        <f>scenario_indirect_prod_4506_iotable_2020_xlsx_3[[#This Row],[2041]]+scenario_indirect_prod_1610_iotable_2020_xlsx_3[[#This Row],[2041]]</f>
        <v>36896.819934854502</v>
      </c>
      <c r="S157">
        <f>scenario_indirect_prod_4506_iotable_2020_xlsx_3[[#This Row],[2042]]+scenario_indirect_prod_1610_iotable_2020_xlsx_3[[#This Row],[2042]]</f>
        <v>38994.219932822838</v>
      </c>
      <c r="T157">
        <f>scenario_indirect_prod_4506_iotable_2020_xlsx_3[[#This Row],[2043]]+scenario_indirect_prod_1610_iotable_2020_xlsx_3[[#This Row],[2043]]</f>
        <v>38994.219932822838</v>
      </c>
      <c r="U157">
        <f>scenario_indirect_prod_4506_iotable_2020_xlsx_3[[#This Row],[2044]]+scenario_indirect_prod_1610_iotable_2020_xlsx_3[[#This Row],[2044]]</f>
        <v>40915.672329970919</v>
      </c>
      <c r="V157">
        <f>scenario_indirect_prod_4506_iotable_2020_xlsx_3[[#This Row],[2045]]+scenario_indirect_prod_1610_iotable_2020_xlsx_3[[#This Row],[2045]]</f>
        <v>40915.672329970919</v>
      </c>
      <c r="W157">
        <f>scenario_indirect_prod_4506_iotable_2020_xlsx_3[[#This Row],[2046]]+scenario_indirect_prod_1610_iotable_2020_xlsx_3[[#This Row],[2046]]</f>
        <v>42574.953883426599</v>
      </c>
      <c r="X157">
        <f>scenario_indirect_prod_4506_iotable_2020_xlsx_3[[#This Row],[2047]]+scenario_indirect_prod_1610_iotable_2020_xlsx_3[[#This Row],[2047]]</f>
        <v>42574.953883426599</v>
      </c>
      <c r="Y157">
        <f>scenario_indirect_prod_4506_iotable_2020_xlsx_3[[#This Row],[2048]]+scenario_indirect_prod_1610_iotable_2020_xlsx_3[[#This Row],[2048]]</f>
        <v>42574.953883426599</v>
      </c>
      <c r="Z157">
        <f>scenario_indirect_prod_4506_iotable_2020_xlsx_3[[#This Row],[2049]]+scenario_indirect_prod_1610_iotable_2020_xlsx_3[[#This Row],[2049]]</f>
        <v>42574.953883426599</v>
      </c>
      <c r="AA157">
        <f>scenario_indirect_prod_4506_iotable_2020_xlsx_3[[#This Row],[2050]]+scenario_indirect_prod_1610_iotable_2020_xlsx_3[[#This Row],[2050]]</f>
        <v>42574.953883426599</v>
      </c>
    </row>
    <row r="158" spans="1:27" x14ac:dyDescent="0.2">
      <c r="A158" t="s">
        <v>520</v>
      </c>
      <c r="B158" t="s">
        <v>521</v>
      </c>
      <c r="C158">
        <f>scenario_indirect_prod_4506_iotable_2020_xlsx_3[[#This Row],[2026]]+scenario_indirect_prod_1610_iotable_2020_xlsx_3[[#This Row],[2026]]</f>
        <v>13138.873875288415</v>
      </c>
      <c r="D158">
        <f>scenario_indirect_prod_4506_iotable_2020_xlsx_3[[#This Row],[2027]]+scenario_indirect_prod_1610_iotable_2020_xlsx_3[[#This Row],[2027]]</f>
        <v>13281.756067035029</v>
      </c>
      <c r="E158">
        <f>scenario_indirect_prod_4506_iotable_2020_xlsx_3[[#This Row],[2028]]+scenario_indirect_prod_1610_iotable_2020_xlsx_3[[#This Row],[2028]]</f>
        <v>13918.144241082107</v>
      </c>
      <c r="F158">
        <f>scenario_indirect_prod_4506_iotable_2020_xlsx_3[[#This Row],[2029]]+scenario_indirect_prod_1610_iotable_2020_xlsx_3[[#This Row],[2029]]</f>
        <v>14428.315518289284</v>
      </c>
      <c r="G158">
        <f>scenario_indirect_prod_4506_iotable_2020_xlsx_3[[#This Row],[2030]]+scenario_indirect_prod_1610_iotable_2020_xlsx_3[[#This Row],[2030]]</f>
        <v>14331.979056485196</v>
      </c>
      <c r="H158">
        <f>scenario_indirect_prod_4506_iotable_2020_xlsx_3[[#This Row],[2031]]+scenario_indirect_prod_1610_iotable_2020_xlsx_3[[#This Row],[2031]]</f>
        <v>15190.593739122618</v>
      </c>
      <c r="I158">
        <f>scenario_indirect_prod_4506_iotable_2020_xlsx_3[[#This Row],[2032]]+scenario_indirect_prod_1610_iotable_2020_xlsx_3[[#This Row],[2032]]</f>
        <v>16389.72555236327</v>
      </c>
      <c r="J158">
        <f>scenario_indirect_prod_4506_iotable_2020_xlsx_3[[#This Row],[2033]]+scenario_indirect_prod_1610_iotable_2020_xlsx_3[[#This Row],[2033]]</f>
        <v>18514.837909113841</v>
      </c>
      <c r="K158">
        <f>scenario_indirect_prod_4506_iotable_2020_xlsx_3[[#This Row],[2034]]+scenario_indirect_prod_1610_iotable_2020_xlsx_3[[#This Row],[2034]]</f>
        <v>19630.69258183115</v>
      </c>
      <c r="L158">
        <f>scenario_indirect_prod_4506_iotable_2020_xlsx_3[[#This Row],[2035]]+scenario_indirect_prod_1610_iotable_2020_xlsx_3[[#This Row],[2035]]</f>
        <v>22724.883131669849</v>
      </c>
      <c r="M158">
        <f>scenario_indirect_prod_4506_iotable_2020_xlsx_3[[#This Row],[2036]]+scenario_indirect_prod_1610_iotable_2020_xlsx_3[[#This Row],[2036]]</f>
        <v>23929.4039898302</v>
      </c>
      <c r="N158">
        <f>scenario_indirect_prod_4506_iotable_2020_xlsx_3[[#This Row],[2037]]+scenario_indirect_prod_1610_iotable_2020_xlsx_3[[#This Row],[2037]]</f>
        <v>25027.489587369779</v>
      </c>
      <c r="O158">
        <f>scenario_indirect_prod_4506_iotable_2020_xlsx_3[[#This Row],[2038]]+scenario_indirect_prod_1610_iotable_2020_xlsx_3[[#This Row],[2038]]</f>
        <v>25027.489587369779</v>
      </c>
      <c r="P158">
        <f>scenario_indirect_prod_4506_iotable_2020_xlsx_3[[#This Row],[2039]]+scenario_indirect_prod_1610_iotable_2020_xlsx_3[[#This Row],[2039]]</f>
        <v>25027.489587369779</v>
      </c>
      <c r="Q158">
        <f>scenario_indirect_prod_4506_iotable_2020_xlsx_3[[#This Row],[2040]]+scenario_indirect_prod_1610_iotable_2020_xlsx_3[[#This Row],[2040]]</f>
        <v>25983.782633703675</v>
      </c>
      <c r="R158">
        <f>scenario_indirect_prod_4506_iotable_2020_xlsx_3[[#This Row],[2041]]+scenario_indirect_prod_1610_iotable_2020_xlsx_3[[#This Row],[2041]]</f>
        <v>25983.782633703675</v>
      </c>
      <c r="S158">
        <f>scenario_indirect_prod_4506_iotable_2020_xlsx_3[[#This Row],[2042]]+scenario_indirect_prod_1610_iotable_2020_xlsx_3[[#This Row],[2042]]</f>
        <v>27063.679805678032</v>
      </c>
      <c r="T158">
        <f>scenario_indirect_prod_4506_iotable_2020_xlsx_3[[#This Row],[2043]]+scenario_indirect_prod_1610_iotable_2020_xlsx_3[[#This Row],[2043]]</f>
        <v>27063.679805678032</v>
      </c>
      <c r="U158">
        <f>scenario_indirect_prod_4506_iotable_2020_xlsx_3[[#This Row],[2044]]+scenario_indirect_prod_1610_iotable_2020_xlsx_3[[#This Row],[2044]]</f>
        <v>28016.852797164553</v>
      </c>
      <c r="V158">
        <f>scenario_indirect_prod_4506_iotable_2020_xlsx_3[[#This Row],[2045]]+scenario_indirect_prod_1610_iotable_2020_xlsx_3[[#This Row],[2045]]</f>
        <v>28016.852797164553</v>
      </c>
      <c r="W158">
        <f>scenario_indirect_prod_4506_iotable_2020_xlsx_3[[#This Row],[2046]]+scenario_indirect_prod_1610_iotable_2020_xlsx_3[[#This Row],[2046]]</f>
        <v>28851.872798801385</v>
      </c>
      <c r="X158">
        <f>scenario_indirect_prod_4506_iotable_2020_xlsx_3[[#This Row],[2047]]+scenario_indirect_prod_1610_iotable_2020_xlsx_3[[#This Row],[2047]]</f>
        <v>28851.872798801385</v>
      </c>
      <c r="Y158">
        <f>scenario_indirect_prod_4506_iotable_2020_xlsx_3[[#This Row],[2048]]+scenario_indirect_prod_1610_iotable_2020_xlsx_3[[#This Row],[2048]]</f>
        <v>28851.872798801385</v>
      </c>
      <c r="Z158">
        <f>scenario_indirect_prod_4506_iotable_2020_xlsx_3[[#This Row],[2049]]+scenario_indirect_prod_1610_iotable_2020_xlsx_3[[#This Row],[2049]]</f>
        <v>28851.872798801385</v>
      </c>
      <c r="AA158">
        <f>scenario_indirect_prod_4506_iotable_2020_xlsx_3[[#This Row],[2050]]+scenario_indirect_prod_1610_iotable_2020_xlsx_3[[#This Row],[2050]]</f>
        <v>28851.872798801385</v>
      </c>
    </row>
    <row r="159" spans="1:27" x14ac:dyDescent="0.2">
      <c r="A159" t="s">
        <v>661</v>
      </c>
      <c r="B159" t="s">
        <v>662</v>
      </c>
      <c r="C159">
        <f>scenario_indirect_prod_4506_iotable_2020_xlsx_3[[#This Row],[2026]]+scenario_indirect_prod_1610_iotable_2020_xlsx_3[[#This Row],[2026]]</f>
        <v>3782.7470468207894</v>
      </c>
      <c r="D159">
        <f>scenario_indirect_prod_4506_iotable_2020_xlsx_3[[#This Row],[2027]]+scenario_indirect_prod_1610_iotable_2020_xlsx_3[[#This Row],[2027]]</f>
        <v>3899.1797797114232</v>
      </c>
      <c r="E159">
        <f>scenario_indirect_prod_4506_iotable_2020_xlsx_3[[#This Row],[2028]]+scenario_indirect_prod_1610_iotable_2020_xlsx_3[[#This Row],[2028]]</f>
        <v>4077.9237776601749</v>
      </c>
      <c r="F159">
        <f>scenario_indirect_prod_4506_iotable_2020_xlsx_3[[#This Row],[2029]]+scenario_indirect_prod_1610_iotable_2020_xlsx_3[[#This Row],[2029]]</f>
        <v>4251.7373276921699</v>
      </c>
      <c r="G159">
        <f>scenario_indirect_prod_4506_iotable_2020_xlsx_3[[#This Row],[2030]]+scenario_indirect_prod_1610_iotable_2020_xlsx_3[[#This Row],[2030]]</f>
        <v>4483.3807880799068</v>
      </c>
      <c r="H159">
        <f>scenario_indirect_prod_4506_iotable_2020_xlsx_3[[#This Row],[2031]]+scenario_indirect_prod_1610_iotable_2020_xlsx_3[[#This Row],[2031]]</f>
        <v>4724.5421222010518</v>
      </c>
      <c r="I159">
        <f>scenario_indirect_prod_4506_iotable_2020_xlsx_3[[#This Row],[2032]]+scenario_indirect_prod_1610_iotable_2020_xlsx_3[[#This Row],[2032]]</f>
        <v>5061.345386477793</v>
      </c>
      <c r="J159">
        <f>scenario_indirect_prod_4506_iotable_2020_xlsx_3[[#This Row],[2033]]+scenario_indirect_prod_1610_iotable_2020_xlsx_3[[#This Row],[2033]]</f>
        <v>5802.5483430519944</v>
      </c>
      <c r="K159">
        <f>scenario_indirect_prod_4506_iotable_2020_xlsx_3[[#This Row],[2034]]+scenario_indirect_prod_1610_iotable_2020_xlsx_3[[#This Row],[2034]]</f>
        <v>6115.9613407557099</v>
      </c>
      <c r="L159">
        <f>scenario_indirect_prod_4506_iotable_2020_xlsx_3[[#This Row],[2035]]+scenario_indirect_prod_1610_iotable_2020_xlsx_3[[#This Row],[2035]]</f>
        <v>7167.7229412615161</v>
      </c>
      <c r="M159">
        <f>scenario_indirect_prod_4506_iotable_2020_xlsx_3[[#This Row],[2036]]+scenario_indirect_prod_1610_iotable_2020_xlsx_3[[#This Row],[2036]]</f>
        <v>7625.9528254294601</v>
      </c>
      <c r="N159">
        <f>scenario_indirect_prod_4506_iotable_2020_xlsx_3[[#This Row],[2037]]+scenario_indirect_prod_1610_iotable_2020_xlsx_3[[#This Row],[2037]]</f>
        <v>8039.2036031662565</v>
      </c>
      <c r="O159">
        <f>scenario_indirect_prod_4506_iotable_2020_xlsx_3[[#This Row],[2038]]+scenario_indirect_prod_1610_iotable_2020_xlsx_3[[#This Row],[2038]]</f>
        <v>8039.2036031662565</v>
      </c>
      <c r="P159">
        <f>scenario_indirect_prod_4506_iotable_2020_xlsx_3[[#This Row],[2039]]+scenario_indirect_prod_1610_iotable_2020_xlsx_3[[#This Row],[2039]]</f>
        <v>8039.2036031662565</v>
      </c>
      <c r="Q159">
        <f>scenario_indirect_prod_4506_iotable_2020_xlsx_3[[#This Row],[2040]]+scenario_indirect_prod_1610_iotable_2020_xlsx_3[[#This Row],[2040]]</f>
        <v>8399.8298849395615</v>
      </c>
      <c r="R159">
        <f>scenario_indirect_prod_4506_iotable_2020_xlsx_3[[#This Row],[2041]]+scenario_indirect_prod_1610_iotable_2020_xlsx_3[[#This Row],[2041]]</f>
        <v>8399.8298849395615</v>
      </c>
      <c r="S159">
        <f>scenario_indirect_prod_4506_iotable_2020_xlsx_3[[#This Row],[2042]]+scenario_indirect_prod_1610_iotable_2020_xlsx_3[[#This Row],[2042]]</f>
        <v>8804.72153393798</v>
      </c>
      <c r="T159">
        <f>scenario_indirect_prod_4506_iotable_2020_xlsx_3[[#This Row],[2043]]+scenario_indirect_prod_1610_iotable_2020_xlsx_3[[#This Row],[2043]]</f>
        <v>8804.72153393798</v>
      </c>
      <c r="U159">
        <f>scenario_indirect_prod_4506_iotable_2020_xlsx_3[[#This Row],[2044]]+scenario_indirect_prod_1610_iotable_2020_xlsx_3[[#This Row],[2044]]</f>
        <v>9169.0425159965125</v>
      </c>
      <c r="V159">
        <f>scenario_indirect_prod_4506_iotable_2020_xlsx_3[[#This Row],[2045]]+scenario_indirect_prod_1610_iotable_2020_xlsx_3[[#This Row],[2045]]</f>
        <v>9169.0425159965125</v>
      </c>
      <c r="W159">
        <f>scenario_indirect_prod_4506_iotable_2020_xlsx_3[[#This Row],[2046]]+scenario_indirect_prod_1610_iotable_2020_xlsx_3[[#This Row],[2046]]</f>
        <v>9485.8296315185326</v>
      </c>
      <c r="X159">
        <f>scenario_indirect_prod_4506_iotable_2020_xlsx_3[[#This Row],[2047]]+scenario_indirect_prod_1610_iotable_2020_xlsx_3[[#This Row],[2047]]</f>
        <v>9485.8296315185326</v>
      </c>
      <c r="Y159">
        <f>scenario_indirect_prod_4506_iotable_2020_xlsx_3[[#This Row],[2048]]+scenario_indirect_prod_1610_iotable_2020_xlsx_3[[#This Row],[2048]]</f>
        <v>9485.8296315185326</v>
      </c>
      <c r="Z159">
        <f>scenario_indirect_prod_4506_iotable_2020_xlsx_3[[#This Row],[2049]]+scenario_indirect_prod_1610_iotable_2020_xlsx_3[[#This Row],[2049]]</f>
        <v>9485.8296315185326</v>
      </c>
      <c r="AA159">
        <f>scenario_indirect_prod_4506_iotable_2020_xlsx_3[[#This Row],[2050]]+scenario_indirect_prod_1610_iotable_2020_xlsx_3[[#This Row],[2050]]</f>
        <v>9485.8296315185326</v>
      </c>
    </row>
    <row r="160" spans="1:27" x14ac:dyDescent="0.2">
      <c r="A160" t="s">
        <v>525</v>
      </c>
      <c r="B160" t="s">
        <v>526</v>
      </c>
      <c r="C160">
        <f>scenario_indirect_prod_4506_iotable_2020_xlsx_3[[#This Row],[2026]]+scenario_indirect_prod_1610_iotable_2020_xlsx_3[[#This Row],[2026]]</f>
        <v>9382.2801783328177</v>
      </c>
      <c r="D160">
        <f>scenario_indirect_prod_4506_iotable_2020_xlsx_3[[#This Row],[2027]]+scenario_indirect_prod_1610_iotable_2020_xlsx_3[[#This Row],[2027]]</f>
        <v>6838.6211883607939</v>
      </c>
      <c r="E160">
        <f>scenario_indirect_prod_4506_iotable_2020_xlsx_3[[#This Row],[2028]]+scenario_indirect_prod_1610_iotable_2020_xlsx_3[[#This Row],[2028]]</f>
        <v>7450.3063555209956</v>
      </c>
      <c r="F160">
        <f>scenario_indirect_prod_4506_iotable_2020_xlsx_3[[#This Row],[2029]]+scenario_indirect_prod_1610_iotable_2020_xlsx_3[[#This Row],[2029]]</f>
        <v>6868.2760034299827</v>
      </c>
      <c r="G160">
        <f>scenario_indirect_prod_4506_iotable_2020_xlsx_3[[#This Row],[2030]]+scenario_indirect_prod_1610_iotable_2020_xlsx_3[[#This Row],[2030]]</f>
        <v>-2314.3412385221018</v>
      </c>
      <c r="H160">
        <f>scenario_indirect_prod_4506_iotable_2020_xlsx_3[[#This Row],[2031]]+scenario_indirect_prod_1610_iotable_2020_xlsx_3[[#This Row],[2031]]</f>
        <v>-1489.0558433908991</v>
      </c>
      <c r="I160">
        <f>scenario_indirect_prod_4506_iotable_2020_xlsx_3[[#This Row],[2032]]+scenario_indirect_prod_1610_iotable_2020_xlsx_3[[#This Row],[2032]]</f>
        <v>-336.47134615767573</v>
      </c>
      <c r="J160">
        <f>scenario_indirect_prod_4506_iotable_2020_xlsx_3[[#This Row],[2033]]+scenario_indirect_prod_1610_iotable_2020_xlsx_3[[#This Row],[2033]]</f>
        <v>-3364.7314962403798</v>
      </c>
      <c r="K160">
        <f>scenario_indirect_prod_4506_iotable_2020_xlsx_3[[#This Row],[2034]]+scenario_indirect_prod_1610_iotable_2020_xlsx_3[[#This Row],[2034]]</f>
        <v>-2292.1915279582499</v>
      </c>
      <c r="L160">
        <f>scenario_indirect_prod_4506_iotable_2020_xlsx_3[[#This Row],[2035]]+scenario_indirect_prod_1610_iotable_2020_xlsx_3[[#This Row],[2035]]</f>
        <v>-5737.2399338954201</v>
      </c>
      <c r="M160">
        <f>scenario_indirect_prod_4506_iotable_2020_xlsx_3[[#This Row],[2036]]+scenario_indirect_prod_1610_iotable_2020_xlsx_3[[#This Row],[2036]]</f>
        <v>-8792.8662648599275</v>
      </c>
      <c r="N160">
        <f>scenario_indirect_prod_4506_iotable_2020_xlsx_3[[#This Row],[2037]]+scenario_indirect_prod_1610_iotable_2020_xlsx_3[[#This Row],[2037]]</f>
        <v>-11420.776173899547</v>
      </c>
      <c r="O160">
        <f>scenario_indirect_prod_4506_iotable_2020_xlsx_3[[#This Row],[2038]]+scenario_indirect_prod_1610_iotable_2020_xlsx_3[[#This Row],[2038]]</f>
        <v>-11420.776173899547</v>
      </c>
      <c r="P160">
        <f>scenario_indirect_prod_4506_iotable_2020_xlsx_3[[#This Row],[2039]]+scenario_indirect_prod_1610_iotable_2020_xlsx_3[[#This Row],[2039]]</f>
        <v>-11420.776173899547</v>
      </c>
      <c r="Q160">
        <f>scenario_indirect_prod_4506_iotable_2020_xlsx_3[[#This Row],[2040]]+scenario_indirect_prod_1610_iotable_2020_xlsx_3[[#This Row],[2040]]</f>
        <v>-13735.26039370236</v>
      </c>
      <c r="R160">
        <f>scenario_indirect_prod_4506_iotable_2020_xlsx_3[[#This Row],[2041]]+scenario_indirect_prod_1610_iotable_2020_xlsx_3[[#This Row],[2041]]</f>
        <v>-13735.26039370236</v>
      </c>
      <c r="S160">
        <f>scenario_indirect_prod_4506_iotable_2020_xlsx_3[[#This Row],[2042]]+scenario_indirect_prod_1610_iotable_2020_xlsx_3[[#This Row],[2042]]</f>
        <v>-16266.439714338994</v>
      </c>
      <c r="T160">
        <f>scenario_indirect_prod_4506_iotable_2020_xlsx_3[[#This Row],[2043]]+scenario_indirect_prod_1610_iotable_2020_xlsx_3[[#This Row],[2043]]</f>
        <v>-16266.439714338994</v>
      </c>
      <c r="U160">
        <f>scenario_indirect_prod_4506_iotable_2020_xlsx_3[[#This Row],[2044]]+scenario_indirect_prod_1610_iotable_2020_xlsx_3[[#This Row],[2044]]</f>
        <v>-18744.535755092475</v>
      </c>
      <c r="V160">
        <f>scenario_indirect_prod_4506_iotable_2020_xlsx_3[[#This Row],[2045]]+scenario_indirect_prod_1610_iotable_2020_xlsx_3[[#This Row],[2045]]</f>
        <v>-18744.535755092475</v>
      </c>
      <c r="W160">
        <f>scenario_indirect_prod_4506_iotable_2020_xlsx_3[[#This Row],[2046]]+scenario_indirect_prod_1610_iotable_2020_xlsx_3[[#This Row],[2046]]</f>
        <v>-20832.054202673506</v>
      </c>
      <c r="X160">
        <f>scenario_indirect_prod_4506_iotable_2020_xlsx_3[[#This Row],[2047]]+scenario_indirect_prod_1610_iotable_2020_xlsx_3[[#This Row],[2047]]</f>
        <v>-20832.054202673506</v>
      </c>
      <c r="Y160">
        <f>scenario_indirect_prod_4506_iotable_2020_xlsx_3[[#This Row],[2048]]+scenario_indirect_prod_1610_iotable_2020_xlsx_3[[#This Row],[2048]]</f>
        <v>-20832.054202673506</v>
      </c>
      <c r="Z160">
        <f>scenario_indirect_prod_4506_iotable_2020_xlsx_3[[#This Row],[2049]]+scenario_indirect_prod_1610_iotable_2020_xlsx_3[[#This Row],[2049]]</f>
        <v>-20832.054202673506</v>
      </c>
      <c r="AA160">
        <f>scenario_indirect_prod_4506_iotable_2020_xlsx_3[[#This Row],[2050]]+scenario_indirect_prod_1610_iotable_2020_xlsx_3[[#This Row],[2050]]</f>
        <v>-20832.054202673506</v>
      </c>
    </row>
    <row r="161" spans="1:27" x14ac:dyDescent="0.2">
      <c r="A161" t="s">
        <v>519</v>
      </c>
      <c r="B161" t="s">
        <v>267</v>
      </c>
      <c r="C161">
        <f>scenario_indirect_prod_4506_iotable_2020_xlsx_3[[#This Row],[2026]]+scenario_indirect_prod_1610_iotable_2020_xlsx_3[[#This Row],[2026]]</f>
        <v>13676.549664061866</v>
      </c>
      <c r="D161">
        <f>scenario_indirect_prod_4506_iotable_2020_xlsx_3[[#This Row],[2027]]+scenario_indirect_prod_1610_iotable_2020_xlsx_3[[#This Row],[2027]]</f>
        <v>14238.384917865736</v>
      </c>
      <c r="E161">
        <f>scenario_indirect_prod_4506_iotable_2020_xlsx_3[[#This Row],[2028]]+scenario_indirect_prod_1610_iotable_2020_xlsx_3[[#This Row],[2028]]</f>
        <v>14876.262272266711</v>
      </c>
      <c r="F161">
        <f>scenario_indirect_prod_4506_iotable_2020_xlsx_3[[#This Row],[2029]]+scenario_indirect_prod_1610_iotable_2020_xlsx_3[[#This Row],[2029]]</f>
        <v>15555.074877091496</v>
      </c>
      <c r="G161">
        <f>scenario_indirect_prod_4506_iotable_2020_xlsx_3[[#This Row],[2030]]+scenario_indirect_prod_1610_iotable_2020_xlsx_3[[#This Row],[2030]]</f>
        <v>16877.856472597286</v>
      </c>
      <c r="H161">
        <f>scenario_indirect_prod_4506_iotable_2020_xlsx_3[[#This Row],[2031]]+scenario_indirect_prod_1610_iotable_2020_xlsx_3[[#This Row],[2031]]</f>
        <v>17738.480356802396</v>
      </c>
      <c r="I161">
        <f>scenario_indirect_prod_4506_iotable_2020_xlsx_3[[#This Row],[2032]]+scenario_indirect_prod_1610_iotable_2020_xlsx_3[[#This Row],[2032]]</f>
        <v>18940.418198833078</v>
      </c>
      <c r="J161">
        <f>scenario_indirect_prod_4506_iotable_2020_xlsx_3[[#This Row],[2033]]+scenario_indirect_prod_1610_iotable_2020_xlsx_3[[#This Row],[2033]]</f>
        <v>21862.286235179887</v>
      </c>
      <c r="K161">
        <f>scenario_indirect_prod_4506_iotable_2020_xlsx_3[[#This Row],[2034]]+scenario_indirect_prod_1610_iotable_2020_xlsx_3[[#This Row],[2034]]</f>
        <v>22980.752063987427</v>
      </c>
      <c r="L161">
        <f>scenario_indirect_prod_4506_iotable_2020_xlsx_3[[#This Row],[2035]]+scenario_indirect_prod_1610_iotable_2020_xlsx_3[[#This Row],[2035]]</f>
        <v>27084.485732845475</v>
      </c>
      <c r="M161">
        <f>scenario_indirect_prod_4506_iotable_2020_xlsx_3[[#This Row],[2036]]+scenario_indirect_prod_1610_iotable_2020_xlsx_3[[#This Row],[2036]]</f>
        <v>28949.716898850551</v>
      </c>
      <c r="N161">
        <f>scenario_indirect_prod_4506_iotable_2020_xlsx_3[[#This Row],[2037]]+scenario_indirect_prod_1610_iotable_2020_xlsx_3[[#This Row],[2037]]</f>
        <v>30625.504781135631</v>
      </c>
      <c r="O161">
        <f>scenario_indirect_prod_4506_iotable_2020_xlsx_3[[#This Row],[2038]]+scenario_indirect_prod_1610_iotable_2020_xlsx_3[[#This Row],[2038]]</f>
        <v>30625.504781135631</v>
      </c>
      <c r="P161">
        <f>scenario_indirect_prod_4506_iotable_2020_xlsx_3[[#This Row],[2039]]+scenario_indirect_prod_1610_iotable_2020_xlsx_3[[#This Row],[2039]]</f>
        <v>30625.504781135631</v>
      </c>
      <c r="Q161">
        <f>scenario_indirect_prod_4506_iotable_2020_xlsx_3[[#This Row],[2040]]+scenario_indirect_prod_1610_iotable_2020_xlsx_3[[#This Row],[2040]]</f>
        <v>32088.948563146125</v>
      </c>
      <c r="R161">
        <f>scenario_indirect_prod_4506_iotable_2020_xlsx_3[[#This Row],[2041]]+scenario_indirect_prod_1610_iotable_2020_xlsx_3[[#This Row],[2041]]</f>
        <v>32088.948563146125</v>
      </c>
      <c r="S161">
        <f>scenario_indirect_prod_4506_iotable_2020_xlsx_3[[#This Row],[2042]]+scenario_indirect_prod_1610_iotable_2020_xlsx_3[[#This Row],[2042]]</f>
        <v>33728.671894387619</v>
      </c>
      <c r="T161">
        <f>scenario_indirect_prod_4506_iotable_2020_xlsx_3[[#This Row],[2043]]+scenario_indirect_prod_1610_iotable_2020_xlsx_3[[#This Row],[2043]]</f>
        <v>33728.671894387619</v>
      </c>
      <c r="U161">
        <f>scenario_indirect_prod_4506_iotable_2020_xlsx_3[[#This Row],[2044]]+scenario_indirect_prod_1610_iotable_2020_xlsx_3[[#This Row],[2044]]</f>
        <v>35214.066905097883</v>
      </c>
      <c r="V161">
        <f>scenario_indirect_prod_4506_iotable_2020_xlsx_3[[#This Row],[2045]]+scenario_indirect_prod_1610_iotable_2020_xlsx_3[[#This Row],[2045]]</f>
        <v>35214.066905097883</v>
      </c>
      <c r="W161">
        <f>scenario_indirect_prod_4506_iotable_2020_xlsx_3[[#This Row],[2046]]+scenario_indirect_prod_1610_iotable_2020_xlsx_3[[#This Row],[2046]]</f>
        <v>36502.313832927139</v>
      </c>
      <c r="X161">
        <f>scenario_indirect_prod_4506_iotable_2020_xlsx_3[[#This Row],[2047]]+scenario_indirect_prod_1610_iotable_2020_xlsx_3[[#This Row],[2047]]</f>
        <v>36502.313832927139</v>
      </c>
      <c r="Y161">
        <f>scenario_indirect_prod_4506_iotable_2020_xlsx_3[[#This Row],[2048]]+scenario_indirect_prod_1610_iotable_2020_xlsx_3[[#This Row],[2048]]</f>
        <v>36502.313832927139</v>
      </c>
      <c r="Z161">
        <f>scenario_indirect_prod_4506_iotable_2020_xlsx_3[[#This Row],[2049]]+scenario_indirect_prod_1610_iotable_2020_xlsx_3[[#This Row],[2049]]</f>
        <v>36502.313832927139</v>
      </c>
      <c r="AA161">
        <f>scenario_indirect_prod_4506_iotable_2020_xlsx_3[[#This Row],[2050]]+scenario_indirect_prod_1610_iotable_2020_xlsx_3[[#This Row],[2050]]</f>
        <v>36502.313832927139</v>
      </c>
    </row>
    <row r="162" spans="1:27" x14ac:dyDescent="0.2">
      <c r="A162" t="s">
        <v>462</v>
      </c>
      <c r="B162" t="s">
        <v>463</v>
      </c>
      <c r="C162">
        <f>scenario_indirect_prod_4506_iotable_2020_xlsx_3[[#This Row],[2026]]+scenario_indirect_prod_1610_iotable_2020_xlsx_3[[#This Row],[2026]]</f>
        <v>24520.484854628812</v>
      </c>
      <c r="D162">
        <f>scenario_indirect_prod_4506_iotable_2020_xlsx_3[[#This Row],[2027]]+scenario_indirect_prod_1610_iotable_2020_xlsx_3[[#This Row],[2027]]</f>
        <v>25682.481833131198</v>
      </c>
      <c r="E162">
        <f>scenario_indirect_prod_4506_iotable_2020_xlsx_3[[#This Row],[2028]]+scenario_indirect_prod_1610_iotable_2020_xlsx_3[[#This Row],[2028]]</f>
        <v>26816.928540091274</v>
      </c>
      <c r="F162">
        <f>scenario_indirect_prod_4506_iotable_2020_xlsx_3[[#This Row],[2029]]+scenario_indirect_prod_1610_iotable_2020_xlsx_3[[#This Row],[2029]]</f>
        <v>28089.293023268903</v>
      </c>
      <c r="G162">
        <f>scenario_indirect_prod_4506_iotable_2020_xlsx_3[[#This Row],[2030]]+scenario_indirect_prod_1610_iotable_2020_xlsx_3[[#This Row],[2030]]</f>
        <v>30993.764972197539</v>
      </c>
      <c r="H162">
        <f>scenario_indirect_prod_4506_iotable_2020_xlsx_3[[#This Row],[2031]]+scenario_indirect_prod_1610_iotable_2020_xlsx_3[[#This Row],[2031]]</f>
        <v>32524.360038210729</v>
      </c>
      <c r="I162">
        <f>scenario_indirect_prod_4506_iotable_2020_xlsx_3[[#This Row],[2032]]+scenario_indirect_prod_1610_iotable_2020_xlsx_3[[#This Row],[2032]]</f>
        <v>34661.972257009264</v>
      </c>
      <c r="J162">
        <f>scenario_indirect_prod_4506_iotable_2020_xlsx_3[[#This Row],[2033]]+scenario_indirect_prod_1610_iotable_2020_xlsx_3[[#This Row],[2033]]</f>
        <v>40166.333289832764</v>
      </c>
      <c r="K162">
        <f>scenario_indirect_prod_4506_iotable_2020_xlsx_3[[#This Row],[2034]]+scenario_indirect_prod_1610_iotable_2020_xlsx_3[[#This Row],[2034]]</f>
        <v>42155.492910540161</v>
      </c>
      <c r="L162">
        <f>scenario_indirect_prod_4506_iotable_2020_xlsx_3[[#This Row],[2035]]+scenario_indirect_prod_1610_iotable_2020_xlsx_3[[#This Row],[2035]]</f>
        <v>49843.633487435232</v>
      </c>
      <c r="M162">
        <f>scenario_indirect_prod_4506_iotable_2020_xlsx_3[[#This Row],[2036]]+scenario_indirect_prod_1610_iotable_2020_xlsx_3[[#This Row],[2036]]</f>
        <v>53416.729461603216</v>
      </c>
      <c r="N162">
        <f>scenario_indirect_prod_4506_iotable_2020_xlsx_3[[#This Row],[2037]]+scenario_indirect_prod_1610_iotable_2020_xlsx_3[[#This Row],[2037]]</f>
        <v>56620.72333180048</v>
      </c>
      <c r="O162">
        <f>scenario_indirect_prod_4506_iotable_2020_xlsx_3[[#This Row],[2038]]+scenario_indirect_prod_1610_iotable_2020_xlsx_3[[#This Row],[2038]]</f>
        <v>56620.72333180048</v>
      </c>
      <c r="P162">
        <f>scenario_indirect_prod_4506_iotable_2020_xlsx_3[[#This Row],[2039]]+scenario_indirect_prod_1610_iotable_2020_xlsx_3[[#This Row],[2039]]</f>
        <v>56620.72333180048</v>
      </c>
      <c r="Q162">
        <f>scenario_indirect_prod_4506_iotable_2020_xlsx_3[[#This Row],[2040]]+scenario_indirect_prod_1610_iotable_2020_xlsx_3[[#This Row],[2040]]</f>
        <v>59419.762793035879</v>
      </c>
      <c r="R162">
        <f>scenario_indirect_prod_4506_iotable_2020_xlsx_3[[#This Row],[2041]]+scenario_indirect_prod_1610_iotable_2020_xlsx_3[[#This Row],[2041]]</f>
        <v>59419.762793035879</v>
      </c>
      <c r="S162">
        <f>scenario_indirect_prod_4506_iotable_2020_xlsx_3[[#This Row],[2042]]+scenario_indirect_prod_1610_iotable_2020_xlsx_3[[#This Row],[2042]]</f>
        <v>62552.681917657581</v>
      </c>
      <c r="T162">
        <f>scenario_indirect_prod_4506_iotable_2020_xlsx_3[[#This Row],[2043]]+scenario_indirect_prod_1610_iotable_2020_xlsx_3[[#This Row],[2043]]</f>
        <v>62552.681917657581</v>
      </c>
      <c r="U162">
        <f>scenario_indirect_prod_4506_iotable_2020_xlsx_3[[#This Row],[2044]]+scenario_indirect_prod_1610_iotable_2020_xlsx_3[[#This Row],[2044]]</f>
        <v>65400.51336648695</v>
      </c>
      <c r="V162">
        <f>scenario_indirect_prod_4506_iotable_2020_xlsx_3[[#This Row],[2045]]+scenario_indirect_prod_1610_iotable_2020_xlsx_3[[#This Row],[2045]]</f>
        <v>65400.51336648695</v>
      </c>
      <c r="W162">
        <f>scenario_indirect_prod_4506_iotable_2020_xlsx_3[[#This Row],[2046]]+scenario_indirect_prod_1610_iotable_2020_xlsx_3[[#This Row],[2046]]</f>
        <v>67867.111123428796</v>
      </c>
      <c r="X162">
        <f>scenario_indirect_prod_4506_iotable_2020_xlsx_3[[#This Row],[2047]]+scenario_indirect_prod_1610_iotable_2020_xlsx_3[[#This Row],[2047]]</f>
        <v>67867.111123428796</v>
      </c>
      <c r="Y162">
        <f>scenario_indirect_prod_4506_iotable_2020_xlsx_3[[#This Row],[2048]]+scenario_indirect_prod_1610_iotable_2020_xlsx_3[[#This Row],[2048]]</f>
        <v>67867.111123428796</v>
      </c>
      <c r="Z162">
        <f>scenario_indirect_prod_4506_iotable_2020_xlsx_3[[#This Row],[2049]]+scenario_indirect_prod_1610_iotable_2020_xlsx_3[[#This Row],[2049]]</f>
        <v>67867.111123428796</v>
      </c>
      <c r="AA162">
        <f>scenario_indirect_prod_4506_iotable_2020_xlsx_3[[#This Row],[2050]]+scenario_indirect_prod_1610_iotable_2020_xlsx_3[[#This Row],[2050]]</f>
        <v>67867.111123428796</v>
      </c>
    </row>
    <row r="163" spans="1:27" x14ac:dyDescent="0.2">
      <c r="A163" t="s">
        <v>450</v>
      </c>
      <c r="B163" t="s">
        <v>185</v>
      </c>
      <c r="C163">
        <f>scenario_indirect_prod_4506_iotable_2020_xlsx_3[[#This Row],[2026]]+scenario_indirect_prod_1610_iotable_2020_xlsx_3[[#This Row],[2026]]</f>
        <v>25576.580440094236</v>
      </c>
      <c r="D163">
        <f>scenario_indirect_prod_4506_iotable_2020_xlsx_3[[#This Row],[2027]]+scenario_indirect_prod_1610_iotable_2020_xlsx_3[[#This Row],[2027]]</f>
        <v>26372.01709926804</v>
      </c>
      <c r="E163">
        <f>scenario_indirect_prod_4506_iotable_2020_xlsx_3[[#This Row],[2028]]+scenario_indirect_prod_1610_iotable_2020_xlsx_3[[#This Row],[2028]]</f>
        <v>27580.085887658439</v>
      </c>
      <c r="F163">
        <f>scenario_indirect_prod_4506_iotable_2020_xlsx_3[[#This Row],[2029]]+scenario_indirect_prod_1610_iotable_2020_xlsx_3[[#This Row],[2029]]</f>
        <v>28758.234740098913</v>
      </c>
      <c r="G163">
        <f>scenario_indirect_prod_4506_iotable_2020_xlsx_3[[#This Row],[2030]]+scenario_indirect_prod_1610_iotable_2020_xlsx_3[[#This Row],[2030]]</f>
        <v>30352.67984899164</v>
      </c>
      <c r="H163">
        <f>scenario_indirect_prod_4506_iotable_2020_xlsx_3[[#This Row],[2031]]+scenario_indirect_prod_1610_iotable_2020_xlsx_3[[#This Row],[2031]]</f>
        <v>31982.605799298915</v>
      </c>
      <c r="I163">
        <f>scenario_indirect_prod_4506_iotable_2020_xlsx_3[[#This Row],[2032]]+scenario_indirect_prod_1610_iotable_2020_xlsx_3[[#This Row],[2032]]</f>
        <v>34258.942437564052</v>
      </c>
      <c r="J163">
        <f>scenario_indirect_prod_4506_iotable_2020_xlsx_3[[#This Row],[2033]]+scenario_indirect_prod_1610_iotable_2020_xlsx_3[[#This Row],[2033]]</f>
        <v>39284.569000554744</v>
      </c>
      <c r="K163">
        <f>scenario_indirect_prod_4506_iotable_2020_xlsx_3[[#This Row],[2034]]+scenario_indirect_prod_1610_iotable_2020_xlsx_3[[#This Row],[2034]]</f>
        <v>41402.818926408392</v>
      </c>
      <c r="L163">
        <f>scenario_indirect_prod_4506_iotable_2020_xlsx_3[[#This Row],[2035]]+scenario_indirect_prod_1610_iotable_2020_xlsx_3[[#This Row],[2035]]</f>
        <v>48531.682494254972</v>
      </c>
      <c r="M163">
        <f>scenario_indirect_prod_4506_iotable_2020_xlsx_3[[#This Row],[2036]]+scenario_indirect_prod_1610_iotable_2020_xlsx_3[[#This Row],[2036]]</f>
        <v>51642.070801508089</v>
      </c>
      <c r="N163">
        <f>scenario_indirect_prod_4506_iotable_2020_xlsx_3[[#This Row],[2037]]+scenario_indirect_prod_1610_iotable_2020_xlsx_3[[#This Row],[2037]]</f>
        <v>54446.778884912346</v>
      </c>
      <c r="O163">
        <f>scenario_indirect_prod_4506_iotable_2020_xlsx_3[[#This Row],[2038]]+scenario_indirect_prod_1610_iotable_2020_xlsx_3[[#This Row],[2038]]</f>
        <v>54446.778884912346</v>
      </c>
      <c r="P163">
        <f>scenario_indirect_prod_4506_iotable_2020_xlsx_3[[#This Row],[2039]]+scenario_indirect_prod_1610_iotable_2020_xlsx_3[[#This Row],[2039]]</f>
        <v>54446.778884912346</v>
      </c>
      <c r="Q163">
        <f>scenario_indirect_prod_4506_iotable_2020_xlsx_3[[#This Row],[2040]]+scenario_indirect_prod_1610_iotable_2020_xlsx_3[[#This Row],[2040]]</f>
        <v>56894.389054769257</v>
      </c>
      <c r="R163">
        <f>scenario_indirect_prod_4506_iotable_2020_xlsx_3[[#This Row],[2041]]+scenario_indirect_prod_1610_iotable_2020_xlsx_3[[#This Row],[2041]]</f>
        <v>56894.389054769257</v>
      </c>
      <c r="S163">
        <f>scenario_indirect_prod_4506_iotable_2020_xlsx_3[[#This Row],[2042]]+scenario_indirect_prod_1610_iotable_2020_xlsx_3[[#This Row],[2042]]</f>
        <v>59642.238226744652</v>
      </c>
      <c r="T163">
        <f>scenario_indirect_prod_4506_iotable_2020_xlsx_3[[#This Row],[2043]]+scenario_indirect_prod_1610_iotable_2020_xlsx_3[[#This Row],[2043]]</f>
        <v>59642.238226744652</v>
      </c>
      <c r="U163">
        <f>scenario_indirect_prod_4506_iotable_2020_xlsx_3[[#This Row],[2044]]+scenario_indirect_prod_1610_iotable_2020_xlsx_3[[#This Row],[2044]]</f>
        <v>62115.329301292266</v>
      </c>
      <c r="V163">
        <f>scenario_indirect_prod_4506_iotable_2020_xlsx_3[[#This Row],[2045]]+scenario_indirect_prod_1610_iotable_2020_xlsx_3[[#This Row],[2045]]</f>
        <v>62115.329301292266</v>
      </c>
      <c r="W163">
        <f>scenario_indirect_prod_4506_iotable_2020_xlsx_3[[#This Row],[2046]]+scenario_indirect_prod_1610_iotable_2020_xlsx_3[[#This Row],[2046]]</f>
        <v>64265.555530389196</v>
      </c>
      <c r="X163">
        <f>scenario_indirect_prod_4506_iotable_2020_xlsx_3[[#This Row],[2047]]+scenario_indirect_prod_1610_iotable_2020_xlsx_3[[#This Row],[2047]]</f>
        <v>64265.555530389196</v>
      </c>
      <c r="Y163">
        <f>scenario_indirect_prod_4506_iotable_2020_xlsx_3[[#This Row],[2048]]+scenario_indirect_prod_1610_iotable_2020_xlsx_3[[#This Row],[2048]]</f>
        <v>64265.555530389196</v>
      </c>
      <c r="Z163">
        <f>scenario_indirect_prod_4506_iotable_2020_xlsx_3[[#This Row],[2049]]+scenario_indirect_prod_1610_iotable_2020_xlsx_3[[#This Row],[2049]]</f>
        <v>64265.555530389196</v>
      </c>
      <c r="AA163">
        <f>scenario_indirect_prod_4506_iotable_2020_xlsx_3[[#This Row],[2050]]+scenario_indirect_prod_1610_iotable_2020_xlsx_3[[#This Row],[2050]]</f>
        <v>64265.555530389196</v>
      </c>
    </row>
    <row r="164" spans="1:27" x14ac:dyDescent="0.2">
      <c r="A164" t="s">
        <v>444</v>
      </c>
      <c r="B164" t="s">
        <v>445</v>
      </c>
      <c r="C164">
        <f>scenario_indirect_prod_4506_iotable_2020_xlsx_3[[#This Row],[2026]]+scenario_indirect_prod_1610_iotable_2020_xlsx_3[[#This Row],[2026]]</f>
        <v>30399.594228222311</v>
      </c>
      <c r="D164">
        <f>scenario_indirect_prod_4506_iotable_2020_xlsx_3[[#This Row],[2027]]+scenario_indirect_prod_1610_iotable_2020_xlsx_3[[#This Row],[2027]]</f>
        <v>32737.691649934211</v>
      </c>
      <c r="E164">
        <f>scenario_indirect_prod_4506_iotable_2020_xlsx_3[[#This Row],[2028]]+scenario_indirect_prod_1610_iotable_2020_xlsx_3[[#This Row],[2028]]</f>
        <v>34090.793182049965</v>
      </c>
      <c r="F164">
        <f>scenario_indirect_prod_4506_iotable_2020_xlsx_3[[#This Row],[2029]]+scenario_indirect_prod_1610_iotable_2020_xlsx_3[[#This Row],[2029]]</f>
        <v>35989.249207851994</v>
      </c>
      <c r="G164">
        <f>scenario_indirect_prod_4506_iotable_2020_xlsx_3[[#This Row],[2030]]+scenario_indirect_prod_1610_iotable_2020_xlsx_3[[#This Row],[2030]]</f>
        <v>42681.786742943164</v>
      </c>
      <c r="H164">
        <f>scenario_indirect_prod_4506_iotable_2020_xlsx_3[[#This Row],[2031]]+scenario_indirect_prod_1610_iotable_2020_xlsx_3[[#This Row],[2031]]</f>
        <v>44507.390815981518</v>
      </c>
      <c r="I164">
        <f>scenario_indirect_prod_4506_iotable_2020_xlsx_3[[#This Row],[2032]]+scenario_indirect_prod_1610_iotable_2020_xlsx_3[[#This Row],[2032]]</f>
        <v>47057.00936622289</v>
      </c>
      <c r="J164">
        <f>scenario_indirect_prod_4506_iotable_2020_xlsx_3[[#This Row],[2033]]+scenario_indirect_prod_1610_iotable_2020_xlsx_3[[#This Row],[2033]]</f>
        <v>55423.174495550287</v>
      </c>
      <c r="K164">
        <f>scenario_indirect_prod_4506_iotable_2020_xlsx_3[[#This Row],[2034]]+scenario_indirect_prod_1610_iotable_2020_xlsx_3[[#This Row],[2034]]</f>
        <v>57795.727488907163</v>
      </c>
      <c r="L164">
        <f>scenario_indirect_prod_4506_iotable_2020_xlsx_3[[#This Row],[2035]]+scenario_indirect_prod_1610_iotable_2020_xlsx_3[[#This Row],[2035]]</f>
        <v>69245.397618894131</v>
      </c>
      <c r="M164">
        <f>scenario_indirect_prod_4506_iotable_2020_xlsx_3[[#This Row],[2036]]+scenario_indirect_prod_1610_iotable_2020_xlsx_3[[#This Row],[2036]]</f>
        <v>75003.531661080648</v>
      </c>
      <c r="N164">
        <f>scenario_indirect_prod_4506_iotable_2020_xlsx_3[[#This Row],[2037]]+scenario_indirect_prod_1610_iotable_2020_xlsx_3[[#This Row],[2037]]</f>
        <v>80133.189611194743</v>
      </c>
      <c r="O164">
        <f>scenario_indirect_prod_4506_iotable_2020_xlsx_3[[#This Row],[2038]]+scenario_indirect_prod_1610_iotable_2020_xlsx_3[[#This Row],[2038]]</f>
        <v>80133.189611194743</v>
      </c>
      <c r="P164">
        <f>scenario_indirect_prod_4506_iotable_2020_xlsx_3[[#This Row],[2039]]+scenario_indirect_prod_1610_iotable_2020_xlsx_3[[#This Row],[2039]]</f>
        <v>80133.189611194743</v>
      </c>
      <c r="Q164">
        <f>scenario_indirect_prod_4506_iotable_2020_xlsx_3[[#This Row],[2040]]+scenario_indirect_prod_1610_iotable_2020_xlsx_3[[#This Row],[2040]]</f>
        <v>84620.128997955137</v>
      </c>
      <c r="R164">
        <f>scenario_indirect_prod_4506_iotable_2020_xlsx_3[[#This Row],[2041]]+scenario_indirect_prod_1610_iotable_2020_xlsx_3[[#This Row],[2041]]</f>
        <v>84620.128997955137</v>
      </c>
      <c r="S164">
        <f>scenario_indirect_prod_4506_iotable_2020_xlsx_3[[#This Row],[2042]]+scenario_indirect_prod_1610_iotable_2020_xlsx_3[[#This Row],[2042]]</f>
        <v>89624.451259083318</v>
      </c>
      <c r="T164">
        <f>scenario_indirect_prod_4506_iotable_2020_xlsx_3[[#This Row],[2043]]+scenario_indirect_prod_1610_iotable_2020_xlsx_3[[#This Row],[2043]]</f>
        <v>89624.451259083318</v>
      </c>
      <c r="U164">
        <f>scenario_indirect_prod_4506_iotable_2020_xlsx_3[[#This Row],[2044]]+scenario_indirect_prod_1610_iotable_2020_xlsx_3[[#This Row],[2044]]</f>
        <v>94226.627347446396</v>
      </c>
      <c r="V164">
        <f>scenario_indirect_prod_4506_iotable_2020_xlsx_3[[#This Row],[2045]]+scenario_indirect_prod_1610_iotable_2020_xlsx_3[[#This Row],[2045]]</f>
        <v>94226.627347446396</v>
      </c>
      <c r="W164">
        <f>scenario_indirect_prod_4506_iotable_2020_xlsx_3[[#This Row],[2046]]+scenario_indirect_prod_1610_iotable_2020_xlsx_3[[#This Row],[2046]]</f>
        <v>98195.04715047752</v>
      </c>
      <c r="X164">
        <f>scenario_indirect_prod_4506_iotable_2020_xlsx_3[[#This Row],[2047]]+scenario_indirect_prod_1610_iotable_2020_xlsx_3[[#This Row],[2047]]</f>
        <v>98195.04715047752</v>
      </c>
      <c r="Y164">
        <f>scenario_indirect_prod_4506_iotable_2020_xlsx_3[[#This Row],[2048]]+scenario_indirect_prod_1610_iotable_2020_xlsx_3[[#This Row],[2048]]</f>
        <v>98195.04715047752</v>
      </c>
      <c r="Z164">
        <f>scenario_indirect_prod_4506_iotable_2020_xlsx_3[[#This Row],[2049]]+scenario_indirect_prod_1610_iotable_2020_xlsx_3[[#This Row],[2049]]</f>
        <v>98195.04715047752</v>
      </c>
      <c r="AA164">
        <f>scenario_indirect_prod_4506_iotable_2020_xlsx_3[[#This Row],[2050]]+scenario_indirect_prod_1610_iotable_2020_xlsx_3[[#This Row],[2050]]</f>
        <v>98195.04715047752</v>
      </c>
    </row>
    <row r="165" spans="1:27" x14ac:dyDescent="0.2">
      <c r="A165" t="s">
        <v>599</v>
      </c>
      <c r="B165" t="s">
        <v>600</v>
      </c>
      <c r="C165">
        <f>scenario_indirect_prod_4506_iotable_2020_xlsx_3[[#This Row],[2026]]+scenario_indirect_prod_1610_iotable_2020_xlsx_3[[#This Row],[2026]]</f>
        <v>6841.0600150611654</v>
      </c>
      <c r="D165">
        <f>scenario_indirect_prod_4506_iotable_2020_xlsx_3[[#This Row],[2027]]+scenario_indirect_prod_1610_iotable_2020_xlsx_3[[#This Row],[2027]]</f>
        <v>7043.2749602693621</v>
      </c>
      <c r="E165">
        <f>scenario_indirect_prod_4506_iotable_2020_xlsx_3[[#This Row],[2028]]+scenario_indirect_prod_1610_iotable_2020_xlsx_3[[#This Row],[2028]]</f>
        <v>7367.0281233862388</v>
      </c>
      <c r="F165">
        <f>scenario_indirect_prod_4506_iotable_2020_xlsx_3[[#This Row],[2029]]+scenario_indirect_prod_1610_iotable_2020_xlsx_3[[#This Row],[2029]]</f>
        <v>7678.3805831413565</v>
      </c>
      <c r="G165">
        <f>scenario_indirect_prod_4506_iotable_2020_xlsx_3[[#This Row],[2030]]+scenario_indirect_prod_1610_iotable_2020_xlsx_3[[#This Row],[2030]]</f>
        <v>8068.5329653136596</v>
      </c>
      <c r="H165">
        <f>scenario_indirect_prod_4506_iotable_2020_xlsx_3[[#This Row],[2031]]+scenario_indirect_prod_1610_iotable_2020_xlsx_3[[#This Row],[2031]]</f>
        <v>8505.3406099854074</v>
      </c>
      <c r="I165">
        <f>scenario_indirect_prod_4506_iotable_2020_xlsx_3[[#This Row],[2032]]+scenario_indirect_prod_1610_iotable_2020_xlsx_3[[#This Row],[2032]]</f>
        <v>9115.3813576973789</v>
      </c>
      <c r="J165">
        <f>scenario_indirect_prod_4506_iotable_2020_xlsx_3[[#This Row],[2033]]+scenario_indirect_prod_1610_iotable_2020_xlsx_3[[#This Row],[2033]]</f>
        <v>10441.488380900617</v>
      </c>
      <c r="K165">
        <f>scenario_indirect_prod_4506_iotable_2020_xlsx_3[[#This Row],[2034]]+scenario_indirect_prod_1610_iotable_2020_xlsx_3[[#This Row],[2034]]</f>
        <v>11009.16310303373</v>
      </c>
      <c r="L165">
        <f>scenario_indirect_prod_4506_iotable_2020_xlsx_3[[#This Row],[2035]]+scenario_indirect_prod_1610_iotable_2020_xlsx_3[[#This Row],[2035]]</f>
        <v>12893.411835554194</v>
      </c>
      <c r="M165">
        <f>scenario_indirect_prod_4506_iotable_2020_xlsx_3[[#This Row],[2036]]+scenario_indirect_prod_1610_iotable_2020_xlsx_3[[#This Row],[2036]]</f>
        <v>13709.75386836351</v>
      </c>
      <c r="N165">
        <f>scenario_indirect_prod_4506_iotable_2020_xlsx_3[[#This Row],[2037]]+scenario_indirect_prod_1610_iotable_2020_xlsx_3[[#This Row],[2037]]</f>
        <v>14446.341892168111</v>
      </c>
      <c r="O165">
        <f>scenario_indirect_prod_4506_iotable_2020_xlsx_3[[#This Row],[2038]]+scenario_indirect_prod_1610_iotable_2020_xlsx_3[[#This Row],[2038]]</f>
        <v>14446.341892168111</v>
      </c>
      <c r="P165">
        <f>scenario_indirect_prod_4506_iotable_2020_xlsx_3[[#This Row],[2039]]+scenario_indirect_prod_1610_iotable_2020_xlsx_3[[#This Row],[2039]]</f>
        <v>14446.341892168111</v>
      </c>
      <c r="Q165">
        <f>scenario_indirect_prod_4506_iotable_2020_xlsx_3[[#This Row],[2040]]+scenario_indirect_prod_1610_iotable_2020_xlsx_3[[#This Row],[2040]]</f>
        <v>15089.068187948957</v>
      </c>
      <c r="R165">
        <f>scenario_indirect_prod_4506_iotable_2020_xlsx_3[[#This Row],[2041]]+scenario_indirect_prod_1610_iotable_2020_xlsx_3[[#This Row],[2041]]</f>
        <v>15089.068187948957</v>
      </c>
      <c r="S165">
        <f>scenario_indirect_prod_4506_iotable_2020_xlsx_3[[#This Row],[2042]]+scenario_indirect_prod_1610_iotable_2020_xlsx_3[[#This Row],[2042]]</f>
        <v>15810.88519504085</v>
      </c>
      <c r="T165">
        <f>scenario_indirect_prod_4506_iotable_2020_xlsx_3[[#This Row],[2043]]+scenario_indirect_prod_1610_iotable_2020_xlsx_3[[#This Row],[2043]]</f>
        <v>15810.88519504085</v>
      </c>
      <c r="U165">
        <f>scenario_indirect_prod_4506_iotable_2020_xlsx_3[[#This Row],[2044]]+scenario_indirect_prod_1610_iotable_2020_xlsx_3[[#This Row],[2044]]</f>
        <v>16459.783827854888</v>
      </c>
      <c r="V165">
        <f>scenario_indirect_prod_4506_iotable_2020_xlsx_3[[#This Row],[2045]]+scenario_indirect_prod_1610_iotable_2020_xlsx_3[[#This Row],[2045]]</f>
        <v>16459.783827854888</v>
      </c>
      <c r="W165">
        <f>scenario_indirect_prod_4506_iotable_2020_xlsx_3[[#This Row],[2046]]+scenario_indirect_prod_1610_iotable_2020_xlsx_3[[#This Row],[2046]]</f>
        <v>17024.217362032265</v>
      </c>
      <c r="X165">
        <f>scenario_indirect_prod_4506_iotable_2020_xlsx_3[[#This Row],[2047]]+scenario_indirect_prod_1610_iotable_2020_xlsx_3[[#This Row],[2047]]</f>
        <v>17024.217362032265</v>
      </c>
      <c r="Y165">
        <f>scenario_indirect_prod_4506_iotable_2020_xlsx_3[[#This Row],[2048]]+scenario_indirect_prod_1610_iotable_2020_xlsx_3[[#This Row],[2048]]</f>
        <v>17024.217362032265</v>
      </c>
      <c r="Z165">
        <f>scenario_indirect_prod_4506_iotable_2020_xlsx_3[[#This Row],[2049]]+scenario_indirect_prod_1610_iotable_2020_xlsx_3[[#This Row],[2049]]</f>
        <v>17024.217362032265</v>
      </c>
      <c r="AA165">
        <f>scenario_indirect_prod_4506_iotable_2020_xlsx_3[[#This Row],[2050]]+scenario_indirect_prod_1610_iotable_2020_xlsx_3[[#This Row],[2050]]</f>
        <v>17024.217362032265</v>
      </c>
    </row>
    <row r="166" spans="1:27" x14ac:dyDescent="0.2">
      <c r="A166" t="s">
        <v>679</v>
      </c>
      <c r="B166" t="s">
        <v>680</v>
      </c>
      <c r="C166">
        <f>scenario_indirect_prod_4506_iotable_2020_xlsx_3[[#This Row],[2026]]+scenario_indirect_prod_1610_iotable_2020_xlsx_3[[#This Row],[2026]]</f>
        <v>2891.8931931989</v>
      </c>
      <c r="D166">
        <f>scenario_indirect_prod_4506_iotable_2020_xlsx_3[[#This Row],[2027]]+scenario_indirect_prod_1610_iotable_2020_xlsx_3[[#This Row],[2027]]</f>
        <v>2556.6284158819635</v>
      </c>
      <c r="E166">
        <f>scenario_indirect_prod_4506_iotable_2020_xlsx_3[[#This Row],[2028]]+scenario_indirect_prod_1610_iotable_2020_xlsx_3[[#This Row],[2028]]</f>
        <v>2718.494796240132</v>
      </c>
      <c r="F166">
        <f>scenario_indirect_prod_4506_iotable_2020_xlsx_3[[#This Row],[2029]]+scenario_indirect_prod_1610_iotable_2020_xlsx_3[[#This Row],[2029]]</f>
        <v>2699.614846679664</v>
      </c>
      <c r="G166">
        <f>scenario_indirect_prod_4506_iotable_2020_xlsx_3[[#This Row],[2030]]+scenario_indirect_prod_1610_iotable_2020_xlsx_3[[#This Row],[2030]]</f>
        <v>1415.1627724633613</v>
      </c>
      <c r="H166">
        <f>scenario_indirect_prod_4506_iotable_2020_xlsx_3[[#This Row],[2031]]+scenario_indirect_prod_1610_iotable_2020_xlsx_3[[#This Row],[2031]]</f>
        <v>1633.5528313437062</v>
      </c>
      <c r="I166">
        <f>scenario_indirect_prod_4506_iotable_2020_xlsx_3[[#This Row],[2032]]+scenario_indirect_prod_1610_iotable_2020_xlsx_3[[#This Row],[2032]]</f>
        <v>1938.5539833092234</v>
      </c>
      <c r="J166">
        <f>scenario_indirect_prod_4506_iotable_2020_xlsx_3[[#This Row],[2033]]+scenario_indirect_prod_1610_iotable_2020_xlsx_3[[#This Row],[2033]]</f>
        <v>1776.2155946295434</v>
      </c>
      <c r="K166">
        <f>scenario_indirect_prod_4506_iotable_2020_xlsx_3[[#This Row],[2034]]+scenario_indirect_prod_1610_iotable_2020_xlsx_3[[#This Row],[2034]]</f>
        <v>2060.0350687248265</v>
      </c>
      <c r="L166">
        <f>scenario_indirect_prod_4506_iotable_2020_xlsx_3[[#This Row],[2035]]+scenario_indirect_prod_1610_iotable_2020_xlsx_3[[#This Row],[2035]]</f>
        <v>1957.3053024636602</v>
      </c>
      <c r="M166">
        <f>scenario_indirect_prod_4506_iotable_2020_xlsx_3[[#This Row],[2036]]+scenario_indirect_prod_1610_iotable_2020_xlsx_3[[#This Row],[2036]]</f>
        <v>1679.6678819551325</v>
      </c>
      <c r="N166">
        <f>scenario_indirect_prod_4506_iotable_2020_xlsx_3[[#This Row],[2037]]+scenario_indirect_prod_1610_iotable_2020_xlsx_3[[#This Row],[2037]]</f>
        <v>1448.4234611397987</v>
      </c>
      <c r="O166">
        <f>scenario_indirect_prod_4506_iotable_2020_xlsx_3[[#This Row],[2038]]+scenario_indirect_prod_1610_iotable_2020_xlsx_3[[#This Row],[2038]]</f>
        <v>1448.4234611397987</v>
      </c>
      <c r="P166">
        <f>scenario_indirect_prod_4506_iotable_2020_xlsx_3[[#This Row],[2039]]+scenario_indirect_prod_1610_iotable_2020_xlsx_3[[#This Row],[2039]]</f>
        <v>1448.4234611397987</v>
      </c>
      <c r="Q166">
        <f>scenario_indirect_prod_4506_iotable_2020_xlsx_3[[#This Row],[2040]]+scenario_indirect_prod_1610_iotable_2020_xlsx_3[[#This Row],[2040]]</f>
        <v>1243.4478184404907</v>
      </c>
      <c r="R166">
        <f>scenario_indirect_prod_4506_iotable_2020_xlsx_3[[#This Row],[2041]]+scenario_indirect_prod_1610_iotable_2020_xlsx_3[[#This Row],[2041]]</f>
        <v>1243.4478184404907</v>
      </c>
      <c r="S166">
        <f>scenario_indirect_prod_4506_iotable_2020_xlsx_3[[#This Row],[2042]]+scenario_indirect_prod_1610_iotable_2020_xlsx_3[[#This Row],[2042]]</f>
        <v>1023.407964921822</v>
      </c>
      <c r="T166">
        <f>scenario_indirect_prod_4506_iotable_2020_xlsx_3[[#This Row],[2043]]+scenario_indirect_prod_1610_iotable_2020_xlsx_3[[#This Row],[2043]]</f>
        <v>1023.407964921822</v>
      </c>
      <c r="U166">
        <f>scenario_indirect_prod_4506_iotable_2020_xlsx_3[[#This Row],[2044]]+scenario_indirect_prod_1610_iotable_2020_xlsx_3[[#This Row],[2044]]</f>
        <v>795.37651535863733</v>
      </c>
      <c r="V166">
        <f>scenario_indirect_prod_4506_iotable_2020_xlsx_3[[#This Row],[2045]]+scenario_indirect_prod_1610_iotable_2020_xlsx_3[[#This Row],[2045]]</f>
        <v>795.37651535863733</v>
      </c>
      <c r="W166">
        <f>scenario_indirect_prod_4506_iotable_2020_xlsx_3[[#This Row],[2046]]+scenario_indirect_prod_1610_iotable_2020_xlsx_3[[#This Row],[2046]]</f>
        <v>607.17102999166855</v>
      </c>
      <c r="X166">
        <f>scenario_indirect_prod_4506_iotable_2020_xlsx_3[[#This Row],[2047]]+scenario_indirect_prod_1610_iotable_2020_xlsx_3[[#This Row],[2047]]</f>
        <v>607.17102999166855</v>
      </c>
      <c r="Y166">
        <f>scenario_indirect_prod_4506_iotable_2020_xlsx_3[[#This Row],[2048]]+scenario_indirect_prod_1610_iotable_2020_xlsx_3[[#This Row],[2048]]</f>
        <v>607.17102999166855</v>
      </c>
      <c r="Z166">
        <f>scenario_indirect_prod_4506_iotable_2020_xlsx_3[[#This Row],[2049]]+scenario_indirect_prod_1610_iotable_2020_xlsx_3[[#This Row],[2049]]</f>
        <v>607.17102999166855</v>
      </c>
      <c r="AA166">
        <f>scenario_indirect_prod_4506_iotable_2020_xlsx_3[[#This Row],[2050]]+scenario_indirect_prod_1610_iotable_2020_xlsx_3[[#This Row],[2050]]</f>
        <v>607.17102999166855</v>
      </c>
    </row>
    <row r="167" spans="1:27" x14ac:dyDescent="0.2">
      <c r="A167" t="s">
        <v>773</v>
      </c>
      <c r="B167" t="s">
        <v>774</v>
      </c>
      <c r="C167">
        <f>scenario_indirect_prod_4506_iotable_2020_xlsx_3[[#This Row],[2026]]+scenario_indirect_prod_1610_iotable_2020_xlsx_3[[#This Row],[2026]]</f>
        <v>1685.3111973920427</v>
      </c>
      <c r="D167">
        <f>scenario_indirect_prod_4506_iotable_2020_xlsx_3[[#This Row],[2027]]+scenario_indirect_prod_1610_iotable_2020_xlsx_3[[#This Row],[2027]]</f>
        <v>1711.9437303081954</v>
      </c>
      <c r="E167">
        <f>scenario_indirect_prod_4506_iotable_2020_xlsx_3[[#This Row],[2028]]+scenario_indirect_prod_1610_iotable_2020_xlsx_3[[#This Row],[2028]]</f>
        <v>1793.0790256162554</v>
      </c>
      <c r="F167">
        <f>scenario_indirect_prod_4506_iotable_2020_xlsx_3[[#This Row],[2029]]+scenario_indirect_prod_1610_iotable_2020_xlsx_3[[#This Row],[2029]]</f>
        <v>1861.4888976008467</v>
      </c>
      <c r="G167">
        <f>scenario_indirect_prod_4506_iotable_2020_xlsx_3[[#This Row],[2030]]+scenario_indirect_prod_1610_iotable_2020_xlsx_3[[#This Row],[2030]]</f>
        <v>1877.7414044250299</v>
      </c>
      <c r="H167">
        <f>scenario_indirect_prod_4506_iotable_2020_xlsx_3[[#This Row],[2031]]+scenario_indirect_prod_1610_iotable_2020_xlsx_3[[#This Row],[2031]]</f>
        <v>1987.2091140284301</v>
      </c>
      <c r="I167">
        <f>scenario_indirect_prod_4506_iotable_2020_xlsx_3[[#This Row],[2032]]+scenario_indirect_prod_1610_iotable_2020_xlsx_3[[#This Row],[2032]]</f>
        <v>2140.0905121252031</v>
      </c>
      <c r="J167">
        <f>scenario_indirect_prod_4506_iotable_2020_xlsx_3[[#This Row],[2033]]+scenario_indirect_prod_1610_iotable_2020_xlsx_3[[#This Row],[2033]]</f>
        <v>2426.9464855710557</v>
      </c>
      <c r="K167">
        <f>scenario_indirect_prod_4506_iotable_2020_xlsx_3[[#This Row],[2034]]+scenario_indirect_prod_1610_iotable_2020_xlsx_3[[#This Row],[2034]]</f>
        <v>2569.2105974511423</v>
      </c>
      <c r="L167">
        <f>scenario_indirect_prod_4506_iotable_2020_xlsx_3[[#This Row],[2035]]+scenario_indirect_prod_1610_iotable_2020_xlsx_3[[#This Row],[2035]]</f>
        <v>2983.8499814456263</v>
      </c>
      <c r="M167">
        <f>scenario_indirect_prod_4506_iotable_2020_xlsx_3[[#This Row],[2036]]+scenario_indirect_prod_1610_iotable_2020_xlsx_3[[#This Row],[2036]]</f>
        <v>3150.6448352269626</v>
      </c>
      <c r="N167">
        <f>scenario_indirect_prod_4506_iotable_2020_xlsx_3[[#This Row],[2037]]+scenario_indirect_prod_1610_iotable_2020_xlsx_3[[#This Row],[2037]]</f>
        <v>3302.2060922437822</v>
      </c>
      <c r="O167">
        <f>scenario_indirect_prod_4506_iotable_2020_xlsx_3[[#This Row],[2038]]+scenario_indirect_prod_1610_iotable_2020_xlsx_3[[#This Row],[2038]]</f>
        <v>3302.2060922437822</v>
      </c>
      <c r="P167">
        <f>scenario_indirect_prod_4506_iotable_2020_xlsx_3[[#This Row],[2039]]+scenario_indirect_prod_1610_iotable_2020_xlsx_3[[#This Row],[2039]]</f>
        <v>3302.2060922437822</v>
      </c>
      <c r="Q167">
        <f>scenario_indirect_prod_4506_iotable_2020_xlsx_3[[#This Row],[2040]]+scenario_indirect_prod_1610_iotable_2020_xlsx_3[[#This Row],[2040]]</f>
        <v>3434.2780219898791</v>
      </c>
      <c r="R167">
        <f>scenario_indirect_prod_4506_iotable_2020_xlsx_3[[#This Row],[2041]]+scenario_indirect_prod_1610_iotable_2020_xlsx_3[[#This Row],[2041]]</f>
        <v>3434.2780219898791</v>
      </c>
      <c r="S167">
        <f>scenario_indirect_prod_4506_iotable_2020_xlsx_3[[#This Row],[2042]]+scenario_indirect_prod_1610_iotable_2020_xlsx_3[[#This Row],[2042]]</f>
        <v>3583.1618451039421</v>
      </c>
      <c r="T167">
        <f>scenario_indirect_prod_4506_iotable_2020_xlsx_3[[#This Row],[2043]]+scenario_indirect_prod_1610_iotable_2020_xlsx_3[[#This Row],[2043]]</f>
        <v>3583.1618451039421</v>
      </c>
      <c r="U167">
        <f>scenario_indirect_prod_4506_iotable_2020_xlsx_3[[#This Row],[2044]]+scenario_indirect_prod_1610_iotable_2020_xlsx_3[[#This Row],[2044]]</f>
        <v>3715.3401734027766</v>
      </c>
      <c r="V167">
        <f>scenario_indirect_prod_4506_iotable_2020_xlsx_3[[#This Row],[2045]]+scenario_indirect_prod_1610_iotable_2020_xlsx_3[[#This Row],[2045]]</f>
        <v>3715.3401734027766</v>
      </c>
      <c r="W167">
        <f>scenario_indirect_prod_4506_iotable_2020_xlsx_3[[#This Row],[2046]]+scenario_indirect_prod_1610_iotable_2020_xlsx_3[[#This Row],[2046]]</f>
        <v>3830.8721997586399</v>
      </c>
      <c r="X167">
        <f>scenario_indirect_prod_4506_iotable_2020_xlsx_3[[#This Row],[2047]]+scenario_indirect_prod_1610_iotable_2020_xlsx_3[[#This Row],[2047]]</f>
        <v>3830.8721997586399</v>
      </c>
      <c r="Y167">
        <f>scenario_indirect_prod_4506_iotable_2020_xlsx_3[[#This Row],[2048]]+scenario_indirect_prod_1610_iotable_2020_xlsx_3[[#This Row],[2048]]</f>
        <v>3830.8721997586399</v>
      </c>
      <c r="Z167">
        <f>scenario_indirect_prod_4506_iotable_2020_xlsx_3[[#This Row],[2049]]+scenario_indirect_prod_1610_iotable_2020_xlsx_3[[#This Row],[2049]]</f>
        <v>3830.8721997586399</v>
      </c>
      <c r="AA167">
        <f>scenario_indirect_prod_4506_iotable_2020_xlsx_3[[#This Row],[2050]]+scenario_indirect_prod_1610_iotable_2020_xlsx_3[[#This Row],[2050]]</f>
        <v>3830.8721997586399</v>
      </c>
    </row>
    <row r="168" spans="1:27" x14ac:dyDescent="0.2">
      <c r="A168" t="s">
        <v>777</v>
      </c>
      <c r="B168" t="s">
        <v>778</v>
      </c>
      <c r="C168">
        <f>scenario_indirect_prod_4506_iotable_2020_xlsx_3[[#This Row],[2026]]+scenario_indirect_prod_1610_iotable_2020_xlsx_3[[#This Row],[2026]]</f>
        <v>1088.9838075590494</v>
      </c>
      <c r="D168">
        <f>scenario_indirect_prod_4506_iotable_2020_xlsx_3[[#This Row],[2027]]+scenario_indirect_prod_1610_iotable_2020_xlsx_3[[#This Row],[2027]]</f>
        <v>677.8348265472423</v>
      </c>
      <c r="E168">
        <f>scenario_indirect_prod_4506_iotable_2020_xlsx_3[[#This Row],[2028]]+scenario_indirect_prod_1610_iotable_2020_xlsx_3[[#This Row],[2028]]</f>
        <v>755.72130163482211</v>
      </c>
      <c r="F168">
        <f>scenario_indirect_prod_4506_iotable_2020_xlsx_3[[#This Row],[2029]]+scenario_indirect_prod_1610_iotable_2020_xlsx_3[[#This Row],[2029]]</f>
        <v>646.70584971945618</v>
      </c>
      <c r="G168">
        <f>scenario_indirect_prod_4506_iotable_2020_xlsx_3[[#This Row],[2030]]+scenario_indirect_prod_1610_iotable_2020_xlsx_3[[#This Row],[2030]]</f>
        <v>-818.39242757430884</v>
      </c>
      <c r="H168">
        <f>scenario_indirect_prod_4506_iotable_2020_xlsx_3[[#This Row],[2031]]+scenario_indirect_prod_1610_iotable_2020_xlsx_3[[#This Row],[2031]]</f>
        <v>-713.30802497803825</v>
      </c>
      <c r="I168">
        <f>scenario_indirect_prod_4506_iotable_2020_xlsx_3[[#This Row],[2032]]+scenario_indirect_prod_1610_iotable_2020_xlsx_3[[#This Row],[2032]]</f>
        <v>-566.54830519138068</v>
      </c>
      <c r="J168">
        <f>scenario_indirect_prod_4506_iotable_2020_xlsx_3[[#This Row],[2033]]+scenario_indirect_prod_1610_iotable_2020_xlsx_3[[#This Row],[2033]]</f>
        <v>-1117.1892493039991</v>
      </c>
      <c r="K168">
        <f>scenario_indirect_prod_4506_iotable_2020_xlsx_3[[#This Row],[2034]]+scenario_indirect_prod_1610_iotable_2020_xlsx_3[[#This Row],[2034]]</f>
        <v>-980.62167826436735</v>
      </c>
      <c r="L168">
        <f>scenario_indirect_prod_4506_iotable_2020_xlsx_3[[#This Row],[2035]]+scenario_indirect_prod_1610_iotable_2020_xlsx_3[[#This Row],[2035]]</f>
        <v>-1628.2161794207159</v>
      </c>
      <c r="M168">
        <f>scenario_indirect_prod_4506_iotable_2020_xlsx_3[[#This Row],[2036]]+scenario_indirect_prod_1610_iotable_2020_xlsx_3[[#This Row],[2036]]</f>
        <v>-2154.4316604834357</v>
      </c>
      <c r="N168">
        <f>scenario_indirect_prod_4506_iotable_2020_xlsx_3[[#This Row],[2037]]+scenario_indirect_prod_1610_iotable_2020_xlsx_3[[#This Row],[2037]]</f>
        <v>-2608.9342250091186</v>
      </c>
      <c r="O168">
        <f>scenario_indirect_prod_4506_iotable_2020_xlsx_3[[#This Row],[2038]]+scenario_indirect_prod_1610_iotable_2020_xlsx_3[[#This Row],[2038]]</f>
        <v>-2608.9342250091186</v>
      </c>
      <c r="P168">
        <f>scenario_indirect_prod_4506_iotable_2020_xlsx_3[[#This Row],[2039]]+scenario_indirect_prod_1610_iotable_2020_xlsx_3[[#This Row],[2039]]</f>
        <v>-2608.9342250091186</v>
      </c>
      <c r="Q168">
        <f>scenario_indirect_prod_4506_iotable_2020_xlsx_3[[#This Row],[2040]]+scenario_indirect_prod_1610_iotable_2020_xlsx_3[[#This Row],[2040]]</f>
        <v>-3008.8904624194047</v>
      </c>
      <c r="R168">
        <f>scenario_indirect_prod_4506_iotable_2020_xlsx_3[[#This Row],[2041]]+scenario_indirect_prod_1610_iotable_2020_xlsx_3[[#This Row],[2041]]</f>
        <v>-3008.8904624194047</v>
      </c>
      <c r="S168">
        <f>scenario_indirect_prod_4506_iotable_2020_xlsx_3[[#This Row],[2042]]+scenario_indirect_prod_1610_iotable_2020_xlsx_3[[#This Row],[2042]]</f>
        <v>-3447.3587638652161</v>
      </c>
      <c r="T168">
        <f>scenario_indirect_prod_4506_iotable_2020_xlsx_3[[#This Row],[2043]]+scenario_indirect_prod_1610_iotable_2020_xlsx_3[[#This Row],[2043]]</f>
        <v>-3447.3587638652161</v>
      </c>
      <c r="U168">
        <f>scenario_indirect_prod_4506_iotable_2020_xlsx_3[[#This Row],[2044]]+scenario_indirect_prod_1610_iotable_2020_xlsx_3[[#This Row],[2044]]</f>
        <v>-3873.375564811844</v>
      </c>
      <c r="V168">
        <f>scenario_indirect_prod_4506_iotable_2020_xlsx_3[[#This Row],[2045]]+scenario_indirect_prod_1610_iotable_2020_xlsx_3[[#This Row],[2045]]</f>
        <v>-3873.375564811844</v>
      </c>
      <c r="W168">
        <f>scenario_indirect_prod_4506_iotable_2020_xlsx_3[[#This Row],[2046]]+scenario_indirect_prod_1610_iotable_2020_xlsx_3[[#This Row],[2046]]</f>
        <v>-4233.2505964667553</v>
      </c>
      <c r="X168">
        <f>scenario_indirect_prod_4506_iotable_2020_xlsx_3[[#This Row],[2047]]+scenario_indirect_prod_1610_iotable_2020_xlsx_3[[#This Row],[2047]]</f>
        <v>-4233.2505964667553</v>
      </c>
      <c r="Y168">
        <f>scenario_indirect_prod_4506_iotable_2020_xlsx_3[[#This Row],[2048]]+scenario_indirect_prod_1610_iotable_2020_xlsx_3[[#This Row],[2048]]</f>
        <v>-4233.2505964667553</v>
      </c>
      <c r="Z168">
        <f>scenario_indirect_prod_4506_iotable_2020_xlsx_3[[#This Row],[2049]]+scenario_indirect_prod_1610_iotable_2020_xlsx_3[[#This Row],[2049]]</f>
        <v>-4233.2505964667553</v>
      </c>
      <c r="AA168">
        <f>scenario_indirect_prod_4506_iotable_2020_xlsx_3[[#This Row],[2050]]+scenario_indirect_prod_1610_iotable_2020_xlsx_3[[#This Row],[2050]]</f>
        <v>-4233.2505964667553</v>
      </c>
    </row>
    <row r="169" spans="1:27" x14ac:dyDescent="0.2">
      <c r="A169" t="s">
        <v>418</v>
      </c>
      <c r="B169" t="s">
        <v>419</v>
      </c>
      <c r="C169">
        <f>scenario_indirect_prod_4506_iotable_2020_xlsx_3[[#This Row],[2026]]+scenario_indirect_prod_1610_iotable_2020_xlsx_3[[#This Row],[2026]]</f>
        <v>40069.96022776555</v>
      </c>
      <c r="D169">
        <f>scenario_indirect_prod_4506_iotable_2020_xlsx_3[[#This Row],[2027]]+scenario_indirect_prod_1610_iotable_2020_xlsx_3[[#This Row],[2027]]</f>
        <v>42969.085609178728</v>
      </c>
      <c r="E169">
        <f>scenario_indirect_prod_4506_iotable_2020_xlsx_3[[#This Row],[2028]]+scenario_indirect_prod_1610_iotable_2020_xlsx_3[[#This Row],[2028]]</f>
        <v>44763.481479804301</v>
      </c>
      <c r="F169">
        <f>scenario_indirect_prod_4506_iotable_2020_xlsx_3[[#This Row],[2029]]+scenario_indirect_prod_1610_iotable_2020_xlsx_3[[#This Row],[2029]]</f>
        <v>47200.487882252557</v>
      </c>
      <c r="G169">
        <f>scenario_indirect_prod_4506_iotable_2020_xlsx_3[[#This Row],[2030]]+scenario_indirect_prod_1610_iotable_2020_xlsx_3[[#This Row],[2030]]</f>
        <v>55392.476577100548</v>
      </c>
      <c r="H169">
        <f>scenario_indirect_prod_4506_iotable_2020_xlsx_3[[#This Row],[2031]]+scenario_indirect_prod_1610_iotable_2020_xlsx_3[[#This Row],[2031]]</f>
        <v>57813.474803992664</v>
      </c>
      <c r="I169">
        <f>scenario_indirect_prod_4506_iotable_2020_xlsx_3[[#This Row],[2032]]+scenario_indirect_prod_1610_iotable_2020_xlsx_3[[#This Row],[2032]]</f>
        <v>61194.614274783016</v>
      </c>
      <c r="J169">
        <f>scenario_indirect_prod_4506_iotable_2020_xlsx_3[[#This Row],[2033]]+scenario_indirect_prod_1610_iotable_2020_xlsx_3[[#This Row],[2033]]</f>
        <v>71908.145600585747</v>
      </c>
      <c r="K169">
        <f>scenario_indirect_prod_4506_iotable_2020_xlsx_3[[#This Row],[2034]]+scenario_indirect_prod_1610_iotable_2020_xlsx_3[[#This Row],[2034]]</f>
        <v>75054.472164463819</v>
      </c>
      <c r="L169">
        <f>scenario_indirect_prod_4506_iotable_2020_xlsx_3[[#This Row],[2035]]+scenario_indirect_prod_1610_iotable_2020_xlsx_3[[#This Row],[2035]]</f>
        <v>89755.811839157774</v>
      </c>
      <c r="M169">
        <f>scenario_indirect_prod_4506_iotable_2020_xlsx_3[[#This Row],[2036]]+scenario_indirect_prod_1610_iotable_2020_xlsx_3[[#This Row],[2036]]</f>
        <v>97075.191279670951</v>
      </c>
      <c r="N169">
        <f>scenario_indirect_prod_4506_iotable_2020_xlsx_3[[#This Row],[2037]]+scenario_indirect_prod_1610_iotable_2020_xlsx_3[[#This Row],[2037]]</f>
        <v>103600.96358582415</v>
      </c>
      <c r="O169">
        <f>scenario_indirect_prod_4506_iotable_2020_xlsx_3[[#This Row],[2038]]+scenario_indirect_prod_1610_iotable_2020_xlsx_3[[#This Row],[2038]]</f>
        <v>103600.96358582415</v>
      </c>
      <c r="P169">
        <f>scenario_indirect_prod_4506_iotable_2020_xlsx_3[[#This Row],[2039]]+scenario_indirect_prod_1610_iotable_2020_xlsx_3[[#This Row],[2039]]</f>
        <v>103600.96358582415</v>
      </c>
      <c r="Q169">
        <f>scenario_indirect_prod_4506_iotable_2020_xlsx_3[[#This Row],[2040]]+scenario_indirect_prod_1610_iotable_2020_xlsx_3[[#This Row],[2040]]</f>
        <v>109308.20537325618</v>
      </c>
      <c r="R169">
        <f>scenario_indirect_prod_4506_iotable_2020_xlsx_3[[#This Row],[2041]]+scenario_indirect_prod_1610_iotable_2020_xlsx_3[[#This Row],[2041]]</f>
        <v>109308.20537325618</v>
      </c>
      <c r="S169">
        <f>scenario_indirect_prod_4506_iotable_2020_xlsx_3[[#This Row],[2042]]+scenario_indirect_prod_1610_iotable_2020_xlsx_3[[#This Row],[2042]]</f>
        <v>115676.35003743098</v>
      </c>
      <c r="T169">
        <f>scenario_indirect_prod_4506_iotable_2020_xlsx_3[[#This Row],[2043]]+scenario_indirect_prod_1610_iotable_2020_xlsx_3[[#This Row],[2043]]</f>
        <v>115676.35003743098</v>
      </c>
      <c r="U169">
        <f>scenario_indirect_prod_4506_iotable_2020_xlsx_3[[#This Row],[2044]]+scenario_indirect_prod_1610_iotable_2020_xlsx_3[[#This Row],[2044]]</f>
        <v>121524.3393418562</v>
      </c>
      <c r="V169">
        <f>scenario_indirect_prod_4506_iotable_2020_xlsx_3[[#This Row],[2045]]+scenario_indirect_prod_1610_iotable_2020_xlsx_3[[#This Row],[2045]]</f>
        <v>121524.3393418562</v>
      </c>
      <c r="W169">
        <f>scenario_indirect_prod_4506_iotable_2020_xlsx_3[[#This Row],[2046]]+scenario_indirect_prod_1610_iotable_2020_xlsx_3[[#This Row],[2046]]</f>
        <v>126569.77437714353</v>
      </c>
      <c r="X169">
        <f>scenario_indirect_prod_4506_iotable_2020_xlsx_3[[#This Row],[2047]]+scenario_indirect_prod_1610_iotable_2020_xlsx_3[[#This Row],[2047]]</f>
        <v>126569.77437714353</v>
      </c>
      <c r="Y169">
        <f>scenario_indirect_prod_4506_iotable_2020_xlsx_3[[#This Row],[2048]]+scenario_indirect_prod_1610_iotable_2020_xlsx_3[[#This Row],[2048]]</f>
        <v>126569.77437714353</v>
      </c>
      <c r="Z169">
        <f>scenario_indirect_prod_4506_iotable_2020_xlsx_3[[#This Row],[2049]]+scenario_indirect_prod_1610_iotable_2020_xlsx_3[[#This Row],[2049]]</f>
        <v>126569.77437714353</v>
      </c>
      <c r="AA169">
        <f>scenario_indirect_prod_4506_iotable_2020_xlsx_3[[#This Row],[2050]]+scenario_indirect_prod_1610_iotable_2020_xlsx_3[[#This Row],[2050]]</f>
        <v>126569.77437714353</v>
      </c>
    </row>
    <row r="170" spans="1:27" x14ac:dyDescent="0.2">
      <c r="A170" t="s">
        <v>509</v>
      </c>
      <c r="B170" t="s">
        <v>510</v>
      </c>
      <c r="C170">
        <f>scenario_indirect_prod_4506_iotable_2020_xlsx_3[[#This Row],[2026]]+scenario_indirect_prod_1610_iotable_2020_xlsx_3[[#This Row],[2026]]</f>
        <v>14159.404241687937</v>
      </c>
      <c r="D170">
        <f>scenario_indirect_prod_4506_iotable_2020_xlsx_3[[#This Row],[2027]]+scenario_indirect_prod_1610_iotable_2020_xlsx_3[[#This Row],[2027]]</f>
        <v>14723.983216928005</v>
      </c>
      <c r="E170">
        <f>scenario_indirect_prod_4506_iotable_2020_xlsx_3[[#This Row],[2028]]+scenario_indirect_prod_1610_iotable_2020_xlsx_3[[#This Row],[2028]]</f>
        <v>15385.396902223958</v>
      </c>
      <c r="F170">
        <f>scenario_indirect_prod_4506_iotable_2020_xlsx_3[[#This Row],[2029]]+scenario_indirect_prod_1610_iotable_2020_xlsx_3[[#This Row],[2029]]</f>
        <v>16082.061535297726</v>
      </c>
      <c r="G170">
        <f>scenario_indirect_prod_4506_iotable_2020_xlsx_3[[#This Row],[2030]]+scenario_indirect_prod_1610_iotable_2020_xlsx_3[[#This Row],[2030]]</f>
        <v>17392.665965903987</v>
      </c>
      <c r="H170">
        <f>scenario_indirect_prod_4506_iotable_2020_xlsx_3[[#This Row],[2031]]+scenario_indirect_prod_1610_iotable_2020_xlsx_3[[#This Row],[2031]]</f>
        <v>18285.045058810294</v>
      </c>
      <c r="I170">
        <f>scenario_indirect_prod_4506_iotable_2020_xlsx_3[[#This Row],[2032]]+scenario_indirect_prod_1610_iotable_2020_xlsx_3[[#This Row],[2032]]</f>
        <v>19531.331875718435</v>
      </c>
      <c r="J170">
        <f>scenario_indirect_prod_4506_iotable_2020_xlsx_3[[#This Row],[2033]]+scenario_indirect_prod_1610_iotable_2020_xlsx_3[[#This Row],[2033]]</f>
        <v>22526.990107531703</v>
      </c>
      <c r="K170">
        <f>scenario_indirect_prod_4506_iotable_2020_xlsx_3[[#This Row],[2034]]+scenario_indirect_prod_1610_iotable_2020_xlsx_3[[#This Row],[2034]]</f>
        <v>23686.72496973558</v>
      </c>
      <c r="L170">
        <f>scenario_indirect_prod_4506_iotable_2020_xlsx_3[[#This Row],[2035]]+scenario_indirect_prod_1610_iotable_2020_xlsx_3[[#This Row],[2035]]</f>
        <v>27898.811771623579</v>
      </c>
      <c r="M170">
        <f>scenario_indirect_prod_4506_iotable_2020_xlsx_3[[#This Row],[2036]]+scenario_indirect_prod_1610_iotable_2020_xlsx_3[[#This Row],[2036]]</f>
        <v>29804.598367018345</v>
      </c>
      <c r="N170">
        <f>scenario_indirect_prod_4506_iotable_2020_xlsx_3[[#This Row],[2037]]+scenario_indirect_prod_1610_iotable_2020_xlsx_3[[#This Row],[2037]]</f>
        <v>31517.507529860217</v>
      </c>
      <c r="O170">
        <f>scenario_indirect_prod_4506_iotable_2020_xlsx_3[[#This Row],[2038]]+scenario_indirect_prod_1610_iotable_2020_xlsx_3[[#This Row],[2038]]</f>
        <v>31517.507529860217</v>
      </c>
      <c r="P170">
        <f>scenario_indirect_prod_4506_iotable_2020_xlsx_3[[#This Row],[2039]]+scenario_indirect_prod_1610_iotable_2020_xlsx_3[[#This Row],[2039]]</f>
        <v>31517.507529860217</v>
      </c>
      <c r="Q170">
        <f>scenario_indirect_prod_4506_iotable_2020_xlsx_3[[#This Row],[2040]]+scenario_indirect_prod_1610_iotable_2020_xlsx_3[[#This Row],[2040]]</f>
        <v>33013.254678602643</v>
      </c>
      <c r="R170">
        <f>scenario_indirect_prod_4506_iotable_2020_xlsx_3[[#This Row],[2041]]+scenario_indirect_prod_1610_iotable_2020_xlsx_3[[#This Row],[2041]]</f>
        <v>33013.254678602643</v>
      </c>
      <c r="S170">
        <f>scenario_indirect_prod_4506_iotable_2020_xlsx_3[[#This Row],[2042]]+scenario_indirect_prod_1610_iotable_2020_xlsx_3[[#This Row],[2042]]</f>
        <v>34689.53484026128</v>
      </c>
      <c r="T170">
        <f>scenario_indirect_prod_4506_iotable_2020_xlsx_3[[#This Row],[2043]]+scenario_indirect_prod_1610_iotable_2020_xlsx_3[[#This Row],[2043]]</f>
        <v>34689.53484026128</v>
      </c>
      <c r="U170">
        <f>scenario_indirect_prod_4506_iotable_2020_xlsx_3[[#This Row],[2044]]+scenario_indirect_prod_1610_iotable_2020_xlsx_3[[#This Row],[2044]]</f>
        <v>36206.965618707662</v>
      </c>
      <c r="V170">
        <f>scenario_indirect_prod_4506_iotable_2020_xlsx_3[[#This Row],[2045]]+scenario_indirect_prod_1610_iotable_2020_xlsx_3[[#This Row],[2045]]</f>
        <v>36206.965618707662</v>
      </c>
      <c r="W170">
        <f>scenario_indirect_prod_4506_iotable_2020_xlsx_3[[#This Row],[2046]]+scenario_indirect_prod_1610_iotable_2020_xlsx_3[[#This Row],[2046]]</f>
        <v>37523.35627260348</v>
      </c>
      <c r="X170">
        <f>scenario_indirect_prod_4506_iotable_2020_xlsx_3[[#This Row],[2047]]+scenario_indirect_prod_1610_iotable_2020_xlsx_3[[#This Row],[2047]]</f>
        <v>37523.35627260348</v>
      </c>
      <c r="Y170">
        <f>scenario_indirect_prod_4506_iotable_2020_xlsx_3[[#This Row],[2048]]+scenario_indirect_prod_1610_iotable_2020_xlsx_3[[#This Row],[2048]]</f>
        <v>37523.35627260348</v>
      </c>
      <c r="Z170">
        <f>scenario_indirect_prod_4506_iotable_2020_xlsx_3[[#This Row],[2049]]+scenario_indirect_prod_1610_iotable_2020_xlsx_3[[#This Row],[2049]]</f>
        <v>37523.35627260348</v>
      </c>
      <c r="AA170">
        <f>scenario_indirect_prod_4506_iotable_2020_xlsx_3[[#This Row],[2050]]+scenario_indirect_prod_1610_iotable_2020_xlsx_3[[#This Row],[2050]]</f>
        <v>37523.35627260348</v>
      </c>
    </row>
    <row r="171" spans="1:27" x14ac:dyDescent="0.2">
      <c r="A171" t="s">
        <v>702</v>
      </c>
      <c r="B171" t="s">
        <v>703</v>
      </c>
      <c r="C171">
        <f>scenario_indirect_prod_4506_iotable_2020_xlsx_3[[#This Row],[2026]]+scenario_indirect_prod_1610_iotable_2020_xlsx_3[[#This Row],[2026]]</f>
        <v>-910.99719542205503</v>
      </c>
      <c r="D171">
        <f>scenario_indirect_prod_4506_iotable_2020_xlsx_3[[#This Row],[2027]]+scenario_indirect_prod_1610_iotable_2020_xlsx_3[[#This Row],[2027]]</f>
        <v>-4092.0055295796737</v>
      </c>
      <c r="E171">
        <f>scenario_indirect_prod_4506_iotable_2020_xlsx_3[[#This Row],[2028]]+scenario_indirect_prod_1610_iotable_2020_xlsx_3[[#This Row],[2028]]</f>
        <v>-3947.6521091742147</v>
      </c>
      <c r="F171">
        <f>scenario_indirect_prod_4506_iotable_2020_xlsx_3[[#This Row],[2029]]+scenario_indirect_prod_1610_iotable_2020_xlsx_3[[#This Row],[2029]]</f>
        <v>-5117.2963477781504</v>
      </c>
      <c r="G171">
        <f>scenario_indirect_prod_4506_iotable_2020_xlsx_3[[#This Row],[2030]]+scenario_indirect_prod_1610_iotable_2020_xlsx_3[[#This Row],[2030]]</f>
        <v>-16034.373047773188</v>
      </c>
      <c r="H171">
        <f>scenario_indirect_prod_4506_iotable_2020_xlsx_3[[#This Row],[2031]]+scenario_indirect_prod_1610_iotable_2020_xlsx_3[[#This Row],[2031]]</f>
        <v>-15839.611467807244</v>
      </c>
      <c r="I171">
        <f>scenario_indirect_prod_4506_iotable_2020_xlsx_3[[#This Row],[2032]]+scenario_indirect_prod_1610_iotable_2020_xlsx_3[[#This Row],[2032]]</f>
        <v>-15567.609589366493</v>
      </c>
      <c r="J171">
        <f>scenario_indirect_prod_4506_iotable_2020_xlsx_3[[#This Row],[2033]]+scenario_indirect_prod_1610_iotable_2020_xlsx_3[[#This Row],[2033]]</f>
        <v>-21163.48203933761</v>
      </c>
      <c r="K171">
        <f>scenario_indirect_prod_4506_iotable_2020_xlsx_3[[#This Row],[2034]]+scenario_indirect_prod_1610_iotable_2020_xlsx_3[[#This Row],[2034]]</f>
        <v>-20910.370109777716</v>
      </c>
      <c r="L171">
        <f>scenario_indirect_prod_4506_iotable_2020_xlsx_3[[#This Row],[2035]]+scenario_indirect_prod_1610_iotable_2020_xlsx_3[[#This Row],[2035]]</f>
        <v>-27902.424866534271</v>
      </c>
      <c r="M171">
        <f>scenario_indirect_prod_4506_iotable_2020_xlsx_3[[#This Row],[2036]]+scenario_indirect_prod_1610_iotable_2020_xlsx_3[[#This Row],[2036]]</f>
        <v>-32679.336405691265</v>
      </c>
      <c r="N171">
        <f>scenario_indirect_prod_4506_iotable_2020_xlsx_3[[#This Row],[2037]]+scenario_indirect_prod_1610_iotable_2020_xlsx_3[[#This Row],[2037]]</f>
        <v>-36845.113084148368</v>
      </c>
      <c r="O171">
        <f>scenario_indirect_prod_4506_iotable_2020_xlsx_3[[#This Row],[2038]]+scenario_indirect_prod_1610_iotable_2020_xlsx_3[[#This Row],[2038]]</f>
        <v>-36845.113084148368</v>
      </c>
      <c r="P171">
        <f>scenario_indirect_prod_4506_iotable_2020_xlsx_3[[#This Row],[2039]]+scenario_indirect_prod_1610_iotable_2020_xlsx_3[[#This Row],[2039]]</f>
        <v>-36845.113084148368</v>
      </c>
      <c r="Q171">
        <f>scenario_indirect_prod_4506_iotable_2020_xlsx_3[[#This Row],[2040]]+scenario_indirect_prod_1610_iotable_2020_xlsx_3[[#This Row],[2040]]</f>
        <v>-40504.029107016213</v>
      </c>
      <c r="R171">
        <f>scenario_indirect_prod_4506_iotable_2020_xlsx_3[[#This Row],[2041]]+scenario_indirect_prod_1610_iotable_2020_xlsx_3[[#This Row],[2041]]</f>
        <v>-40504.029107016213</v>
      </c>
      <c r="S171">
        <f>scenario_indirect_prod_4506_iotable_2020_xlsx_3[[#This Row],[2042]]+scenario_indirect_prod_1610_iotable_2020_xlsx_3[[#This Row],[2042]]</f>
        <v>-44537.036753748827</v>
      </c>
      <c r="T171">
        <f>scenario_indirect_prod_4506_iotable_2020_xlsx_3[[#This Row],[2043]]+scenario_indirect_prod_1610_iotable_2020_xlsx_3[[#This Row],[2043]]</f>
        <v>-44537.036753748827</v>
      </c>
      <c r="U171">
        <f>scenario_indirect_prod_4506_iotable_2020_xlsx_3[[#This Row],[2044]]+scenario_indirect_prod_1610_iotable_2020_xlsx_3[[#This Row],[2044]]</f>
        <v>-48389.169797131603</v>
      </c>
      <c r="V171">
        <f>scenario_indirect_prod_4506_iotable_2020_xlsx_3[[#This Row],[2045]]+scenario_indirect_prod_1610_iotable_2020_xlsx_3[[#This Row],[2045]]</f>
        <v>-48389.169797131603</v>
      </c>
      <c r="W171">
        <f>scenario_indirect_prod_4506_iotable_2020_xlsx_3[[#This Row],[2046]]+scenario_indirect_prod_1610_iotable_2020_xlsx_3[[#This Row],[2046]]</f>
        <v>-51663.840646305318</v>
      </c>
      <c r="X171">
        <f>scenario_indirect_prod_4506_iotable_2020_xlsx_3[[#This Row],[2047]]+scenario_indirect_prod_1610_iotable_2020_xlsx_3[[#This Row],[2047]]</f>
        <v>-51663.840646305318</v>
      </c>
      <c r="Y171">
        <f>scenario_indirect_prod_4506_iotable_2020_xlsx_3[[#This Row],[2048]]+scenario_indirect_prod_1610_iotable_2020_xlsx_3[[#This Row],[2048]]</f>
        <v>-51663.840646305318</v>
      </c>
      <c r="Z171">
        <f>scenario_indirect_prod_4506_iotable_2020_xlsx_3[[#This Row],[2049]]+scenario_indirect_prod_1610_iotable_2020_xlsx_3[[#This Row],[2049]]</f>
        <v>-51663.840646305318</v>
      </c>
      <c r="AA171">
        <f>scenario_indirect_prod_4506_iotable_2020_xlsx_3[[#This Row],[2050]]+scenario_indirect_prod_1610_iotable_2020_xlsx_3[[#This Row],[2050]]</f>
        <v>-51663.840646305318</v>
      </c>
    </row>
    <row r="172" spans="1:27" x14ac:dyDescent="0.2">
      <c r="A172" t="s">
        <v>498</v>
      </c>
      <c r="B172" t="s">
        <v>201</v>
      </c>
      <c r="C172">
        <f>scenario_indirect_prod_4506_iotable_2020_xlsx_3[[#This Row],[2026]]+scenario_indirect_prod_1610_iotable_2020_xlsx_3[[#This Row],[2026]]</f>
        <v>18713.936995897438</v>
      </c>
      <c r="D172">
        <f>scenario_indirect_prod_4506_iotable_2020_xlsx_3[[#This Row],[2027]]+scenario_indirect_prod_1610_iotable_2020_xlsx_3[[#This Row],[2027]]</f>
        <v>19661.581425368844</v>
      </c>
      <c r="E172">
        <f>scenario_indirect_prod_4506_iotable_2020_xlsx_3[[#This Row],[2028]]+scenario_indirect_prod_1610_iotable_2020_xlsx_3[[#This Row],[2028]]</f>
        <v>20523.772175983573</v>
      </c>
      <c r="F172">
        <f>scenario_indirect_prod_4506_iotable_2020_xlsx_3[[#This Row],[2029]]+scenario_indirect_prod_1610_iotable_2020_xlsx_3[[#This Row],[2029]]</f>
        <v>21516.58788690966</v>
      </c>
      <c r="G172">
        <f>scenario_indirect_prod_4506_iotable_2020_xlsx_3[[#This Row],[2030]]+scenario_indirect_prod_1610_iotable_2020_xlsx_3[[#This Row],[2030]]</f>
        <v>23942.756743972619</v>
      </c>
      <c r="H172">
        <f>scenario_indirect_prod_4506_iotable_2020_xlsx_3[[#This Row],[2031]]+scenario_indirect_prod_1610_iotable_2020_xlsx_3[[#This Row],[2031]]</f>
        <v>25106.024177124549</v>
      </c>
      <c r="I172">
        <f>scenario_indirect_prod_4506_iotable_2020_xlsx_3[[#This Row],[2032]]+scenario_indirect_prod_1610_iotable_2020_xlsx_3[[#This Row],[2032]]</f>
        <v>26730.630667796813</v>
      </c>
      <c r="J172">
        <f>scenario_indirect_prod_4506_iotable_2020_xlsx_3[[#This Row],[2033]]+scenario_indirect_prod_1610_iotable_2020_xlsx_3[[#This Row],[2033]]</f>
        <v>31036.024839348458</v>
      </c>
      <c r="K172">
        <f>scenario_indirect_prod_4506_iotable_2020_xlsx_3[[#This Row],[2034]]+scenario_indirect_prod_1610_iotable_2020_xlsx_3[[#This Row],[2034]]</f>
        <v>32547.805882872242</v>
      </c>
      <c r="L172">
        <f>scenario_indirect_prod_4506_iotable_2020_xlsx_3[[#This Row],[2035]]+scenario_indirect_prod_1610_iotable_2020_xlsx_3[[#This Row],[2035]]</f>
        <v>38545.338308846229</v>
      </c>
      <c r="M172">
        <f>scenario_indirect_prod_4506_iotable_2020_xlsx_3[[#This Row],[2036]]+scenario_indirect_prod_1610_iotable_2020_xlsx_3[[#This Row],[2036]]</f>
        <v>41362.317316529763</v>
      </c>
      <c r="N172">
        <f>scenario_indirect_prod_4506_iotable_2020_xlsx_3[[#This Row],[2037]]+scenario_indirect_prod_1610_iotable_2020_xlsx_3[[#This Row],[2037]]</f>
        <v>43886.020710987199</v>
      </c>
      <c r="O172">
        <f>scenario_indirect_prod_4506_iotable_2020_xlsx_3[[#This Row],[2038]]+scenario_indirect_prod_1610_iotable_2020_xlsx_3[[#This Row],[2038]]</f>
        <v>43886.020710987199</v>
      </c>
      <c r="P172">
        <f>scenario_indirect_prod_4506_iotable_2020_xlsx_3[[#This Row],[2039]]+scenario_indirect_prod_1610_iotable_2020_xlsx_3[[#This Row],[2039]]</f>
        <v>43886.020710987199</v>
      </c>
      <c r="Q172">
        <f>scenario_indirect_prod_4506_iotable_2020_xlsx_3[[#This Row],[2040]]+scenario_indirect_prod_1610_iotable_2020_xlsx_3[[#This Row],[2040]]</f>
        <v>46091.132858728874</v>
      </c>
      <c r="R172">
        <f>scenario_indirect_prod_4506_iotable_2020_xlsx_3[[#This Row],[2041]]+scenario_indirect_prod_1610_iotable_2020_xlsx_3[[#This Row],[2041]]</f>
        <v>46091.132858728874</v>
      </c>
      <c r="S172">
        <f>scenario_indirect_prod_4506_iotable_2020_xlsx_3[[#This Row],[2042]]+scenario_indirect_prod_1610_iotable_2020_xlsx_3[[#This Row],[2042]]</f>
        <v>48558.070331366311</v>
      </c>
      <c r="T172">
        <f>scenario_indirect_prod_4506_iotable_2020_xlsx_3[[#This Row],[2043]]+scenario_indirect_prod_1610_iotable_2020_xlsx_3[[#This Row],[2043]]</f>
        <v>48558.070331366311</v>
      </c>
      <c r="U172">
        <f>scenario_indirect_prod_4506_iotable_2020_xlsx_3[[#This Row],[2044]]+scenario_indirect_prod_1610_iotable_2020_xlsx_3[[#This Row],[2044]]</f>
        <v>50804.129846367752</v>
      </c>
      <c r="V172">
        <f>scenario_indirect_prod_4506_iotable_2020_xlsx_3[[#This Row],[2045]]+scenario_indirect_prod_1610_iotable_2020_xlsx_3[[#This Row],[2045]]</f>
        <v>50804.129846367752</v>
      </c>
      <c r="W172">
        <f>scenario_indirect_prod_4506_iotable_2020_xlsx_3[[#This Row],[2046]]+scenario_indirect_prod_1610_iotable_2020_xlsx_3[[#This Row],[2046]]</f>
        <v>52748.31629739159</v>
      </c>
      <c r="X172">
        <f>scenario_indirect_prod_4506_iotable_2020_xlsx_3[[#This Row],[2047]]+scenario_indirect_prod_1610_iotable_2020_xlsx_3[[#This Row],[2047]]</f>
        <v>52748.31629739159</v>
      </c>
      <c r="Y172">
        <f>scenario_indirect_prod_4506_iotable_2020_xlsx_3[[#This Row],[2048]]+scenario_indirect_prod_1610_iotable_2020_xlsx_3[[#This Row],[2048]]</f>
        <v>52748.31629739159</v>
      </c>
      <c r="Z172">
        <f>scenario_indirect_prod_4506_iotable_2020_xlsx_3[[#This Row],[2049]]+scenario_indirect_prod_1610_iotable_2020_xlsx_3[[#This Row],[2049]]</f>
        <v>52748.31629739159</v>
      </c>
      <c r="AA172">
        <f>scenario_indirect_prod_4506_iotable_2020_xlsx_3[[#This Row],[2050]]+scenario_indirect_prod_1610_iotable_2020_xlsx_3[[#This Row],[2050]]</f>
        <v>52748.31629739159</v>
      </c>
    </row>
    <row r="173" spans="1:27" x14ac:dyDescent="0.2">
      <c r="A173" t="s">
        <v>513</v>
      </c>
      <c r="B173" t="s">
        <v>514</v>
      </c>
      <c r="C173">
        <f>scenario_indirect_prod_4506_iotable_2020_xlsx_3[[#This Row],[2026]]+scenario_indirect_prod_1610_iotable_2020_xlsx_3[[#This Row],[2026]]</f>
        <v>12522.938048090356</v>
      </c>
      <c r="D173">
        <f>scenario_indirect_prod_4506_iotable_2020_xlsx_3[[#This Row],[2027]]+scenario_indirect_prod_1610_iotable_2020_xlsx_3[[#This Row],[2027]]</f>
        <v>11861.184436497684</v>
      </c>
      <c r="E173">
        <f>scenario_indirect_prod_4506_iotable_2020_xlsx_3[[#This Row],[2028]]+scenario_indirect_prod_1610_iotable_2020_xlsx_3[[#This Row],[2028]]</f>
        <v>12515.165775833522</v>
      </c>
      <c r="F173">
        <f>scenario_indirect_prod_4506_iotable_2020_xlsx_3[[#This Row],[2029]]+scenario_indirect_prod_1610_iotable_2020_xlsx_3[[#This Row],[2029]]</f>
        <v>12716.006545160615</v>
      </c>
      <c r="G173">
        <f>scenario_indirect_prod_4506_iotable_2020_xlsx_3[[#This Row],[2030]]+scenario_indirect_prod_1610_iotable_2020_xlsx_3[[#This Row],[2030]]</f>
        <v>9875.4642178130853</v>
      </c>
      <c r="H173">
        <f>scenario_indirect_prod_4506_iotable_2020_xlsx_3[[#This Row],[2031]]+scenario_indirect_prod_1610_iotable_2020_xlsx_3[[#This Row],[2031]]</f>
        <v>10757.81559237382</v>
      </c>
      <c r="I173">
        <f>scenario_indirect_prod_4506_iotable_2020_xlsx_3[[#This Row],[2032]]+scenario_indirect_prod_1610_iotable_2020_xlsx_3[[#This Row],[2032]]</f>
        <v>11990.097808236173</v>
      </c>
      <c r="J173">
        <f>scenario_indirect_prod_4506_iotable_2020_xlsx_3[[#This Row],[2033]]+scenario_indirect_prod_1610_iotable_2020_xlsx_3[[#This Row],[2033]]</f>
        <v>12644.586117185128</v>
      </c>
      <c r="K173">
        <f>scenario_indirect_prod_4506_iotable_2020_xlsx_3[[#This Row],[2034]]+scenario_indirect_prod_1610_iotable_2020_xlsx_3[[#This Row],[2034]]</f>
        <v>13791.288967942113</v>
      </c>
      <c r="L173">
        <f>scenario_indirect_prod_4506_iotable_2020_xlsx_3[[#This Row],[2035]]+scenario_indirect_prod_1610_iotable_2020_xlsx_3[[#This Row],[2035]]</f>
        <v>15035.015106286948</v>
      </c>
      <c r="M173">
        <f>scenario_indirect_prod_4506_iotable_2020_xlsx_3[[#This Row],[2036]]+scenario_indirect_prod_1610_iotable_2020_xlsx_3[[#This Row],[2036]]</f>
        <v>15002.080203306155</v>
      </c>
      <c r="N173">
        <f>scenario_indirect_prod_4506_iotable_2020_xlsx_3[[#This Row],[2037]]+scenario_indirect_prod_1610_iotable_2020_xlsx_3[[#This Row],[2037]]</f>
        <v>15019.621234071132</v>
      </c>
      <c r="O173">
        <f>scenario_indirect_prod_4506_iotable_2020_xlsx_3[[#This Row],[2038]]+scenario_indirect_prod_1610_iotable_2020_xlsx_3[[#This Row],[2038]]</f>
        <v>15019.621234071132</v>
      </c>
      <c r="P173">
        <f>scenario_indirect_prod_4506_iotable_2020_xlsx_3[[#This Row],[2039]]+scenario_indirect_prod_1610_iotable_2020_xlsx_3[[#This Row],[2039]]</f>
        <v>15019.621234071132</v>
      </c>
      <c r="Q173">
        <f>scenario_indirect_prod_4506_iotable_2020_xlsx_3[[#This Row],[2040]]+scenario_indirect_prod_1610_iotable_2020_xlsx_3[[#This Row],[2040]]</f>
        <v>15027.083243463694</v>
      </c>
      <c r="R173">
        <f>scenario_indirect_prod_4506_iotable_2020_xlsx_3[[#This Row],[2041]]+scenario_indirect_prod_1610_iotable_2020_xlsx_3[[#This Row],[2041]]</f>
        <v>15027.083243463694</v>
      </c>
      <c r="S173">
        <f>scenario_indirect_prod_4506_iotable_2020_xlsx_3[[#This Row],[2042]]+scenario_indirect_prod_1610_iotable_2020_xlsx_3[[#This Row],[2042]]</f>
        <v>15060.37956518737</v>
      </c>
      <c r="T173">
        <f>scenario_indirect_prod_4506_iotable_2020_xlsx_3[[#This Row],[2043]]+scenario_indirect_prod_1610_iotable_2020_xlsx_3[[#This Row],[2043]]</f>
        <v>15060.37956518737</v>
      </c>
      <c r="U173">
        <f>scenario_indirect_prod_4506_iotable_2020_xlsx_3[[#This Row],[2044]]+scenario_indirect_prod_1610_iotable_2020_xlsx_3[[#This Row],[2044]]</f>
        <v>15016.19455332512</v>
      </c>
      <c r="V173">
        <f>scenario_indirect_prod_4506_iotable_2020_xlsx_3[[#This Row],[2045]]+scenario_indirect_prod_1610_iotable_2020_xlsx_3[[#This Row],[2045]]</f>
        <v>15016.19455332512</v>
      </c>
      <c r="W173">
        <f>scenario_indirect_prod_4506_iotable_2020_xlsx_3[[#This Row],[2046]]+scenario_indirect_prod_1610_iotable_2020_xlsx_3[[#This Row],[2046]]</f>
        <v>15002.639639493478</v>
      </c>
      <c r="X173">
        <f>scenario_indirect_prod_4506_iotable_2020_xlsx_3[[#This Row],[2047]]+scenario_indirect_prod_1610_iotable_2020_xlsx_3[[#This Row],[2047]]</f>
        <v>15002.639639493478</v>
      </c>
      <c r="Y173">
        <f>scenario_indirect_prod_4506_iotable_2020_xlsx_3[[#This Row],[2048]]+scenario_indirect_prod_1610_iotable_2020_xlsx_3[[#This Row],[2048]]</f>
        <v>15002.639639493478</v>
      </c>
      <c r="Z173">
        <f>scenario_indirect_prod_4506_iotable_2020_xlsx_3[[#This Row],[2049]]+scenario_indirect_prod_1610_iotable_2020_xlsx_3[[#This Row],[2049]]</f>
        <v>15002.639639493478</v>
      </c>
      <c r="AA173">
        <f>scenario_indirect_prod_4506_iotable_2020_xlsx_3[[#This Row],[2050]]+scenario_indirect_prod_1610_iotable_2020_xlsx_3[[#This Row],[2050]]</f>
        <v>15002.639639493478</v>
      </c>
    </row>
    <row r="174" spans="1:27" x14ac:dyDescent="0.2">
      <c r="A174" t="s">
        <v>437</v>
      </c>
      <c r="B174" t="s">
        <v>438</v>
      </c>
      <c r="C174">
        <f>scenario_indirect_prod_4506_iotable_2020_xlsx_3[[#This Row],[2026]]+scenario_indirect_prod_1610_iotable_2020_xlsx_3[[#This Row],[2026]]</f>
        <v>30391.593859869274</v>
      </c>
      <c r="D174">
        <f>scenario_indirect_prod_4506_iotable_2020_xlsx_3[[#This Row],[2027]]+scenario_indirect_prod_1610_iotable_2020_xlsx_3[[#This Row],[2027]]</f>
        <v>31558.093902908709</v>
      </c>
      <c r="E174">
        <f>scenario_indirect_prod_4506_iotable_2020_xlsx_3[[#This Row],[2028]]+scenario_indirect_prod_1610_iotable_2020_xlsx_3[[#This Row],[2028]]</f>
        <v>32980.437992378458</v>
      </c>
      <c r="F174">
        <f>scenario_indirect_prod_4506_iotable_2020_xlsx_3[[#This Row],[2029]]+scenario_indirect_prod_1610_iotable_2020_xlsx_3[[#This Row],[2029]]</f>
        <v>34459.545929252279</v>
      </c>
      <c r="G174">
        <f>scenario_indirect_prod_4506_iotable_2020_xlsx_3[[#This Row],[2030]]+scenario_indirect_prod_1610_iotable_2020_xlsx_3[[#This Row],[2030]]</f>
        <v>37116.543126882418</v>
      </c>
      <c r="H174">
        <f>scenario_indirect_prod_4506_iotable_2020_xlsx_3[[#This Row],[2031]]+scenario_indirect_prod_1610_iotable_2020_xlsx_3[[#This Row],[2031]]</f>
        <v>39035.569231995032</v>
      </c>
      <c r="I174">
        <f>scenario_indirect_prod_4506_iotable_2020_xlsx_3[[#This Row],[2032]]+scenario_indirect_prod_1610_iotable_2020_xlsx_3[[#This Row],[2032]]</f>
        <v>41715.659963743616</v>
      </c>
      <c r="J174">
        <f>scenario_indirect_prod_4506_iotable_2020_xlsx_3[[#This Row],[2033]]+scenario_indirect_prod_1610_iotable_2020_xlsx_3[[#This Row],[2033]]</f>
        <v>48067.664461756976</v>
      </c>
      <c r="K174">
        <f>scenario_indirect_prod_4506_iotable_2020_xlsx_3[[#This Row],[2034]]+scenario_indirect_prod_1610_iotable_2020_xlsx_3[[#This Row],[2034]]</f>
        <v>50561.62862258259</v>
      </c>
      <c r="L174">
        <f>scenario_indirect_prod_4506_iotable_2020_xlsx_3[[#This Row],[2035]]+scenario_indirect_prod_1610_iotable_2020_xlsx_3[[#This Row],[2035]]</f>
        <v>59505.574816238688</v>
      </c>
      <c r="M174">
        <f>scenario_indirect_prod_4506_iotable_2020_xlsx_3[[#This Row],[2036]]+scenario_indirect_prod_1610_iotable_2020_xlsx_3[[#This Row],[2036]]</f>
        <v>63529.079209004718</v>
      </c>
      <c r="N174">
        <f>scenario_indirect_prod_4506_iotable_2020_xlsx_3[[#This Row],[2037]]+scenario_indirect_prod_1610_iotable_2020_xlsx_3[[#This Row],[2037]]</f>
        <v>67147.219525962297</v>
      </c>
      <c r="O174">
        <f>scenario_indirect_prod_4506_iotable_2020_xlsx_3[[#This Row],[2038]]+scenario_indirect_prod_1610_iotable_2020_xlsx_3[[#This Row],[2038]]</f>
        <v>67147.219525962297</v>
      </c>
      <c r="P174">
        <f>scenario_indirect_prod_4506_iotable_2020_xlsx_3[[#This Row],[2039]]+scenario_indirect_prod_1610_iotable_2020_xlsx_3[[#This Row],[2039]]</f>
        <v>67147.219525962297</v>
      </c>
      <c r="Q174">
        <f>scenario_indirect_prod_4506_iotable_2020_xlsx_3[[#This Row],[2040]]+scenario_indirect_prod_1610_iotable_2020_xlsx_3[[#This Row],[2040]]</f>
        <v>70306.346786559225</v>
      </c>
      <c r="R174">
        <f>scenario_indirect_prod_4506_iotable_2020_xlsx_3[[#This Row],[2041]]+scenario_indirect_prod_1610_iotable_2020_xlsx_3[[#This Row],[2041]]</f>
        <v>70306.346786559225</v>
      </c>
      <c r="S174">
        <f>scenario_indirect_prod_4506_iotable_2020_xlsx_3[[#This Row],[2042]]+scenario_indirect_prod_1610_iotable_2020_xlsx_3[[#This Row],[2042]]</f>
        <v>73847.745889959304</v>
      </c>
      <c r="T174">
        <f>scenario_indirect_prod_4506_iotable_2020_xlsx_3[[#This Row],[2043]]+scenario_indirect_prod_1610_iotable_2020_xlsx_3[[#This Row],[2043]]</f>
        <v>73847.745889959304</v>
      </c>
      <c r="U174">
        <f>scenario_indirect_prod_4506_iotable_2020_xlsx_3[[#This Row],[2044]]+scenario_indirect_prod_1610_iotable_2020_xlsx_3[[#This Row],[2044]]</f>
        <v>77050.651036117211</v>
      </c>
      <c r="V174">
        <f>scenario_indirect_prod_4506_iotable_2020_xlsx_3[[#This Row],[2045]]+scenario_indirect_prod_1610_iotable_2020_xlsx_3[[#This Row],[2045]]</f>
        <v>77050.651036117211</v>
      </c>
      <c r="W174">
        <f>scenario_indirect_prod_4506_iotable_2020_xlsx_3[[#This Row],[2046]]+scenario_indirect_prod_1610_iotable_2020_xlsx_3[[#This Row],[2046]]</f>
        <v>79830.179094955645</v>
      </c>
      <c r="X174">
        <f>scenario_indirect_prod_4506_iotable_2020_xlsx_3[[#This Row],[2047]]+scenario_indirect_prod_1610_iotable_2020_xlsx_3[[#This Row],[2047]]</f>
        <v>79830.179094955645</v>
      </c>
      <c r="Y174">
        <f>scenario_indirect_prod_4506_iotable_2020_xlsx_3[[#This Row],[2048]]+scenario_indirect_prod_1610_iotable_2020_xlsx_3[[#This Row],[2048]]</f>
        <v>79830.179094955645</v>
      </c>
      <c r="Z174">
        <f>scenario_indirect_prod_4506_iotable_2020_xlsx_3[[#This Row],[2049]]+scenario_indirect_prod_1610_iotable_2020_xlsx_3[[#This Row],[2049]]</f>
        <v>79830.179094955645</v>
      </c>
      <c r="AA174">
        <f>scenario_indirect_prod_4506_iotable_2020_xlsx_3[[#This Row],[2050]]+scenario_indirect_prod_1610_iotable_2020_xlsx_3[[#This Row],[2050]]</f>
        <v>79830.179094955645</v>
      </c>
    </row>
    <row r="175" spans="1:27" x14ac:dyDescent="0.2">
      <c r="A175" t="s">
        <v>694</v>
      </c>
      <c r="B175" t="s">
        <v>695</v>
      </c>
      <c r="C175">
        <f>scenario_indirect_prod_4506_iotable_2020_xlsx_3[[#This Row],[2026]]+scenario_indirect_prod_1610_iotable_2020_xlsx_3[[#This Row],[2026]]</f>
        <v>3128.5694243494054</v>
      </c>
      <c r="D175">
        <f>scenario_indirect_prod_4506_iotable_2020_xlsx_3[[#This Row],[2027]]+scenario_indirect_prod_1610_iotable_2020_xlsx_3[[#This Row],[2027]]</f>
        <v>3206.8955616527505</v>
      </c>
      <c r="E175">
        <f>scenario_indirect_prod_4506_iotable_2020_xlsx_3[[#This Row],[2028]]+scenario_indirect_prod_1610_iotable_2020_xlsx_3[[#This Row],[2028]]</f>
        <v>3355.7962056335141</v>
      </c>
      <c r="F175">
        <f>scenario_indirect_prod_4506_iotable_2020_xlsx_3[[#This Row],[2029]]+scenario_indirect_prod_1610_iotable_2020_xlsx_3[[#This Row],[2029]]</f>
        <v>3493.1228677093122</v>
      </c>
      <c r="G175">
        <f>scenario_indirect_prod_4506_iotable_2020_xlsx_3[[#This Row],[2030]]+scenario_indirect_prod_1610_iotable_2020_xlsx_3[[#This Row],[2030]]</f>
        <v>3622.8002049297938</v>
      </c>
      <c r="H175">
        <f>scenario_indirect_prod_4506_iotable_2020_xlsx_3[[#This Row],[2031]]+scenario_indirect_prod_1610_iotable_2020_xlsx_3[[#This Row],[2031]]</f>
        <v>3823.6968972158979</v>
      </c>
      <c r="I175">
        <f>scenario_indirect_prod_4506_iotable_2020_xlsx_3[[#This Row],[2032]]+scenario_indirect_prod_1610_iotable_2020_xlsx_3[[#This Row],[2032]]</f>
        <v>4104.2670059812208</v>
      </c>
      <c r="J175">
        <f>scenario_indirect_prod_4506_iotable_2020_xlsx_3[[#This Row],[2033]]+scenario_indirect_prod_1610_iotable_2020_xlsx_3[[#This Row],[2033]]</f>
        <v>4686.4109031754233</v>
      </c>
      <c r="K175">
        <f>scenario_indirect_prod_4506_iotable_2020_xlsx_3[[#This Row],[2034]]+scenario_indirect_prod_1610_iotable_2020_xlsx_3[[#This Row],[2034]]</f>
        <v>4947.4960177838857</v>
      </c>
      <c r="L175">
        <f>scenario_indirect_prod_4506_iotable_2020_xlsx_3[[#This Row],[2035]]+scenario_indirect_prod_1610_iotable_2020_xlsx_3[[#This Row],[2035]]</f>
        <v>5778.9598597933464</v>
      </c>
      <c r="M175">
        <f>scenario_indirect_prod_4506_iotable_2020_xlsx_3[[#This Row],[2036]]+scenario_indirect_prod_1610_iotable_2020_xlsx_3[[#This Row],[2036]]</f>
        <v>6131.346675681405</v>
      </c>
      <c r="N175">
        <f>scenario_indirect_prod_4506_iotable_2020_xlsx_3[[#This Row],[2037]]+scenario_indirect_prod_1610_iotable_2020_xlsx_3[[#This Row],[2037]]</f>
        <v>6449.9545040483608</v>
      </c>
      <c r="O175">
        <f>scenario_indirect_prod_4506_iotable_2020_xlsx_3[[#This Row],[2038]]+scenario_indirect_prod_1610_iotable_2020_xlsx_3[[#This Row],[2038]]</f>
        <v>6449.9545040483608</v>
      </c>
      <c r="P175">
        <f>scenario_indirect_prod_4506_iotable_2020_xlsx_3[[#This Row],[2039]]+scenario_indirect_prod_1610_iotable_2020_xlsx_3[[#This Row],[2039]]</f>
        <v>6449.9545040483608</v>
      </c>
      <c r="Q175">
        <f>scenario_indirect_prod_4506_iotable_2020_xlsx_3[[#This Row],[2040]]+scenario_indirect_prod_1610_iotable_2020_xlsx_3[[#This Row],[2040]]</f>
        <v>6727.8552987800913</v>
      </c>
      <c r="R175">
        <f>scenario_indirect_prod_4506_iotable_2020_xlsx_3[[#This Row],[2041]]+scenario_indirect_prod_1610_iotable_2020_xlsx_3[[#This Row],[2041]]</f>
        <v>6727.8552987800913</v>
      </c>
      <c r="S175">
        <f>scenario_indirect_prod_4506_iotable_2020_xlsx_3[[#This Row],[2042]]+scenario_indirect_prod_1610_iotable_2020_xlsx_3[[#This Row],[2042]]</f>
        <v>7040.2948751673894</v>
      </c>
      <c r="T175">
        <f>scenario_indirect_prod_4506_iotable_2020_xlsx_3[[#This Row],[2043]]+scenario_indirect_prod_1610_iotable_2020_xlsx_3[[#This Row],[2043]]</f>
        <v>7040.2948751673894</v>
      </c>
      <c r="U175">
        <f>scenario_indirect_prod_4506_iotable_2020_xlsx_3[[#This Row],[2044]]+scenario_indirect_prod_1610_iotable_2020_xlsx_3[[#This Row],[2044]]</f>
        <v>7320.1552070152829</v>
      </c>
      <c r="V175">
        <f>scenario_indirect_prod_4506_iotable_2020_xlsx_3[[#This Row],[2045]]+scenario_indirect_prod_1610_iotable_2020_xlsx_3[[#This Row],[2045]]</f>
        <v>7320.1552070152829</v>
      </c>
      <c r="W175">
        <f>scenario_indirect_prod_4506_iotable_2020_xlsx_3[[#This Row],[2046]]+scenario_indirect_prod_1610_iotable_2020_xlsx_3[[#This Row],[2046]]</f>
        <v>7563.9281725299716</v>
      </c>
      <c r="X175">
        <f>scenario_indirect_prod_4506_iotable_2020_xlsx_3[[#This Row],[2047]]+scenario_indirect_prod_1610_iotable_2020_xlsx_3[[#This Row],[2047]]</f>
        <v>7563.9281725299716</v>
      </c>
      <c r="Y175">
        <f>scenario_indirect_prod_4506_iotable_2020_xlsx_3[[#This Row],[2048]]+scenario_indirect_prod_1610_iotable_2020_xlsx_3[[#This Row],[2048]]</f>
        <v>7563.9281725299716</v>
      </c>
      <c r="Z175">
        <f>scenario_indirect_prod_4506_iotable_2020_xlsx_3[[#This Row],[2049]]+scenario_indirect_prod_1610_iotable_2020_xlsx_3[[#This Row],[2049]]</f>
        <v>7563.9281725299716</v>
      </c>
      <c r="AA175">
        <f>scenario_indirect_prod_4506_iotable_2020_xlsx_3[[#This Row],[2050]]+scenario_indirect_prod_1610_iotable_2020_xlsx_3[[#This Row],[2050]]</f>
        <v>7563.9281725299716</v>
      </c>
    </row>
    <row r="176" spans="1:27" x14ac:dyDescent="0.2">
      <c r="A176" t="s">
        <v>368</v>
      </c>
      <c r="B176" t="s">
        <v>369</v>
      </c>
      <c r="C176">
        <f>scenario_indirect_prod_4506_iotable_2020_xlsx_3[[#This Row],[2026]]+scenario_indirect_prod_1610_iotable_2020_xlsx_3[[#This Row],[2026]]</f>
        <v>104230.84388881354</v>
      </c>
      <c r="D176">
        <f>scenario_indirect_prod_4506_iotable_2020_xlsx_3[[#This Row],[2027]]+scenario_indirect_prod_1610_iotable_2020_xlsx_3[[#This Row],[2027]]</f>
        <v>113534.45162757272</v>
      </c>
      <c r="E176">
        <f>scenario_indirect_prod_4506_iotable_2020_xlsx_3[[#This Row],[2028]]+scenario_indirect_prod_1610_iotable_2020_xlsx_3[[#This Row],[2028]]</f>
        <v>118097.32611453136</v>
      </c>
      <c r="F176">
        <f>scenario_indirect_prod_4506_iotable_2020_xlsx_3[[#This Row],[2029]]+scenario_indirect_prod_1610_iotable_2020_xlsx_3[[#This Row],[2029]]</f>
        <v>125066.89103142875</v>
      </c>
      <c r="G176">
        <f>scenario_indirect_prod_4506_iotable_2020_xlsx_3[[#This Row],[2030]]+scenario_indirect_prod_1610_iotable_2020_xlsx_3[[#This Row],[2030]]</f>
        <v>152446.94849737929</v>
      </c>
      <c r="H176">
        <f>scenario_indirect_prod_4506_iotable_2020_xlsx_3[[#This Row],[2031]]+scenario_indirect_prod_1610_iotable_2020_xlsx_3[[#This Row],[2031]]</f>
        <v>158603.17702158279</v>
      </c>
      <c r="I176">
        <f>scenario_indirect_prod_4506_iotable_2020_xlsx_3[[#This Row],[2032]]+scenario_indirect_prod_1610_iotable_2020_xlsx_3[[#This Row],[2032]]</f>
        <v>167200.89800426632</v>
      </c>
      <c r="J176">
        <f>scenario_indirect_prod_4506_iotable_2020_xlsx_3[[#This Row],[2033]]+scenario_indirect_prod_1610_iotable_2020_xlsx_3[[#This Row],[2033]]</f>
        <v>198097.18583932874</v>
      </c>
      <c r="K176">
        <f>scenario_indirect_prod_4506_iotable_2020_xlsx_3[[#This Row],[2034]]+scenario_indirect_prod_1610_iotable_2020_xlsx_3[[#This Row],[2034]]</f>
        <v>206097.81348285679</v>
      </c>
      <c r="L176">
        <f>scenario_indirect_prod_4506_iotable_2020_xlsx_3[[#This Row],[2035]]+scenario_indirect_prod_1610_iotable_2020_xlsx_3[[#This Row],[2035]]</f>
        <v>248105.86095979236</v>
      </c>
      <c r="M176">
        <f>scenario_indirect_prod_4506_iotable_2020_xlsx_3[[#This Row],[2036]]+scenario_indirect_prod_1610_iotable_2020_xlsx_3[[#This Row],[2036]]</f>
        <v>269753.5436928799</v>
      </c>
      <c r="N176">
        <f>scenario_indirect_prod_4506_iotable_2020_xlsx_3[[#This Row],[2037]]+scenario_indirect_prod_1610_iotable_2020_xlsx_3[[#This Row],[2037]]</f>
        <v>289001.34143915388</v>
      </c>
      <c r="O176">
        <f>scenario_indirect_prod_4506_iotable_2020_xlsx_3[[#This Row],[2038]]+scenario_indirect_prod_1610_iotable_2020_xlsx_3[[#This Row],[2038]]</f>
        <v>289001.34143915388</v>
      </c>
      <c r="P176">
        <f>scenario_indirect_prod_4506_iotable_2020_xlsx_3[[#This Row],[2039]]+scenario_indirect_prod_1610_iotable_2020_xlsx_3[[#This Row],[2039]]</f>
        <v>289001.34143915388</v>
      </c>
      <c r="Q176">
        <f>scenario_indirect_prod_4506_iotable_2020_xlsx_3[[#This Row],[2040]]+scenario_indirect_prod_1610_iotable_2020_xlsx_3[[#This Row],[2040]]</f>
        <v>305843.73580715241</v>
      </c>
      <c r="R176">
        <f>scenario_indirect_prod_4506_iotable_2020_xlsx_3[[#This Row],[2041]]+scenario_indirect_prod_1610_iotable_2020_xlsx_3[[#This Row],[2041]]</f>
        <v>305843.73580715241</v>
      </c>
      <c r="S176">
        <f>scenario_indirect_prod_4506_iotable_2020_xlsx_3[[#This Row],[2042]]+scenario_indirect_prod_1610_iotable_2020_xlsx_3[[#This Row],[2042]]</f>
        <v>324608.42358000402</v>
      </c>
      <c r="T176">
        <f>scenario_indirect_prod_4506_iotable_2020_xlsx_3[[#This Row],[2043]]+scenario_indirect_prod_1610_iotable_2020_xlsx_3[[#This Row],[2043]]</f>
        <v>324608.42358000402</v>
      </c>
      <c r="U176">
        <f>scenario_indirect_prod_4506_iotable_2020_xlsx_3[[#This Row],[2044]]+scenario_indirect_prod_1610_iotable_2020_xlsx_3[[#This Row],[2044]]</f>
        <v>341924.43405022239</v>
      </c>
      <c r="V176">
        <f>scenario_indirect_prod_4506_iotable_2020_xlsx_3[[#This Row],[2045]]+scenario_indirect_prod_1610_iotable_2020_xlsx_3[[#This Row],[2045]]</f>
        <v>341924.43405022239</v>
      </c>
      <c r="W176">
        <f>scenario_indirect_prod_4506_iotable_2020_xlsx_3[[#This Row],[2046]]+scenario_indirect_prod_1610_iotable_2020_xlsx_3[[#This Row],[2046]]</f>
        <v>356836.451170913</v>
      </c>
      <c r="X176">
        <f>scenario_indirect_prod_4506_iotable_2020_xlsx_3[[#This Row],[2047]]+scenario_indirect_prod_1610_iotable_2020_xlsx_3[[#This Row],[2047]]</f>
        <v>356836.451170913</v>
      </c>
      <c r="Y176">
        <f>scenario_indirect_prod_4506_iotable_2020_xlsx_3[[#This Row],[2048]]+scenario_indirect_prod_1610_iotable_2020_xlsx_3[[#This Row],[2048]]</f>
        <v>356836.451170913</v>
      </c>
      <c r="Z176">
        <f>scenario_indirect_prod_4506_iotable_2020_xlsx_3[[#This Row],[2049]]+scenario_indirect_prod_1610_iotable_2020_xlsx_3[[#This Row],[2049]]</f>
        <v>356836.451170913</v>
      </c>
      <c r="AA176">
        <f>scenario_indirect_prod_4506_iotable_2020_xlsx_3[[#This Row],[2050]]+scenario_indirect_prod_1610_iotable_2020_xlsx_3[[#This Row],[2050]]</f>
        <v>356836.451170913</v>
      </c>
    </row>
    <row r="177" spans="1:27" x14ac:dyDescent="0.2">
      <c r="A177" t="s">
        <v>623</v>
      </c>
      <c r="B177" t="s">
        <v>624</v>
      </c>
      <c r="C177">
        <f>scenario_indirect_prod_4506_iotable_2020_xlsx_3[[#This Row],[2026]]+scenario_indirect_prod_1610_iotable_2020_xlsx_3[[#This Row],[2026]]</f>
        <v>5755.0861857667041</v>
      </c>
      <c r="D177">
        <f>scenario_indirect_prod_4506_iotable_2020_xlsx_3[[#This Row],[2027]]+scenario_indirect_prod_1610_iotable_2020_xlsx_3[[#This Row],[2027]]</f>
        <v>5935.9261468074446</v>
      </c>
      <c r="E177">
        <f>scenario_indirect_prod_4506_iotable_2020_xlsx_3[[#This Row],[2028]]+scenario_indirect_prod_1610_iotable_2020_xlsx_3[[#This Row],[2028]]</f>
        <v>6207.6481268525295</v>
      </c>
      <c r="F177">
        <f>scenario_indirect_prod_4506_iotable_2020_xlsx_3[[#This Row],[2029]]+scenario_indirect_prod_1610_iotable_2020_xlsx_3[[#This Row],[2029]]</f>
        <v>6473.4117469302928</v>
      </c>
      <c r="G177">
        <f>scenario_indirect_prod_4506_iotable_2020_xlsx_3[[#This Row],[2030]]+scenario_indirect_prod_1610_iotable_2020_xlsx_3[[#This Row],[2030]]</f>
        <v>6838.5763887138646</v>
      </c>
      <c r="H177">
        <f>scenario_indirect_prod_4506_iotable_2020_xlsx_3[[#This Row],[2031]]+scenario_indirect_prod_1610_iotable_2020_xlsx_3[[#This Row],[2031]]</f>
        <v>7205.1835809536806</v>
      </c>
      <c r="I177">
        <f>scenario_indirect_prod_4506_iotable_2020_xlsx_3[[#This Row],[2032]]+scenario_indirect_prod_1610_iotable_2020_xlsx_3[[#This Row],[2032]]</f>
        <v>7717.1831496394079</v>
      </c>
      <c r="J177">
        <f>scenario_indirect_prod_4506_iotable_2020_xlsx_3[[#This Row],[2033]]+scenario_indirect_prod_1610_iotable_2020_xlsx_3[[#This Row],[2033]]</f>
        <v>8851.2073456370435</v>
      </c>
      <c r="K177">
        <f>scenario_indirect_prod_4506_iotable_2020_xlsx_3[[#This Row],[2034]]+scenario_indirect_prod_1610_iotable_2020_xlsx_3[[#This Row],[2034]]</f>
        <v>9327.6496390019674</v>
      </c>
      <c r="L177">
        <f>scenario_indirect_prod_4506_iotable_2020_xlsx_3[[#This Row],[2035]]+scenario_indirect_prod_1610_iotable_2020_xlsx_3[[#This Row],[2035]]</f>
        <v>10935.709095854418</v>
      </c>
      <c r="M177">
        <f>scenario_indirect_prod_4506_iotable_2020_xlsx_3[[#This Row],[2036]]+scenario_indirect_prod_1610_iotable_2020_xlsx_3[[#This Row],[2036]]</f>
        <v>11638.336172343857</v>
      </c>
      <c r="N177">
        <f>scenario_indirect_prod_4506_iotable_2020_xlsx_3[[#This Row],[2037]]+scenario_indirect_prod_1610_iotable_2020_xlsx_3[[#This Row],[2037]]</f>
        <v>12271.827645399986</v>
      </c>
      <c r="O177">
        <f>scenario_indirect_prod_4506_iotable_2020_xlsx_3[[#This Row],[2038]]+scenario_indirect_prod_1610_iotable_2020_xlsx_3[[#This Row],[2038]]</f>
        <v>12271.827645399986</v>
      </c>
      <c r="P177">
        <f>scenario_indirect_prod_4506_iotable_2020_xlsx_3[[#This Row],[2039]]+scenario_indirect_prod_1610_iotable_2020_xlsx_3[[#This Row],[2039]]</f>
        <v>12271.827645399986</v>
      </c>
      <c r="Q177">
        <f>scenario_indirect_prod_4506_iotable_2020_xlsx_3[[#This Row],[2040]]+scenario_indirect_prod_1610_iotable_2020_xlsx_3[[#This Row],[2040]]</f>
        <v>12824.67627337908</v>
      </c>
      <c r="R177">
        <f>scenario_indirect_prod_4506_iotable_2020_xlsx_3[[#This Row],[2041]]+scenario_indirect_prod_1610_iotable_2020_xlsx_3[[#This Row],[2041]]</f>
        <v>12824.67627337908</v>
      </c>
      <c r="S177">
        <f>scenario_indirect_prod_4506_iotable_2020_xlsx_3[[#This Row],[2042]]+scenario_indirect_prod_1610_iotable_2020_xlsx_3[[#This Row],[2042]]</f>
        <v>13445.29674552635</v>
      </c>
      <c r="T177">
        <f>scenario_indirect_prod_4506_iotable_2020_xlsx_3[[#This Row],[2043]]+scenario_indirect_prod_1610_iotable_2020_xlsx_3[[#This Row],[2043]]</f>
        <v>13445.29674552635</v>
      </c>
      <c r="U177">
        <f>scenario_indirect_prod_4506_iotable_2020_xlsx_3[[#This Row],[2044]]+scenario_indirect_prod_1610_iotable_2020_xlsx_3[[#This Row],[2044]]</f>
        <v>14003.992123961232</v>
      </c>
      <c r="V177">
        <f>scenario_indirect_prod_4506_iotable_2020_xlsx_3[[#This Row],[2045]]+scenario_indirect_prod_1610_iotable_2020_xlsx_3[[#This Row],[2045]]</f>
        <v>14003.992123961232</v>
      </c>
      <c r="W177">
        <f>scenario_indirect_prod_4506_iotable_2020_xlsx_3[[#This Row],[2046]]+scenario_indirect_prod_1610_iotable_2020_xlsx_3[[#This Row],[2046]]</f>
        <v>14489.705300072097</v>
      </c>
      <c r="X177">
        <f>scenario_indirect_prod_4506_iotable_2020_xlsx_3[[#This Row],[2047]]+scenario_indirect_prod_1610_iotable_2020_xlsx_3[[#This Row],[2047]]</f>
        <v>14489.705300072097</v>
      </c>
      <c r="Y177">
        <f>scenario_indirect_prod_4506_iotable_2020_xlsx_3[[#This Row],[2048]]+scenario_indirect_prod_1610_iotable_2020_xlsx_3[[#This Row],[2048]]</f>
        <v>14489.705300072097</v>
      </c>
      <c r="Z177">
        <f>scenario_indirect_prod_4506_iotable_2020_xlsx_3[[#This Row],[2049]]+scenario_indirect_prod_1610_iotable_2020_xlsx_3[[#This Row],[2049]]</f>
        <v>14489.705300072097</v>
      </c>
      <c r="AA177">
        <f>scenario_indirect_prod_4506_iotable_2020_xlsx_3[[#This Row],[2050]]+scenario_indirect_prod_1610_iotable_2020_xlsx_3[[#This Row],[2050]]</f>
        <v>14489.705300072097</v>
      </c>
    </row>
    <row r="178" spans="1:27" x14ac:dyDescent="0.2">
      <c r="A178" t="s">
        <v>352</v>
      </c>
      <c r="B178" t="s">
        <v>353</v>
      </c>
      <c r="C178">
        <f>scenario_indirect_prod_4506_iotable_2020_xlsx_3[[#This Row],[2026]]+scenario_indirect_prod_1610_iotable_2020_xlsx_3[[#This Row],[2026]]</f>
        <v>171831.49717606479</v>
      </c>
      <c r="D178">
        <f>scenario_indirect_prod_4506_iotable_2020_xlsx_3[[#This Row],[2027]]+scenario_indirect_prod_1610_iotable_2020_xlsx_3[[#This Row],[2027]]</f>
        <v>185719.90467667699</v>
      </c>
      <c r="E178">
        <f>scenario_indirect_prod_4506_iotable_2020_xlsx_3[[#This Row],[2028]]+scenario_indirect_prod_1610_iotable_2020_xlsx_3[[#This Row],[2028]]</f>
        <v>193328.24303298286</v>
      </c>
      <c r="F178">
        <f>scenario_indirect_prod_4506_iotable_2020_xlsx_3[[#This Row],[2029]]+scenario_indirect_prod_1610_iotable_2020_xlsx_3[[#This Row],[2029]]</f>
        <v>204299.66768697204</v>
      </c>
      <c r="G178">
        <f>scenario_indirect_prod_4506_iotable_2020_xlsx_3[[#This Row],[2030]]+scenario_indirect_prod_1610_iotable_2020_xlsx_3[[#This Row],[2030]]</f>
        <v>244445.30338662089</v>
      </c>
      <c r="H178">
        <f>scenario_indirect_prod_4506_iotable_2020_xlsx_3[[#This Row],[2031]]+scenario_indirect_prod_1610_iotable_2020_xlsx_3[[#This Row],[2031]]</f>
        <v>254710.47060626579</v>
      </c>
      <c r="I178">
        <f>scenario_indirect_prod_4506_iotable_2020_xlsx_3[[#This Row],[2032]]+scenario_indirect_prod_1610_iotable_2020_xlsx_3[[#This Row],[2032]]</f>
        <v>269046.69013549696</v>
      </c>
      <c r="J178">
        <f>scenario_indirect_prod_4506_iotable_2020_xlsx_3[[#This Row],[2033]]+scenario_indirect_prod_1610_iotable_2020_xlsx_3[[#This Row],[2033]]</f>
        <v>317491.27575299295</v>
      </c>
      <c r="K178">
        <f>scenario_indirect_prod_4506_iotable_2020_xlsx_3[[#This Row],[2034]]+scenario_indirect_prod_1610_iotable_2020_xlsx_3[[#This Row],[2034]]</f>
        <v>330831.87548869796</v>
      </c>
      <c r="L178">
        <f>scenario_indirect_prod_4506_iotable_2020_xlsx_3[[#This Row],[2035]]+scenario_indirect_prod_1610_iotable_2020_xlsx_3[[#This Row],[2035]]</f>
        <v>396987.58224644687</v>
      </c>
      <c r="M178">
        <f>scenario_indirect_prod_4506_iotable_2020_xlsx_3[[#This Row],[2036]]+scenario_indirect_prod_1610_iotable_2020_xlsx_3[[#This Row],[2036]]</f>
        <v>430530.32436736458</v>
      </c>
      <c r="N178">
        <f>scenario_indirect_prod_4506_iotable_2020_xlsx_3[[#This Row],[2037]]+scenario_indirect_prod_1610_iotable_2020_xlsx_3[[#This Row],[2037]]</f>
        <v>460392.61533132684</v>
      </c>
      <c r="O178">
        <f>scenario_indirect_prod_4506_iotable_2020_xlsx_3[[#This Row],[2038]]+scenario_indirect_prod_1610_iotable_2020_xlsx_3[[#This Row],[2038]]</f>
        <v>460392.61533132684</v>
      </c>
      <c r="P178">
        <f>scenario_indirect_prod_4506_iotable_2020_xlsx_3[[#This Row],[2039]]+scenario_indirect_prod_1610_iotable_2020_xlsx_3[[#This Row],[2039]]</f>
        <v>460392.61533132684</v>
      </c>
      <c r="Q178">
        <f>scenario_indirect_prod_4506_iotable_2020_xlsx_3[[#This Row],[2040]]+scenario_indirect_prod_1610_iotable_2020_xlsx_3[[#This Row],[2040]]</f>
        <v>486516.58346923918</v>
      </c>
      <c r="R178">
        <f>scenario_indirect_prod_4506_iotable_2020_xlsx_3[[#This Row],[2041]]+scenario_indirect_prod_1610_iotable_2020_xlsx_3[[#This Row],[2041]]</f>
        <v>486516.58346923918</v>
      </c>
      <c r="S178">
        <f>scenario_indirect_prod_4506_iotable_2020_xlsx_3[[#This Row],[2042]]+scenario_indirect_prod_1610_iotable_2020_xlsx_3[[#This Row],[2042]]</f>
        <v>515642.53524534975</v>
      </c>
      <c r="T178">
        <f>scenario_indirect_prod_4506_iotable_2020_xlsx_3[[#This Row],[2043]]+scenario_indirect_prod_1610_iotable_2020_xlsx_3[[#This Row],[2043]]</f>
        <v>515642.53524534975</v>
      </c>
      <c r="U178">
        <f>scenario_indirect_prod_4506_iotable_2020_xlsx_3[[#This Row],[2044]]+scenario_indirect_prod_1610_iotable_2020_xlsx_3[[#This Row],[2044]]</f>
        <v>542458.89103718684</v>
      </c>
      <c r="V178">
        <f>scenario_indirect_prod_4506_iotable_2020_xlsx_3[[#This Row],[2045]]+scenario_indirect_prod_1610_iotable_2020_xlsx_3[[#This Row],[2045]]</f>
        <v>542458.89103718684</v>
      </c>
      <c r="W178">
        <f>scenario_indirect_prod_4506_iotable_2020_xlsx_3[[#This Row],[2046]]+scenario_indirect_prod_1610_iotable_2020_xlsx_3[[#This Row],[2046]]</f>
        <v>565572.26287482237</v>
      </c>
      <c r="X178">
        <f>scenario_indirect_prod_4506_iotable_2020_xlsx_3[[#This Row],[2047]]+scenario_indirect_prod_1610_iotable_2020_xlsx_3[[#This Row],[2047]]</f>
        <v>565572.26287482237</v>
      </c>
      <c r="Y178">
        <f>scenario_indirect_prod_4506_iotable_2020_xlsx_3[[#This Row],[2048]]+scenario_indirect_prod_1610_iotable_2020_xlsx_3[[#This Row],[2048]]</f>
        <v>565572.26287482237</v>
      </c>
      <c r="Z178">
        <f>scenario_indirect_prod_4506_iotable_2020_xlsx_3[[#This Row],[2049]]+scenario_indirect_prod_1610_iotable_2020_xlsx_3[[#This Row],[2049]]</f>
        <v>565572.26287482237</v>
      </c>
      <c r="AA178">
        <f>scenario_indirect_prod_4506_iotable_2020_xlsx_3[[#This Row],[2050]]+scenario_indirect_prod_1610_iotable_2020_xlsx_3[[#This Row],[2050]]</f>
        <v>565572.26287482237</v>
      </c>
    </row>
    <row r="179" spans="1:27" x14ac:dyDescent="0.2">
      <c r="A179" t="s">
        <v>425</v>
      </c>
      <c r="B179" t="s">
        <v>426</v>
      </c>
      <c r="C179">
        <f>scenario_indirect_prod_4506_iotable_2020_xlsx_3[[#This Row],[2026]]+scenario_indirect_prod_1610_iotable_2020_xlsx_3[[#This Row],[2026]]</f>
        <v>36165.250374936695</v>
      </c>
      <c r="D179">
        <f>scenario_indirect_prod_4506_iotable_2020_xlsx_3[[#This Row],[2027]]+scenario_indirect_prod_1610_iotable_2020_xlsx_3[[#This Row],[2027]]</f>
        <v>37877.653499189117</v>
      </c>
      <c r="E179">
        <f>scenario_indirect_prod_4506_iotable_2020_xlsx_3[[#This Row],[2028]]+scenario_indirect_prod_1610_iotable_2020_xlsx_3[[#This Row],[2028]]</f>
        <v>39550.93309109909</v>
      </c>
      <c r="F179">
        <f>scenario_indirect_prod_4506_iotable_2020_xlsx_3[[#This Row],[2029]]+scenario_indirect_prod_1610_iotable_2020_xlsx_3[[#This Row],[2029]]</f>
        <v>41427.032878041813</v>
      </c>
      <c r="G179">
        <f>scenario_indirect_prod_4506_iotable_2020_xlsx_3[[#This Row],[2030]]+scenario_indirect_prod_1610_iotable_2020_xlsx_3[[#This Row],[2030]]</f>
        <v>45705.926109956446</v>
      </c>
      <c r="H179">
        <f>scenario_indirect_prod_4506_iotable_2020_xlsx_3[[#This Row],[2031]]+scenario_indirect_prod_1610_iotable_2020_xlsx_3[[#This Row],[2031]]</f>
        <v>47963.514299621929</v>
      </c>
      <c r="I179">
        <f>scenario_indirect_prod_4506_iotable_2020_xlsx_3[[#This Row],[2032]]+scenario_indirect_prod_1610_iotable_2020_xlsx_3[[#This Row],[2032]]</f>
        <v>51116.437111410618</v>
      </c>
      <c r="J179">
        <f>scenario_indirect_prod_4506_iotable_2020_xlsx_3[[#This Row],[2033]]+scenario_indirect_prod_1610_iotable_2020_xlsx_3[[#This Row],[2033]]</f>
        <v>59232.366873891777</v>
      </c>
      <c r="K179">
        <f>scenario_indirect_prod_4506_iotable_2020_xlsx_3[[#This Row],[2034]]+scenario_indirect_prod_1610_iotable_2020_xlsx_3[[#This Row],[2034]]</f>
        <v>62166.325937777729</v>
      </c>
      <c r="L179">
        <f>scenario_indirect_prod_4506_iotable_2020_xlsx_3[[#This Row],[2035]]+scenario_indirect_prod_1610_iotable_2020_xlsx_3[[#This Row],[2035]]</f>
        <v>73502.513548131916</v>
      </c>
      <c r="M179">
        <f>scenario_indirect_prod_4506_iotable_2020_xlsx_3[[#This Row],[2036]]+scenario_indirect_prod_1610_iotable_2020_xlsx_3[[#This Row],[2036]]</f>
        <v>78770.360959043057</v>
      </c>
      <c r="N179">
        <f>scenario_indirect_prod_4506_iotable_2020_xlsx_3[[#This Row],[2037]]+scenario_indirect_prod_1610_iotable_2020_xlsx_3[[#This Row],[2037]]</f>
        <v>83494.091295591017</v>
      </c>
      <c r="O179">
        <f>scenario_indirect_prod_4506_iotable_2020_xlsx_3[[#This Row],[2038]]+scenario_indirect_prod_1610_iotable_2020_xlsx_3[[#This Row],[2038]]</f>
        <v>83494.091295591017</v>
      </c>
      <c r="P179">
        <f>scenario_indirect_prod_4506_iotable_2020_xlsx_3[[#This Row],[2039]]+scenario_indirect_prod_1610_iotable_2020_xlsx_3[[#This Row],[2039]]</f>
        <v>83494.091295591017</v>
      </c>
      <c r="Q179">
        <f>scenario_indirect_prod_4506_iotable_2020_xlsx_3[[#This Row],[2040]]+scenario_indirect_prod_1610_iotable_2020_xlsx_3[[#This Row],[2040]]</f>
        <v>87620.778031627298</v>
      </c>
      <c r="R179">
        <f>scenario_indirect_prod_4506_iotable_2020_xlsx_3[[#This Row],[2041]]+scenario_indirect_prod_1610_iotable_2020_xlsx_3[[#This Row],[2041]]</f>
        <v>87620.778031627298</v>
      </c>
      <c r="S179">
        <f>scenario_indirect_prod_4506_iotable_2020_xlsx_3[[#This Row],[2042]]+scenario_indirect_prod_1610_iotable_2020_xlsx_3[[#This Row],[2042]]</f>
        <v>92239.739384183107</v>
      </c>
      <c r="T179">
        <f>scenario_indirect_prod_4506_iotable_2020_xlsx_3[[#This Row],[2043]]+scenario_indirect_prod_1610_iotable_2020_xlsx_3[[#This Row],[2043]]</f>
        <v>92239.739384183107</v>
      </c>
      <c r="U179">
        <f>scenario_indirect_prod_4506_iotable_2020_xlsx_3[[#This Row],[2044]]+scenario_indirect_prod_1610_iotable_2020_xlsx_3[[#This Row],[2044]]</f>
        <v>96438.30243654098</v>
      </c>
      <c r="V179">
        <f>scenario_indirect_prod_4506_iotable_2020_xlsx_3[[#This Row],[2045]]+scenario_indirect_prod_1610_iotable_2020_xlsx_3[[#This Row],[2045]]</f>
        <v>96438.30243654098</v>
      </c>
      <c r="W179">
        <f>scenario_indirect_prod_4506_iotable_2020_xlsx_3[[#This Row],[2046]]+scenario_indirect_prod_1610_iotable_2020_xlsx_3[[#This Row],[2046]]</f>
        <v>100074.84003851796</v>
      </c>
      <c r="X179">
        <f>scenario_indirect_prod_4506_iotable_2020_xlsx_3[[#This Row],[2047]]+scenario_indirect_prod_1610_iotable_2020_xlsx_3[[#This Row],[2047]]</f>
        <v>100074.84003851796</v>
      </c>
      <c r="Y179">
        <f>scenario_indirect_prod_4506_iotable_2020_xlsx_3[[#This Row],[2048]]+scenario_indirect_prod_1610_iotable_2020_xlsx_3[[#This Row],[2048]]</f>
        <v>100074.84003851796</v>
      </c>
      <c r="Z179">
        <f>scenario_indirect_prod_4506_iotable_2020_xlsx_3[[#This Row],[2049]]+scenario_indirect_prod_1610_iotable_2020_xlsx_3[[#This Row],[2049]]</f>
        <v>100074.84003851796</v>
      </c>
      <c r="AA179">
        <f>scenario_indirect_prod_4506_iotable_2020_xlsx_3[[#This Row],[2050]]+scenario_indirect_prod_1610_iotable_2020_xlsx_3[[#This Row],[2050]]</f>
        <v>100074.84003851796</v>
      </c>
    </row>
    <row r="180" spans="1:27" x14ac:dyDescent="0.2">
      <c r="A180" t="s">
        <v>394</v>
      </c>
      <c r="B180" t="s">
        <v>395</v>
      </c>
      <c r="C180">
        <f>scenario_indirect_prod_4506_iotable_2020_xlsx_3[[#This Row],[2026]]+scenario_indirect_prod_1610_iotable_2020_xlsx_3[[#This Row],[2026]]</f>
        <v>66139.945982348814</v>
      </c>
      <c r="D180">
        <f>scenario_indirect_prod_4506_iotable_2020_xlsx_3[[#This Row],[2027]]+scenario_indirect_prod_1610_iotable_2020_xlsx_3[[#This Row],[2027]]</f>
        <v>70036.632939174393</v>
      </c>
      <c r="E180">
        <f>scenario_indirect_prod_4506_iotable_2020_xlsx_3[[#This Row],[2028]]+scenario_indirect_prod_1610_iotable_2020_xlsx_3[[#This Row],[2028]]</f>
        <v>73051.301329623631</v>
      </c>
      <c r="F180">
        <f>scenario_indirect_prod_4506_iotable_2020_xlsx_3[[#This Row],[2029]]+scenario_indirect_prod_1610_iotable_2020_xlsx_3[[#This Row],[2029]]</f>
        <v>76755.993890361293</v>
      </c>
      <c r="G180">
        <f>scenario_indirect_prod_4506_iotable_2020_xlsx_3[[#This Row],[2030]]+scenario_indirect_prod_1610_iotable_2020_xlsx_3[[#This Row],[2030]]</f>
        <v>87216.602870961156</v>
      </c>
      <c r="H180">
        <f>scenario_indirect_prod_4506_iotable_2020_xlsx_3[[#This Row],[2031]]+scenario_indirect_prod_1610_iotable_2020_xlsx_3[[#This Row],[2031]]</f>
        <v>91283.99231797368</v>
      </c>
      <c r="I180">
        <f>scenario_indirect_prod_4506_iotable_2020_xlsx_3[[#This Row],[2032]]+scenario_indirect_prod_1610_iotable_2020_xlsx_3[[#This Row],[2032]]</f>
        <v>96964.463641583236</v>
      </c>
      <c r="J180">
        <f>scenario_indirect_prod_4506_iotable_2020_xlsx_3[[#This Row],[2033]]+scenario_indirect_prod_1610_iotable_2020_xlsx_3[[#This Row],[2033]]</f>
        <v>113121.4940285331</v>
      </c>
      <c r="K180">
        <f>scenario_indirect_prod_4506_iotable_2020_xlsx_3[[#This Row],[2034]]+scenario_indirect_prod_1610_iotable_2020_xlsx_3[[#This Row],[2034]]</f>
        <v>118407.46876433496</v>
      </c>
      <c r="L180">
        <f>scenario_indirect_prod_4506_iotable_2020_xlsx_3[[#This Row],[2035]]+scenario_indirect_prod_1610_iotable_2020_xlsx_3[[#This Row],[2035]]</f>
        <v>140774.39704911798</v>
      </c>
      <c r="M180">
        <f>scenario_indirect_prod_4506_iotable_2020_xlsx_3[[#This Row],[2036]]+scenario_indirect_prod_1610_iotable_2020_xlsx_3[[#This Row],[2036]]</f>
        <v>151540.61218474523</v>
      </c>
      <c r="N180">
        <f>scenario_indirect_prod_4506_iotable_2020_xlsx_3[[#This Row],[2037]]+scenario_indirect_prod_1610_iotable_2020_xlsx_3[[#This Row],[2037]]</f>
        <v>161166.08143389053</v>
      </c>
      <c r="O180">
        <f>scenario_indirect_prod_4506_iotable_2020_xlsx_3[[#This Row],[2038]]+scenario_indirect_prod_1610_iotable_2020_xlsx_3[[#This Row],[2038]]</f>
        <v>161166.08143389053</v>
      </c>
      <c r="P180">
        <f>scenario_indirect_prod_4506_iotable_2020_xlsx_3[[#This Row],[2039]]+scenario_indirect_prod_1610_iotable_2020_xlsx_3[[#This Row],[2039]]</f>
        <v>161166.08143389053</v>
      </c>
      <c r="Q180">
        <f>scenario_indirect_prod_4506_iotable_2020_xlsx_3[[#This Row],[2040]]+scenario_indirect_prod_1610_iotable_2020_xlsx_3[[#This Row],[2040]]</f>
        <v>169579.75802339881</v>
      </c>
      <c r="R180">
        <f>scenario_indirect_prod_4506_iotable_2020_xlsx_3[[#This Row],[2041]]+scenario_indirect_prod_1610_iotable_2020_xlsx_3[[#This Row],[2041]]</f>
        <v>169579.75802339881</v>
      </c>
      <c r="S180">
        <f>scenario_indirect_prod_4506_iotable_2020_xlsx_3[[#This Row],[2042]]+scenario_indirect_prod_1610_iotable_2020_xlsx_3[[#This Row],[2042]]</f>
        <v>178981.89793623576</v>
      </c>
      <c r="T180">
        <f>scenario_indirect_prod_4506_iotable_2020_xlsx_3[[#This Row],[2043]]+scenario_indirect_prod_1610_iotable_2020_xlsx_3[[#This Row],[2043]]</f>
        <v>178981.89793623576</v>
      </c>
      <c r="U180">
        <f>scenario_indirect_prod_4506_iotable_2020_xlsx_3[[#This Row],[2044]]+scenario_indirect_prod_1610_iotable_2020_xlsx_3[[#This Row],[2044]]</f>
        <v>187573.68785587384</v>
      </c>
      <c r="V180">
        <f>scenario_indirect_prod_4506_iotable_2020_xlsx_3[[#This Row],[2045]]+scenario_indirect_prod_1610_iotable_2020_xlsx_3[[#This Row],[2045]]</f>
        <v>187573.68785587384</v>
      </c>
      <c r="W180">
        <f>scenario_indirect_prod_4506_iotable_2020_xlsx_3[[#This Row],[2046]]+scenario_indirect_prod_1610_iotable_2020_xlsx_3[[#This Row],[2046]]</f>
        <v>195000.29981523752</v>
      </c>
      <c r="X180">
        <f>scenario_indirect_prod_4506_iotable_2020_xlsx_3[[#This Row],[2047]]+scenario_indirect_prod_1610_iotable_2020_xlsx_3[[#This Row],[2047]]</f>
        <v>195000.29981523752</v>
      </c>
      <c r="Y180">
        <f>scenario_indirect_prod_4506_iotable_2020_xlsx_3[[#This Row],[2048]]+scenario_indirect_prod_1610_iotable_2020_xlsx_3[[#This Row],[2048]]</f>
        <v>195000.29981523752</v>
      </c>
      <c r="Z180">
        <f>scenario_indirect_prod_4506_iotable_2020_xlsx_3[[#This Row],[2049]]+scenario_indirect_prod_1610_iotable_2020_xlsx_3[[#This Row],[2049]]</f>
        <v>195000.29981523752</v>
      </c>
      <c r="AA180">
        <f>scenario_indirect_prod_4506_iotable_2020_xlsx_3[[#This Row],[2050]]+scenario_indirect_prod_1610_iotable_2020_xlsx_3[[#This Row],[2050]]</f>
        <v>195000.29981523752</v>
      </c>
    </row>
    <row r="181" spans="1:27" x14ac:dyDescent="0.2">
      <c r="A181" t="s">
        <v>712</v>
      </c>
      <c r="B181" t="s">
        <v>713</v>
      </c>
      <c r="C181">
        <f>scenario_indirect_prod_4506_iotable_2020_xlsx_3[[#This Row],[2026]]+scenario_indirect_prod_1610_iotable_2020_xlsx_3[[#This Row],[2026]]</f>
        <v>2648.261086783164</v>
      </c>
      <c r="D181">
        <f>scenario_indirect_prod_4506_iotable_2020_xlsx_3[[#This Row],[2027]]+scenario_indirect_prod_1610_iotable_2020_xlsx_3[[#This Row],[2027]]</f>
        <v>2465.0906721646734</v>
      </c>
      <c r="E181">
        <f>scenario_indirect_prod_4506_iotable_2020_xlsx_3[[#This Row],[2028]]+scenario_indirect_prod_1610_iotable_2020_xlsx_3[[#This Row],[2028]]</f>
        <v>2605.9592299552241</v>
      </c>
      <c r="F181">
        <f>scenario_indirect_prod_4506_iotable_2020_xlsx_3[[#This Row],[2029]]+scenario_indirect_prod_1610_iotable_2020_xlsx_3[[#This Row],[2029]]</f>
        <v>2632.9695510494084</v>
      </c>
      <c r="G181">
        <f>scenario_indirect_prod_4506_iotable_2020_xlsx_3[[#This Row],[2030]]+scenario_indirect_prod_1610_iotable_2020_xlsx_3[[#This Row],[2030]]</f>
        <v>1883.3626538453609</v>
      </c>
      <c r="H181">
        <f>scenario_indirect_prod_4506_iotable_2020_xlsx_3[[#This Row],[2031]]+scenario_indirect_prod_1610_iotable_2020_xlsx_3[[#This Row],[2031]]</f>
        <v>2073.422458495309</v>
      </c>
      <c r="I181">
        <f>scenario_indirect_prod_4506_iotable_2020_xlsx_3[[#This Row],[2032]]+scenario_indirect_prod_1610_iotable_2020_xlsx_3[[#This Row],[2032]]</f>
        <v>2338.8578892918003</v>
      </c>
      <c r="J181">
        <f>scenario_indirect_prod_4506_iotable_2020_xlsx_3[[#This Row],[2033]]+scenario_indirect_prod_1610_iotable_2020_xlsx_3[[#This Row],[2033]]</f>
        <v>2402.9917052315286</v>
      </c>
      <c r="K181">
        <f>scenario_indirect_prod_4506_iotable_2020_xlsx_3[[#This Row],[2034]]+scenario_indirect_prod_1610_iotable_2020_xlsx_3[[#This Row],[2034]]</f>
        <v>2649.9932128961036</v>
      </c>
      <c r="L181">
        <f>scenario_indirect_prod_4506_iotable_2020_xlsx_3[[#This Row],[2035]]+scenario_indirect_prod_1610_iotable_2020_xlsx_3[[#This Row],[2035]]</f>
        <v>2820.6184181915314</v>
      </c>
      <c r="M181">
        <f>scenario_indirect_prod_4506_iotable_2020_xlsx_3[[#This Row],[2036]]+scenario_indirect_prod_1610_iotable_2020_xlsx_3[[#This Row],[2036]]</f>
        <v>2749.674622765303</v>
      </c>
      <c r="N181">
        <f>scenario_indirect_prod_4506_iotable_2020_xlsx_3[[#This Row],[2037]]+scenario_indirect_prod_1610_iotable_2020_xlsx_3[[#This Row],[2037]]</f>
        <v>2697.6353245411292</v>
      </c>
      <c r="O181">
        <f>scenario_indirect_prod_4506_iotable_2020_xlsx_3[[#This Row],[2038]]+scenario_indirect_prod_1610_iotable_2020_xlsx_3[[#This Row],[2038]]</f>
        <v>2697.6353245411292</v>
      </c>
      <c r="P181">
        <f>scenario_indirect_prod_4506_iotable_2020_xlsx_3[[#This Row],[2039]]+scenario_indirect_prod_1610_iotable_2020_xlsx_3[[#This Row],[2039]]</f>
        <v>2697.6353245411292</v>
      </c>
      <c r="Q181">
        <f>scenario_indirect_prod_4506_iotable_2020_xlsx_3[[#This Row],[2040]]+scenario_indirect_prod_1610_iotable_2020_xlsx_3[[#This Row],[2040]]</f>
        <v>2650.2399426598158</v>
      </c>
      <c r="R181">
        <f>scenario_indirect_prod_4506_iotable_2020_xlsx_3[[#This Row],[2041]]+scenario_indirect_prod_1610_iotable_2020_xlsx_3[[#This Row],[2041]]</f>
        <v>2650.2399426598158</v>
      </c>
      <c r="S181">
        <f>scenario_indirect_prod_4506_iotable_2020_xlsx_3[[#This Row],[2042]]+scenario_indirect_prod_1610_iotable_2020_xlsx_3[[#This Row],[2042]]</f>
        <v>2603.3251370366788</v>
      </c>
      <c r="T181">
        <f>scenario_indirect_prod_4506_iotable_2020_xlsx_3[[#This Row],[2043]]+scenario_indirect_prod_1610_iotable_2020_xlsx_3[[#This Row],[2043]]</f>
        <v>2603.3251370366788</v>
      </c>
      <c r="U181">
        <f>scenario_indirect_prod_4506_iotable_2020_xlsx_3[[#This Row],[2044]]+scenario_indirect_prod_1610_iotable_2020_xlsx_3[[#This Row],[2044]]</f>
        <v>2542.3709879126754</v>
      </c>
      <c r="V181">
        <f>scenario_indirect_prod_4506_iotable_2020_xlsx_3[[#This Row],[2045]]+scenario_indirect_prod_1610_iotable_2020_xlsx_3[[#This Row],[2045]]</f>
        <v>2542.3709879126754</v>
      </c>
      <c r="W181">
        <f>scenario_indirect_prod_4506_iotable_2020_xlsx_3[[#This Row],[2046]]+scenario_indirect_prod_1610_iotable_2020_xlsx_3[[#This Row],[2046]]</f>
        <v>2495.6543900817978</v>
      </c>
      <c r="X181">
        <f>scenario_indirect_prod_4506_iotable_2020_xlsx_3[[#This Row],[2047]]+scenario_indirect_prod_1610_iotable_2020_xlsx_3[[#This Row],[2047]]</f>
        <v>2495.6543900817978</v>
      </c>
      <c r="Y181">
        <f>scenario_indirect_prod_4506_iotable_2020_xlsx_3[[#This Row],[2048]]+scenario_indirect_prod_1610_iotable_2020_xlsx_3[[#This Row],[2048]]</f>
        <v>2495.6543900817978</v>
      </c>
      <c r="Z181">
        <f>scenario_indirect_prod_4506_iotable_2020_xlsx_3[[#This Row],[2049]]+scenario_indirect_prod_1610_iotable_2020_xlsx_3[[#This Row],[2049]]</f>
        <v>2495.6543900817978</v>
      </c>
      <c r="AA181">
        <f>scenario_indirect_prod_4506_iotable_2020_xlsx_3[[#This Row],[2050]]+scenario_indirect_prod_1610_iotable_2020_xlsx_3[[#This Row],[2050]]</f>
        <v>2495.6543900817978</v>
      </c>
    </row>
    <row r="182" spans="1:27" x14ac:dyDescent="0.2">
      <c r="A182" t="s">
        <v>601</v>
      </c>
      <c r="B182" t="s">
        <v>602</v>
      </c>
      <c r="C182">
        <f>scenario_indirect_prod_4506_iotable_2020_xlsx_3[[#This Row],[2026]]+scenario_indirect_prod_1610_iotable_2020_xlsx_3[[#This Row],[2026]]</f>
        <v>6791.8858429581924</v>
      </c>
      <c r="D182">
        <f>scenario_indirect_prod_4506_iotable_2020_xlsx_3[[#This Row],[2027]]+scenario_indirect_prod_1610_iotable_2020_xlsx_3[[#This Row],[2027]]</f>
        <v>6964.4183867192423</v>
      </c>
      <c r="E182">
        <f>scenario_indirect_prod_4506_iotable_2020_xlsx_3[[#This Row],[2028]]+scenario_indirect_prod_1610_iotable_2020_xlsx_3[[#This Row],[2028]]</f>
        <v>7287.5221968442938</v>
      </c>
      <c r="F182">
        <f>scenario_indirect_prod_4506_iotable_2020_xlsx_3[[#This Row],[2029]]+scenario_indirect_prod_1610_iotable_2020_xlsx_3[[#This Row],[2029]]</f>
        <v>7586.5394473077185</v>
      </c>
      <c r="G182">
        <f>scenario_indirect_prod_4506_iotable_2020_xlsx_3[[#This Row],[2030]]+scenario_indirect_prod_1610_iotable_2020_xlsx_3[[#This Row],[2030]]</f>
        <v>7876.6450758831406</v>
      </c>
      <c r="H182">
        <f>scenario_indirect_prod_4506_iotable_2020_xlsx_3[[#This Row],[2031]]+scenario_indirect_prod_1610_iotable_2020_xlsx_3[[#This Row],[2031]]</f>
        <v>8312.5766137450337</v>
      </c>
      <c r="I182">
        <f>scenario_indirect_prod_4506_iotable_2020_xlsx_3[[#This Row],[2032]]+scenario_indirect_prod_1610_iotable_2020_xlsx_3[[#This Row],[2032]]</f>
        <v>8921.3938003314615</v>
      </c>
      <c r="J182">
        <f>scenario_indirect_prod_4506_iotable_2020_xlsx_3[[#This Row],[2033]]+scenario_indirect_prod_1610_iotable_2020_xlsx_3[[#This Row],[2033]]</f>
        <v>10189.466355465538</v>
      </c>
      <c r="K182">
        <f>scenario_indirect_prod_4506_iotable_2020_xlsx_3[[#This Row],[2034]]+scenario_indirect_prod_1610_iotable_2020_xlsx_3[[#This Row],[2034]]</f>
        <v>10756.002490177139</v>
      </c>
      <c r="L182">
        <f>scenario_indirect_prod_4506_iotable_2020_xlsx_3[[#This Row],[2035]]+scenario_indirect_prod_1610_iotable_2020_xlsx_3[[#This Row],[2035]]</f>
        <v>12566.374227668653</v>
      </c>
      <c r="M182">
        <f>scenario_indirect_prod_4506_iotable_2020_xlsx_3[[#This Row],[2036]]+scenario_indirect_prod_1610_iotable_2020_xlsx_3[[#This Row],[2036]]</f>
        <v>13335.068136863771</v>
      </c>
      <c r="N182">
        <f>scenario_indirect_prod_4506_iotable_2020_xlsx_3[[#This Row],[2037]]+scenario_indirect_prod_1610_iotable_2020_xlsx_3[[#This Row],[2037]]</f>
        <v>14029.955889864341</v>
      </c>
      <c r="O182">
        <f>scenario_indirect_prod_4506_iotable_2020_xlsx_3[[#This Row],[2038]]+scenario_indirect_prod_1610_iotable_2020_xlsx_3[[#This Row],[2038]]</f>
        <v>14029.955889864341</v>
      </c>
      <c r="P182">
        <f>scenario_indirect_prod_4506_iotable_2020_xlsx_3[[#This Row],[2039]]+scenario_indirect_prod_1610_iotable_2020_xlsx_3[[#This Row],[2039]]</f>
        <v>14029.955889864341</v>
      </c>
      <c r="Q182">
        <f>scenario_indirect_prod_4506_iotable_2020_xlsx_3[[#This Row],[2040]]+scenario_indirect_prod_1610_iotable_2020_xlsx_3[[#This Row],[2040]]</f>
        <v>14636.08111225147</v>
      </c>
      <c r="R182">
        <f>scenario_indirect_prod_4506_iotable_2020_xlsx_3[[#This Row],[2041]]+scenario_indirect_prod_1610_iotable_2020_xlsx_3[[#This Row],[2041]]</f>
        <v>14636.08111225147</v>
      </c>
      <c r="S182">
        <f>scenario_indirect_prod_4506_iotable_2020_xlsx_3[[#This Row],[2042]]+scenario_indirect_prod_1610_iotable_2020_xlsx_3[[#This Row],[2042]]</f>
        <v>15317.474695712986</v>
      </c>
      <c r="T182">
        <f>scenario_indirect_prod_4506_iotable_2020_xlsx_3[[#This Row],[2043]]+scenario_indirect_prod_1610_iotable_2020_xlsx_3[[#This Row],[2043]]</f>
        <v>15317.474695712986</v>
      </c>
      <c r="U182">
        <f>scenario_indirect_prod_4506_iotable_2020_xlsx_3[[#This Row],[2044]]+scenario_indirect_prod_1610_iotable_2020_xlsx_3[[#This Row],[2044]]</f>
        <v>15928.005961385628</v>
      </c>
      <c r="V182">
        <f>scenario_indirect_prod_4506_iotable_2020_xlsx_3[[#This Row],[2045]]+scenario_indirect_prod_1610_iotable_2020_xlsx_3[[#This Row],[2045]]</f>
        <v>15928.005961385628</v>
      </c>
      <c r="W182">
        <f>scenario_indirect_prod_4506_iotable_2020_xlsx_3[[#This Row],[2046]]+scenario_indirect_prod_1610_iotable_2020_xlsx_3[[#This Row],[2046]]</f>
        <v>16459.746861459644</v>
      </c>
      <c r="X182">
        <f>scenario_indirect_prod_4506_iotable_2020_xlsx_3[[#This Row],[2047]]+scenario_indirect_prod_1610_iotable_2020_xlsx_3[[#This Row],[2047]]</f>
        <v>16459.746861459644</v>
      </c>
      <c r="Y182">
        <f>scenario_indirect_prod_4506_iotable_2020_xlsx_3[[#This Row],[2048]]+scenario_indirect_prod_1610_iotable_2020_xlsx_3[[#This Row],[2048]]</f>
        <v>16459.746861459644</v>
      </c>
      <c r="Z182">
        <f>scenario_indirect_prod_4506_iotable_2020_xlsx_3[[#This Row],[2049]]+scenario_indirect_prod_1610_iotable_2020_xlsx_3[[#This Row],[2049]]</f>
        <v>16459.746861459644</v>
      </c>
      <c r="AA182">
        <f>scenario_indirect_prod_4506_iotable_2020_xlsx_3[[#This Row],[2050]]+scenario_indirect_prod_1610_iotable_2020_xlsx_3[[#This Row],[2050]]</f>
        <v>16459.746861459644</v>
      </c>
    </row>
    <row r="183" spans="1:27" x14ac:dyDescent="0.2">
      <c r="A183" t="s">
        <v>535</v>
      </c>
      <c r="B183" t="s">
        <v>536</v>
      </c>
      <c r="C183">
        <f>scenario_indirect_prod_4506_iotable_2020_xlsx_3[[#This Row],[2026]]+scenario_indirect_prod_1610_iotable_2020_xlsx_3[[#This Row],[2026]]</f>
        <v>11954.839392793743</v>
      </c>
      <c r="D183">
        <f>scenario_indirect_prod_4506_iotable_2020_xlsx_3[[#This Row],[2027]]+scenario_indirect_prod_1610_iotable_2020_xlsx_3[[#This Row],[2027]]</f>
        <v>12409.124512074397</v>
      </c>
      <c r="E183">
        <f>scenario_indirect_prod_4506_iotable_2020_xlsx_3[[#This Row],[2028]]+scenario_indirect_prod_1610_iotable_2020_xlsx_3[[#This Row],[2028]]</f>
        <v>12968.889466656454</v>
      </c>
      <c r="F183">
        <f>scenario_indirect_prod_4506_iotable_2020_xlsx_3[[#This Row],[2029]]+scenario_indirect_prod_1610_iotable_2020_xlsx_3[[#This Row],[2029]]</f>
        <v>13549.077029730841</v>
      </c>
      <c r="G183">
        <f>scenario_indirect_prod_4506_iotable_2020_xlsx_3[[#This Row],[2030]]+scenario_indirect_prod_1610_iotable_2020_xlsx_3[[#This Row],[2030]]</f>
        <v>14578.492979835721</v>
      </c>
      <c r="H183">
        <f>scenario_indirect_prod_4506_iotable_2020_xlsx_3[[#This Row],[2031]]+scenario_indirect_prod_1610_iotable_2020_xlsx_3[[#This Row],[2031]]</f>
        <v>15333.727643882867</v>
      </c>
      <c r="I183">
        <f>scenario_indirect_prod_4506_iotable_2020_xlsx_3[[#This Row],[2032]]+scenario_indirect_prod_1610_iotable_2020_xlsx_3[[#This Row],[2032]]</f>
        <v>16388.48006127599</v>
      </c>
      <c r="J183">
        <f>scenario_indirect_prod_4506_iotable_2020_xlsx_3[[#This Row],[2033]]+scenario_indirect_prod_1610_iotable_2020_xlsx_3[[#This Row],[2033]]</f>
        <v>18879.253893112269</v>
      </c>
      <c r="K183">
        <f>scenario_indirect_prod_4506_iotable_2020_xlsx_3[[#This Row],[2034]]+scenario_indirect_prod_1610_iotable_2020_xlsx_3[[#This Row],[2034]]</f>
        <v>19860.756010320954</v>
      </c>
      <c r="L183">
        <f>scenario_indirect_prod_4506_iotable_2020_xlsx_3[[#This Row],[2035]]+scenario_indirect_prod_1610_iotable_2020_xlsx_3[[#This Row],[2035]]</f>
        <v>23369.181185183159</v>
      </c>
      <c r="M183">
        <f>scenario_indirect_prod_4506_iotable_2020_xlsx_3[[#This Row],[2036]]+scenario_indirect_prod_1610_iotable_2020_xlsx_3[[#This Row],[2036]]</f>
        <v>24945.104169650396</v>
      </c>
      <c r="N183">
        <f>scenario_indirect_prod_4506_iotable_2020_xlsx_3[[#This Row],[2037]]+scenario_indirect_prod_1610_iotable_2020_xlsx_3[[#This Row],[2037]]</f>
        <v>26362.443098250758</v>
      </c>
      <c r="O183">
        <f>scenario_indirect_prod_4506_iotable_2020_xlsx_3[[#This Row],[2038]]+scenario_indirect_prod_1610_iotable_2020_xlsx_3[[#This Row],[2038]]</f>
        <v>26362.443098250758</v>
      </c>
      <c r="P183">
        <f>scenario_indirect_prod_4506_iotable_2020_xlsx_3[[#This Row],[2039]]+scenario_indirect_prod_1610_iotable_2020_xlsx_3[[#This Row],[2039]]</f>
        <v>26362.443098250758</v>
      </c>
      <c r="Q183">
        <f>scenario_indirect_prod_4506_iotable_2020_xlsx_3[[#This Row],[2040]]+scenario_indirect_prod_1610_iotable_2020_xlsx_3[[#This Row],[2040]]</f>
        <v>27599.940817381274</v>
      </c>
      <c r="R183">
        <f>scenario_indirect_prod_4506_iotable_2020_xlsx_3[[#This Row],[2041]]+scenario_indirect_prod_1610_iotable_2020_xlsx_3[[#This Row],[2041]]</f>
        <v>27599.940817381274</v>
      </c>
      <c r="S183">
        <f>scenario_indirect_prod_4506_iotable_2020_xlsx_3[[#This Row],[2042]]+scenario_indirect_prod_1610_iotable_2020_xlsx_3[[#This Row],[2042]]</f>
        <v>28987.282314126314</v>
      </c>
      <c r="T183">
        <f>scenario_indirect_prod_4506_iotable_2020_xlsx_3[[#This Row],[2043]]+scenario_indirect_prod_1610_iotable_2020_xlsx_3[[#This Row],[2043]]</f>
        <v>28987.282314126314</v>
      </c>
      <c r="U183">
        <f>scenario_indirect_prod_4506_iotable_2020_xlsx_3[[#This Row],[2044]]+scenario_indirect_prod_1610_iotable_2020_xlsx_3[[#This Row],[2044]]</f>
        <v>30241.721776421196</v>
      </c>
      <c r="V183">
        <f>scenario_indirect_prod_4506_iotable_2020_xlsx_3[[#This Row],[2045]]+scenario_indirect_prod_1610_iotable_2020_xlsx_3[[#This Row],[2045]]</f>
        <v>30241.721776421196</v>
      </c>
      <c r="W183">
        <f>scenario_indirect_prod_4506_iotable_2020_xlsx_3[[#This Row],[2046]]+scenario_indirect_prod_1610_iotable_2020_xlsx_3[[#This Row],[2046]]</f>
        <v>31330.441891907853</v>
      </c>
      <c r="X183">
        <f>scenario_indirect_prod_4506_iotable_2020_xlsx_3[[#This Row],[2047]]+scenario_indirect_prod_1610_iotable_2020_xlsx_3[[#This Row],[2047]]</f>
        <v>31330.441891907853</v>
      </c>
      <c r="Y183">
        <f>scenario_indirect_prod_4506_iotable_2020_xlsx_3[[#This Row],[2048]]+scenario_indirect_prod_1610_iotable_2020_xlsx_3[[#This Row],[2048]]</f>
        <v>31330.441891907853</v>
      </c>
      <c r="Z183">
        <f>scenario_indirect_prod_4506_iotable_2020_xlsx_3[[#This Row],[2049]]+scenario_indirect_prod_1610_iotable_2020_xlsx_3[[#This Row],[2049]]</f>
        <v>31330.441891907853</v>
      </c>
      <c r="AA183">
        <f>scenario_indirect_prod_4506_iotable_2020_xlsx_3[[#This Row],[2050]]+scenario_indirect_prod_1610_iotable_2020_xlsx_3[[#This Row],[2050]]</f>
        <v>31330.441891907853</v>
      </c>
    </row>
    <row r="184" spans="1:27" x14ac:dyDescent="0.2">
      <c r="A184" t="s">
        <v>402</v>
      </c>
      <c r="B184" t="s">
        <v>403</v>
      </c>
      <c r="C184">
        <f>scenario_indirect_prod_4506_iotable_2020_xlsx_3[[#This Row],[2026]]+scenario_indirect_prod_1610_iotable_2020_xlsx_3[[#This Row],[2026]]</f>
        <v>60345.657365997635</v>
      </c>
      <c r="D184">
        <f>scenario_indirect_prod_4506_iotable_2020_xlsx_3[[#This Row],[2027]]+scenario_indirect_prod_1610_iotable_2020_xlsx_3[[#This Row],[2027]]</f>
        <v>63602.437449631725</v>
      </c>
      <c r="E184">
        <f>scenario_indirect_prod_4506_iotable_2020_xlsx_3[[#This Row],[2028]]+scenario_indirect_prod_1610_iotable_2020_xlsx_3[[#This Row],[2028]]</f>
        <v>66370.744898372533</v>
      </c>
      <c r="F184">
        <f>scenario_indirect_prod_4506_iotable_2020_xlsx_3[[#This Row],[2029]]+scenario_indirect_prod_1610_iotable_2020_xlsx_3[[#This Row],[2029]]</f>
        <v>69644.100528844952</v>
      </c>
      <c r="G184">
        <f>scenario_indirect_prod_4506_iotable_2020_xlsx_3[[#This Row],[2030]]+scenario_indirect_prod_1610_iotable_2020_xlsx_3[[#This Row],[2030]]</f>
        <v>78159.914994779218</v>
      </c>
      <c r="H184">
        <f>scenario_indirect_prod_4506_iotable_2020_xlsx_3[[#This Row],[2031]]+scenario_indirect_prod_1610_iotable_2020_xlsx_3[[#This Row],[2031]]</f>
        <v>81894.914352840176</v>
      </c>
      <c r="I184">
        <f>scenario_indirect_prod_4506_iotable_2020_xlsx_3[[#This Row],[2032]]+scenario_indirect_prod_1610_iotable_2020_xlsx_3[[#This Row],[2032]]</f>
        <v>87111.17333751863</v>
      </c>
      <c r="J184">
        <f>scenario_indirect_prod_4506_iotable_2020_xlsx_3[[#This Row],[2033]]+scenario_indirect_prod_1610_iotable_2020_xlsx_3[[#This Row],[2033]]</f>
        <v>101339.81137217321</v>
      </c>
      <c r="K184">
        <f>scenario_indirect_prod_4506_iotable_2020_xlsx_3[[#This Row],[2034]]+scenario_indirect_prod_1610_iotable_2020_xlsx_3[[#This Row],[2034]]</f>
        <v>106193.8123234339</v>
      </c>
      <c r="L184">
        <f>scenario_indirect_prod_4506_iotable_2020_xlsx_3[[#This Row],[2035]]+scenario_indirect_prod_1610_iotable_2020_xlsx_3[[#This Row],[2035]]</f>
        <v>125963.2079369597</v>
      </c>
      <c r="M184">
        <f>scenario_indirect_prod_4506_iotable_2020_xlsx_3[[#This Row],[2036]]+scenario_indirect_prod_1610_iotable_2020_xlsx_3[[#This Row],[2036]]</f>
        <v>135344.39016706025</v>
      </c>
      <c r="N184">
        <f>scenario_indirect_prod_4506_iotable_2020_xlsx_3[[#This Row],[2037]]+scenario_indirect_prod_1610_iotable_2020_xlsx_3[[#This Row],[2037]]</f>
        <v>143741.60157771927</v>
      </c>
      <c r="O184">
        <f>scenario_indirect_prod_4506_iotable_2020_xlsx_3[[#This Row],[2038]]+scenario_indirect_prod_1610_iotable_2020_xlsx_3[[#This Row],[2038]]</f>
        <v>143741.60157771927</v>
      </c>
      <c r="P184">
        <f>scenario_indirect_prod_4506_iotable_2020_xlsx_3[[#This Row],[2039]]+scenario_indirect_prod_1610_iotable_2020_xlsx_3[[#This Row],[2039]]</f>
        <v>143741.60157771927</v>
      </c>
      <c r="Q184">
        <f>scenario_indirect_prod_4506_iotable_2020_xlsx_3[[#This Row],[2040]]+scenario_indirect_prod_1610_iotable_2020_xlsx_3[[#This Row],[2040]]</f>
        <v>151079.97224821011</v>
      </c>
      <c r="R184">
        <f>scenario_indirect_prod_4506_iotable_2020_xlsx_3[[#This Row],[2041]]+scenario_indirect_prod_1610_iotable_2020_xlsx_3[[#This Row],[2041]]</f>
        <v>151079.97224821011</v>
      </c>
      <c r="S184">
        <f>scenario_indirect_prod_4506_iotable_2020_xlsx_3[[#This Row],[2042]]+scenario_indirect_prod_1610_iotable_2020_xlsx_3[[#This Row],[2042]]</f>
        <v>159285.79975636135</v>
      </c>
      <c r="T184">
        <f>scenario_indirect_prod_4506_iotable_2020_xlsx_3[[#This Row],[2043]]+scenario_indirect_prod_1610_iotable_2020_xlsx_3[[#This Row],[2043]]</f>
        <v>159285.79975636135</v>
      </c>
      <c r="U184">
        <f>scenario_indirect_prod_4506_iotable_2020_xlsx_3[[#This Row],[2044]]+scenario_indirect_prod_1610_iotable_2020_xlsx_3[[#This Row],[2044]]</f>
        <v>166768.46979432885</v>
      </c>
      <c r="V184">
        <f>scenario_indirect_prod_4506_iotable_2020_xlsx_3[[#This Row],[2045]]+scenario_indirect_prod_1610_iotable_2020_xlsx_3[[#This Row],[2045]]</f>
        <v>166768.46979432885</v>
      </c>
      <c r="W184">
        <f>scenario_indirect_prod_4506_iotable_2020_xlsx_3[[#This Row],[2046]]+scenario_indirect_prod_1610_iotable_2020_xlsx_3[[#This Row],[2046]]</f>
        <v>173241.63087058827</v>
      </c>
      <c r="X184">
        <f>scenario_indirect_prod_4506_iotable_2020_xlsx_3[[#This Row],[2047]]+scenario_indirect_prod_1610_iotable_2020_xlsx_3[[#This Row],[2047]]</f>
        <v>173241.63087058827</v>
      </c>
      <c r="Y184">
        <f>scenario_indirect_prod_4506_iotable_2020_xlsx_3[[#This Row],[2048]]+scenario_indirect_prod_1610_iotable_2020_xlsx_3[[#This Row],[2048]]</f>
        <v>173241.63087058827</v>
      </c>
      <c r="Z184">
        <f>scenario_indirect_prod_4506_iotable_2020_xlsx_3[[#This Row],[2049]]+scenario_indirect_prod_1610_iotable_2020_xlsx_3[[#This Row],[2049]]</f>
        <v>173241.63087058827</v>
      </c>
      <c r="AA184">
        <f>scenario_indirect_prod_4506_iotable_2020_xlsx_3[[#This Row],[2050]]+scenario_indirect_prod_1610_iotable_2020_xlsx_3[[#This Row],[2050]]</f>
        <v>173241.63087058827</v>
      </c>
    </row>
    <row r="185" spans="1:27" x14ac:dyDescent="0.2">
      <c r="A185" t="s">
        <v>613</v>
      </c>
      <c r="B185" t="s">
        <v>614</v>
      </c>
      <c r="C185">
        <f>scenario_indirect_prod_4506_iotable_2020_xlsx_3[[#This Row],[2026]]+scenario_indirect_prod_1610_iotable_2020_xlsx_3[[#This Row],[2026]]</f>
        <v>5762.3690541404048</v>
      </c>
      <c r="D185">
        <f>scenario_indirect_prod_4506_iotable_2020_xlsx_3[[#This Row],[2027]]+scenario_indirect_prod_1610_iotable_2020_xlsx_3[[#This Row],[2027]]</f>
        <v>5513.3972814294175</v>
      </c>
      <c r="E185">
        <f>scenario_indirect_prod_4506_iotable_2020_xlsx_3[[#This Row],[2028]]+scenario_indirect_prod_1610_iotable_2020_xlsx_3[[#This Row],[2028]]</f>
        <v>5811.0230703630259</v>
      </c>
      <c r="F185">
        <f>scenario_indirect_prod_4506_iotable_2020_xlsx_3[[#This Row],[2029]]+scenario_indirect_prod_1610_iotable_2020_xlsx_3[[#This Row],[2029]]</f>
        <v>5923.3018286819415</v>
      </c>
      <c r="G185">
        <f>scenario_indirect_prod_4506_iotable_2020_xlsx_3[[#This Row],[2030]]+scenario_indirect_prod_1610_iotable_2020_xlsx_3[[#This Row],[2030]]</f>
        <v>4807.5321042218493</v>
      </c>
      <c r="H185">
        <f>scenario_indirect_prod_4506_iotable_2020_xlsx_3[[#This Row],[2031]]+scenario_indirect_prod_1610_iotable_2020_xlsx_3[[#This Row],[2031]]</f>
        <v>5209.0887055722651</v>
      </c>
      <c r="I185">
        <f>scenario_indirect_prod_4506_iotable_2020_xlsx_3[[#This Row],[2032]]+scenario_indirect_prod_1610_iotable_2020_xlsx_3[[#This Row],[2032]]</f>
        <v>5769.8982342621148</v>
      </c>
      <c r="J185">
        <f>scenario_indirect_prod_4506_iotable_2020_xlsx_3[[#This Row],[2033]]+scenario_indirect_prod_1610_iotable_2020_xlsx_3[[#This Row],[2033]]</f>
        <v>6166.4700320278253</v>
      </c>
      <c r="K185">
        <f>scenario_indirect_prod_4506_iotable_2020_xlsx_3[[#This Row],[2034]]+scenario_indirect_prod_1610_iotable_2020_xlsx_3[[#This Row],[2034]]</f>
        <v>6688.3325380368888</v>
      </c>
      <c r="L185">
        <f>scenario_indirect_prod_4506_iotable_2020_xlsx_3[[#This Row],[2035]]+scenario_indirect_prod_1610_iotable_2020_xlsx_3[[#This Row],[2035]]</f>
        <v>7379.3119514353857</v>
      </c>
      <c r="M185">
        <f>scenario_indirect_prod_4506_iotable_2020_xlsx_3[[#This Row],[2036]]+scenario_indirect_prod_1610_iotable_2020_xlsx_3[[#This Row],[2036]]</f>
        <v>7446.3457827723378</v>
      </c>
      <c r="N185">
        <f>scenario_indirect_prod_4506_iotable_2020_xlsx_3[[#This Row],[2037]]+scenario_indirect_prod_1610_iotable_2020_xlsx_3[[#This Row],[2037]]</f>
        <v>7526.0331764340208</v>
      </c>
      <c r="O185">
        <f>scenario_indirect_prod_4506_iotable_2020_xlsx_3[[#This Row],[2038]]+scenario_indirect_prod_1610_iotable_2020_xlsx_3[[#This Row],[2038]]</f>
        <v>7526.0331764340208</v>
      </c>
      <c r="P185">
        <f>scenario_indirect_prod_4506_iotable_2020_xlsx_3[[#This Row],[2039]]+scenario_indirect_prod_1610_iotable_2020_xlsx_3[[#This Row],[2039]]</f>
        <v>7526.0331764340208</v>
      </c>
      <c r="Q185">
        <f>scenario_indirect_prod_4506_iotable_2020_xlsx_3[[#This Row],[2040]]+scenario_indirect_prod_1610_iotable_2020_xlsx_3[[#This Row],[2040]]</f>
        <v>7592.378998456441</v>
      </c>
      <c r="R185">
        <f>scenario_indirect_prod_4506_iotable_2020_xlsx_3[[#This Row],[2041]]+scenario_indirect_prod_1610_iotable_2020_xlsx_3[[#This Row],[2041]]</f>
        <v>7592.378998456441</v>
      </c>
      <c r="S185">
        <f>scenario_indirect_prod_4506_iotable_2020_xlsx_3[[#This Row],[2042]]+scenario_indirect_prod_1610_iotable_2020_xlsx_3[[#This Row],[2042]]</f>
        <v>7677.0132038070697</v>
      </c>
      <c r="T185">
        <f>scenario_indirect_prod_4506_iotable_2020_xlsx_3[[#This Row],[2043]]+scenario_indirect_prod_1610_iotable_2020_xlsx_3[[#This Row],[2043]]</f>
        <v>7677.0132038070697</v>
      </c>
      <c r="U185">
        <f>scenario_indirect_prod_4506_iotable_2020_xlsx_3[[#This Row],[2044]]+scenario_indirect_prod_1610_iotable_2020_xlsx_3[[#This Row],[2044]]</f>
        <v>7722.9812199239623</v>
      </c>
      <c r="V185">
        <f>scenario_indirect_prod_4506_iotable_2020_xlsx_3[[#This Row],[2045]]+scenario_indirect_prod_1610_iotable_2020_xlsx_3[[#This Row],[2045]]</f>
        <v>7722.9812199239623</v>
      </c>
      <c r="W185">
        <f>scenario_indirect_prod_4506_iotable_2020_xlsx_3[[#This Row],[2046]]+scenario_indirect_prod_1610_iotable_2020_xlsx_3[[#This Row],[2046]]</f>
        <v>7773.0747219370587</v>
      </c>
      <c r="X185">
        <f>scenario_indirect_prod_4506_iotable_2020_xlsx_3[[#This Row],[2047]]+scenario_indirect_prod_1610_iotable_2020_xlsx_3[[#This Row],[2047]]</f>
        <v>7773.0747219370587</v>
      </c>
      <c r="Y185">
        <f>scenario_indirect_prod_4506_iotable_2020_xlsx_3[[#This Row],[2048]]+scenario_indirect_prod_1610_iotable_2020_xlsx_3[[#This Row],[2048]]</f>
        <v>7773.0747219370587</v>
      </c>
      <c r="Z185">
        <f>scenario_indirect_prod_4506_iotable_2020_xlsx_3[[#This Row],[2049]]+scenario_indirect_prod_1610_iotable_2020_xlsx_3[[#This Row],[2049]]</f>
        <v>7773.0747219370587</v>
      </c>
      <c r="AA185">
        <f>scenario_indirect_prod_4506_iotable_2020_xlsx_3[[#This Row],[2050]]+scenario_indirect_prod_1610_iotable_2020_xlsx_3[[#This Row],[2050]]</f>
        <v>7773.0747219370587</v>
      </c>
    </row>
    <row r="186" spans="1:27" x14ac:dyDescent="0.2">
      <c r="A186" t="s">
        <v>388</v>
      </c>
      <c r="B186" t="s">
        <v>389</v>
      </c>
      <c r="C186">
        <f>scenario_indirect_prod_4506_iotable_2020_xlsx_3[[#This Row],[2026]]+scenario_indirect_prod_1610_iotable_2020_xlsx_3[[#This Row],[2026]]</f>
        <v>66931.523817816793</v>
      </c>
      <c r="D186">
        <f>scenario_indirect_prod_4506_iotable_2020_xlsx_3[[#This Row],[2027]]+scenario_indirect_prod_1610_iotable_2020_xlsx_3[[#This Row],[2027]]</f>
        <v>69201.434422468854</v>
      </c>
      <c r="E186">
        <f>scenario_indirect_prod_4506_iotable_2020_xlsx_3[[#This Row],[2028]]+scenario_indirect_prod_1610_iotable_2020_xlsx_3[[#This Row],[2028]]</f>
        <v>72351.644249205681</v>
      </c>
      <c r="F186">
        <f>scenario_indirect_prod_4506_iotable_2020_xlsx_3[[#This Row],[2029]]+scenario_indirect_prod_1610_iotable_2020_xlsx_3[[#This Row],[2029]]</f>
        <v>75502.112540345188</v>
      </c>
      <c r="G186">
        <f>scenario_indirect_prod_4506_iotable_2020_xlsx_3[[#This Row],[2030]]+scenario_indirect_prod_1610_iotable_2020_xlsx_3[[#This Row],[2030]]</f>
        <v>80323.372593675493</v>
      </c>
      <c r="H186">
        <f>scenario_indirect_prod_4506_iotable_2020_xlsx_3[[#This Row],[2031]]+scenario_indirect_prod_1610_iotable_2020_xlsx_3[[#This Row],[2031]]</f>
        <v>84573.634495030128</v>
      </c>
      <c r="I186">
        <f>scenario_indirect_prod_4506_iotable_2020_xlsx_3[[#This Row],[2032]]+scenario_indirect_prod_1610_iotable_2020_xlsx_3[[#This Row],[2032]]</f>
        <v>90509.503475122154</v>
      </c>
      <c r="J186">
        <f>scenario_indirect_prod_4506_iotable_2020_xlsx_3[[#This Row],[2033]]+scenario_indirect_prod_1610_iotable_2020_xlsx_3[[#This Row],[2033]]</f>
        <v>103984.67914654883</v>
      </c>
      <c r="K186">
        <f>scenario_indirect_prod_4506_iotable_2020_xlsx_3[[#This Row],[2034]]+scenario_indirect_prod_1610_iotable_2020_xlsx_3[[#This Row],[2034]]</f>
        <v>109508.31471766527</v>
      </c>
      <c r="L186">
        <f>scenario_indirect_prod_4506_iotable_2020_xlsx_3[[#This Row],[2035]]+scenario_indirect_prod_1610_iotable_2020_xlsx_3[[#This Row],[2035]]</f>
        <v>128566.39212770296</v>
      </c>
      <c r="M186">
        <f>scenario_indirect_prod_4506_iotable_2020_xlsx_3[[#This Row],[2036]]+scenario_indirect_prod_1610_iotable_2020_xlsx_3[[#This Row],[2036]]</f>
        <v>136984.7219236361</v>
      </c>
      <c r="N186">
        <f>scenario_indirect_prod_4506_iotable_2020_xlsx_3[[#This Row],[2037]]+scenario_indirect_prod_1610_iotable_2020_xlsx_3[[#This Row],[2037]]</f>
        <v>144567.25896808368</v>
      </c>
      <c r="O186">
        <f>scenario_indirect_prod_4506_iotable_2020_xlsx_3[[#This Row],[2038]]+scenario_indirect_prod_1610_iotable_2020_xlsx_3[[#This Row],[2038]]</f>
        <v>144567.25896808368</v>
      </c>
      <c r="P186">
        <f>scenario_indirect_prod_4506_iotable_2020_xlsx_3[[#This Row],[2039]]+scenario_indirect_prod_1610_iotable_2020_xlsx_3[[#This Row],[2039]]</f>
        <v>144567.25896808368</v>
      </c>
      <c r="Q186">
        <f>scenario_indirect_prod_4506_iotable_2020_xlsx_3[[#This Row],[2040]]+scenario_indirect_prod_1610_iotable_2020_xlsx_3[[#This Row],[2040]]</f>
        <v>151185.78625281309</v>
      </c>
      <c r="R186">
        <f>scenario_indirect_prod_4506_iotable_2020_xlsx_3[[#This Row],[2041]]+scenario_indirect_prod_1610_iotable_2020_xlsx_3[[#This Row],[2041]]</f>
        <v>151185.78625281309</v>
      </c>
      <c r="S186">
        <f>scenario_indirect_prod_4506_iotable_2020_xlsx_3[[#This Row],[2042]]+scenario_indirect_prod_1610_iotable_2020_xlsx_3[[#This Row],[2042]]</f>
        <v>158611.71876868425</v>
      </c>
      <c r="T186">
        <f>scenario_indirect_prod_4506_iotable_2020_xlsx_3[[#This Row],[2043]]+scenario_indirect_prod_1610_iotable_2020_xlsx_3[[#This Row],[2043]]</f>
        <v>158611.71876868425</v>
      </c>
      <c r="U186">
        <f>scenario_indirect_prod_4506_iotable_2020_xlsx_3[[#This Row],[2044]]+scenario_indirect_prod_1610_iotable_2020_xlsx_3[[#This Row],[2044]]</f>
        <v>165308.41492861556</v>
      </c>
      <c r="V186">
        <f>scenario_indirect_prod_4506_iotable_2020_xlsx_3[[#This Row],[2045]]+scenario_indirect_prod_1610_iotable_2020_xlsx_3[[#This Row],[2045]]</f>
        <v>165308.41492861556</v>
      </c>
      <c r="W186">
        <f>scenario_indirect_prod_4506_iotable_2020_xlsx_3[[#This Row],[2046]]+scenario_indirect_prod_1610_iotable_2020_xlsx_3[[#This Row],[2046]]</f>
        <v>171126.39580787817</v>
      </c>
      <c r="X186">
        <f>scenario_indirect_prod_4506_iotable_2020_xlsx_3[[#This Row],[2047]]+scenario_indirect_prod_1610_iotable_2020_xlsx_3[[#This Row],[2047]]</f>
        <v>171126.39580787817</v>
      </c>
      <c r="Y186">
        <f>scenario_indirect_prod_4506_iotable_2020_xlsx_3[[#This Row],[2048]]+scenario_indirect_prod_1610_iotable_2020_xlsx_3[[#This Row],[2048]]</f>
        <v>171126.39580787817</v>
      </c>
      <c r="Z186">
        <f>scenario_indirect_prod_4506_iotable_2020_xlsx_3[[#This Row],[2049]]+scenario_indirect_prod_1610_iotable_2020_xlsx_3[[#This Row],[2049]]</f>
        <v>171126.39580787817</v>
      </c>
      <c r="AA186">
        <f>scenario_indirect_prod_4506_iotable_2020_xlsx_3[[#This Row],[2050]]+scenario_indirect_prod_1610_iotable_2020_xlsx_3[[#This Row],[2050]]</f>
        <v>171126.39580787817</v>
      </c>
    </row>
    <row r="187" spans="1:27" x14ac:dyDescent="0.2">
      <c r="A187" t="s">
        <v>428</v>
      </c>
      <c r="B187" t="s">
        <v>429</v>
      </c>
      <c r="C187">
        <f>scenario_indirect_prod_4506_iotable_2020_xlsx_3[[#This Row],[2026]]+scenario_indirect_prod_1610_iotable_2020_xlsx_3[[#This Row],[2026]]</f>
        <v>34803.464237938162</v>
      </c>
      <c r="D187">
        <f>scenario_indirect_prod_4506_iotable_2020_xlsx_3[[#This Row],[2027]]+scenario_indirect_prod_1610_iotable_2020_xlsx_3[[#This Row],[2027]]</f>
        <v>36991.954670625491</v>
      </c>
      <c r="E187">
        <f>scenario_indirect_prod_4506_iotable_2020_xlsx_3[[#This Row],[2028]]+scenario_indirect_prod_1610_iotable_2020_xlsx_3[[#This Row],[2028]]</f>
        <v>38570.098454351151</v>
      </c>
      <c r="F187">
        <f>scenario_indirect_prod_4506_iotable_2020_xlsx_3[[#This Row],[2029]]+scenario_indirect_prod_1610_iotable_2020_xlsx_3[[#This Row],[2029]]</f>
        <v>40568.909940694444</v>
      </c>
      <c r="G187">
        <f>scenario_indirect_prod_4506_iotable_2020_xlsx_3[[#This Row],[2030]]+scenario_indirect_prod_1610_iotable_2020_xlsx_3[[#This Row],[2030]]</f>
        <v>46548.81963357974</v>
      </c>
      <c r="H187">
        <f>scenario_indirect_prod_4506_iotable_2020_xlsx_3[[#This Row],[2031]]+scenario_indirect_prod_1610_iotable_2020_xlsx_3[[#This Row],[2031]]</f>
        <v>48678.050626988472</v>
      </c>
      <c r="I187">
        <f>scenario_indirect_prod_4506_iotable_2020_xlsx_3[[#This Row],[2032]]+scenario_indirect_prod_1610_iotable_2020_xlsx_3[[#This Row],[2032]]</f>
        <v>51651.711191575603</v>
      </c>
      <c r="J187">
        <f>scenario_indirect_prod_4506_iotable_2020_xlsx_3[[#This Row],[2033]]+scenario_indirect_prod_1610_iotable_2020_xlsx_3[[#This Row],[2033]]</f>
        <v>60390.831256378282</v>
      </c>
      <c r="K187">
        <f>scenario_indirect_prod_4506_iotable_2020_xlsx_3[[#This Row],[2034]]+scenario_indirect_prod_1610_iotable_2020_xlsx_3[[#This Row],[2034]]</f>
        <v>63157.977452843857</v>
      </c>
      <c r="L187">
        <f>scenario_indirect_prod_4506_iotable_2020_xlsx_3[[#This Row],[2035]]+scenario_indirect_prod_1610_iotable_2020_xlsx_3[[#This Row],[2035]]</f>
        <v>75222.646548420758</v>
      </c>
      <c r="M187">
        <f>scenario_indirect_prod_4506_iotable_2020_xlsx_3[[#This Row],[2036]]+scenario_indirect_prod_1610_iotable_2020_xlsx_3[[#This Row],[2036]]</f>
        <v>81092.202894848058</v>
      </c>
      <c r="N187">
        <f>scenario_indirect_prod_4506_iotable_2020_xlsx_3[[#This Row],[2037]]+scenario_indirect_prod_1610_iotable_2020_xlsx_3[[#This Row],[2037]]</f>
        <v>86335.210539950742</v>
      </c>
      <c r="O187">
        <f>scenario_indirect_prod_4506_iotable_2020_xlsx_3[[#This Row],[2038]]+scenario_indirect_prod_1610_iotable_2020_xlsx_3[[#This Row],[2038]]</f>
        <v>86335.210539950742</v>
      </c>
      <c r="P187">
        <f>scenario_indirect_prod_4506_iotable_2020_xlsx_3[[#This Row],[2039]]+scenario_indirect_prod_1610_iotable_2020_xlsx_3[[#This Row],[2039]]</f>
        <v>86335.210539950742</v>
      </c>
      <c r="Q187">
        <f>scenario_indirect_prod_4506_iotable_2020_xlsx_3[[#This Row],[2040]]+scenario_indirect_prod_1610_iotable_2020_xlsx_3[[#This Row],[2040]]</f>
        <v>90918.92906221321</v>
      </c>
      <c r="R187">
        <f>scenario_indirect_prod_4506_iotable_2020_xlsx_3[[#This Row],[2041]]+scenario_indirect_prod_1610_iotable_2020_xlsx_3[[#This Row],[2041]]</f>
        <v>90918.92906221321</v>
      </c>
      <c r="S187">
        <f>scenario_indirect_prod_4506_iotable_2020_xlsx_3[[#This Row],[2042]]+scenario_indirect_prod_1610_iotable_2020_xlsx_3[[#This Row],[2042]]</f>
        <v>96038.69503633125</v>
      </c>
      <c r="T187">
        <f>scenario_indirect_prod_4506_iotable_2020_xlsx_3[[#This Row],[2043]]+scenario_indirect_prod_1610_iotable_2020_xlsx_3[[#This Row],[2043]]</f>
        <v>96038.69503633125</v>
      </c>
      <c r="U187">
        <f>scenario_indirect_prod_4506_iotable_2020_xlsx_3[[#This Row],[2044]]+scenario_indirect_prod_1610_iotable_2020_xlsx_3[[#This Row],[2044]]</f>
        <v>100724.55734232476</v>
      </c>
      <c r="V187">
        <f>scenario_indirect_prod_4506_iotable_2020_xlsx_3[[#This Row],[2045]]+scenario_indirect_prod_1610_iotable_2020_xlsx_3[[#This Row],[2045]]</f>
        <v>100724.55734232476</v>
      </c>
      <c r="W187">
        <f>scenario_indirect_prod_4506_iotable_2020_xlsx_3[[#This Row],[2046]]+scenario_indirect_prod_1610_iotable_2020_xlsx_3[[#This Row],[2046]]</f>
        <v>104772.51546722148</v>
      </c>
      <c r="X187">
        <f>scenario_indirect_prod_4506_iotable_2020_xlsx_3[[#This Row],[2047]]+scenario_indirect_prod_1610_iotable_2020_xlsx_3[[#This Row],[2047]]</f>
        <v>104772.51546722148</v>
      </c>
      <c r="Y187">
        <f>scenario_indirect_prod_4506_iotable_2020_xlsx_3[[#This Row],[2048]]+scenario_indirect_prod_1610_iotable_2020_xlsx_3[[#This Row],[2048]]</f>
        <v>104772.51546722148</v>
      </c>
      <c r="Z187">
        <f>scenario_indirect_prod_4506_iotable_2020_xlsx_3[[#This Row],[2049]]+scenario_indirect_prod_1610_iotable_2020_xlsx_3[[#This Row],[2049]]</f>
        <v>104772.51546722148</v>
      </c>
      <c r="AA187">
        <f>scenario_indirect_prod_4506_iotable_2020_xlsx_3[[#This Row],[2050]]+scenario_indirect_prod_1610_iotable_2020_xlsx_3[[#This Row],[2050]]</f>
        <v>104772.51546722148</v>
      </c>
    </row>
    <row r="188" spans="1:27" x14ac:dyDescent="0.2">
      <c r="A188" t="s">
        <v>479</v>
      </c>
      <c r="B188" t="s">
        <v>480</v>
      </c>
      <c r="C188">
        <f>scenario_indirect_prod_4506_iotable_2020_xlsx_3[[#This Row],[2026]]+scenario_indirect_prod_1610_iotable_2020_xlsx_3[[#This Row],[2026]]</f>
        <v>20876.777653589939</v>
      </c>
      <c r="D188">
        <f>scenario_indirect_prod_4506_iotable_2020_xlsx_3[[#This Row],[2027]]+scenario_indirect_prod_1610_iotable_2020_xlsx_3[[#This Row],[2027]]</f>
        <v>21595.623989791533</v>
      </c>
      <c r="E188">
        <f>scenario_indirect_prod_4506_iotable_2020_xlsx_3[[#This Row],[2028]]+scenario_indirect_prod_1610_iotable_2020_xlsx_3[[#This Row],[2028]]</f>
        <v>22577.569887558813</v>
      </c>
      <c r="F188">
        <f>scenario_indirect_prod_4506_iotable_2020_xlsx_3[[#This Row],[2029]]+scenario_indirect_prod_1610_iotable_2020_xlsx_3[[#This Row],[2029]]</f>
        <v>23564.115083331188</v>
      </c>
      <c r="G188">
        <f>scenario_indirect_prod_4506_iotable_2020_xlsx_3[[#This Row],[2030]]+scenario_indirect_prod_1610_iotable_2020_xlsx_3[[#This Row],[2030]]</f>
        <v>25105.243215635048</v>
      </c>
      <c r="H188">
        <f>scenario_indirect_prod_4506_iotable_2020_xlsx_3[[#This Row],[2031]]+scenario_indirect_prod_1610_iotable_2020_xlsx_3[[#This Row],[2031]]</f>
        <v>26430.084247825882</v>
      </c>
      <c r="I188">
        <f>scenario_indirect_prod_4506_iotable_2020_xlsx_3[[#This Row],[2032]]+scenario_indirect_prod_1610_iotable_2020_xlsx_3[[#This Row],[2032]]</f>
        <v>28280.342648144284</v>
      </c>
      <c r="J188">
        <f>scenario_indirect_prod_4506_iotable_2020_xlsx_3[[#This Row],[2033]]+scenario_indirect_prod_1610_iotable_2020_xlsx_3[[#This Row],[2033]]</f>
        <v>32502.030983977638</v>
      </c>
      <c r="K188">
        <f>scenario_indirect_prod_4506_iotable_2020_xlsx_3[[#This Row],[2034]]+scenario_indirect_prod_1610_iotable_2020_xlsx_3[[#This Row],[2034]]</f>
        <v>34223.792894496975</v>
      </c>
      <c r="L188">
        <f>scenario_indirect_prod_4506_iotable_2020_xlsx_3[[#This Row],[2035]]+scenario_indirect_prod_1610_iotable_2020_xlsx_3[[#This Row],[2035]]</f>
        <v>40191.39796363697</v>
      </c>
      <c r="M188">
        <f>scenario_indirect_prod_4506_iotable_2020_xlsx_3[[#This Row],[2036]]+scenario_indirect_prod_1610_iotable_2020_xlsx_3[[#This Row],[2036]]</f>
        <v>42833.213333048101</v>
      </c>
      <c r="N188">
        <f>scenario_indirect_prod_4506_iotable_2020_xlsx_3[[#This Row],[2037]]+scenario_indirect_prod_1610_iotable_2020_xlsx_3[[#This Row],[2037]]</f>
        <v>45212.272007264037</v>
      </c>
      <c r="O188">
        <f>scenario_indirect_prod_4506_iotable_2020_xlsx_3[[#This Row],[2038]]+scenario_indirect_prod_1610_iotable_2020_xlsx_3[[#This Row],[2038]]</f>
        <v>45212.272007264037</v>
      </c>
      <c r="P188">
        <f>scenario_indirect_prod_4506_iotable_2020_xlsx_3[[#This Row],[2039]]+scenario_indirect_prod_1610_iotable_2020_xlsx_3[[#This Row],[2039]]</f>
        <v>45212.272007264037</v>
      </c>
      <c r="Q188">
        <f>scenario_indirect_prod_4506_iotable_2020_xlsx_3[[#This Row],[2040]]+scenario_indirect_prod_1610_iotable_2020_xlsx_3[[#This Row],[2040]]</f>
        <v>47288.946089897458</v>
      </c>
      <c r="R188">
        <f>scenario_indirect_prod_4506_iotable_2020_xlsx_3[[#This Row],[2041]]+scenario_indirect_prod_1610_iotable_2020_xlsx_3[[#This Row],[2041]]</f>
        <v>47288.946089897458</v>
      </c>
      <c r="S188">
        <f>scenario_indirect_prod_4506_iotable_2020_xlsx_3[[#This Row],[2042]]+scenario_indirect_prod_1610_iotable_2020_xlsx_3[[#This Row],[2042]]</f>
        <v>49618.708609208683</v>
      </c>
      <c r="T188">
        <f>scenario_indirect_prod_4506_iotable_2020_xlsx_3[[#This Row],[2043]]+scenario_indirect_prod_1610_iotable_2020_xlsx_3[[#This Row],[2043]]</f>
        <v>49618.708609208683</v>
      </c>
      <c r="U188">
        <f>scenario_indirect_prod_4506_iotable_2020_xlsx_3[[#This Row],[2044]]+scenario_indirect_prod_1610_iotable_2020_xlsx_3[[#This Row],[2044]]</f>
        <v>51720.42533269649</v>
      </c>
      <c r="V188">
        <f>scenario_indirect_prod_4506_iotable_2020_xlsx_3[[#This Row],[2045]]+scenario_indirect_prod_1610_iotable_2020_xlsx_3[[#This Row],[2045]]</f>
        <v>51720.42533269649</v>
      </c>
      <c r="W188">
        <f>scenario_indirect_prod_4506_iotable_2020_xlsx_3[[#This Row],[2046]]+scenario_indirect_prod_1610_iotable_2020_xlsx_3[[#This Row],[2046]]</f>
        <v>53546.115094020264</v>
      </c>
      <c r="X188">
        <f>scenario_indirect_prod_4506_iotable_2020_xlsx_3[[#This Row],[2047]]+scenario_indirect_prod_1610_iotable_2020_xlsx_3[[#This Row],[2047]]</f>
        <v>53546.115094020264</v>
      </c>
      <c r="Y188">
        <f>scenario_indirect_prod_4506_iotable_2020_xlsx_3[[#This Row],[2048]]+scenario_indirect_prod_1610_iotable_2020_xlsx_3[[#This Row],[2048]]</f>
        <v>53546.115094020264</v>
      </c>
      <c r="Z188">
        <f>scenario_indirect_prod_4506_iotable_2020_xlsx_3[[#This Row],[2049]]+scenario_indirect_prod_1610_iotable_2020_xlsx_3[[#This Row],[2049]]</f>
        <v>53546.115094020264</v>
      </c>
      <c r="AA188">
        <f>scenario_indirect_prod_4506_iotable_2020_xlsx_3[[#This Row],[2050]]+scenario_indirect_prod_1610_iotable_2020_xlsx_3[[#This Row],[2050]]</f>
        <v>53546.115094020264</v>
      </c>
    </row>
    <row r="189" spans="1:27" x14ac:dyDescent="0.2">
      <c r="A189" t="s">
        <v>484</v>
      </c>
      <c r="B189" t="s">
        <v>485</v>
      </c>
      <c r="C189">
        <f>scenario_indirect_prod_4506_iotable_2020_xlsx_3[[#This Row],[2026]]+scenario_indirect_prod_1610_iotable_2020_xlsx_3[[#This Row],[2026]]</f>
        <v>19777.75475487244</v>
      </c>
      <c r="D189">
        <f>scenario_indirect_prod_4506_iotable_2020_xlsx_3[[#This Row],[2027]]+scenario_indirect_prod_1610_iotable_2020_xlsx_3[[#This Row],[2027]]</f>
        <v>20678.82476558397</v>
      </c>
      <c r="E189">
        <f>scenario_indirect_prod_4506_iotable_2020_xlsx_3[[#This Row],[2028]]+scenario_indirect_prod_1610_iotable_2020_xlsx_3[[#This Row],[2028]]</f>
        <v>21595.99788832997</v>
      </c>
      <c r="F189">
        <f>scenario_indirect_prod_4506_iotable_2020_xlsx_3[[#This Row],[2029]]+scenario_indirect_prod_1610_iotable_2020_xlsx_3[[#This Row],[2029]]</f>
        <v>22609.323504325614</v>
      </c>
      <c r="G189">
        <f>scenario_indirect_prod_4506_iotable_2020_xlsx_3[[#This Row],[2030]]+scenario_indirect_prod_1610_iotable_2020_xlsx_3[[#This Row],[2030]]</f>
        <v>24827.401600894136</v>
      </c>
      <c r="H189">
        <f>scenario_indirect_prod_4506_iotable_2020_xlsx_3[[#This Row],[2031]]+scenario_indirect_prod_1610_iotable_2020_xlsx_3[[#This Row],[2031]]</f>
        <v>26064.851229635784</v>
      </c>
      <c r="I189">
        <f>scenario_indirect_prod_4506_iotable_2020_xlsx_3[[#This Row],[2032]]+scenario_indirect_prod_1610_iotable_2020_xlsx_3[[#This Row],[2032]]</f>
        <v>27793.059757993262</v>
      </c>
      <c r="J189">
        <f>scenario_indirect_prod_4506_iotable_2020_xlsx_3[[#This Row],[2033]]+scenario_indirect_prod_1610_iotable_2020_xlsx_3[[#This Row],[2033]]</f>
        <v>32170.617804624279</v>
      </c>
      <c r="K189">
        <f>scenario_indirect_prod_4506_iotable_2020_xlsx_3[[#This Row],[2034]]+scenario_indirect_prod_1610_iotable_2020_xlsx_3[[#This Row],[2034]]</f>
        <v>33778.80594583122</v>
      </c>
      <c r="L189">
        <f>scenario_indirect_prod_4506_iotable_2020_xlsx_3[[#This Row],[2035]]+scenario_indirect_prod_1610_iotable_2020_xlsx_3[[#This Row],[2035]]</f>
        <v>39902.59831527299</v>
      </c>
      <c r="M189">
        <f>scenario_indirect_prod_4506_iotable_2020_xlsx_3[[#This Row],[2036]]+scenario_indirect_prod_1610_iotable_2020_xlsx_3[[#This Row],[2036]]</f>
        <v>42731.049058045872</v>
      </c>
      <c r="N189">
        <f>scenario_indirect_prod_4506_iotable_2020_xlsx_3[[#This Row],[2037]]+scenario_indirect_prod_1610_iotable_2020_xlsx_3[[#This Row],[2037]]</f>
        <v>45268.676470961378</v>
      </c>
      <c r="O189">
        <f>scenario_indirect_prod_4506_iotable_2020_xlsx_3[[#This Row],[2038]]+scenario_indirect_prod_1610_iotable_2020_xlsx_3[[#This Row],[2038]]</f>
        <v>45268.676470961378</v>
      </c>
      <c r="P189">
        <f>scenario_indirect_prod_4506_iotable_2020_xlsx_3[[#This Row],[2039]]+scenario_indirect_prod_1610_iotable_2020_xlsx_3[[#This Row],[2039]]</f>
        <v>45268.676470961378</v>
      </c>
      <c r="Q189">
        <f>scenario_indirect_prod_4506_iotable_2020_xlsx_3[[#This Row],[2040]]+scenario_indirect_prod_1610_iotable_2020_xlsx_3[[#This Row],[2040]]</f>
        <v>47485.345288345437</v>
      </c>
      <c r="R189">
        <f>scenario_indirect_prod_4506_iotable_2020_xlsx_3[[#This Row],[2041]]+scenario_indirect_prod_1610_iotable_2020_xlsx_3[[#This Row],[2041]]</f>
        <v>47485.345288345437</v>
      </c>
      <c r="S189">
        <f>scenario_indirect_prod_4506_iotable_2020_xlsx_3[[#This Row],[2042]]+scenario_indirect_prod_1610_iotable_2020_xlsx_3[[#This Row],[2042]]</f>
        <v>49967.145354627224</v>
      </c>
      <c r="T189">
        <f>scenario_indirect_prod_4506_iotable_2020_xlsx_3[[#This Row],[2043]]+scenario_indirect_prod_1610_iotable_2020_xlsx_3[[#This Row],[2043]]</f>
        <v>49967.145354627224</v>
      </c>
      <c r="U189">
        <f>scenario_indirect_prod_4506_iotable_2020_xlsx_3[[#This Row],[2044]]+scenario_indirect_prod_1610_iotable_2020_xlsx_3[[#This Row],[2044]]</f>
        <v>52220.962252986086</v>
      </c>
      <c r="V189">
        <f>scenario_indirect_prod_4506_iotable_2020_xlsx_3[[#This Row],[2045]]+scenario_indirect_prod_1610_iotable_2020_xlsx_3[[#This Row],[2045]]</f>
        <v>52220.962252986086</v>
      </c>
      <c r="W189">
        <f>scenario_indirect_prod_4506_iotable_2020_xlsx_3[[#This Row],[2046]]+scenario_indirect_prod_1610_iotable_2020_xlsx_3[[#This Row],[2046]]</f>
        <v>54173.777322913607</v>
      </c>
      <c r="X189">
        <f>scenario_indirect_prod_4506_iotable_2020_xlsx_3[[#This Row],[2047]]+scenario_indirect_prod_1610_iotable_2020_xlsx_3[[#This Row],[2047]]</f>
        <v>54173.777322913607</v>
      </c>
      <c r="Y189">
        <f>scenario_indirect_prod_4506_iotable_2020_xlsx_3[[#This Row],[2048]]+scenario_indirect_prod_1610_iotable_2020_xlsx_3[[#This Row],[2048]]</f>
        <v>54173.777322913607</v>
      </c>
      <c r="Z189">
        <f>scenario_indirect_prod_4506_iotable_2020_xlsx_3[[#This Row],[2049]]+scenario_indirect_prod_1610_iotable_2020_xlsx_3[[#This Row],[2049]]</f>
        <v>54173.777322913607</v>
      </c>
      <c r="AA189">
        <f>scenario_indirect_prod_4506_iotable_2020_xlsx_3[[#This Row],[2050]]+scenario_indirect_prod_1610_iotable_2020_xlsx_3[[#This Row],[2050]]</f>
        <v>54173.777322913607</v>
      </c>
    </row>
    <row r="190" spans="1:27" x14ac:dyDescent="0.2">
      <c r="A190" t="s">
        <v>496</v>
      </c>
      <c r="B190" t="s">
        <v>497</v>
      </c>
      <c r="C190">
        <f>scenario_indirect_prod_4506_iotable_2020_xlsx_3[[#This Row],[2026]]+scenario_indirect_prod_1610_iotable_2020_xlsx_3[[#This Row],[2026]]</f>
        <v>17920.054400294579</v>
      </c>
      <c r="D190">
        <f>scenario_indirect_prod_4506_iotable_2020_xlsx_3[[#This Row],[2027]]+scenario_indirect_prod_1610_iotable_2020_xlsx_3[[#This Row],[2027]]</f>
        <v>18135.706007256536</v>
      </c>
      <c r="E190">
        <f>scenario_indirect_prod_4506_iotable_2020_xlsx_3[[#This Row],[2028]]+scenario_indirect_prod_1610_iotable_2020_xlsx_3[[#This Row],[2028]]</f>
        <v>19002.438343786482</v>
      </c>
      <c r="F190">
        <f>scenario_indirect_prod_4506_iotable_2020_xlsx_3[[#This Row],[2029]]+scenario_indirect_prod_1610_iotable_2020_xlsx_3[[#This Row],[2029]]</f>
        <v>19705.689863081316</v>
      </c>
      <c r="G190">
        <f>scenario_indirect_prod_4506_iotable_2020_xlsx_3[[#This Row],[2030]]+scenario_indirect_prod_1610_iotable_2020_xlsx_3[[#This Row],[2030]]</f>
        <v>19645.862995717358</v>
      </c>
      <c r="H190">
        <f>scenario_indirect_prod_4506_iotable_2020_xlsx_3[[#This Row],[2031]]+scenario_indirect_prod_1610_iotable_2020_xlsx_3[[#This Row],[2031]]</f>
        <v>20815.25793486058</v>
      </c>
      <c r="I190">
        <f>scenario_indirect_prod_4506_iotable_2020_xlsx_3[[#This Row],[2032]]+scenario_indirect_prod_1610_iotable_2020_xlsx_3[[#This Row],[2032]]</f>
        <v>22448.422032942282</v>
      </c>
      <c r="J190">
        <f>scenario_indirect_prod_4506_iotable_2020_xlsx_3[[#This Row],[2033]]+scenario_indirect_prod_1610_iotable_2020_xlsx_3[[#This Row],[2033]]</f>
        <v>25382.549305245382</v>
      </c>
      <c r="K190">
        <f>scenario_indirect_prod_4506_iotable_2020_xlsx_3[[#This Row],[2034]]+scenario_indirect_prod_1610_iotable_2020_xlsx_3[[#This Row],[2034]]</f>
        <v>26902.293648641338</v>
      </c>
      <c r="L190">
        <f>scenario_indirect_prod_4506_iotable_2020_xlsx_3[[#This Row],[2035]]+scenario_indirect_prod_1610_iotable_2020_xlsx_3[[#This Row],[2035]]</f>
        <v>31166.849324346276</v>
      </c>
      <c r="M190">
        <f>scenario_indirect_prod_4506_iotable_2020_xlsx_3[[#This Row],[2036]]+scenario_indirect_prod_1610_iotable_2020_xlsx_3[[#This Row],[2036]]</f>
        <v>32840.438580381859</v>
      </c>
      <c r="N190">
        <f>scenario_indirect_prod_4506_iotable_2020_xlsx_3[[#This Row],[2037]]+scenario_indirect_prod_1610_iotable_2020_xlsx_3[[#This Row],[2037]]</f>
        <v>34364.905787512267</v>
      </c>
      <c r="O190">
        <f>scenario_indirect_prod_4506_iotable_2020_xlsx_3[[#This Row],[2038]]+scenario_indirect_prod_1610_iotable_2020_xlsx_3[[#This Row],[2038]]</f>
        <v>34364.905787512267</v>
      </c>
      <c r="P190">
        <f>scenario_indirect_prod_4506_iotable_2020_xlsx_3[[#This Row],[2039]]+scenario_indirect_prod_1610_iotable_2020_xlsx_3[[#This Row],[2039]]</f>
        <v>34364.905787512267</v>
      </c>
      <c r="Q190">
        <f>scenario_indirect_prod_4506_iotable_2020_xlsx_3[[#This Row],[2040]]+scenario_indirect_prod_1610_iotable_2020_xlsx_3[[#This Row],[2040]]</f>
        <v>35692.726491194495</v>
      </c>
      <c r="R190">
        <f>scenario_indirect_prod_4506_iotable_2020_xlsx_3[[#This Row],[2041]]+scenario_indirect_prod_1610_iotable_2020_xlsx_3[[#This Row],[2041]]</f>
        <v>35692.726491194495</v>
      </c>
      <c r="S190">
        <f>scenario_indirect_prod_4506_iotable_2020_xlsx_3[[#This Row],[2042]]+scenario_indirect_prod_1610_iotable_2020_xlsx_3[[#This Row],[2042]]</f>
        <v>37191.525019256849</v>
      </c>
      <c r="T190">
        <f>scenario_indirect_prod_4506_iotable_2020_xlsx_3[[#This Row],[2043]]+scenario_indirect_prod_1610_iotable_2020_xlsx_3[[#This Row],[2043]]</f>
        <v>37191.525019256849</v>
      </c>
      <c r="U190">
        <f>scenario_indirect_prod_4506_iotable_2020_xlsx_3[[#This Row],[2044]]+scenario_indirect_prod_1610_iotable_2020_xlsx_3[[#This Row],[2044]]</f>
        <v>38516.357554882816</v>
      </c>
      <c r="V190">
        <f>scenario_indirect_prod_4506_iotable_2020_xlsx_3[[#This Row],[2045]]+scenario_indirect_prod_1610_iotable_2020_xlsx_3[[#This Row],[2045]]</f>
        <v>38516.357554882816</v>
      </c>
      <c r="W190">
        <f>scenario_indirect_prod_4506_iotable_2020_xlsx_3[[#This Row],[2046]]+scenario_indirect_prod_1610_iotable_2020_xlsx_3[[#This Row],[2046]]</f>
        <v>39676.312206629533</v>
      </c>
      <c r="X190">
        <f>scenario_indirect_prod_4506_iotable_2020_xlsx_3[[#This Row],[2047]]+scenario_indirect_prod_1610_iotable_2020_xlsx_3[[#This Row],[2047]]</f>
        <v>39676.312206629533</v>
      </c>
      <c r="Y190">
        <f>scenario_indirect_prod_4506_iotable_2020_xlsx_3[[#This Row],[2048]]+scenario_indirect_prod_1610_iotable_2020_xlsx_3[[#This Row],[2048]]</f>
        <v>39676.312206629533</v>
      </c>
      <c r="Z190">
        <f>scenario_indirect_prod_4506_iotable_2020_xlsx_3[[#This Row],[2049]]+scenario_indirect_prod_1610_iotable_2020_xlsx_3[[#This Row],[2049]]</f>
        <v>39676.312206629533</v>
      </c>
      <c r="AA190">
        <f>scenario_indirect_prod_4506_iotable_2020_xlsx_3[[#This Row],[2050]]+scenario_indirect_prod_1610_iotable_2020_xlsx_3[[#This Row],[2050]]</f>
        <v>39676.312206629533</v>
      </c>
    </row>
    <row r="191" spans="1:27" x14ac:dyDescent="0.2">
      <c r="A191" t="s">
        <v>515</v>
      </c>
      <c r="B191" t="s">
        <v>516</v>
      </c>
      <c r="C191">
        <f>scenario_indirect_prod_4506_iotable_2020_xlsx_3[[#This Row],[2026]]+scenario_indirect_prod_1610_iotable_2020_xlsx_3[[#This Row],[2026]]</f>
        <v>12637.723193855269</v>
      </c>
      <c r="D191">
        <f>scenario_indirect_prod_4506_iotable_2020_xlsx_3[[#This Row],[2027]]+scenario_indirect_prod_1610_iotable_2020_xlsx_3[[#This Row],[2027]]</f>
        <v>12181.680935765486</v>
      </c>
      <c r="E191">
        <f>scenario_indirect_prod_4506_iotable_2020_xlsx_3[[#This Row],[2028]]+scenario_indirect_prod_1610_iotable_2020_xlsx_3[[#This Row],[2028]]</f>
        <v>12829.069455449084</v>
      </c>
      <c r="F191">
        <f>scenario_indirect_prod_4506_iotable_2020_xlsx_3[[#This Row],[2029]]+scenario_indirect_prod_1610_iotable_2020_xlsx_3[[#This Row],[2029]]</f>
        <v>13107.501619132625</v>
      </c>
      <c r="G191">
        <f>scenario_indirect_prod_4506_iotable_2020_xlsx_3[[#This Row],[2030]]+scenario_indirect_prod_1610_iotable_2020_xlsx_3[[#This Row],[2030]]</f>
        <v>10970.448644703238</v>
      </c>
      <c r="H191">
        <f>scenario_indirect_prod_4506_iotable_2020_xlsx_3[[#This Row],[2031]]+scenario_indirect_prod_1610_iotable_2020_xlsx_3[[#This Row],[2031]]</f>
        <v>11843.904989494025</v>
      </c>
      <c r="I191">
        <f>scenario_indirect_prod_4506_iotable_2020_xlsx_3[[#This Row],[2032]]+scenario_indirect_prod_1610_iotable_2020_xlsx_3[[#This Row],[2032]]</f>
        <v>13063.764504705487</v>
      </c>
      <c r="J191">
        <f>scenario_indirect_prod_4506_iotable_2020_xlsx_3[[#This Row],[2033]]+scenario_indirect_prod_1610_iotable_2020_xlsx_3[[#This Row],[2033]]</f>
        <v>14088.122991141845</v>
      </c>
      <c r="K191">
        <f>scenario_indirect_prod_4506_iotable_2020_xlsx_3[[#This Row],[2034]]+scenario_indirect_prod_1610_iotable_2020_xlsx_3[[#This Row],[2034]]</f>
        <v>15223.265871246724</v>
      </c>
      <c r="L191">
        <f>scenario_indirect_prod_4506_iotable_2020_xlsx_3[[#This Row],[2035]]+scenario_indirect_prod_1610_iotable_2020_xlsx_3[[#This Row],[2035]]</f>
        <v>16931.017644638818</v>
      </c>
      <c r="M191">
        <f>scenario_indirect_prod_4506_iotable_2020_xlsx_3[[#This Row],[2036]]+scenario_indirect_prod_1610_iotable_2020_xlsx_3[[#This Row],[2036]]</f>
        <v>17211.221793288478</v>
      </c>
      <c r="N191">
        <f>scenario_indirect_prod_4506_iotable_2020_xlsx_3[[#This Row],[2037]]+scenario_indirect_prod_1610_iotable_2020_xlsx_3[[#This Row],[2037]]</f>
        <v>17502.043713214658</v>
      </c>
      <c r="O191">
        <f>scenario_indirect_prod_4506_iotable_2020_xlsx_3[[#This Row],[2038]]+scenario_indirect_prod_1610_iotable_2020_xlsx_3[[#This Row],[2038]]</f>
        <v>17502.043713214658</v>
      </c>
      <c r="P191">
        <f>scenario_indirect_prod_4506_iotable_2020_xlsx_3[[#This Row],[2039]]+scenario_indirect_prod_1610_iotable_2020_xlsx_3[[#This Row],[2039]]</f>
        <v>17502.043713214658</v>
      </c>
      <c r="Q191">
        <f>scenario_indirect_prod_4506_iotable_2020_xlsx_3[[#This Row],[2040]]+scenario_indirect_prod_1610_iotable_2020_xlsx_3[[#This Row],[2040]]</f>
        <v>17749.500912303673</v>
      </c>
      <c r="R191">
        <f>scenario_indirect_prod_4506_iotable_2020_xlsx_3[[#This Row],[2041]]+scenario_indirect_prod_1610_iotable_2020_xlsx_3[[#This Row],[2041]]</f>
        <v>17749.500912303673</v>
      </c>
      <c r="S191">
        <f>scenario_indirect_prod_4506_iotable_2020_xlsx_3[[#This Row],[2042]]+scenario_indirect_prod_1610_iotable_2020_xlsx_3[[#This Row],[2042]]</f>
        <v>18047.439988253533</v>
      </c>
      <c r="T191">
        <f>scenario_indirect_prod_4506_iotable_2020_xlsx_3[[#This Row],[2043]]+scenario_indirect_prod_1610_iotable_2020_xlsx_3[[#This Row],[2043]]</f>
        <v>18047.439988253533</v>
      </c>
      <c r="U191">
        <f>scenario_indirect_prod_4506_iotable_2020_xlsx_3[[#This Row],[2044]]+scenario_indirect_prod_1610_iotable_2020_xlsx_3[[#This Row],[2044]]</f>
        <v>18255.694909625658</v>
      </c>
      <c r="V191">
        <f>scenario_indirect_prod_4506_iotable_2020_xlsx_3[[#This Row],[2045]]+scenario_indirect_prod_1610_iotable_2020_xlsx_3[[#This Row],[2045]]</f>
        <v>18255.694909625658</v>
      </c>
      <c r="W191">
        <f>scenario_indirect_prod_4506_iotable_2020_xlsx_3[[#This Row],[2046]]+scenario_indirect_prod_1610_iotable_2020_xlsx_3[[#This Row],[2046]]</f>
        <v>18456.842894324749</v>
      </c>
      <c r="X191">
        <f>scenario_indirect_prod_4506_iotable_2020_xlsx_3[[#This Row],[2047]]+scenario_indirect_prod_1610_iotable_2020_xlsx_3[[#This Row],[2047]]</f>
        <v>18456.842894324749</v>
      </c>
      <c r="Y191">
        <f>scenario_indirect_prod_4506_iotable_2020_xlsx_3[[#This Row],[2048]]+scenario_indirect_prod_1610_iotable_2020_xlsx_3[[#This Row],[2048]]</f>
        <v>18456.842894324749</v>
      </c>
      <c r="Z191">
        <f>scenario_indirect_prod_4506_iotable_2020_xlsx_3[[#This Row],[2049]]+scenario_indirect_prod_1610_iotable_2020_xlsx_3[[#This Row],[2049]]</f>
        <v>18456.842894324749</v>
      </c>
      <c r="AA191">
        <f>scenario_indirect_prod_4506_iotable_2020_xlsx_3[[#This Row],[2050]]+scenario_indirect_prod_1610_iotable_2020_xlsx_3[[#This Row],[2050]]</f>
        <v>18456.842894324749</v>
      </c>
    </row>
    <row r="192" spans="1:27" x14ac:dyDescent="0.2">
      <c r="A192" t="s">
        <v>511</v>
      </c>
      <c r="B192" t="s">
        <v>512</v>
      </c>
      <c r="C192">
        <f>scenario_indirect_prod_4506_iotable_2020_xlsx_3[[#This Row],[2026]]+scenario_indirect_prod_1610_iotable_2020_xlsx_3[[#This Row],[2026]]</f>
        <v>12899.132731005973</v>
      </c>
      <c r="D192">
        <f>scenario_indirect_prod_4506_iotable_2020_xlsx_3[[#This Row],[2027]]+scenario_indirect_prod_1610_iotable_2020_xlsx_3[[#This Row],[2027]]</f>
        <v>12488.290388122045</v>
      </c>
      <c r="E192">
        <f>scenario_indirect_prod_4506_iotable_2020_xlsx_3[[#This Row],[2028]]+scenario_indirect_prod_1610_iotable_2020_xlsx_3[[#This Row],[2028]]</f>
        <v>13145.82286887641</v>
      </c>
      <c r="F192">
        <f>scenario_indirect_prod_4506_iotable_2020_xlsx_3[[#This Row],[2029]]+scenario_indirect_prod_1610_iotable_2020_xlsx_3[[#This Row],[2029]]</f>
        <v>13449.556066399049</v>
      </c>
      <c r="G192">
        <f>scenario_indirect_prod_4506_iotable_2020_xlsx_3[[#This Row],[2030]]+scenario_indirect_prod_1610_iotable_2020_xlsx_3[[#This Row],[2030]]</f>
        <v>11456.497572857092</v>
      </c>
      <c r="H192">
        <f>scenario_indirect_prod_4506_iotable_2020_xlsx_3[[#This Row],[2031]]+scenario_indirect_prod_1610_iotable_2020_xlsx_3[[#This Row],[2031]]</f>
        <v>12343.6401460705</v>
      </c>
      <c r="I192">
        <f>scenario_indirect_prod_4506_iotable_2020_xlsx_3[[#This Row],[2032]]+scenario_indirect_prod_1610_iotable_2020_xlsx_3[[#This Row],[2032]]</f>
        <v>13582.61369722464</v>
      </c>
      <c r="J192">
        <f>scenario_indirect_prod_4506_iotable_2020_xlsx_3[[#This Row],[2033]]+scenario_indirect_prod_1610_iotable_2020_xlsx_3[[#This Row],[2033]]</f>
        <v>14722.030414208119</v>
      </c>
      <c r="K192">
        <f>scenario_indirect_prod_4506_iotable_2020_xlsx_3[[#This Row],[2034]]+scenario_indirect_prod_1610_iotable_2020_xlsx_3[[#This Row],[2034]]</f>
        <v>15874.959901327853</v>
      </c>
      <c r="L192">
        <f>scenario_indirect_prod_4506_iotable_2020_xlsx_3[[#This Row],[2035]]+scenario_indirect_prod_1610_iotable_2020_xlsx_3[[#This Row],[2035]]</f>
        <v>17734.802210123544</v>
      </c>
      <c r="M192">
        <f>scenario_indirect_prod_4506_iotable_2020_xlsx_3[[#This Row],[2036]]+scenario_indirect_prod_1610_iotable_2020_xlsx_3[[#This Row],[2036]]</f>
        <v>18101.662146717372</v>
      </c>
      <c r="N192">
        <f>scenario_indirect_prod_4506_iotable_2020_xlsx_3[[#This Row],[2037]]+scenario_indirect_prod_1610_iotable_2020_xlsx_3[[#This Row],[2037]]</f>
        <v>18468.957732487539</v>
      </c>
      <c r="O192">
        <f>scenario_indirect_prod_4506_iotable_2020_xlsx_3[[#This Row],[2038]]+scenario_indirect_prod_1610_iotable_2020_xlsx_3[[#This Row],[2038]]</f>
        <v>18468.957732487539</v>
      </c>
      <c r="P192">
        <f>scenario_indirect_prod_4506_iotable_2020_xlsx_3[[#This Row],[2039]]+scenario_indirect_prod_1610_iotable_2020_xlsx_3[[#This Row],[2039]]</f>
        <v>18468.957732487539</v>
      </c>
      <c r="Q192">
        <f>scenario_indirect_prod_4506_iotable_2020_xlsx_3[[#This Row],[2040]]+scenario_indirect_prod_1610_iotable_2020_xlsx_3[[#This Row],[2040]]</f>
        <v>18783.428571474353</v>
      </c>
      <c r="R192">
        <f>scenario_indirect_prod_4506_iotable_2020_xlsx_3[[#This Row],[2041]]+scenario_indirect_prod_1610_iotable_2020_xlsx_3[[#This Row],[2041]]</f>
        <v>18783.428571474353</v>
      </c>
      <c r="S192">
        <f>scenario_indirect_prod_4506_iotable_2020_xlsx_3[[#This Row],[2042]]+scenario_indirect_prod_1610_iotable_2020_xlsx_3[[#This Row],[2042]]</f>
        <v>19155.722856247205</v>
      </c>
      <c r="T192">
        <f>scenario_indirect_prod_4506_iotable_2020_xlsx_3[[#This Row],[2043]]+scenario_indirect_prod_1610_iotable_2020_xlsx_3[[#This Row],[2043]]</f>
        <v>19155.722856247205</v>
      </c>
      <c r="U192">
        <f>scenario_indirect_prod_4506_iotable_2020_xlsx_3[[#This Row],[2044]]+scenario_indirect_prod_1610_iotable_2020_xlsx_3[[#This Row],[2044]]</f>
        <v>19433.513076016436</v>
      </c>
      <c r="V192">
        <f>scenario_indirect_prod_4506_iotable_2020_xlsx_3[[#This Row],[2045]]+scenario_indirect_prod_1610_iotable_2020_xlsx_3[[#This Row],[2045]]</f>
        <v>19433.513076016436</v>
      </c>
      <c r="W192">
        <f>scenario_indirect_prod_4506_iotable_2020_xlsx_3[[#This Row],[2046]]+scenario_indirect_prod_1610_iotable_2020_xlsx_3[[#This Row],[2046]]</f>
        <v>19694.241728355981</v>
      </c>
      <c r="X192">
        <f>scenario_indirect_prod_4506_iotable_2020_xlsx_3[[#This Row],[2047]]+scenario_indirect_prod_1610_iotable_2020_xlsx_3[[#This Row],[2047]]</f>
        <v>19694.241728355981</v>
      </c>
      <c r="Y192">
        <f>scenario_indirect_prod_4506_iotable_2020_xlsx_3[[#This Row],[2048]]+scenario_indirect_prod_1610_iotable_2020_xlsx_3[[#This Row],[2048]]</f>
        <v>19694.241728355981</v>
      </c>
      <c r="Z192">
        <f>scenario_indirect_prod_4506_iotable_2020_xlsx_3[[#This Row],[2049]]+scenario_indirect_prod_1610_iotable_2020_xlsx_3[[#This Row],[2049]]</f>
        <v>19694.241728355981</v>
      </c>
      <c r="AA192">
        <f>scenario_indirect_prod_4506_iotable_2020_xlsx_3[[#This Row],[2050]]+scenario_indirect_prod_1610_iotable_2020_xlsx_3[[#This Row],[2050]]</f>
        <v>19694.241728355981</v>
      </c>
    </row>
    <row r="193" spans="1:27" x14ac:dyDescent="0.2">
      <c r="A193" t="s">
        <v>530</v>
      </c>
      <c r="B193" t="s">
        <v>119</v>
      </c>
      <c r="C193">
        <f>scenario_indirect_prod_4506_iotable_2020_xlsx_3[[#This Row],[2026]]+scenario_indirect_prod_1610_iotable_2020_xlsx_3[[#This Row],[2026]]</f>
        <v>11594.921493171258</v>
      </c>
      <c r="D193">
        <f>scenario_indirect_prod_4506_iotable_2020_xlsx_3[[#This Row],[2027]]+scenario_indirect_prod_1610_iotable_2020_xlsx_3[[#This Row],[2027]]</f>
        <v>11306.278707094994</v>
      </c>
      <c r="E193">
        <f>scenario_indirect_prod_4506_iotable_2020_xlsx_3[[#This Row],[2028]]+scenario_indirect_prod_1610_iotable_2020_xlsx_3[[#This Row],[2028]]</f>
        <v>11892.534986899283</v>
      </c>
      <c r="F193">
        <f>scenario_indirect_prod_4506_iotable_2020_xlsx_3[[#This Row],[2029]]+scenario_indirect_prod_1610_iotable_2020_xlsx_3[[#This Row],[2029]]</f>
        <v>12194.409435457619</v>
      </c>
      <c r="G193">
        <f>scenario_indirect_prod_4506_iotable_2020_xlsx_3[[#This Row],[2030]]+scenario_indirect_prod_1610_iotable_2020_xlsx_3[[#This Row],[2030]]</f>
        <v>10680.721927320172</v>
      </c>
      <c r="H193">
        <f>scenario_indirect_prod_4506_iotable_2020_xlsx_3[[#This Row],[2031]]+scenario_indirect_prod_1610_iotable_2020_xlsx_3[[#This Row],[2031]]</f>
        <v>11471.698677292145</v>
      </c>
      <c r="I193">
        <f>scenario_indirect_prod_4506_iotable_2020_xlsx_3[[#This Row],[2032]]+scenario_indirect_prod_1610_iotable_2020_xlsx_3[[#This Row],[2032]]</f>
        <v>12576.368098401515</v>
      </c>
      <c r="J193">
        <f>scenario_indirect_prod_4506_iotable_2020_xlsx_3[[#This Row],[2033]]+scenario_indirect_prod_1610_iotable_2020_xlsx_3[[#This Row],[2033]]</f>
        <v>13739.168501614577</v>
      </c>
      <c r="K193">
        <f>scenario_indirect_prod_4506_iotable_2020_xlsx_3[[#This Row],[2034]]+scenario_indirect_prod_1610_iotable_2020_xlsx_3[[#This Row],[2034]]</f>
        <v>14767.120993360733</v>
      </c>
      <c r="L193">
        <f>scenario_indirect_prod_4506_iotable_2020_xlsx_3[[#This Row],[2035]]+scenario_indirect_prod_1610_iotable_2020_xlsx_3[[#This Row],[2035]]</f>
        <v>16611.309986842942</v>
      </c>
      <c r="M193">
        <f>scenario_indirect_prod_4506_iotable_2020_xlsx_3[[#This Row],[2036]]+scenario_indirect_prod_1610_iotable_2020_xlsx_3[[#This Row],[2036]]</f>
        <v>17060.458167409619</v>
      </c>
      <c r="N193">
        <f>scenario_indirect_prod_4506_iotable_2020_xlsx_3[[#This Row],[2037]]+scenario_indirect_prod_1610_iotable_2020_xlsx_3[[#This Row],[2037]]</f>
        <v>17494.640875469802</v>
      </c>
      <c r="O193">
        <f>scenario_indirect_prod_4506_iotable_2020_xlsx_3[[#This Row],[2038]]+scenario_indirect_prod_1610_iotable_2020_xlsx_3[[#This Row],[2038]]</f>
        <v>17494.640875469802</v>
      </c>
      <c r="P193">
        <f>scenario_indirect_prod_4506_iotable_2020_xlsx_3[[#This Row],[2039]]+scenario_indirect_prod_1610_iotable_2020_xlsx_3[[#This Row],[2039]]</f>
        <v>17494.640875469802</v>
      </c>
      <c r="Q193">
        <f>scenario_indirect_prod_4506_iotable_2020_xlsx_3[[#This Row],[2040]]+scenario_indirect_prod_1610_iotable_2020_xlsx_3[[#This Row],[2040]]</f>
        <v>17868.697459655665</v>
      </c>
      <c r="R193">
        <f>scenario_indirect_prod_4506_iotable_2020_xlsx_3[[#This Row],[2041]]+scenario_indirect_prod_1610_iotable_2020_xlsx_3[[#This Row],[2041]]</f>
        <v>17868.697459655665</v>
      </c>
      <c r="S193">
        <f>scenario_indirect_prod_4506_iotable_2020_xlsx_3[[#This Row],[2042]]+scenario_indirect_prod_1610_iotable_2020_xlsx_3[[#This Row],[2042]]</f>
        <v>18304.028429316455</v>
      </c>
      <c r="T193">
        <f>scenario_indirect_prod_4506_iotable_2020_xlsx_3[[#This Row],[2043]]+scenario_indirect_prod_1610_iotable_2020_xlsx_3[[#This Row],[2043]]</f>
        <v>18304.028429316455</v>
      </c>
      <c r="U193">
        <f>scenario_indirect_prod_4506_iotable_2020_xlsx_3[[#This Row],[2044]]+scenario_indirect_prod_1610_iotable_2020_xlsx_3[[#This Row],[2044]]</f>
        <v>18650.033272582485</v>
      </c>
      <c r="V193">
        <f>scenario_indirect_prod_4506_iotable_2020_xlsx_3[[#This Row],[2045]]+scenario_indirect_prod_1610_iotable_2020_xlsx_3[[#This Row],[2045]]</f>
        <v>18650.033272582485</v>
      </c>
      <c r="W193">
        <f>scenario_indirect_prod_4506_iotable_2020_xlsx_3[[#This Row],[2046]]+scenario_indirect_prod_1610_iotable_2020_xlsx_3[[#This Row],[2046]]</f>
        <v>18966.221704493732</v>
      </c>
      <c r="X193">
        <f>scenario_indirect_prod_4506_iotable_2020_xlsx_3[[#This Row],[2047]]+scenario_indirect_prod_1610_iotable_2020_xlsx_3[[#This Row],[2047]]</f>
        <v>18966.221704493732</v>
      </c>
      <c r="Y193">
        <f>scenario_indirect_prod_4506_iotable_2020_xlsx_3[[#This Row],[2048]]+scenario_indirect_prod_1610_iotable_2020_xlsx_3[[#This Row],[2048]]</f>
        <v>18966.221704493732</v>
      </c>
      <c r="Z193">
        <f>scenario_indirect_prod_4506_iotable_2020_xlsx_3[[#This Row],[2049]]+scenario_indirect_prod_1610_iotable_2020_xlsx_3[[#This Row],[2049]]</f>
        <v>18966.221704493732</v>
      </c>
      <c r="AA193">
        <f>scenario_indirect_prod_4506_iotable_2020_xlsx_3[[#This Row],[2050]]+scenario_indirect_prod_1610_iotable_2020_xlsx_3[[#This Row],[2050]]</f>
        <v>18966.221704493732</v>
      </c>
    </row>
    <row r="194" spans="1:27" x14ac:dyDescent="0.2">
      <c r="A194" t="s">
        <v>952</v>
      </c>
      <c r="B194" t="s">
        <v>953</v>
      </c>
      <c r="C194">
        <f>scenario_indirect_prod_4506_iotable_2020_xlsx_3[[#This Row],[2026]]+scenario_indirect_prod_1610_iotable_2020_xlsx_3[[#This Row],[2026]]</f>
        <v>1.2274757760486412E-3</v>
      </c>
      <c r="D194">
        <f>scenario_indirect_prod_4506_iotable_2020_xlsx_3[[#This Row],[2027]]+scenario_indirect_prod_1610_iotable_2020_xlsx_3[[#This Row],[2027]]</f>
        <v>1.3117981064866453E-3</v>
      </c>
      <c r="E194">
        <f>scenario_indirect_prod_4506_iotable_2020_xlsx_3[[#This Row],[2028]]+scenario_indirect_prod_1610_iotable_2020_xlsx_3[[#This Row],[2028]]</f>
        <v>1.3670331226235462E-3</v>
      </c>
      <c r="F194">
        <f>scenario_indirect_prod_4506_iotable_2020_xlsx_3[[#This Row],[2029]]+scenario_indirect_prod_1610_iotable_2020_xlsx_3[[#This Row],[2029]]</f>
        <v>1.4400815794770676E-3</v>
      </c>
      <c r="G194">
        <f>scenario_indirect_prod_4506_iotable_2020_xlsx_3[[#This Row],[2030]]+scenario_indirect_prod_1610_iotable_2020_xlsx_3[[#This Row],[2030]]</f>
        <v>1.6755709156564044E-3</v>
      </c>
      <c r="H194">
        <f>scenario_indirect_prod_4506_iotable_2020_xlsx_3[[#This Row],[2031]]+scenario_indirect_prod_1610_iotable_2020_xlsx_3[[#This Row],[2031]]</f>
        <v>1.75009397844253E-3</v>
      </c>
      <c r="I194">
        <f>scenario_indirect_prod_4506_iotable_2020_xlsx_3[[#This Row],[2032]]+scenario_indirect_prod_1610_iotable_2020_xlsx_3[[#This Row],[2032]]</f>
        <v>1.8541720675016127E-3</v>
      </c>
      <c r="J194">
        <f>scenario_indirect_prod_4506_iotable_2020_xlsx_3[[#This Row],[2033]]+scenario_indirect_prod_1610_iotable_2020_xlsx_3[[#This Row],[2033]]</f>
        <v>2.1746527361180641E-3</v>
      </c>
      <c r="K194">
        <f>scenario_indirect_prod_4506_iotable_2020_xlsx_3[[#This Row],[2034]]+scenario_indirect_prod_1610_iotable_2020_xlsx_3[[#This Row],[2034]]</f>
        <v>2.2715028244250433E-3</v>
      </c>
      <c r="L194">
        <f>scenario_indirect_prod_4506_iotable_2020_xlsx_3[[#This Row],[2035]]+scenario_indirect_prod_1610_iotable_2020_xlsx_3[[#This Row],[2035]]</f>
        <v>2.7122626053049347E-3</v>
      </c>
      <c r="M194">
        <f>scenario_indirect_prod_4506_iotable_2020_xlsx_3[[#This Row],[2036]]+scenario_indirect_prod_1610_iotable_2020_xlsx_3[[#This Row],[2036]]</f>
        <v>2.9298377468573492E-3</v>
      </c>
      <c r="N194">
        <f>scenario_indirect_prod_4506_iotable_2020_xlsx_3[[#This Row],[2037]]+scenario_indirect_prod_1610_iotable_2020_xlsx_3[[#This Row],[2037]]</f>
        <v>3.123956456853426E-3</v>
      </c>
      <c r="O194">
        <f>scenario_indirect_prod_4506_iotable_2020_xlsx_3[[#This Row],[2038]]+scenario_indirect_prod_1610_iotable_2020_xlsx_3[[#This Row],[2038]]</f>
        <v>3.123956456853426E-3</v>
      </c>
      <c r="P194">
        <f>scenario_indirect_prod_4506_iotable_2020_xlsx_3[[#This Row],[2039]]+scenario_indirect_prod_1610_iotable_2020_xlsx_3[[#This Row],[2039]]</f>
        <v>3.123956456853426E-3</v>
      </c>
      <c r="Q194">
        <f>scenario_indirect_prod_4506_iotable_2020_xlsx_3[[#This Row],[2040]]+scenario_indirect_prod_1610_iotable_2020_xlsx_3[[#This Row],[2040]]</f>
        <v>3.2937042194402123E-3</v>
      </c>
      <c r="R194">
        <f>scenario_indirect_prod_4506_iotable_2020_xlsx_3[[#This Row],[2041]]+scenario_indirect_prod_1610_iotable_2020_xlsx_3[[#This Row],[2041]]</f>
        <v>3.2937042194402123E-3</v>
      </c>
      <c r="S194">
        <f>scenario_indirect_prod_4506_iotable_2020_xlsx_3[[#This Row],[2042]]+scenario_indirect_prod_1610_iotable_2020_xlsx_3[[#This Row],[2042]]</f>
        <v>3.4831803717171677E-3</v>
      </c>
      <c r="T194">
        <f>scenario_indirect_prod_4506_iotable_2020_xlsx_3[[#This Row],[2043]]+scenario_indirect_prod_1610_iotable_2020_xlsx_3[[#This Row],[2043]]</f>
        <v>3.4831803717171677E-3</v>
      </c>
      <c r="U194">
        <f>scenario_indirect_prod_4506_iotable_2020_xlsx_3[[#This Row],[2044]]+scenario_indirect_prod_1610_iotable_2020_xlsx_3[[#This Row],[2044]]</f>
        <v>3.6569659657732147E-3</v>
      </c>
      <c r="V194">
        <f>scenario_indirect_prod_4506_iotable_2020_xlsx_3[[#This Row],[2045]]+scenario_indirect_prod_1610_iotable_2020_xlsx_3[[#This Row],[2045]]</f>
        <v>3.6569659657732147E-3</v>
      </c>
      <c r="W194">
        <f>scenario_indirect_prod_4506_iotable_2020_xlsx_3[[#This Row],[2046]]+scenario_indirect_prod_1610_iotable_2020_xlsx_3[[#This Row],[2046]]</f>
        <v>3.8069722472023676E-3</v>
      </c>
      <c r="X194">
        <f>scenario_indirect_prod_4506_iotable_2020_xlsx_3[[#This Row],[2047]]+scenario_indirect_prod_1610_iotable_2020_xlsx_3[[#This Row],[2047]]</f>
        <v>3.8069722472023676E-3</v>
      </c>
      <c r="Y194">
        <f>scenario_indirect_prod_4506_iotable_2020_xlsx_3[[#This Row],[2048]]+scenario_indirect_prod_1610_iotable_2020_xlsx_3[[#This Row],[2048]]</f>
        <v>3.8069722472023676E-3</v>
      </c>
      <c r="Z194">
        <f>scenario_indirect_prod_4506_iotable_2020_xlsx_3[[#This Row],[2049]]+scenario_indirect_prod_1610_iotable_2020_xlsx_3[[#This Row],[2049]]</f>
        <v>3.8069722472023676E-3</v>
      </c>
      <c r="AA194">
        <f>scenario_indirect_prod_4506_iotable_2020_xlsx_3[[#This Row],[2050]]+scenario_indirect_prod_1610_iotable_2020_xlsx_3[[#This Row],[2050]]</f>
        <v>3.8069722472023676E-3</v>
      </c>
    </row>
    <row r="195" spans="1:27" x14ac:dyDescent="0.2">
      <c r="A195" t="s">
        <v>738</v>
      </c>
      <c r="B195" t="s">
        <v>739</v>
      </c>
      <c r="C195">
        <f>scenario_indirect_prod_4506_iotable_2020_xlsx_3[[#This Row],[2026]]+scenario_indirect_prod_1610_iotable_2020_xlsx_3[[#This Row],[2026]]</f>
        <v>2094.3969166797142</v>
      </c>
      <c r="D195">
        <f>scenario_indirect_prod_4506_iotable_2020_xlsx_3[[#This Row],[2027]]+scenario_indirect_prod_1610_iotable_2020_xlsx_3[[#This Row],[2027]]</f>
        <v>1995.6122188401077</v>
      </c>
      <c r="E195">
        <f>scenario_indirect_prod_4506_iotable_2020_xlsx_3[[#This Row],[2028]]+scenario_indirect_prod_1610_iotable_2020_xlsx_3[[#This Row],[2028]]</f>
        <v>2104.2805240973375</v>
      </c>
      <c r="F195">
        <f>scenario_indirect_prod_4506_iotable_2020_xlsx_3[[#This Row],[2029]]+scenario_indirect_prod_1610_iotable_2020_xlsx_3[[#This Row],[2029]]</f>
        <v>2142.1231086249463</v>
      </c>
      <c r="G195">
        <f>scenario_indirect_prod_4506_iotable_2020_xlsx_3[[#This Row],[2030]]+scenario_indirect_prod_1610_iotable_2020_xlsx_3[[#This Row],[2030]]</f>
        <v>1708.0161413494775</v>
      </c>
      <c r="H195">
        <f>scenario_indirect_prod_4506_iotable_2020_xlsx_3[[#This Row],[2031]]+scenario_indirect_prod_1610_iotable_2020_xlsx_3[[#This Row],[2031]]</f>
        <v>1854.6313775155093</v>
      </c>
      <c r="I195">
        <f>scenario_indirect_prod_4506_iotable_2020_xlsx_3[[#This Row],[2032]]+scenario_indirect_prod_1610_iotable_2020_xlsx_3[[#This Row],[2032]]</f>
        <v>2059.3926022507285</v>
      </c>
      <c r="J195">
        <f>scenario_indirect_prod_4506_iotable_2020_xlsx_3[[#This Row],[2033]]+scenario_indirect_prod_1610_iotable_2020_xlsx_3[[#This Row],[2033]]</f>
        <v>2189.2818930428389</v>
      </c>
      <c r="K195">
        <f>scenario_indirect_prod_4506_iotable_2020_xlsx_3[[#This Row],[2034]]+scenario_indirect_prod_1610_iotable_2020_xlsx_3[[#This Row],[2034]]</f>
        <v>2379.8228885274279</v>
      </c>
      <c r="L195">
        <f>scenario_indirect_prod_4506_iotable_2020_xlsx_3[[#This Row],[2035]]+scenario_indirect_prod_1610_iotable_2020_xlsx_3[[#This Row],[2035]]</f>
        <v>2613.2422812494228</v>
      </c>
      <c r="M195">
        <f>scenario_indirect_prod_4506_iotable_2020_xlsx_3[[#This Row],[2036]]+scenario_indirect_prod_1610_iotable_2020_xlsx_3[[#This Row],[2036]]</f>
        <v>2625.3321823258716</v>
      </c>
      <c r="N195">
        <f>scenario_indirect_prod_4506_iotable_2020_xlsx_3[[#This Row],[2037]]+scenario_indirect_prod_1610_iotable_2020_xlsx_3[[#This Row],[2037]]</f>
        <v>2643.6001168288085</v>
      </c>
      <c r="O195">
        <f>scenario_indirect_prod_4506_iotable_2020_xlsx_3[[#This Row],[2038]]+scenario_indirect_prod_1610_iotable_2020_xlsx_3[[#This Row],[2038]]</f>
        <v>2643.6001168288085</v>
      </c>
      <c r="P195">
        <f>scenario_indirect_prod_4506_iotable_2020_xlsx_3[[#This Row],[2039]]+scenario_indirect_prod_1610_iotable_2020_xlsx_3[[#This Row],[2039]]</f>
        <v>2643.6001168288085</v>
      </c>
      <c r="Q195">
        <f>scenario_indirect_prod_4506_iotable_2020_xlsx_3[[#This Row],[2040]]+scenario_indirect_prod_1610_iotable_2020_xlsx_3[[#This Row],[2040]]</f>
        <v>2658.3187532033808</v>
      </c>
      <c r="R195">
        <f>scenario_indirect_prod_4506_iotable_2020_xlsx_3[[#This Row],[2041]]+scenario_indirect_prod_1610_iotable_2020_xlsx_3[[#This Row],[2041]]</f>
        <v>2658.3187532033808</v>
      </c>
      <c r="S195">
        <f>scenario_indirect_prod_4506_iotable_2020_xlsx_3[[#This Row],[2042]]+scenario_indirect_prod_1610_iotable_2020_xlsx_3[[#This Row],[2042]]</f>
        <v>2678.7285841803059</v>
      </c>
      <c r="T195">
        <f>scenario_indirect_prod_4506_iotable_2020_xlsx_3[[#This Row],[2043]]+scenario_indirect_prod_1610_iotable_2020_xlsx_3[[#This Row],[2043]]</f>
        <v>2678.7285841803059</v>
      </c>
      <c r="U195">
        <f>scenario_indirect_prod_4506_iotable_2020_xlsx_3[[#This Row],[2044]]+scenario_indirect_prod_1610_iotable_2020_xlsx_3[[#This Row],[2044]]</f>
        <v>2685.534809155989</v>
      </c>
      <c r="V195">
        <f>scenario_indirect_prod_4506_iotable_2020_xlsx_3[[#This Row],[2045]]+scenario_indirect_prod_1610_iotable_2020_xlsx_3[[#This Row],[2045]]</f>
        <v>2685.534809155989</v>
      </c>
      <c r="W195">
        <f>scenario_indirect_prod_4506_iotable_2020_xlsx_3[[#This Row],[2046]]+scenario_indirect_prod_1610_iotable_2020_xlsx_3[[#This Row],[2046]]</f>
        <v>2695.3292572346072</v>
      </c>
      <c r="X195">
        <f>scenario_indirect_prod_4506_iotable_2020_xlsx_3[[#This Row],[2047]]+scenario_indirect_prod_1610_iotable_2020_xlsx_3[[#This Row],[2047]]</f>
        <v>2695.3292572346072</v>
      </c>
      <c r="Y195">
        <f>scenario_indirect_prod_4506_iotable_2020_xlsx_3[[#This Row],[2048]]+scenario_indirect_prod_1610_iotable_2020_xlsx_3[[#This Row],[2048]]</f>
        <v>2695.3292572346072</v>
      </c>
      <c r="Z195">
        <f>scenario_indirect_prod_4506_iotable_2020_xlsx_3[[#This Row],[2049]]+scenario_indirect_prod_1610_iotable_2020_xlsx_3[[#This Row],[2049]]</f>
        <v>2695.3292572346072</v>
      </c>
      <c r="AA195">
        <f>scenario_indirect_prod_4506_iotable_2020_xlsx_3[[#This Row],[2050]]+scenario_indirect_prod_1610_iotable_2020_xlsx_3[[#This Row],[2050]]</f>
        <v>2695.3292572346072</v>
      </c>
    </row>
    <row r="196" spans="1:27" x14ac:dyDescent="0.2">
      <c r="A196" t="s">
        <v>763</v>
      </c>
      <c r="B196" t="s">
        <v>764</v>
      </c>
      <c r="C196">
        <f>scenario_indirect_prod_4506_iotable_2020_xlsx_3[[#This Row],[2026]]+scenario_indirect_prod_1610_iotable_2020_xlsx_3[[#This Row],[2026]]</f>
        <v>1841.1009905383862</v>
      </c>
      <c r="D196">
        <f>scenario_indirect_prod_4506_iotable_2020_xlsx_3[[#This Row],[2027]]+scenario_indirect_prod_1610_iotable_2020_xlsx_3[[#This Row],[2027]]</f>
        <v>1842.2219158008579</v>
      </c>
      <c r="E196">
        <f>scenario_indirect_prod_4506_iotable_2020_xlsx_3[[#This Row],[2028]]+scenario_indirect_prod_1610_iotable_2020_xlsx_3[[#This Row],[2028]]</f>
        <v>1932.5199775545937</v>
      </c>
      <c r="F196">
        <f>scenario_indirect_prod_4506_iotable_2020_xlsx_3[[#This Row],[2029]]+scenario_indirect_prod_1610_iotable_2020_xlsx_3[[#This Row],[2029]]</f>
        <v>1997.2477995408929</v>
      </c>
      <c r="G196">
        <f>scenario_indirect_prod_4506_iotable_2020_xlsx_3[[#This Row],[2030]]+scenario_indirect_prod_1610_iotable_2020_xlsx_3[[#This Row],[2030]]</f>
        <v>1918.6400029178708</v>
      </c>
      <c r="H196">
        <f>scenario_indirect_prod_4506_iotable_2020_xlsx_3[[#This Row],[2031]]+scenario_indirect_prod_1610_iotable_2020_xlsx_3[[#This Row],[2031]]</f>
        <v>2040.4701135285102</v>
      </c>
      <c r="I196">
        <f>scenario_indirect_prod_4506_iotable_2020_xlsx_3[[#This Row],[2032]]+scenario_indirect_prod_1610_iotable_2020_xlsx_3[[#This Row],[2032]]</f>
        <v>2210.6167047737199</v>
      </c>
      <c r="J196">
        <f>scenario_indirect_prod_4506_iotable_2020_xlsx_3[[#This Row],[2033]]+scenario_indirect_prod_1610_iotable_2020_xlsx_3[[#This Row],[2033]]</f>
        <v>2475.9260277341637</v>
      </c>
      <c r="K196">
        <f>scenario_indirect_prod_4506_iotable_2020_xlsx_3[[#This Row],[2034]]+scenario_indirect_prod_1610_iotable_2020_xlsx_3[[#This Row],[2034]]</f>
        <v>2634.2563020138487</v>
      </c>
      <c r="L196">
        <f>scenario_indirect_prod_4506_iotable_2020_xlsx_3[[#This Row],[2035]]+scenario_indirect_prod_1610_iotable_2020_xlsx_3[[#This Row],[2035]]</f>
        <v>3027.4377680443113</v>
      </c>
      <c r="M196">
        <f>scenario_indirect_prod_4506_iotable_2020_xlsx_3[[#This Row],[2036]]+scenario_indirect_prod_1610_iotable_2020_xlsx_3[[#This Row],[2036]]</f>
        <v>3168.2488487572709</v>
      </c>
      <c r="N196">
        <f>scenario_indirect_prod_4506_iotable_2020_xlsx_3[[#This Row],[2037]]+scenario_indirect_prod_1610_iotable_2020_xlsx_3[[#This Row],[2037]]</f>
        <v>3297.7440994627091</v>
      </c>
      <c r="O196">
        <f>scenario_indirect_prod_4506_iotable_2020_xlsx_3[[#This Row],[2038]]+scenario_indirect_prod_1610_iotable_2020_xlsx_3[[#This Row],[2038]]</f>
        <v>3297.7440994627091</v>
      </c>
      <c r="P196">
        <f>scenario_indirect_prod_4506_iotable_2020_xlsx_3[[#This Row],[2039]]+scenario_indirect_prod_1610_iotable_2020_xlsx_3[[#This Row],[2039]]</f>
        <v>3297.7440994627091</v>
      </c>
      <c r="Q196">
        <f>scenario_indirect_prod_4506_iotable_2020_xlsx_3[[#This Row],[2040]]+scenario_indirect_prod_1610_iotable_2020_xlsx_3[[#This Row],[2040]]</f>
        <v>3410.332921826704</v>
      </c>
      <c r="R196">
        <f>scenario_indirect_prod_4506_iotable_2020_xlsx_3[[#This Row],[2041]]+scenario_indirect_prod_1610_iotable_2020_xlsx_3[[#This Row],[2041]]</f>
        <v>3410.332921826704</v>
      </c>
      <c r="S196">
        <f>scenario_indirect_prod_4506_iotable_2020_xlsx_3[[#This Row],[2042]]+scenario_indirect_prod_1610_iotable_2020_xlsx_3[[#This Row],[2042]]</f>
        <v>3538.0633194765833</v>
      </c>
      <c r="T196">
        <f>scenario_indirect_prod_4506_iotable_2020_xlsx_3[[#This Row],[2043]]+scenario_indirect_prod_1610_iotable_2020_xlsx_3[[#This Row],[2043]]</f>
        <v>3538.0633194765833</v>
      </c>
      <c r="U196">
        <f>scenario_indirect_prod_4506_iotable_2020_xlsx_3[[#This Row],[2044]]+scenario_indirect_prod_1610_iotable_2020_xlsx_3[[#This Row],[2044]]</f>
        <v>3649.0620253913371</v>
      </c>
      <c r="V196">
        <f>scenario_indirect_prod_4506_iotable_2020_xlsx_3[[#This Row],[2045]]+scenario_indirect_prod_1610_iotable_2020_xlsx_3[[#This Row],[2045]]</f>
        <v>3649.0620253913371</v>
      </c>
      <c r="W196">
        <f>scenario_indirect_prod_4506_iotable_2020_xlsx_3[[#This Row],[2046]]+scenario_indirect_prod_1610_iotable_2020_xlsx_3[[#This Row],[2046]]</f>
        <v>3746.8973993147129</v>
      </c>
      <c r="X196">
        <f>scenario_indirect_prod_4506_iotable_2020_xlsx_3[[#This Row],[2047]]+scenario_indirect_prod_1610_iotable_2020_xlsx_3[[#This Row],[2047]]</f>
        <v>3746.8973993147129</v>
      </c>
      <c r="Y196">
        <f>scenario_indirect_prod_4506_iotable_2020_xlsx_3[[#This Row],[2048]]+scenario_indirect_prod_1610_iotable_2020_xlsx_3[[#This Row],[2048]]</f>
        <v>3746.8973993147129</v>
      </c>
      <c r="Z196">
        <f>scenario_indirect_prod_4506_iotable_2020_xlsx_3[[#This Row],[2049]]+scenario_indirect_prod_1610_iotable_2020_xlsx_3[[#This Row],[2049]]</f>
        <v>3746.8973993147129</v>
      </c>
      <c r="AA196">
        <f>scenario_indirect_prod_4506_iotable_2020_xlsx_3[[#This Row],[2050]]+scenario_indirect_prod_1610_iotable_2020_xlsx_3[[#This Row],[2050]]</f>
        <v>3746.8973993147129</v>
      </c>
    </row>
    <row r="197" spans="1:27" x14ac:dyDescent="0.2">
      <c r="A197" t="s">
        <v>795</v>
      </c>
      <c r="B197" t="s">
        <v>796</v>
      </c>
      <c r="C197">
        <f>scenario_indirect_prod_4506_iotable_2020_xlsx_3[[#This Row],[2026]]+scenario_indirect_prod_1610_iotable_2020_xlsx_3[[#This Row],[2026]]</f>
        <v>1261.0702969083691</v>
      </c>
      <c r="D197">
        <f>scenario_indirect_prod_4506_iotable_2020_xlsx_3[[#This Row],[2027]]+scenario_indirect_prod_1610_iotable_2020_xlsx_3[[#This Row],[2027]]</f>
        <v>1232.2667340202484</v>
      </c>
      <c r="E197">
        <f>scenario_indirect_prod_4506_iotable_2020_xlsx_3[[#This Row],[2028]]+scenario_indirect_prod_1610_iotable_2020_xlsx_3[[#This Row],[2028]]</f>
        <v>1295.8743990448379</v>
      </c>
      <c r="F197">
        <f>scenario_indirect_prod_4506_iotable_2020_xlsx_3[[#This Row],[2029]]+scenario_indirect_prod_1610_iotable_2020_xlsx_3[[#This Row],[2029]]</f>
        <v>1329.6326361070646</v>
      </c>
      <c r="G197">
        <f>scenario_indirect_prod_4506_iotable_2020_xlsx_3[[#This Row],[2030]]+scenario_indirect_prod_1610_iotable_2020_xlsx_3[[#This Row],[2030]]</f>
        <v>1173.9230089518733</v>
      </c>
      <c r="H197">
        <f>scenario_indirect_prod_4506_iotable_2020_xlsx_3[[#This Row],[2031]]+scenario_indirect_prod_1610_iotable_2020_xlsx_3[[#This Row],[2031]]</f>
        <v>1259.7424464361957</v>
      </c>
      <c r="I197">
        <f>scenario_indirect_prod_4506_iotable_2020_xlsx_3[[#This Row],[2032]]+scenario_indirect_prod_1610_iotable_2020_xlsx_3[[#This Row],[2032]]</f>
        <v>1379.5969280364425</v>
      </c>
      <c r="J197">
        <f>scenario_indirect_prod_4506_iotable_2020_xlsx_3[[#This Row],[2033]]+scenario_indirect_prod_1610_iotable_2020_xlsx_3[[#This Row],[2033]]</f>
        <v>1510.5128084174648</v>
      </c>
      <c r="K197">
        <f>scenario_indirect_prod_4506_iotable_2020_xlsx_3[[#This Row],[2034]]+scenario_indirect_prod_1610_iotable_2020_xlsx_3[[#This Row],[2034]]</f>
        <v>1622.0436525356881</v>
      </c>
      <c r="L197">
        <f>scenario_indirect_prod_4506_iotable_2020_xlsx_3[[#This Row],[2035]]+scenario_indirect_prod_1610_iotable_2020_xlsx_3[[#This Row],[2035]]</f>
        <v>1828.1529450177484</v>
      </c>
      <c r="M197">
        <f>scenario_indirect_prod_4506_iotable_2020_xlsx_3[[#This Row],[2036]]+scenario_indirect_prod_1610_iotable_2020_xlsx_3[[#This Row],[2036]]</f>
        <v>1880.8349923838794</v>
      </c>
      <c r="N197">
        <f>scenario_indirect_prod_4506_iotable_2020_xlsx_3[[#This Row],[2037]]+scenario_indirect_prod_1610_iotable_2020_xlsx_3[[#This Row],[2037]]</f>
        <v>1931.3963847129917</v>
      </c>
      <c r="O197">
        <f>scenario_indirect_prod_4506_iotable_2020_xlsx_3[[#This Row],[2038]]+scenario_indirect_prod_1610_iotable_2020_xlsx_3[[#This Row],[2038]]</f>
        <v>1931.3963847129917</v>
      </c>
      <c r="P197">
        <f>scenario_indirect_prod_4506_iotable_2020_xlsx_3[[#This Row],[2039]]+scenario_indirect_prod_1610_iotable_2020_xlsx_3[[#This Row],[2039]]</f>
        <v>1931.3963847129917</v>
      </c>
      <c r="Q197">
        <f>scenario_indirect_prod_4506_iotable_2020_xlsx_3[[#This Row],[2040]]+scenario_indirect_prod_1610_iotable_2020_xlsx_3[[#This Row],[2040]]</f>
        <v>1975.0125715904833</v>
      </c>
      <c r="R197">
        <f>scenario_indirect_prod_4506_iotable_2020_xlsx_3[[#This Row],[2041]]+scenario_indirect_prod_1610_iotable_2020_xlsx_3[[#This Row],[2041]]</f>
        <v>1975.0125715904833</v>
      </c>
      <c r="S197">
        <f>scenario_indirect_prod_4506_iotable_2020_xlsx_3[[#This Row],[2042]]+scenario_indirect_prod_1610_iotable_2020_xlsx_3[[#This Row],[2042]]</f>
        <v>2025.5914655224233</v>
      </c>
      <c r="T197">
        <f>scenario_indirect_prod_4506_iotable_2020_xlsx_3[[#This Row],[2043]]+scenario_indirect_prod_1610_iotable_2020_xlsx_3[[#This Row],[2043]]</f>
        <v>2025.5914655224233</v>
      </c>
      <c r="U197">
        <f>scenario_indirect_prod_4506_iotable_2020_xlsx_3[[#This Row],[2044]]+scenario_indirect_prod_1610_iotable_2020_xlsx_3[[#This Row],[2044]]</f>
        <v>2066.314678766325</v>
      </c>
      <c r="V197">
        <f>scenario_indirect_prod_4506_iotable_2020_xlsx_3[[#This Row],[2045]]+scenario_indirect_prod_1610_iotable_2020_xlsx_3[[#This Row],[2045]]</f>
        <v>2066.314678766325</v>
      </c>
      <c r="W197">
        <f>scenario_indirect_prod_4506_iotable_2020_xlsx_3[[#This Row],[2046]]+scenario_indirect_prod_1610_iotable_2020_xlsx_3[[#This Row],[2046]]</f>
        <v>2103.3301995094075</v>
      </c>
      <c r="X197">
        <f>scenario_indirect_prod_4506_iotable_2020_xlsx_3[[#This Row],[2047]]+scenario_indirect_prod_1610_iotable_2020_xlsx_3[[#This Row],[2047]]</f>
        <v>2103.3301995094075</v>
      </c>
      <c r="Y197">
        <f>scenario_indirect_prod_4506_iotable_2020_xlsx_3[[#This Row],[2048]]+scenario_indirect_prod_1610_iotable_2020_xlsx_3[[#This Row],[2048]]</f>
        <v>2103.3301995094075</v>
      </c>
      <c r="Z197">
        <f>scenario_indirect_prod_4506_iotable_2020_xlsx_3[[#This Row],[2049]]+scenario_indirect_prod_1610_iotable_2020_xlsx_3[[#This Row],[2049]]</f>
        <v>2103.3301995094075</v>
      </c>
      <c r="AA197">
        <f>scenario_indirect_prod_4506_iotable_2020_xlsx_3[[#This Row],[2050]]+scenario_indirect_prod_1610_iotable_2020_xlsx_3[[#This Row],[2050]]</f>
        <v>2103.3301995094075</v>
      </c>
    </row>
    <row r="198" spans="1:27" x14ac:dyDescent="0.2">
      <c r="A198" t="s">
        <v>488</v>
      </c>
      <c r="B198" t="s">
        <v>489</v>
      </c>
      <c r="C198">
        <f>scenario_indirect_prod_4506_iotable_2020_xlsx_3[[#This Row],[2026]]+scenario_indirect_prod_1610_iotable_2020_xlsx_3[[#This Row],[2026]]</f>
        <v>16664.216364535991</v>
      </c>
      <c r="D198">
        <f>scenario_indirect_prod_4506_iotable_2020_xlsx_3[[#This Row],[2027]]+scenario_indirect_prod_1610_iotable_2020_xlsx_3[[#This Row],[2027]]</f>
        <v>15043.750894293484</v>
      </c>
      <c r="E198">
        <f>scenario_indirect_prod_4506_iotable_2020_xlsx_3[[#This Row],[2028]]+scenario_indirect_prod_1610_iotable_2020_xlsx_3[[#This Row],[2028]]</f>
        <v>15957.976066546067</v>
      </c>
      <c r="F198">
        <f>scenario_indirect_prod_4506_iotable_2020_xlsx_3[[#This Row],[2029]]+scenario_indirect_prod_1610_iotable_2020_xlsx_3[[#This Row],[2029]]</f>
        <v>15960.588864216545</v>
      </c>
      <c r="G198">
        <f>scenario_indirect_prod_4506_iotable_2020_xlsx_3[[#This Row],[2030]]+scenario_indirect_prod_1610_iotable_2020_xlsx_3[[#This Row],[2030]]</f>
        <v>9631.9903867300964</v>
      </c>
      <c r="H198">
        <f>scenario_indirect_prod_4506_iotable_2020_xlsx_3[[#This Row],[2031]]+scenario_indirect_prod_1610_iotable_2020_xlsx_3[[#This Row],[2031]]</f>
        <v>10865.462641786049</v>
      </c>
      <c r="I198">
        <f>scenario_indirect_prod_4506_iotable_2020_xlsx_3[[#This Row],[2032]]+scenario_indirect_prod_1610_iotable_2020_xlsx_3[[#This Row],[2032]]</f>
        <v>12588.116413841195</v>
      </c>
      <c r="J198">
        <f>scenario_indirect_prod_4506_iotable_2020_xlsx_3[[#This Row],[2033]]+scenario_indirect_prod_1610_iotable_2020_xlsx_3[[#This Row],[2033]]</f>
        <v>12187.805487646085</v>
      </c>
      <c r="K198">
        <f>scenario_indirect_prod_4506_iotable_2020_xlsx_3[[#This Row],[2034]]+scenario_indirect_prod_1610_iotable_2020_xlsx_3[[#This Row],[2034]]</f>
        <v>13790.824638499074</v>
      </c>
      <c r="L198">
        <f>scenario_indirect_prod_4506_iotable_2020_xlsx_3[[#This Row],[2035]]+scenario_indirect_prod_1610_iotable_2020_xlsx_3[[#This Row],[2035]]</f>
        <v>13864.53331329026</v>
      </c>
      <c r="M198">
        <f>scenario_indirect_prod_4506_iotable_2020_xlsx_3[[#This Row],[2036]]+scenario_indirect_prod_1610_iotable_2020_xlsx_3[[#This Row],[2036]]</f>
        <v>12725.656567614489</v>
      </c>
      <c r="N198">
        <f>scenario_indirect_prod_4506_iotable_2020_xlsx_3[[#This Row],[2037]]+scenario_indirect_prod_1610_iotable_2020_xlsx_3[[#This Row],[2037]]</f>
        <v>11794.814443637682</v>
      </c>
      <c r="O198">
        <f>scenario_indirect_prod_4506_iotable_2020_xlsx_3[[#This Row],[2038]]+scenario_indirect_prod_1610_iotable_2020_xlsx_3[[#This Row],[2038]]</f>
        <v>11794.814443637682</v>
      </c>
      <c r="P198">
        <f>scenario_indirect_prod_4506_iotable_2020_xlsx_3[[#This Row],[2039]]+scenario_indirect_prod_1610_iotable_2020_xlsx_3[[#This Row],[2039]]</f>
        <v>11794.814443637682</v>
      </c>
      <c r="Q198">
        <f>scenario_indirect_prod_4506_iotable_2020_xlsx_3[[#This Row],[2040]]+scenario_indirect_prod_1610_iotable_2020_xlsx_3[[#This Row],[2040]]</f>
        <v>10966.525773760419</v>
      </c>
      <c r="R198">
        <f>scenario_indirect_prod_4506_iotable_2020_xlsx_3[[#This Row],[2041]]+scenario_indirect_prod_1610_iotable_2020_xlsx_3[[#This Row],[2041]]</f>
        <v>10966.525773760419</v>
      </c>
      <c r="S198">
        <f>scenario_indirect_prod_4506_iotable_2020_xlsx_3[[#This Row],[2042]]+scenario_indirect_prod_1610_iotable_2020_xlsx_3[[#This Row],[2042]]</f>
        <v>10087.332221634213</v>
      </c>
      <c r="T198">
        <f>scenario_indirect_prod_4506_iotable_2020_xlsx_3[[#This Row],[2043]]+scenario_indirect_prod_1610_iotable_2020_xlsx_3[[#This Row],[2043]]</f>
        <v>10087.332221634213</v>
      </c>
      <c r="U198">
        <f>scenario_indirect_prod_4506_iotable_2020_xlsx_3[[#This Row],[2044]]+scenario_indirect_prod_1610_iotable_2020_xlsx_3[[#This Row],[2044]]</f>
        <v>9145.1857408616124</v>
      </c>
      <c r="V198">
        <f>scenario_indirect_prod_4506_iotable_2020_xlsx_3[[#This Row],[2045]]+scenario_indirect_prod_1610_iotable_2020_xlsx_3[[#This Row],[2045]]</f>
        <v>9145.1857408616124</v>
      </c>
      <c r="W198">
        <f>scenario_indirect_prod_4506_iotable_2020_xlsx_3[[#This Row],[2046]]+scenario_indirect_prod_1610_iotable_2020_xlsx_3[[#This Row],[2046]]</f>
        <v>8376.6191407364313</v>
      </c>
      <c r="X198">
        <f>scenario_indirect_prod_4506_iotable_2020_xlsx_3[[#This Row],[2047]]+scenario_indirect_prod_1610_iotable_2020_xlsx_3[[#This Row],[2047]]</f>
        <v>8376.6191407364313</v>
      </c>
      <c r="Y198">
        <f>scenario_indirect_prod_4506_iotable_2020_xlsx_3[[#This Row],[2048]]+scenario_indirect_prod_1610_iotable_2020_xlsx_3[[#This Row],[2048]]</f>
        <v>8376.6191407364313</v>
      </c>
      <c r="Z198">
        <f>scenario_indirect_prod_4506_iotable_2020_xlsx_3[[#This Row],[2049]]+scenario_indirect_prod_1610_iotable_2020_xlsx_3[[#This Row],[2049]]</f>
        <v>8376.6191407364313</v>
      </c>
      <c r="AA198">
        <f>scenario_indirect_prod_4506_iotable_2020_xlsx_3[[#This Row],[2050]]+scenario_indirect_prod_1610_iotable_2020_xlsx_3[[#This Row],[2050]]</f>
        <v>8376.6191407364313</v>
      </c>
    </row>
    <row r="199" spans="1:27" x14ac:dyDescent="0.2">
      <c r="A199" t="s">
        <v>649</v>
      </c>
      <c r="B199" t="s">
        <v>650</v>
      </c>
      <c r="C199">
        <f>scenario_indirect_prod_4506_iotable_2020_xlsx_3[[#This Row],[2026]]+scenario_indirect_prod_1610_iotable_2020_xlsx_3[[#This Row],[2026]]</f>
        <v>4130.6625730904034</v>
      </c>
      <c r="D199">
        <f>scenario_indirect_prod_4506_iotable_2020_xlsx_3[[#This Row],[2027]]+scenario_indirect_prod_1610_iotable_2020_xlsx_3[[#This Row],[2027]]</f>
        <v>4046.1209959041526</v>
      </c>
      <c r="E199">
        <f>scenario_indirect_prod_4506_iotable_2020_xlsx_3[[#This Row],[2028]]+scenario_indirect_prod_1610_iotable_2020_xlsx_3[[#This Row],[2028]]</f>
        <v>4253.8864775902184</v>
      </c>
      <c r="F199">
        <f>scenario_indirect_prod_4506_iotable_2020_xlsx_3[[#This Row],[2029]]+scenario_indirect_prod_1610_iotable_2020_xlsx_3[[#This Row],[2029]]</f>
        <v>4367.9694882466065</v>
      </c>
      <c r="G199">
        <f>scenario_indirect_prod_4506_iotable_2020_xlsx_3[[#This Row],[2030]]+scenario_indirect_prod_1610_iotable_2020_xlsx_3[[#This Row],[2030]]</f>
        <v>3891.7157540683938</v>
      </c>
      <c r="H199">
        <f>scenario_indirect_prod_4506_iotable_2020_xlsx_3[[#This Row],[2031]]+scenario_indirect_prod_1610_iotable_2020_xlsx_3[[#This Row],[2031]]</f>
        <v>4172.03286302161</v>
      </c>
      <c r="I199">
        <f>scenario_indirect_prod_4506_iotable_2020_xlsx_3[[#This Row],[2032]]+scenario_indirect_prod_1610_iotable_2020_xlsx_3[[#This Row],[2032]]</f>
        <v>4563.5206513609955</v>
      </c>
      <c r="J199">
        <f>scenario_indirect_prod_4506_iotable_2020_xlsx_3[[#This Row],[2033]]+scenario_indirect_prod_1610_iotable_2020_xlsx_3[[#This Row],[2033]]</f>
        <v>5009.185345411348</v>
      </c>
      <c r="K199">
        <f>scenario_indirect_prod_4506_iotable_2020_xlsx_3[[#This Row],[2034]]+scenario_indirect_prod_1610_iotable_2020_xlsx_3[[#This Row],[2034]]</f>
        <v>5373.4851439044742</v>
      </c>
      <c r="L199">
        <f>scenario_indirect_prod_4506_iotable_2020_xlsx_3[[#This Row],[2035]]+scenario_indirect_prod_1610_iotable_2020_xlsx_3[[#This Row],[2035]]</f>
        <v>6069.5567212535016</v>
      </c>
      <c r="M199">
        <f>scenario_indirect_prod_4506_iotable_2020_xlsx_3[[#This Row],[2036]]+scenario_indirect_prod_1610_iotable_2020_xlsx_3[[#This Row],[2036]]</f>
        <v>6256.6299531211462</v>
      </c>
      <c r="N199">
        <f>scenario_indirect_prod_4506_iotable_2020_xlsx_3[[#This Row],[2037]]+scenario_indirect_prod_1610_iotable_2020_xlsx_3[[#This Row],[2037]]</f>
        <v>6434.8901122701554</v>
      </c>
      <c r="O199">
        <f>scenario_indirect_prod_4506_iotable_2020_xlsx_3[[#This Row],[2038]]+scenario_indirect_prod_1610_iotable_2020_xlsx_3[[#This Row],[2038]]</f>
        <v>6434.8901122701554</v>
      </c>
      <c r="P199">
        <f>scenario_indirect_prod_4506_iotable_2020_xlsx_3[[#This Row],[2039]]+scenario_indirect_prod_1610_iotable_2020_xlsx_3[[#This Row],[2039]]</f>
        <v>6434.8901122701554</v>
      </c>
      <c r="Q199">
        <f>scenario_indirect_prod_4506_iotable_2020_xlsx_3[[#This Row],[2040]]+scenario_indirect_prod_1610_iotable_2020_xlsx_3[[#This Row],[2040]]</f>
        <v>6588.8642792263327</v>
      </c>
      <c r="R199">
        <f>scenario_indirect_prod_4506_iotable_2020_xlsx_3[[#This Row],[2041]]+scenario_indirect_prod_1610_iotable_2020_xlsx_3[[#This Row],[2041]]</f>
        <v>6588.8642792263327</v>
      </c>
      <c r="S199">
        <f>scenario_indirect_prod_4506_iotable_2020_xlsx_3[[#This Row],[2042]]+scenario_indirect_prod_1610_iotable_2020_xlsx_3[[#This Row],[2042]]</f>
        <v>6766.7751402809645</v>
      </c>
      <c r="T199">
        <f>scenario_indirect_prod_4506_iotable_2020_xlsx_3[[#This Row],[2043]]+scenario_indirect_prod_1610_iotable_2020_xlsx_3[[#This Row],[2043]]</f>
        <v>6766.7751402809645</v>
      </c>
      <c r="U199">
        <f>scenario_indirect_prod_4506_iotable_2020_xlsx_3[[#This Row],[2044]]+scenario_indirect_prod_1610_iotable_2020_xlsx_3[[#This Row],[2044]]</f>
        <v>6911.8714101608766</v>
      </c>
      <c r="V199">
        <f>scenario_indirect_prod_4506_iotable_2020_xlsx_3[[#This Row],[2045]]+scenario_indirect_prod_1610_iotable_2020_xlsx_3[[#This Row],[2045]]</f>
        <v>6911.8714101608766</v>
      </c>
      <c r="W199">
        <f>scenario_indirect_prod_4506_iotable_2020_xlsx_3[[#This Row],[2046]]+scenario_indirect_prod_1610_iotable_2020_xlsx_3[[#This Row],[2046]]</f>
        <v>7043.0628610265521</v>
      </c>
      <c r="X199">
        <f>scenario_indirect_prod_4506_iotable_2020_xlsx_3[[#This Row],[2047]]+scenario_indirect_prod_1610_iotable_2020_xlsx_3[[#This Row],[2047]]</f>
        <v>7043.0628610265521</v>
      </c>
      <c r="Y199">
        <f>scenario_indirect_prod_4506_iotable_2020_xlsx_3[[#This Row],[2048]]+scenario_indirect_prod_1610_iotable_2020_xlsx_3[[#This Row],[2048]]</f>
        <v>7043.0628610265521</v>
      </c>
      <c r="Z199">
        <f>scenario_indirect_prod_4506_iotable_2020_xlsx_3[[#This Row],[2049]]+scenario_indirect_prod_1610_iotable_2020_xlsx_3[[#This Row],[2049]]</f>
        <v>7043.0628610265521</v>
      </c>
      <c r="AA199">
        <f>scenario_indirect_prod_4506_iotable_2020_xlsx_3[[#This Row],[2050]]+scenario_indirect_prod_1610_iotable_2020_xlsx_3[[#This Row],[2050]]</f>
        <v>7043.0628610265521</v>
      </c>
    </row>
    <row r="200" spans="1:27" x14ac:dyDescent="0.2">
      <c r="A200" t="s">
        <v>916</v>
      </c>
      <c r="B200" t="s">
        <v>917</v>
      </c>
      <c r="C200">
        <f>scenario_indirect_prod_4506_iotable_2020_xlsx_3[[#This Row],[2026]]+scenario_indirect_prod_1610_iotable_2020_xlsx_3[[#This Row],[2026]]</f>
        <v>98.331497639144303</v>
      </c>
      <c r="D200">
        <f>scenario_indirect_prod_4506_iotable_2020_xlsx_3[[#This Row],[2027]]+scenario_indirect_prod_1610_iotable_2020_xlsx_3[[#This Row],[2027]]</f>
        <v>99.328945844993555</v>
      </c>
      <c r="E200">
        <f>scenario_indirect_prod_4506_iotable_2020_xlsx_3[[#This Row],[2028]]+scenario_indirect_prod_1610_iotable_2020_xlsx_3[[#This Row],[2028]]</f>
        <v>104.09595546124666</v>
      </c>
      <c r="F200">
        <f>scenario_indirect_prod_4506_iotable_2020_xlsx_3[[#This Row],[2029]]+scenario_indirect_prod_1610_iotable_2020_xlsx_3[[#This Row],[2029]]</f>
        <v>107.88837157625797</v>
      </c>
      <c r="G200">
        <f>scenario_indirect_prod_4506_iotable_2020_xlsx_3[[#This Row],[2030]]+scenario_indirect_prod_1610_iotable_2020_xlsx_3[[#This Row],[2030]]</f>
        <v>106.91976378696285</v>
      </c>
      <c r="H200">
        <f>scenario_indirect_prod_4506_iotable_2020_xlsx_3[[#This Row],[2031]]+scenario_indirect_prod_1610_iotable_2020_xlsx_3[[#This Row],[2031]]</f>
        <v>113.35141135005209</v>
      </c>
      <c r="I200">
        <f>scenario_indirect_prod_4506_iotable_2020_xlsx_3[[#This Row],[2032]]+scenario_indirect_prod_1610_iotable_2020_xlsx_3[[#This Row],[2032]]</f>
        <v>122.33377953034189</v>
      </c>
      <c r="J200">
        <f>scenario_indirect_prod_4506_iotable_2020_xlsx_3[[#This Row],[2033]]+scenario_indirect_prod_1610_iotable_2020_xlsx_3[[#This Row],[2033]]</f>
        <v>138.11463761894598</v>
      </c>
      <c r="K200">
        <f>scenario_indirect_prod_4506_iotable_2020_xlsx_3[[#This Row],[2034]]+scenario_indirect_prod_1610_iotable_2020_xlsx_3[[#This Row],[2034]]</f>
        <v>146.47319953463432</v>
      </c>
      <c r="L200">
        <f>scenario_indirect_prod_4506_iotable_2020_xlsx_3[[#This Row],[2035]]+scenario_indirect_prod_1610_iotable_2020_xlsx_3[[#This Row],[2035]]</f>
        <v>169.47652489695389</v>
      </c>
      <c r="M200">
        <f>scenario_indirect_prod_4506_iotable_2020_xlsx_3[[#This Row],[2036]]+scenario_indirect_prod_1610_iotable_2020_xlsx_3[[#This Row],[2036]]</f>
        <v>178.38478224526887</v>
      </c>
      <c r="N200">
        <f>scenario_indirect_prod_4506_iotable_2020_xlsx_3[[#This Row],[2037]]+scenario_indirect_prod_1610_iotable_2020_xlsx_3[[#This Row],[2037]]</f>
        <v>186.51016294635926</v>
      </c>
      <c r="O200">
        <f>scenario_indirect_prod_4506_iotable_2020_xlsx_3[[#This Row],[2038]]+scenario_indirect_prod_1610_iotable_2020_xlsx_3[[#This Row],[2038]]</f>
        <v>186.51016294635926</v>
      </c>
      <c r="P200">
        <f>scenario_indirect_prod_4506_iotable_2020_xlsx_3[[#This Row],[2039]]+scenario_indirect_prod_1610_iotable_2020_xlsx_3[[#This Row],[2039]]</f>
        <v>186.51016294635926</v>
      </c>
      <c r="Q200">
        <f>scenario_indirect_prod_4506_iotable_2020_xlsx_3[[#This Row],[2040]]+scenario_indirect_prod_1610_iotable_2020_xlsx_3[[#This Row],[2040]]</f>
        <v>193.58563328614301</v>
      </c>
      <c r="R200">
        <f>scenario_indirect_prod_4506_iotable_2020_xlsx_3[[#This Row],[2041]]+scenario_indirect_prod_1610_iotable_2020_xlsx_3[[#This Row],[2041]]</f>
        <v>193.58563328614301</v>
      </c>
      <c r="S200">
        <f>scenario_indirect_prod_4506_iotable_2020_xlsx_3[[#This Row],[2042]]+scenario_indirect_prod_1610_iotable_2020_xlsx_3[[#This Row],[2042]]</f>
        <v>201.57787266025997</v>
      </c>
      <c r="T200">
        <f>scenario_indirect_prod_4506_iotable_2020_xlsx_3[[#This Row],[2043]]+scenario_indirect_prod_1610_iotable_2020_xlsx_3[[#This Row],[2043]]</f>
        <v>201.57787266025997</v>
      </c>
      <c r="U200">
        <f>scenario_indirect_prod_4506_iotable_2020_xlsx_3[[#This Row],[2044]]+scenario_indirect_prod_1610_iotable_2020_xlsx_3[[#This Row],[2044]]</f>
        <v>208.62560763823313</v>
      </c>
      <c r="V200">
        <f>scenario_indirect_prod_4506_iotable_2020_xlsx_3[[#This Row],[2045]]+scenario_indirect_prod_1610_iotable_2020_xlsx_3[[#This Row],[2045]]</f>
        <v>208.62560763823313</v>
      </c>
      <c r="W200">
        <f>scenario_indirect_prod_4506_iotable_2020_xlsx_3[[#This Row],[2046]]+scenario_indirect_prod_1610_iotable_2020_xlsx_3[[#This Row],[2046]]</f>
        <v>214.80198861180605</v>
      </c>
      <c r="X200">
        <f>scenario_indirect_prod_4506_iotable_2020_xlsx_3[[#This Row],[2047]]+scenario_indirect_prod_1610_iotable_2020_xlsx_3[[#This Row],[2047]]</f>
        <v>214.80198861180605</v>
      </c>
      <c r="Y200">
        <f>scenario_indirect_prod_4506_iotable_2020_xlsx_3[[#This Row],[2048]]+scenario_indirect_prod_1610_iotable_2020_xlsx_3[[#This Row],[2048]]</f>
        <v>214.80198861180605</v>
      </c>
      <c r="Z200">
        <f>scenario_indirect_prod_4506_iotable_2020_xlsx_3[[#This Row],[2049]]+scenario_indirect_prod_1610_iotable_2020_xlsx_3[[#This Row],[2049]]</f>
        <v>214.80198861180605</v>
      </c>
      <c r="AA200">
        <f>scenario_indirect_prod_4506_iotable_2020_xlsx_3[[#This Row],[2050]]+scenario_indirect_prod_1610_iotable_2020_xlsx_3[[#This Row],[2050]]</f>
        <v>214.80198861180605</v>
      </c>
    </row>
    <row r="201" spans="1:27" x14ac:dyDescent="0.2">
      <c r="A201" t="s">
        <v>926</v>
      </c>
      <c r="B201" t="s">
        <v>927</v>
      </c>
      <c r="C201">
        <f>scenario_indirect_prod_4506_iotable_2020_xlsx_3[[#This Row],[2026]]+scenario_indirect_prod_1610_iotable_2020_xlsx_3[[#This Row],[2026]]</f>
        <v>60.815636063824066</v>
      </c>
      <c r="D201">
        <f>scenario_indirect_prod_4506_iotable_2020_xlsx_3[[#This Row],[2027]]+scenario_indirect_prod_1610_iotable_2020_xlsx_3[[#This Row],[2027]]</f>
        <v>60.948251112020699</v>
      </c>
      <c r="E201">
        <f>scenario_indirect_prod_4506_iotable_2020_xlsx_3[[#This Row],[2028]]+scenario_indirect_prod_1610_iotable_2020_xlsx_3[[#This Row],[2028]]</f>
        <v>63.925314318265094</v>
      </c>
      <c r="F201">
        <f>scenario_indirect_prod_4506_iotable_2020_xlsx_3[[#This Row],[2029]]+scenario_indirect_prod_1610_iotable_2020_xlsx_3[[#This Row],[2029]]</f>
        <v>66.097608389454564</v>
      </c>
      <c r="G201">
        <f>scenario_indirect_prod_4506_iotable_2020_xlsx_3[[#This Row],[2030]]+scenario_indirect_prod_1610_iotable_2020_xlsx_3[[#This Row],[2030]]</f>
        <v>63.83030040153993</v>
      </c>
      <c r="H201">
        <f>scenario_indirect_prod_4506_iotable_2020_xlsx_3[[#This Row],[2031]]+scenario_indirect_prod_1610_iotable_2020_xlsx_3[[#This Row],[2031]]</f>
        <v>67.846952948310815</v>
      </c>
      <c r="I201">
        <f>scenario_indirect_prod_4506_iotable_2020_xlsx_3[[#This Row],[2032]]+scenario_indirect_prod_1610_iotable_2020_xlsx_3[[#This Row],[2032]]</f>
        <v>73.456565675607919</v>
      </c>
      <c r="J201">
        <f>scenario_indirect_prod_4506_iotable_2020_xlsx_3[[#This Row],[2033]]+scenario_indirect_prod_1610_iotable_2020_xlsx_3[[#This Row],[2033]]</f>
        <v>82.384557332776552</v>
      </c>
      <c r="K201">
        <f>scenario_indirect_prod_4506_iotable_2020_xlsx_3[[#This Row],[2034]]+scenario_indirect_prod_1610_iotable_2020_xlsx_3[[#This Row],[2034]]</f>
        <v>87.604594450274618</v>
      </c>
      <c r="L201">
        <f>scenario_indirect_prod_4506_iotable_2020_xlsx_3[[#This Row],[2035]]+scenario_indirect_prod_1610_iotable_2020_xlsx_3[[#This Row],[2035]]</f>
        <v>100.79654624495026</v>
      </c>
      <c r="M201">
        <f>scenario_indirect_prod_4506_iotable_2020_xlsx_3[[#This Row],[2036]]+scenario_indirect_prod_1610_iotable_2020_xlsx_3[[#This Row],[2036]]</f>
        <v>105.58932335882493</v>
      </c>
      <c r="N201">
        <f>scenario_indirect_prod_4506_iotable_2020_xlsx_3[[#This Row],[2037]]+scenario_indirect_prod_1610_iotable_2020_xlsx_3[[#This Row],[2037]]</f>
        <v>109.99011424010686</v>
      </c>
      <c r="O201">
        <f>scenario_indirect_prod_4506_iotable_2020_xlsx_3[[#This Row],[2038]]+scenario_indirect_prod_1610_iotable_2020_xlsx_3[[#This Row],[2038]]</f>
        <v>109.99011424010686</v>
      </c>
      <c r="P201">
        <f>scenario_indirect_prod_4506_iotable_2020_xlsx_3[[#This Row],[2039]]+scenario_indirect_prod_1610_iotable_2020_xlsx_3[[#This Row],[2039]]</f>
        <v>109.99011424010686</v>
      </c>
      <c r="Q201">
        <f>scenario_indirect_prod_4506_iotable_2020_xlsx_3[[#This Row],[2040]]+scenario_indirect_prod_1610_iotable_2020_xlsx_3[[#This Row],[2040]]</f>
        <v>113.81746616381889</v>
      </c>
      <c r="R201">
        <f>scenario_indirect_prod_4506_iotable_2020_xlsx_3[[#This Row],[2041]]+scenario_indirect_prod_1610_iotable_2020_xlsx_3[[#This Row],[2041]]</f>
        <v>113.81746616381889</v>
      </c>
      <c r="S201">
        <f>scenario_indirect_prod_4506_iotable_2020_xlsx_3[[#This Row],[2042]]+scenario_indirect_prod_1610_iotable_2020_xlsx_3[[#This Row],[2042]]</f>
        <v>118.15599592501334</v>
      </c>
      <c r="T201">
        <f>scenario_indirect_prod_4506_iotable_2020_xlsx_3[[#This Row],[2043]]+scenario_indirect_prod_1610_iotable_2020_xlsx_3[[#This Row],[2043]]</f>
        <v>118.15599592501334</v>
      </c>
      <c r="U201">
        <f>scenario_indirect_prod_4506_iotable_2020_xlsx_3[[#This Row],[2044]]+scenario_indirect_prod_1610_iotable_2020_xlsx_3[[#This Row],[2044]]</f>
        <v>121.93665356424094</v>
      </c>
      <c r="V201">
        <f>scenario_indirect_prod_4506_iotable_2020_xlsx_3[[#This Row],[2045]]+scenario_indirect_prod_1610_iotable_2020_xlsx_3[[#This Row],[2045]]</f>
        <v>121.93665356424094</v>
      </c>
      <c r="W201">
        <f>scenario_indirect_prod_4506_iotable_2020_xlsx_3[[#This Row],[2046]]+scenario_indirect_prod_1610_iotable_2020_xlsx_3[[#This Row],[2046]]</f>
        <v>125.26533740167515</v>
      </c>
      <c r="X201">
        <f>scenario_indirect_prod_4506_iotable_2020_xlsx_3[[#This Row],[2047]]+scenario_indirect_prod_1610_iotable_2020_xlsx_3[[#This Row],[2047]]</f>
        <v>125.26533740167515</v>
      </c>
      <c r="Y201">
        <f>scenario_indirect_prod_4506_iotable_2020_xlsx_3[[#This Row],[2048]]+scenario_indirect_prod_1610_iotable_2020_xlsx_3[[#This Row],[2048]]</f>
        <v>125.26533740167515</v>
      </c>
      <c r="Z201">
        <f>scenario_indirect_prod_4506_iotable_2020_xlsx_3[[#This Row],[2049]]+scenario_indirect_prod_1610_iotable_2020_xlsx_3[[#This Row],[2049]]</f>
        <v>125.26533740167515</v>
      </c>
      <c r="AA201">
        <f>scenario_indirect_prod_4506_iotable_2020_xlsx_3[[#This Row],[2050]]+scenario_indirect_prod_1610_iotable_2020_xlsx_3[[#This Row],[2050]]</f>
        <v>125.26533740167515</v>
      </c>
    </row>
    <row r="202" spans="1:27" x14ac:dyDescent="0.2">
      <c r="A202" t="s">
        <v>904</v>
      </c>
      <c r="B202" t="s">
        <v>905</v>
      </c>
      <c r="C202">
        <f>scenario_indirect_prod_4506_iotable_2020_xlsx_3[[#This Row],[2026]]+scenario_indirect_prod_1610_iotable_2020_xlsx_3[[#This Row],[2026]]</f>
        <v>145.06177580332272</v>
      </c>
      <c r="D202">
        <f>scenario_indirect_prod_4506_iotable_2020_xlsx_3[[#This Row],[2027]]+scenario_indirect_prod_1610_iotable_2020_xlsx_3[[#This Row],[2027]]</f>
        <v>114.90537037532725</v>
      </c>
      <c r="E202">
        <f>scenario_indirect_prod_4506_iotable_2020_xlsx_3[[#This Row],[2028]]+scenario_indirect_prod_1610_iotable_2020_xlsx_3[[#This Row],[2028]]</f>
        <v>123.81765450389099</v>
      </c>
      <c r="F202">
        <f>scenario_indirect_prod_4506_iotable_2020_xlsx_3[[#This Row],[2029]]+scenario_indirect_prod_1610_iotable_2020_xlsx_3[[#This Row],[2029]]</f>
        <v>118.09937721630378</v>
      </c>
      <c r="G202">
        <f>scenario_indirect_prod_4506_iotable_2020_xlsx_3[[#This Row],[2030]]+scenario_indirect_prod_1610_iotable_2020_xlsx_3[[#This Row],[2030]]</f>
        <v>7.7192976683277834</v>
      </c>
      <c r="H202">
        <f>scenario_indirect_prod_4506_iotable_2020_xlsx_3[[#This Row],[2031]]+scenario_indirect_prod_1610_iotable_2020_xlsx_3[[#This Row],[2031]]</f>
        <v>19.74374802848655</v>
      </c>
      <c r="I202">
        <f>scenario_indirect_prod_4506_iotable_2020_xlsx_3[[#This Row],[2032]]+scenario_indirect_prod_1610_iotable_2020_xlsx_3[[#This Row],[2032]]</f>
        <v>36.536963023726059</v>
      </c>
      <c r="J202">
        <f>scenario_indirect_prod_4506_iotable_2020_xlsx_3[[#This Row],[2033]]+scenario_indirect_prod_1610_iotable_2020_xlsx_3[[#This Row],[2033]]</f>
        <v>5.4749864704862716</v>
      </c>
      <c r="K202">
        <f>scenario_indirect_prod_4506_iotable_2020_xlsx_3[[#This Row],[2034]]+scenario_indirect_prod_1610_iotable_2020_xlsx_3[[#This Row],[2034]]</f>
        <v>21.101948590474422</v>
      </c>
      <c r="L202">
        <f>scenario_indirect_prod_4506_iotable_2020_xlsx_3[[#This Row],[2035]]+scenario_indirect_prod_1610_iotable_2020_xlsx_3[[#This Row],[2035]]</f>
        <v>-12.560271535414643</v>
      </c>
      <c r="M202">
        <f>scenario_indirect_prod_4506_iotable_2020_xlsx_3[[#This Row],[2036]]+scenario_indirect_prod_1610_iotable_2020_xlsx_3[[#This Row],[2036]]</f>
        <v>-46.229419673907955</v>
      </c>
      <c r="N202">
        <f>scenario_indirect_prod_4506_iotable_2020_xlsx_3[[#This Row],[2037]]+scenario_indirect_prod_1610_iotable_2020_xlsx_3[[#This Row],[2037]]</f>
        <v>-75.031771445148593</v>
      </c>
      <c r="O202">
        <f>scenario_indirect_prod_4506_iotable_2020_xlsx_3[[#This Row],[2038]]+scenario_indirect_prod_1610_iotable_2020_xlsx_3[[#This Row],[2038]]</f>
        <v>-75.031771445148593</v>
      </c>
      <c r="P202">
        <f>scenario_indirect_prod_4506_iotable_2020_xlsx_3[[#This Row],[2039]]+scenario_indirect_prod_1610_iotable_2020_xlsx_3[[#This Row],[2039]]</f>
        <v>-75.031771445148593</v>
      </c>
      <c r="Q202">
        <f>scenario_indirect_prod_4506_iotable_2020_xlsx_3[[#This Row],[2040]]+scenario_indirect_prod_1610_iotable_2020_xlsx_3[[#This Row],[2040]]</f>
        <v>-100.42572273887185</v>
      </c>
      <c r="R202">
        <f>scenario_indirect_prod_4506_iotable_2020_xlsx_3[[#This Row],[2041]]+scenario_indirect_prod_1610_iotable_2020_xlsx_3[[#This Row],[2041]]</f>
        <v>-100.42572273887185</v>
      </c>
      <c r="S202">
        <f>scenario_indirect_prod_4506_iotable_2020_xlsx_3[[#This Row],[2042]]+scenario_indirect_prod_1610_iotable_2020_xlsx_3[[#This Row],[2042]]</f>
        <v>-128.11285761528836</v>
      </c>
      <c r="T202">
        <f>scenario_indirect_prod_4506_iotable_2020_xlsx_3[[#This Row],[2043]]+scenario_indirect_prod_1610_iotable_2020_xlsx_3[[#This Row],[2043]]</f>
        <v>-128.11285761528836</v>
      </c>
      <c r="U202">
        <f>scenario_indirect_prod_4506_iotable_2020_xlsx_3[[#This Row],[2044]]+scenario_indirect_prod_1610_iotable_2020_xlsx_3[[#This Row],[2044]]</f>
        <v>-155.47698699692307</v>
      </c>
      <c r="V202">
        <f>scenario_indirect_prod_4506_iotable_2020_xlsx_3[[#This Row],[2045]]+scenario_indirect_prod_1610_iotable_2020_xlsx_3[[#This Row],[2045]]</f>
        <v>-155.47698699692307</v>
      </c>
      <c r="W202">
        <f>scenario_indirect_prod_4506_iotable_2020_xlsx_3[[#This Row],[2046]]+scenario_indirect_prod_1610_iotable_2020_xlsx_3[[#This Row],[2046]]</f>
        <v>-178.44879176663846</v>
      </c>
      <c r="X202">
        <f>scenario_indirect_prod_4506_iotable_2020_xlsx_3[[#This Row],[2047]]+scenario_indirect_prod_1610_iotable_2020_xlsx_3[[#This Row],[2047]]</f>
        <v>-178.44879176663846</v>
      </c>
      <c r="Y202">
        <f>scenario_indirect_prod_4506_iotable_2020_xlsx_3[[#This Row],[2048]]+scenario_indirect_prod_1610_iotable_2020_xlsx_3[[#This Row],[2048]]</f>
        <v>-178.44879176663846</v>
      </c>
      <c r="Z202">
        <f>scenario_indirect_prod_4506_iotable_2020_xlsx_3[[#This Row],[2049]]+scenario_indirect_prod_1610_iotable_2020_xlsx_3[[#This Row],[2049]]</f>
        <v>-178.44879176663846</v>
      </c>
      <c r="AA202">
        <f>scenario_indirect_prod_4506_iotable_2020_xlsx_3[[#This Row],[2050]]+scenario_indirect_prod_1610_iotable_2020_xlsx_3[[#This Row],[2050]]</f>
        <v>-178.44879176663846</v>
      </c>
    </row>
    <row r="203" spans="1:27" x14ac:dyDescent="0.2">
      <c r="A203" t="s">
        <v>673</v>
      </c>
      <c r="B203" t="s">
        <v>674</v>
      </c>
      <c r="C203">
        <f>scenario_indirect_prod_4506_iotable_2020_xlsx_3[[#This Row],[2026]]+scenario_indirect_prod_1610_iotable_2020_xlsx_3[[#This Row],[2026]]</f>
        <v>2575.927842731232</v>
      </c>
      <c r="D203">
        <f>scenario_indirect_prod_4506_iotable_2020_xlsx_3[[#This Row],[2027]]+scenario_indirect_prod_1610_iotable_2020_xlsx_3[[#This Row],[2027]]</f>
        <v>1897.7582437355018</v>
      </c>
      <c r="E203">
        <f>scenario_indirect_prod_4506_iotable_2020_xlsx_3[[#This Row],[2028]]+scenario_indirect_prod_1610_iotable_2020_xlsx_3[[#This Row],[2028]]</f>
        <v>2064.497393183095</v>
      </c>
      <c r="F203">
        <f>scenario_indirect_prod_4506_iotable_2020_xlsx_3[[#This Row],[2029]]+scenario_indirect_prod_1610_iotable_2020_xlsx_3[[#This Row],[2029]]</f>
        <v>1911.9242236585619</v>
      </c>
      <c r="G203">
        <f>scenario_indirect_prod_4506_iotable_2020_xlsx_3[[#This Row],[2030]]+scenario_indirect_prod_1610_iotable_2020_xlsx_3[[#This Row],[2030]]</f>
        <v>-539.60738476711049</v>
      </c>
      <c r="H203">
        <f>scenario_indirect_prod_4506_iotable_2020_xlsx_3[[#This Row],[2031]]+scenario_indirect_prod_1610_iotable_2020_xlsx_3[[#This Row],[2031]]</f>
        <v>-314.64298768265689</v>
      </c>
      <c r="I203">
        <f>scenario_indirect_prod_4506_iotable_2020_xlsx_3[[#This Row],[2032]]+scenario_indirect_prod_1610_iotable_2020_xlsx_3[[#This Row],[2032]]</f>
        <v>-0.46018735848792858</v>
      </c>
      <c r="J203">
        <f>scenario_indirect_prod_4506_iotable_2020_xlsx_3[[#This Row],[2033]]+scenario_indirect_prod_1610_iotable_2020_xlsx_3[[#This Row],[2033]]</f>
        <v>-797.17228039404927</v>
      </c>
      <c r="K203">
        <f>scenario_indirect_prod_4506_iotable_2020_xlsx_3[[#This Row],[2034]]+scenario_indirect_prod_1610_iotable_2020_xlsx_3[[#This Row],[2034]]</f>
        <v>-504.80880378701568</v>
      </c>
      <c r="L203">
        <f>scenario_indirect_prod_4506_iotable_2020_xlsx_3[[#This Row],[2035]]+scenario_indirect_prod_1610_iotable_2020_xlsx_3[[#This Row],[2035]]</f>
        <v>-1407.4861926729409</v>
      </c>
      <c r="M203">
        <f>scenario_indirect_prod_4506_iotable_2020_xlsx_3[[#This Row],[2036]]+scenario_indirect_prod_1610_iotable_2020_xlsx_3[[#This Row],[2036]]</f>
        <v>-2216.5215027902832</v>
      </c>
      <c r="N203">
        <f>scenario_indirect_prod_4506_iotable_2020_xlsx_3[[#This Row],[2037]]+scenario_indirect_prod_1610_iotable_2020_xlsx_3[[#This Row],[2037]]</f>
        <v>-2911.9718150001499</v>
      </c>
      <c r="O203">
        <f>scenario_indirect_prod_4506_iotable_2020_xlsx_3[[#This Row],[2038]]+scenario_indirect_prod_1610_iotable_2020_xlsx_3[[#This Row],[2038]]</f>
        <v>-2911.9718150001499</v>
      </c>
      <c r="P203">
        <f>scenario_indirect_prod_4506_iotable_2020_xlsx_3[[#This Row],[2039]]+scenario_indirect_prod_1610_iotable_2020_xlsx_3[[#This Row],[2039]]</f>
        <v>-2911.9718150001499</v>
      </c>
      <c r="Q203">
        <f>scenario_indirect_prod_4506_iotable_2020_xlsx_3[[#This Row],[2040]]+scenario_indirect_prod_1610_iotable_2020_xlsx_3[[#This Row],[2040]]</f>
        <v>-3524.5361439778935</v>
      </c>
      <c r="R203">
        <f>scenario_indirect_prod_4506_iotable_2020_xlsx_3[[#This Row],[2041]]+scenario_indirect_prod_1610_iotable_2020_xlsx_3[[#This Row],[2041]]</f>
        <v>-3524.5361439778935</v>
      </c>
      <c r="S203">
        <f>scenario_indirect_prod_4506_iotable_2020_xlsx_3[[#This Row],[2042]]+scenario_indirect_prod_1610_iotable_2020_xlsx_3[[#This Row],[2042]]</f>
        <v>-4194.2664706236064</v>
      </c>
      <c r="T203">
        <f>scenario_indirect_prod_4506_iotable_2020_xlsx_3[[#This Row],[2043]]+scenario_indirect_prod_1610_iotable_2020_xlsx_3[[#This Row],[2043]]</f>
        <v>-4194.2664706236064</v>
      </c>
      <c r="U203">
        <f>scenario_indirect_prod_4506_iotable_2020_xlsx_3[[#This Row],[2044]]+scenario_indirect_prod_1610_iotable_2020_xlsx_3[[#This Row],[2044]]</f>
        <v>-4850.5187594458985</v>
      </c>
      <c r="V203">
        <f>scenario_indirect_prod_4506_iotable_2020_xlsx_3[[#This Row],[2045]]+scenario_indirect_prod_1610_iotable_2020_xlsx_3[[#This Row],[2045]]</f>
        <v>-4850.5187594458985</v>
      </c>
      <c r="W203">
        <f>scenario_indirect_prod_4506_iotable_2020_xlsx_3[[#This Row],[2046]]+scenario_indirect_prod_1610_iotable_2020_xlsx_3[[#This Row],[2046]]</f>
        <v>-5403.1629549258596</v>
      </c>
      <c r="X203">
        <f>scenario_indirect_prod_4506_iotable_2020_xlsx_3[[#This Row],[2047]]+scenario_indirect_prod_1610_iotable_2020_xlsx_3[[#This Row],[2047]]</f>
        <v>-5403.1629549258596</v>
      </c>
      <c r="Y203">
        <f>scenario_indirect_prod_4506_iotable_2020_xlsx_3[[#This Row],[2048]]+scenario_indirect_prod_1610_iotable_2020_xlsx_3[[#This Row],[2048]]</f>
        <v>-5403.1629549258596</v>
      </c>
      <c r="Z203">
        <f>scenario_indirect_prod_4506_iotable_2020_xlsx_3[[#This Row],[2049]]+scenario_indirect_prod_1610_iotable_2020_xlsx_3[[#This Row],[2049]]</f>
        <v>-5403.1629549258596</v>
      </c>
      <c r="AA203">
        <f>scenario_indirect_prod_4506_iotable_2020_xlsx_3[[#This Row],[2050]]+scenario_indirect_prod_1610_iotable_2020_xlsx_3[[#This Row],[2050]]</f>
        <v>-5403.1629549258596</v>
      </c>
    </row>
    <row r="204" spans="1:27" x14ac:dyDescent="0.2">
      <c r="A204" t="s">
        <v>385</v>
      </c>
      <c r="B204" t="s">
        <v>386</v>
      </c>
      <c r="C204">
        <f>scenario_indirect_prod_4506_iotable_2020_xlsx_3[[#This Row],[2026]]+scenario_indirect_prod_1610_iotable_2020_xlsx_3[[#This Row],[2026]]</f>
        <v>74277.23007469048</v>
      </c>
      <c r="D204">
        <f>scenario_indirect_prod_4506_iotable_2020_xlsx_3[[#This Row],[2027]]+scenario_indirect_prod_1610_iotable_2020_xlsx_3[[#This Row],[2027]]</f>
        <v>79318.435794943667</v>
      </c>
      <c r="E204">
        <f>scenario_indirect_prod_4506_iotable_2020_xlsx_3[[#This Row],[2028]]+scenario_indirect_prod_1610_iotable_2020_xlsx_3[[#This Row],[2028]]</f>
        <v>82664.471548854388</v>
      </c>
      <c r="F204">
        <f>scenario_indirect_prod_4506_iotable_2020_xlsx_3[[#This Row],[2029]]+scenario_indirect_prod_1610_iotable_2020_xlsx_3[[#This Row],[2029]]</f>
        <v>87062.858368763074</v>
      </c>
      <c r="G204">
        <f>scenario_indirect_prod_4506_iotable_2020_xlsx_3[[#This Row],[2030]]+scenario_indirect_prod_1610_iotable_2020_xlsx_3[[#This Row],[2030]]</f>
        <v>101101.58961884328</v>
      </c>
      <c r="H204">
        <f>scenario_indirect_prod_4506_iotable_2020_xlsx_3[[#This Row],[2031]]+scenario_indirect_prod_1610_iotable_2020_xlsx_3[[#This Row],[2031]]</f>
        <v>105616.0597867396</v>
      </c>
      <c r="I204">
        <f>scenario_indirect_prod_4506_iotable_2020_xlsx_3[[#This Row],[2032]]+scenario_indirect_prod_1610_iotable_2020_xlsx_3[[#This Row],[2032]]</f>
        <v>111920.91912320205</v>
      </c>
      <c r="J204">
        <f>scenario_indirect_prod_4506_iotable_2020_xlsx_3[[#This Row],[2033]]+scenario_indirect_prod_1610_iotable_2020_xlsx_3[[#This Row],[2033]]</f>
        <v>131208.53948137059</v>
      </c>
      <c r="K204">
        <f>scenario_indirect_prod_4506_iotable_2020_xlsx_3[[#This Row],[2034]]+scenario_indirect_prod_1610_iotable_2020_xlsx_3[[#This Row],[2034]]</f>
        <v>137075.53981755889</v>
      </c>
      <c r="L204">
        <f>scenario_indirect_prod_4506_iotable_2020_xlsx_3[[#This Row],[2035]]+scenario_indirect_prod_1610_iotable_2020_xlsx_3[[#This Row],[2035]]</f>
        <v>163615.81129050205</v>
      </c>
      <c r="M204">
        <f>scenario_indirect_prod_4506_iotable_2020_xlsx_3[[#This Row],[2036]]+scenario_indirect_prod_1610_iotable_2020_xlsx_3[[#This Row],[2036]]</f>
        <v>176690.99682473612</v>
      </c>
      <c r="N204">
        <f>scenario_indirect_prod_4506_iotable_2020_xlsx_3[[#This Row],[2037]]+scenario_indirect_prod_1610_iotable_2020_xlsx_3[[#This Row],[2037]]</f>
        <v>188358.45791195738</v>
      </c>
      <c r="O204">
        <f>scenario_indirect_prod_4506_iotable_2020_xlsx_3[[#This Row],[2038]]+scenario_indirect_prod_1610_iotable_2020_xlsx_3[[#This Row],[2038]]</f>
        <v>188358.45791195738</v>
      </c>
      <c r="P204">
        <f>scenario_indirect_prod_4506_iotable_2020_xlsx_3[[#This Row],[2039]]+scenario_indirect_prod_1610_iotable_2020_xlsx_3[[#This Row],[2039]]</f>
        <v>188358.45791195738</v>
      </c>
      <c r="Q204">
        <f>scenario_indirect_prod_4506_iotable_2020_xlsx_3[[#This Row],[2040]]+scenario_indirect_prod_1610_iotable_2020_xlsx_3[[#This Row],[2040]]</f>
        <v>198560.79137219948</v>
      </c>
      <c r="R204">
        <f>scenario_indirect_prod_4506_iotable_2020_xlsx_3[[#This Row],[2041]]+scenario_indirect_prod_1610_iotable_2020_xlsx_3[[#This Row],[2041]]</f>
        <v>198560.79137219948</v>
      </c>
      <c r="S204">
        <f>scenario_indirect_prod_4506_iotable_2020_xlsx_3[[#This Row],[2042]]+scenario_indirect_prod_1610_iotable_2020_xlsx_3[[#This Row],[2042]]</f>
        <v>209949.86425753206</v>
      </c>
      <c r="T204">
        <f>scenario_indirect_prod_4506_iotable_2020_xlsx_3[[#This Row],[2043]]+scenario_indirect_prod_1610_iotable_2020_xlsx_3[[#This Row],[2043]]</f>
        <v>209949.86425753206</v>
      </c>
      <c r="U204">
        <f>scenario_indirect_prod_4506_iotable_2020_xlsx_3[[#This Row],[2044]]+scenario_indirect_prod_1610_iotable_2020_xlsx_3[[#This Row],[2044]]</f>
        <v>220392.79511981044</v>
      </c>
      <c r="V204">
        <f>scenario_indirect_prod_4506_iotable_2020_xlsx_3[[#This Row],[2045]]+scenario_indirect_prod_1610_iotable_2020_xlsx_3[[#This Row],[2045]]</f>
        <v>220392.79511981044</v>
      </c>
      <c r="W204">
        <f>scenario_indirect_prod_4506_iotable_2020_xlsx_3[[#This Row],[2046]]+scenario_indirect_prod_1610_iotable_2020_xlsx_3[[#This Row],[2046]]</f>
        <v>229407.7964341222</v>
      </c>
      <c r="X204">
        <f>scenario_indirect_prod_4506_iotable_2020_xlsx_3[[#This Row],[2047]]+scenario_indirect_prod_1610_iotable_2020_xlsx_3[[#This Row],[2047]]</f>
        <v>229407.7964341222</v>
      </c>
      <c r="Y204">
        <f>scenario_indirect_prod_4506_iotable_2020_xlsx_3[[#This Row],[2048]]+scenario_indirect_prod_1610_iotable_2020_xlsx_3[[#This Row],[2048]]</f>
        <v>229407.7964341222</v>
      </c>
      <c r="Z204">
        <f>scenario_indirect_prod_4506_iotable_2020_xlsx_3[[#This Row],[2049]]+scenario_indirect_prod_1610_iotable_2020_xlsx_3[[#This Row],[2049]]</f>
        <v>229407.7964341222</v>
      </c>
      <c r="AA204">
        <f>scenario_indirect_prod_4506_iotable_2020_xlsx_3[[#This Row],[2050]]+scenario_indirect_prod_1610_iotable_2020_xlsx_3[[#This Row],[2050]]</f>
        <v>229407.7964341222</v>
      </c>
    </row>
    <row r="205" spans="1:27" x14ac:dyDescent="0.2">
      <c r="A205" t="s">
        <v>370</v>
      </c>
      <c r="B205" t="s">
        <v>371</v>
      </c>
      <c r="C205">
        <f>scenario_indirect_prod_4506_iotable_2020_xlsx_3[[#This Row],[2026]]+scenario_indirect_prod_1610_iotable_2020_xlsx_3[[#This Row],[2026]]</f>
        <v>100121.70547804232</v>
      </c>
      <c r="D205">
        <f>scenario_indirect_prod_4506_iotable_2020_xlsx_3[[#This Row],[2027]]+scenario_indirect_prod_1610_iotable_2020_xlsx_3[[#This Row],[2027]]</f>
        <v>107255.3894104819</v>
      </c>
      <c r="E205">
        <f>scenario_indirect_prod_4506_iotable_2020_xlsx_3[[#This Row],[2028]]+scenario_indirect_prod_1610_iotable_2020_xlsx_3[[#This Row],[2028]]</f>
        <v>111745.55159096178</v>
      </c>
      <c r="F205">
        <f>scenario_indirect_prod_4506_iotable_2020_xlsx_3[[#This Row],[2029]]+scenario_indirect_prod_1610_iotable_2020_xlsx_3[[#This Row],[2029]]</f>
        <v>117795.38601682364</v>
      </c>
      <c r="G205">
        <f>scenario_indirect_prod_4506_iotable_2020_xlsx_3[[#This Row],[2030]]+scenario_indirect_prod_1610_iotable_2020_xlsx_3[[#This Row],[2030]]</f>
        <v>137884.58911106276</v>
      </c>
      <c r="H205">
        <f>scenario_indirect_prod_4506_iotable_2020_xlsx_3[[#This Row],[2031]]+scenario_indirect_prod_1610_iotable_2020_xlsx_3[[#This Row],[2031]]</f>
        <v>143942.71421899111</v>
      </c>
      <c r="I205">
        <f>scenario_indirect_prod_4506_iotable_2020_xlsx_3[[#This Row],[2032]]+scenario_indirect_prod_1610_iotable_2020_xlsx_3[[#This Row],[2032]]</f>
        <v>152403.42505053012</v>
      </c>
      <c r="J205">
        <f>scenario_indirect_prod_4506_iotable_2020_xlsx_3[[#This Row],[2033]]+scenario_indirect_prod_1610_iotable_2020_xlsx_3[[#This Row],[2033]]</f>
        <v>178983.5482547931</v>
      </c>
      <c r="K205">
        <f>scenario_indirect_prod_4506_iotable_2020_xlsx_3[[#This Row],[2034]]+scenario_indirect_prod_1610_iotable_2020_xlsx_3[[#This Row],[2034]]</f>
        <v>186856.68080922734</v>
      </c>
      <c r="L205">
        <f>scenario_indirect_prod_4506_iotable_2020_xlsx_3[[#This Row],[2035]]+scenario_indirect_prod_1610_iotable_2020_xlsx_3[[#This Row],[2035]]</f>
        <v>223354.81281553206</v>
      </c>
      <c r="M205">
        <f>scenario_indirect_prod_4506_iotable_2020_xlsx_3[[#This Row],[2036]]+scenario_indirect_prod_1610_iotable_2020_xlsx_3[[#This Row],[2036]]</f>
        <v>241480.32326519044</v>
      </c>
      <c r="N205">
        <f>scenario_indirect_prod_4506_iotable_2020_xlsx_3[[#This Row],[2037]]+scenario_indirect_prod_1610_iotable_2020_xlsx_3[[#This Row],[2037]]</f>
        <v>257643.8661074868</v>
      </c>
      <c r="O205">
        <f>scenario_indirect_prod_4506_iotable_2020_xlsx_3[[#This Row],[2038]]+scenario_indirect_prod_1610_iotable_2020_xlsx_3[[#This Row],[2038]]</f>
        <v>257643.8661074868</v>
      </c>
      <c r="P205">
        <f>scenario_indirect_prod_4506_iotable_2020_xlsx_3[[#This Row],[2039]]+scenario_indirect_prod_1610_iotable_2020_xlsx_3[[#This Row],[2039]]</f>
        <v>257643.8661074868</v>
      </c>
      <c r="Q205">
        <f>scenario_indirect_prod_4506_iotable_2020_xlsx_3[[#This Row],[2040]]+scenario_indirect_prod_1610_iotable_2020_xlsx_3[[#This Row],[2040]]</f>
        <v>271779.45438865927</v>
      </c>
      <c r="R205">
        <f>scenario_indirect_prod_4506_iotable_2020_xlsx_3[[#This Row],[2041]]+scenario_indirect_prod_1610_iotable_2020_xlsx_3[[#This Row],[2041]]</f>
        <v>271779.45438865927</v>
      </c>
      <c r="S205">
        <f>scenario_indirect_prod_4506_iotable_2020_xlsx_3[[#This Row],[2042]]+scenario_indirect_prod_1610_iotable_2020_xlsx_3[[#This Row],[2042]]</f>
        <v>287553.71081046219</v>
      </c>
      <c r="T205">
        <f>scenario_indirect_prod_4506_iotable_2020_xlsx_3[[#This Row],[2043]]+scenario_indirect_prod_1610_iotable_2020_xlsx_3[[#This Row],[2043]]</f>
        <v>287553.71081046219</v>
      </c>
      <c r="U205">
        <f>scenario_indirect_prod_4506_iotable_2020_xlsx_3[[#This Row],[2044]]+scenario_indirect_prod_1610_iotable_2020_xlsx_3[[#This Row],[2044]]</f>
        <v>302034.25404032652</v>
      </c>
      <c r="V205">
        <f>scenario_indirect_prod_4506_iotable_2020_xlsx_3[[#This Row],[2045]]+scenario_indirect_prod_1610_iotable_2020_xlsx_3[[#This Row],[2045]]</f>
        <v>302034.25404032652</v>
      </c>
      <c r="W205">
        <f>scenario_indirect_prod_4506_iotable_2020_xlsx_3[[#This Row],[2046]]+scenario_indirect_prod_1610_iotable_2020_xlsx_3[[#This Row],[2046]]</f>
        <v>314529.27442121471</v>
      </c>
      <c r="X205">
        <f>scenario_indirect_prod_4506_iotable_2020_xlsx_3[[#This Row],[2047]]+scenario_indirect_prod_1610_iotable_2020_xlsx_3[[#This Row],[2047]]</f>
        <v>314529.27442121471</v>
      </c>
      <c r="Y205">
        <f>scenario_indirect_prod_4506_iotable_2020_xlsx_3[[#This Row],[2048]]+scenario_indirect_prod_1610_iotable_2020_xlsx_3[[#This Row],[2048]]</f>
        <v>314529.27442121471</v>
      </c>
      <c r="Z205">
        <f>scenario_indirect_prod_4506_iotable_2020_xlsx_3[[#This Row],[2049]]+scenario_indirect_prod_1610_iotable_2020_xlsx_3[[#This Row],[2049]]</f>
        <v>314529.27442121471</v>
      </c>
      <c r="AA205">
        <f>scenario_indirect_prod_4506_iotable_2020_xlsx_3[[#This Row],[2050]]+scenario_indirect_prod_1610_iotable_2020_xlsx_3[[#This Row],[2050]]</f>
        <v>314529.27442121471</v>
      </c>
    </row>
    <row r="206" spans="1:27" x14ac:dyDescent="0.2">
      <c r="A206" t="s">
        <v>553</v>
      </c>
      <c r="B206" t="s">
        <v>554</v>
      </c>
      <c r="C206">
        <f>scenario_indirect_prod_4506_iotable_2020_xlsx_3[[#This Row],[2026]]+scenario_indirect_prod_1610_iotable_2020_xlsx_3[[#This Row],[2026]]</f>
        <v>9926.9204600349767</v>
      </c>
      <c r="D206">
        <f>scenario_indirect_prod_4506_iotable_2020_xlsx_3[[#This Row],[2027]]+scenario_indirect_prod_1610_iotable_2020_xlsx_3[[#This Row],[2027]]</f>
        <v>10386.402318337279</v>
      </c>
      <c r="E206">
        <f>scenario_indirect_prod_4506_iotable_2020_xlsx_3[[#This Row],[2028]]+scenario_indirect_prod_1610_iotable_2020_xlsx_3[[#This Row],[2028]]</f>
        <v>10846.32433902431</v>
      </c>
      <c r="F206">
        <f>scenario_indirect_prod_4506_iotable_2020_xlsx_3[[#This Row],[2029]]+scenario_indirect_prod_1610_iotable_2020_xlsx_3[[#This Row],[2029]]</f>
        <v>11357.516546760611</v>
      </c>
      <c r="G206">
        <f>scenario_indirect_prod_4506_iotable_2020_xlsx_3[[#This Row],[2030]]+scenario_indirect_prod_1610_iotable_2020_xlsx_3[[#This Row],[2030]]</f>
        <v>12495.67148338506</v>
      </c>
      <c r="H206">
        <f>scenario_indirect_prod_4506_iotable_2020_xlsx_3[[#This Row],[2031]]+scenario_indirect_prod_1610_iotable_2020_xlsx_3[[#This Row],[2031]]</f>
        <v>13116.198098954988</v>
      </c>
      <c r="I206">
        <f>scenario_indirect_prod_4506_iotable_2020_xlsx_3[[#This Row],[2032]]+scenario_indirect_prod_1610_iotable_2020_xlsx_3[[#This Row],[2032]]</f>
        <v>13982.818738852273</v>
      </c>
      <c r="J206">
        <f>scenario_indirect_prod_4506_iotable_2020_xlsx_3[[#This Row],[2033]]+scenario_indirect_prod_1610_iotable_2020_xlsx_3[[#This Row],[2033]]</f>
        <v>16192.412422745167</v>
      </c>
      <c r="K206">
        <f>scenario_indirect_prod_4506_iotable_2020_xlsx_3[[#This Row],[2034]]+scenario_indirect_prod_1610_iotable_2020_xlsx_3[[#This Row],[2034]]</f>
        <v>16998.848112153879</v>
      </c>
      <c r="L206">
        <f>scenario_indirect_prod_4506_iotable_2020_xlsx_3[[#This Row],[2035]]+scenario_indirect_prod_1610_iotable_2020_xlsx_3[[#This Row],[2035]]</f>
        <v>20087.941075527047</v>
      </c>
      <c r="M206">
        <f>scenario_indirect_prod_4506_iotable_2020_xlsx_3[[#This Row],[2036]]+scenario_indirect_prod_1610_iotable_2020_xlsx_3[[#This Row],[2036]]</f>
        <v>21518.28358405886</v>
      </c>
      <c r="N206">
        <f>scenario_indirect_prod_4506_iotable_2020_xlsx_3[[#This Row],[2037]]+scenario_indirect_prod_1610_iotable_2020_xlsx_3[[#This Row],[2037]]</f>
        <v>22801.281599106398</v>
      </c>
      <c r="O206">
        <f>scenario_indirect_prod_4506_iotable_2020_xlsx_3[[#This Row],[2038]]+scenario_indirect_prod_1610_iotable_2020_xlsx_3[[#This Row],[2038]]</f>
        <v>22801.281599106398</v>
      </c>
      <c r="P206">
        <f>scenario_indirect_prod_4506_iotable_2020_xlsx_3[[#This Row],[2039]]+scenario_indirect_prod_1610_iotable_2020_xlsx_3[[#This Row],[2039]]</f>
        <v>22801.281599106398</v>
      </c>
      <c r="Q206">
        <f>scenario_indirect_prod_4506_iotable_2020_xlsx_3[[#This Row],[2040]]+scenario_indirect_prod_1610_iotable_2020_xlsx_3[[#This Row],[2040]]</f>
        <v>23922.052301394011</v>
      </c>
      <c r="R206">
        <f>scenario_indirect_prod_4506_iotable_2020_xlsx_3[[#This Row],[2041]]+scenario_indirect_prod_1610_iotable_2020_xlsx_3[[#This Row],[2041]]</f>
        <v>23922.052301394011</v>
      </c>
      <c r="S206">
        <f>scenario_indirect_prod_4506_iotable_2020_xlsx_3[[#This Row],[2042]]+scenario_indirect_prod_1610_iotable_2020_xlsx_3[[#This Row],[2042]]</f>
        <v>25176.730103514645</v>
      </c>
      <c r="T206">
        <f>scenario_indirect_prod_4506_iotable_2020_xlsx_3[[#This Row],[2043]]+scenario_indirect_prod_1610_iotable_2020_xlsx_3[[#This Row],[2043]]</f>
        <v>25176.730103514645</v>
      </c>
      <c r="U206">
        <f>scenario_indirect_prod_4506_iotable_2020_xlsx_3[[#This Row],[2044]]+scenario_indirect_prod_1610_iotable_2020_xlsx_3[[#This Row],[2044]]</f>
        <v>26316.586323714517</v>
      </c>
      <c r="V206">
        <f>scenario_indirect_prod_4506_iotable_2020_xlsx_3[[#This Row],[2045]]+scenario_indirect_prod_1610_iotable_2020_xlsx_3[[#This Row],[2045]]</f>
        <v>26316.586323714517</v>
      </c>
      <c r="W206">
        <f>scenario_indirect_prod_4506_iotable_2020_xlsx_3[[#This Row],[2046]]+scenario_indirect_prod_1610_iotable_2020_xlsx_3[[#This Row],[2046]]</f>
        <v>27304.067669243603</v>
      </c>
      <c r="X206">
        <f>scenario_indirect_prod_4506_iotable_2020_xlsx_3[[#This Row],[2047]]+scenario_indirect_prod_1610_iotable_2020_xlsx_3[[#This Row],[2047]]</f>
        <v>27304.067669243603</v>
      </c>
      <c r="Y206">
        <f>scenario_indirect_prod_4506_iotable_2020_xlsx_3[[#This Row],[2048]]+scenario_indirect_prod_1610_iotable_2020_xlsx_3[[#This Row],[2048]]</f>
        <v>27304.067669243603</v>
      </c>
      <c r="Z206">
        <f>scenario_indirect_prod_4506_iotable_2020_xlsx_3[[#This Row],[2049]]+scenario_indirect_prod_1610_iotable_2020_xlsx_3[[#This Row],[2049]]</f>
        <v>27304.067669243603</v>
      </c>
      <c r="AA206">
        <f>scenario_indirect_prod_4506_iotable_2020_xlsx_3[[#This Row],[2050]]+scenario_indirect_prod_1610_iotable_2020_xlsx_3[[#This Row],[2050]]</f>
        <v>27304.067669243603</v>
      </c>
    </row>
    <row r="207" spans="1:27" x14ac:dyDescent="0.2">
      <c r="A207" t="s">
        <v>934</v>
      </c>
      <c r="B207" t="s">
        <v>935</v>
      </c>
      <c r="C207">
        <f>scenario_indirect_prod_4506_iotable_2020_xlsx_3[[#This Row],[2026]]+scenario_indirect_prod_1610_iotable_2020_xlsx_3[[#This Row],[2026]]</f>
        <v>17.933816447173612</v>
      </c>
      <c r="D207">
        <f>scenario_indirect_prod_4506_iotable_2020_xlsx_3[[#This Row],[2027]]+scenario_indirect_prod_1610_iotable_2020_xlsx_3[[#This Row],[2027]]</f>
        <v>17.609372546966444</v>
      </c>
      <c r="E207">
        <f>scenario_indirect_prod_4506_iotable_2020_xlsx_3[[#This Row],[2028]]+scenario_indirect_prod_1610_iotable_2020_xlsx_3[[#This Row],[2028]]</f>
        <v>18.508881544831468</v>
      </c>
      <c r="F207">
        <f>scenario_indirect_prod_4506_iotable_2020_xlsx_3[[#This Row],[2029]]+scenario_indirect_prod_1610_iotable_2020_xlsx_3[[#This Row],[2029]]</f>
        <v>19.019427187659563</v>
      </c>
      <c r="G207">
        <f>scenario_indirect_prod_4506_iotable_2020_xlsx_3[[#This Row],[2030]]+scenario_indirect_prod_1610_iotable_2020_xlsx_3[[#This Row],[2030]]</f>
        <v>17.098472064887197</v>
      </c>
      <c r="H207">
        <f>scenario_indirect_prod_4506_iotable_2020_xlsx_3[[#This Row],[2031]]+scenario_indirect_prod_1610_iotable_2020_xlsx_3[[#This Row],[2031]]</f>
        <v>18.312089263050666</v>
      </c>
      <c r="I207">
        <f>scenario_indirect_prod_4506_iotable_2020_xlsx_3[[#This Row],[2032]]+scenario_indirect_prod_1610_iotable_2020_xlsx_3[[#This Row],[2032]]</f>
        <v>20.007013681235048</v>
      </c>
      <c r="J207">
        <f>scenario_indirect_prod_4506_iotable_2020_xlsx_3[[#This Row],[2033]]+scenario_indirect_prod_1610_iotable_2020_xlsx_3[[#This Row],[2033]]</f>
        <v>22.015127988864755</v>
      </c>
      <c r="K207">
        <f>scenario_indirect_prod_4506_iotable_2020_xlsx_3[[#This Row],[2034]]+scenario_indirect_prod_1610_iotable_2020_xlsx_3[[#This Row],[2034]]</f>
        <v>23.592343530184188</v>
      </c>
      <c r="L207">
        <f>scenario_indirect_prod_4506_iotable_2020_xlsx_3[[#This Row],[2035]]+scenario_indirect_prod_1610_iotable_2020_xlsx_3[[#This Row],[2035]]</f>
        <v>26.705487656947984</v>
      </c>
      <c r="M207">
        <f>scenario_indirect_prod_4506_iotable_2020_xlsx_3[[#This Row],[2036]]+scenario_indirect_prod_1610_iotable_2020_xlsx_3[[#This Row],[2036]]</f>
        <v>27.580747657000238</v>
      </c>
      <c r="N207">
        <f>scenario_indirect_prod_4506_iotable_2020_xlsx_3[[#This Row],[2037]]+scenario_indirect_prod_1610_iotable_2020_xlsx_3[[#This Row],[2037]]</f>
        <v>28.409632945077846</v>
      </c>
      <c r="O207">
        <f>scenario_indirect_prod_4506_iotable_2020_xlsx_3[[#This Row],[2038]]+scenario_indirect_prod_1610_iotable_2020_xlsx_3[[#This Row],[2038]]</f>
        <v>28.409632945077846</v>
      </c>
      <c r="P207">
        <f>scenario_indirect_prod_4506_iotable_2020_xlsx_3[[#This Row],[2039]]+scenario_indirect_prod_1610_iotable_2020_xlsx_3[[#This Row],[2039]]</f>
        <v>28.409632945077846</v>
      </c>
      <c r="Q207">
        <f>scenario_indirect_prod_4506_iotable_2020_xlsx_3[[#This Row],[2040]]+scenario_indirect_prod_1610_iotable_2020_xlsx_3[[#This Row],[2040]]</f>
        <v>29.126399686133052</v>
      </c>
      <c r="R207">
        <f>scenario_indirect_prod_4506_iotable_2020_xlsx_3[[#This Row],[2041]]+scenario_indirect_prod_1610_iotable_2020_xlsx_3[[#This Row],[2041]]</f>
        <v>29.126399686133052</v>
      </c>
      <c r="S207">
        <f>scenario_indirect_prod_4506_iotable_2020_xlsx_3[[#This Row],[2042]]+scenario_indirect_prod_1610_iotable_2020_xlsx_3[[#This Row],[2042]]</f>
        <v>29.952001610000231</v>
      </c>
      <c r="T207">
        <f>scenario_indirect_prod_4506_iotable_2020_xlsx_3[[#This Row],[2043]]+scenario_indirect_prod_1610_iotable_2020_xlsx_3[[#This Row],[2043]]</f>
        <v>29.952001610000231</v>
      </c>
      <c r="U207">
        <f>scenario_indirect_prod_4506_iotable_2020_xlsx_3[[#This Row],[2044]]+scenario_indirect_prod_1610_iotable_2020_xlsx_3[[#This Row],[2044]]</f>
        <v>30.632822613320769</v>
      </c>
      <c r="V207">
        <f>scenario_indirect_prod_4506_iotable_2020_xlsx_3[[#This Row],[2045]]+scenario_indirect_prod_1610_iotable_2020_xlsx_3[[#This Row],[2045]]</f>
        <v>30.632822613320769</v>
      </c>
      <c r="W207">
        <f>scenario_indirect_prod_4506_iotable_2020_xlsx_3[[#This Row],[2046]]+scenario_indirect_prod_1610_iotable_2020_xlsx_3[[#This Row],[2046]]</f>
        <v>31.245625732421111</v>
      </c>
      <c r="X207">
        <f>scenario_indirect_prod_4506_iotable_2020_xlsx_3[[#This Row],[2047]]+scenario_indirect_prod_1610_iotable_2020_xlsx_3[[#This Row],[2047]]</f>
        <v>31.245625732421111</v>
      </c>
      <c r="Y207">
        <f>scenario_indirect_prod_4506_iotable_2020_xlsx_3[[#This Row],[2048]]+scenario_indirect_prod_1610_iotable_2020_xlsx_3[[#This Row],[2048]]</f>
        <v>31.245625732421111</v>
      </c>
      <c r="Z207">
        <f>scenario_indirect_prod_4506_iotable_2020_xlsx_3[[#This Row],[2049]]+scenario_indirect_prod_1610_iotable_2020_xlsx_3[[#This Row],[2049]]</f>
        <v>31.245625732421111</v>
      </c>
      <c r="AA207">
        <f>scenario_indirect_prod_4506_iotable_2020_xlsx_3[[#This Row],[2050]]+scenario_indirect_prod_1610_iotable_2020_xlsx_3[[#This Row],[2050]]</f>
        <v>31.245625732421111</v>
      </c>
    </row>
    <row r="208" spans="1:27" x14ac:dyDescent="0.2">
      <c r="A208" t="s">
        <v>407</v>
      </c>
      <c r="B208" t="s">
        <v>79</v>
      </c>
      <c r="C208">
        <f>scenario_indirect_prod_4506_iotable_2020_xlsx_3[[#This Row],[2026]]+scenario_indirect_prod_1610_iotable_2020_xlsx_3[[#This Row],[2026]]</f>
        <v>57125.519161721917</v>
      </c>
      <c r="D208">
        <f>scenario_indirect_prod_4506_iotable_2020_xlsx_3[[#This Row],[2027]]+scenario_indirect_prod_1610_iotable_2020_xlsx_3[[#This Row],[2027]]</f>
        <v>61327.299413852503</v>
      </c>
      <c r="E208">
        <f>scenario_indirect_prod_4506_iotable_2020_xlsx_3[[#This Row],[2028]]+scenario_indirect_prod_1610_iotable_2020_xlsx_3[[#This Row],[2028]]</f>
        <v>63881.389281782351</v>
      </c>
      <c r="F208">
        <f>scenario_indirect_prod_4506_iotable_2020_xlsx_3[[#This Row],[2029]]+scenario_indirect_prod_1610_iotable_2020_xlsx_3[[#This Row],[2029]]</f>
        <v>67380.252390689202</v>
      </c>
      <c r="G208">
        <f>scenario_indirect_prod_4506_iotable_2020_xlsx_3[[#This Row],[2030]]+scenario_indirect_prod_1610_iotable_2020_xlsx_3[[#This Row],[2030]]</f>
        <v>79295.628228618138</v>
      </c>
      <c r="H208">
        <f>scenario_indirect_prod_4506_iotable_2020_xlsx_3[[#This Row],[2031]]+scenario_indirect_prod_1610_iotable_2020_xlsx_3[[#This Row],[2031]]</f>
        <v>82741.60530803795</v>
      </c>
      <c r="I208">
        <f>scenario_indirect_prod_4506_iotable_2020_xlsx_3[[#This Row],[2032]]+scenario_indirect_prod_1610_iotable_2020_xlsx_3[[#This Row],[2032]]</f>
        <v>87554.218960226484</v>
      </c>
      <c r="J208">
        <f>scenario_indirect_prod_4506_iotable_2020_xlsx_3[[#This Row],[2033]]+scenario_indirect_prod_1610_iotable_2020_xlsx_3[[#This Row],[2033]]</f>
        <v>102945.87310179399</v>
      </c>
      <c r="K208">
        <f>scenario_indirect_prod_4506_iotable_2020_xlsx_3[[#This Row],[2034]]+scenario_indirect_prod_1610_iotable_2020_xlsx_3[[#This Row],[2034]]</f>
        <v>107424.26102585782</v>
      </c>
      <c r="L208">
        <f>scenario_indirect_prod_4506_iotable_2020_xlsx_3[[#This Row],[2035]]+scenario_indirect_prod_1610_iotable_2020_xlsx_3[[#This Row],[2035]]</f>
        <v>128529.88647043532</v>
      </c>
      <c r="M208">
        <f>scenario_indirect_prod_4506_iotable_2020_xlsx_3[[#This Row],[2036]]+scenario_indirect_prod_1610_iotable_2020_xlsx_3[[#This Row],[2036]]</f>
        <v>139066.337119926</v>
      </c>
      <c r="N208">
        <f>scenario_indirect_prod_4506_iotable_2020_xlsx_3[[#This Row],[2037]]+scenario_indirect_prod_1610_iotable_2020_xlsx_3[[#This Row],[2037]]</f>
        <v>148458.31410738057</v>
      </c>
      <c r="O208">
        <f>scenario_indirect_prod_4506_iotable_2020_xlsx_3[[#This Row],[2038]]+scenario_indirect_prod_1610_iotable_2020_xlsx_3[[#This Row],[2038]]</f>
        <v>148458.31410738057</v>
      </c>
      <c r="P208">
        <f>scenario_indirect_prod_4506_iotable_2020_xlsx_3[[#This Row],[2039]]+scenario_indirect_prod_1610_iotable_2020_xlsx_3[[#This Row],[2039]]</f>
        <v>148458.31410738057</v>
      </c>
      <c r="Q208">
        <f>scenario_indirect_prod_4506_iotable_2020_xlsx_3[[#This Row],[2040]]+scenario_indirect_prod_1610_iotable_2020_xlsx_3[[#This Row],[2040]]</f>
        <v>156672.59628316163</v>
      </c>
      <c r="R208">
        <f>scenario_indirect_prod_4506_iotable_2020_xlsx_3[[#This Row],[2041]]+scenario_indirect_prod_1610_iotable_2020_xlsx_3[[#This Row],[2041]]</f>
        <v>156672.59628316163</v>
      </c>
      <c r="S208">
        <f>scenario_indirect_prod_4506_iotable_2020_xlsx_3[[#This Row],[2042]]+scenario_indirect_prod_1610_iotable_2020_xlsx_3[[#This Row],[2042]]</f>
        <v>165837.00498709199</v>
      </c>
      <c r="T208">
        <f>scenario_indirect_prod_4506_iotable_2020_xlsx_3[[#This Row],[2043]]+scenario_indirect_prod_1610_iotable_2020_xlsx_3[[#This Row],[2043]]</f>
        <v>165837.00498709199</v>
      </c>
      <c r="U208">
        <f>scenario_indirect_prod_4506_iotable_2020_xlsx_3[[#This Row],[2044]]+scenario_indirect_prod_1610_iotable_2020_xlsx_3[[#This Row],[2044]]</f>
        <v>174256.13114657407</v>
      </c>
      <c r="V208">
        <f>scenario_indirect_prod_4506_iotable_2020_xlsx_3[[#This Row],[2045]]+scenario_indirect_prod_1610_iotable_2020_xlsx_3[[#This Row],[2045]]</f>
        <v>174256.13114657407</v>
      </c>
      <c r="W208">
        <f>scenario_indirect_prod_4506_iotable_2020_xlsx_3[[#This Row],[2046]]+scenario_indirect_prod_1610_iotable_2020_xlsx_3[[#This Row],[2046]]</f>
        <v>181518.77485357126</v>
      </c>
      <c r="X208">
        <f>scenario_indirect_prod_4506_iotable_2020_xlsx_3[[#This Row],[2047]]+scenario_indirect_prod_1610_iotable_2020_xlsx_3[[#This Row],[2047]]</f>
        <v>181518.77485357126</v>
      </c>
      <c r="Y208">
        <f>scenario_indirect_prod_4506_iotable_2020_xlsx_3[[#This Row],[2048]]+scenario_indirect_prod_1610_iotable_2020_xlsx_3[[#This Row],[2048]]</f>
        <v>181518.77485357126</v>
      </c>
      <c r="Z208">
        <f>scenario_indirect_prod_4506_iotable_2020_xlsx_3[[#This Row],[2049]]+scenario_indirect_prod_1610_iotable_2020_xlsx_3[[#This Row],[2049]]</f>
        <v>181518.77485357126</v>
      </c>
      <c r="AA208">
        <f>scenario_indirect_prod_4506_iotable_2020_xlsx_3[[#This Row],[2050]]+scenario_indirect_prod_1610_iotable_2020_xlsx_3[[#This Row],[2050]]</f>
        <v>181518.77485357126</v>
      </c>
    </row>
    <row r="209" spans="1:27" x14ac:dyDescent="0.2">
      <c r="A209" t="s">
        <v>454</v>
      </c>
      <c r="B209" t="s">
        <v>455</v>
      </c>
      <c r="C209">
        <f>scenario_indirect_prod_4506_iotable_2020_xlsx_3[[#This Row],[2026]]+scenario_indirect_prod_1610_iotable_2020_xlsx_3[[#This Row],[2026]]</f>
        <v>25809.092549930327</v>
      </c>
      <c r="D209">
        <f>scenario_indirect_prod_4506_iotable_2020_xlsx_3[[#This Row],[2027]]+scenario_indirect_prod_1610_iotable_2020_xlsx_3[[#This Row],[2027]]</f>
        <v>27259.93958788057</v>
      </c>
      <c r="E209">
        <f>scenario_indirect_prod_4506_iotable_2020_xlsx_3[[#This Row],[2028]]+scenario_indirect_prod_1610_iotable_2020_xlsx_3[[#This Row],[2028]]</f>
        <v>28440.465440544591</v>
      </c>
      <c r="F209">
        <f>scenario_indirect_prod_4506_iotable_2020_xlsx_3[[#This Row],[2029]]+scenario_indirect_prod_1610_iotable_2020_xlsx_3[[#This Row],[2029]]</f>
        <v>29861.171795346207</v>
      </c>
      <c r="G209">
        <f>scenario_indirect_prod_4506_iotable_2020_xlsx_3[[#This Row],[2030]]+scenario_indirect_prod_1610_iotable_2020_xlsx_3[[#This Row],[2030]]</f>
        <v>33702.94841336977</v>
      </c>
      <c r="H209">
        <f>scenario_indirect_prod_4506_iotable_2020_xlsx_3[[#This Row],[2031]]+scenario_indirect_prod_1610_iotable_2020_xlsx_3[[#This Row],[2031]]</f>
        <v>35295.713445259571</v>
      </c>
      <c r="I209">
        <f>scenario_indirect_prod_4506_iotable_2020_xlsx_3[[#This Row],[2032]]+scenario_indirect_prod_1610_iotable_2020_xlsx_3[[#This Row],[2032]]</f>
        <v>37520.151553969219</v>
      </c>
      <c r="J209">
        <f>scenario_indirect_prod_4506_iotable_2020_xlsx_3[[#This Row],[2033]]+scenario_indirect_prod_1610_iotable_2020_xlsx_3[[#This Row],[2033]]</f>
        <v>43705.154253653607</v>
      </c>
      <c r="K209">
        <f>scenario_indirect_prod_4506_iotable_2020_xlsx_3[[#This Row],[2034]]+scenario_indirect_prod_1610_iotable_2020_xlsx_3[[#This Row],[2034]]</f>
        <v>45775.109891863314</v>
      </c>
      <c r="L209">
        <f>scenario_indirect_prod_4506_iotable_2020_xlsx_3[[#This Row],[2035]]+scenario_indirect_prod_1610_iotable_2020_xlsx_3[[#This Row],[2035]]</f>
        <v>54354.117904988903</v>
      </c>
      <c r="M209">
        <f>scenario_indirect_prod_4506_iotable_2020_xlsx_3[[#This Row],[2036]]+scenario_indirect_prod_1610_iotable_2020_xlsx_3[[#This Row],[2036]]</f>
        <v>58452.121087951877</v>
      </c>
      <c r="N209">
        <f>scenario_indirect_prod_4506_iotable_2020_xlsx_3[[#This Row],[2037]]+scenario_indirect_prod_1610_iotable_2020_xlsx_3[[#This Row],[2037]]</f>
        <v>62118.256472275498</v>
      </c>
      <c r="O209">
        <f>scenario_indirect_prod_4506_iotable_2020_xlsx_3[[#This Row],[2038]]+scenario_indirect_prod_1610_iotable_2020_xlsx_3[[#This Row],[2038]]</f>
        <v>62118.256472275498</v>
      </c>
      <c r="P209">
        <f>scenario_indirect_prod_4506_iotable_2020_xlsx_3[[#This Row],[2039]]+scenario_indirect_prod_1610_iotable_2020_xlsx_3[[#This Row],[2039]]</f>
        <v>62118.256472275498</v>
      </c>
      <c r="Q209">
        <f>scenario_indirect_prod_4506_iotable_2020_xlsx_3[[#This Row],[2040]]+scenario_indirect_prod_1610_iotable_2020_xlsx_3[[#This Row],[2040]]</f>
        <v>65322.453884563416</v>
      </c>
      <c r="R209">
        <f>scenario_indirect_prod_4506_iotable_2020_xlsx_3[[#This Row],[2041]]+scenario_indirect_prod_1610_iotable_2020_xlsx_3[[#This Row],[2041]]</f>
        <v>65322.453884563416</v>
      </c>
      <c r="S209">
        <f>scenario_indirect_prod_4506_iotable_2020_xlsx_3[[#This Row],[2042]]+scenario_indirect_prod_1610_iotable_2020_xlsx_3[[#This Row],[2042]]</f>
        <v>68904.332992974159</v>
      </c>
      <c r="T209">
        <f>scenario_indirect_prod_4506_iotable_2020_xlsx_3[[#This Row],[2043]]+scenario_indirect_prod_1610_iotable_2020_xlsx_3[[#This Row],[2043]]</f>
        <v>68904.332992974159</v>
      </c>
      <c r="U209">
        <f>scenario_indirect_prod_4506_iotable_2020_xlsx_3[[#This Row],[2044]]+scenario_indirect_prod_1610_iotable_2020_xlsx_3[[#This Row],[2044]]</f>
        <v>72173.781099836415</v>
      </c>
      <c r="V209">
        <f>scenario_indirect_prod_4506_iotable_2020_xlsx_3[[#This Row],[2045]]+scenario_indirect_prod_1610_iotable_2020_xlsx_3[[#This Row],[2045]]</f>
        <v>72173.781099836415</v>
      </c>
      <c r="W209">
        <f>scenario_indirect_prod_4506_iotable_2020_xlsx_3[[#This Row],[2046]]+scenario_indirect_prod_1610_iotable_2020_xlsx_3[[#This Row],[2046]]</f>
        <v>75001.069390144985</v>
      </c>
      <c r="X209">
        <f>scenario_indirect_prod_4506_iotable_2020_xlsx_3[[#This Row],[2047]]+scenario_indirect_prod_1610_iotable_2020_xlsx_3[[#This Row],[2047]]</f>
        <v>75001.069390144985</v>
      </c>
      <c r="Y209">
        <f>scenario_indirect_prod_4506_iotable_2020_xlsx_3[[#This Row],[2048]]+scenario_indirect_prod_1610_iotable_2020_xlsx_3[[#This Row],[2048]]</f>
        <v>75001.069390144985</v>
      </c>
      <c r="Z209">
        <f>scenario_indirect_prod_4506_iotable_2020_xlsx_3[[#This Row],[2049]]+scenario_indirect_prod_1610_iotable_2020_xlsx_3[[#This Row],[2049]]</f>
        <v>75001.069390144985</v>
      </c>
      <c r="AA209">
        <f>scenario_indirect_prod_4506_iotable_2020_xlsx_3[[#This Row],[2050]]+scenario_indirect_prod_1610_iotable_2020_xlsx_3[[#This Row],[2050]]</f>
        <v>75001.069390144985</v>
      </c>
    </row>
    <row r="210" spans="1:27" x14ac:dyDescent="0.2">
      <c r="A210" t="s">
        <v>503</v>
      </c>
      <c r="B210" t="s">
        <v>504</v>
      </c>
      <c r="C210">
        <f>scenario_indirect_prod_4506_iotable_2020_xlsx_3[[#This Row],[2026]]+scenario_indirect_prod_1610_iotable_2020_xlsx_3[[#This Row],[2026]]</f>
        <v>14964.690175977574</v>
      </c>
      <c r="D210">
        <f>scenario_indirect_prod_4506_iotable_2020_xlsx_3[[#This Row],[2027]]+scenario_indirect_prod_1610_iotable_2020_xlsx_3[[#This Row],[2027]]</f>
        <v>15837.73298254733</v>
      </c>
      <c r="E210">
        <f>scenario_indirect_prod_4506_iotable_2020_xlsx_3[[#This Row],[2028]]+scenario_indirect_prod_1610_iotable_2020_xlsx_3[[#This Row],[2028]]</f>
        <v>16520.337709225973</v>
      </c>
      <c r="F210">
        <f>scenario_indirect_prod_4506_iotable_2020_xlsx_3[[#This Row],[2029]]+scenario_indirect_prod_1610_iotable_2020_xlsx_3[[#This Row],[2029]]</f>
        <v>17355.472912367695</v>
      </c>
      <c r="G210">
        <f>scenario_indirect_prod_4506_iotable_2020_xlsx_3[[#This Row],[2030]]+scenario_indirect_prod_1610_iotable_2020_xlsx_3[[#This Row],[2030]]</f>
        <v>19692.5968159888</v>
      </c>
      <c r="H210">
        <f>scenario_indirect_prod_4506_iotable_2020_xlsx_3[[#This Row],[2031]]+scenario_indirect_prod_1610_iotable_2020_xlsx_3[[#This Row],[2031]]</f>
        <v>20613.566853877393</v>
      </c>
      <c r="I210">
        <f>scenario_indirect_prod_4506_iotable_2020_xlsx_3[[#This Row],[2032]]+scenario_indirect_prod_1610_iotable_2020_xlsx_3[[#This Row],[2032]]</f>
        <v>21899.783469788686</v>
      </c>
      <c r="J210">
        <f>scenario_indirect_prod_4506_iotable_2020_xlsx_3[[#This Row],[2033]]+scenario_indirect_prod_1610_iotable_2020_xlsx_3[[#This Row],[2033]]</f>
        <v>25540.640554589776</v>
      </c>
      <c r="K210">
        <f>scenario_indirect_prod_4506_iotable_2020_xlsx_3[[#This Row],[2034]]+scenario_indirect_prod_1610_iotable_2020_xlsx_3[[#This Row],[2034]]</f>
        <v>26737.53217663135</v>
      </c>
      <c r="L210">
        <f>scenario_indirect_prod_4506_iotable_2020_xlsx_3[[#This Row],[2035]]+scenario_indirect_prod_1610_iotable_2020_xlsx_3[[#This Row],[2035]]</f>
        <v>31779.818230867011</v>
      </c>
      <c r="M210">
        <f>scenario_indirect_prod_4506_iotable_2020_xlsx_3[[#This Row],[2036]]+scenario_indirect_prod_1610_iotable_2020_xlsx_3[[#This Row],[2036]]</f>
        <v>34203.011546913294</v>
      </c>
      <c r="N210">
        <f>scenario_indirect_prod_4506_iotable_2020_xlsx_3[[#This Row],[2037]]+scenario_indirect_prod_1610_iotable_2020_xlsx_3[[#This Row],[2037]]</f>
        <v>36369.74199481657</v>
      </c>
      <c r="O210">
        <f>scenario_indirect_prod_4506_iotable_2020_xlsx_3[[#This Row],[2038]]+scenario_indirect_prod_1610_iotable_2020_xlsx_3[[#This Row],[2038]]</f>
        <v>36369.74199481657</v>
      </c>
      <c r="P210">
        <f>scenario_indirect_prod_4506_iotable_2020_xlsx_3[[#This Row],[2039]]+scenario_indirect_prod_1610_iotable_2020_xlsx_3[[#This Row],[2039]]</f>
        <v>36369.74199481657</v>
      </c>
      <c r="Q210">
        <f>scenario_indirect_prod_4506_iotable_2020_xlsx_3[[#This Row],[2040]]+scenario_indirect_prod_1610_iotable_2020_xlsx_3[[#This Row],[2040]]</f>
        <v>38263.644775607361</v>
      </c>
      <c r="R210">
        <f>scenario_indirect_prod_4506_iotable_2020_xlsx_3[[#This Row],[2041]]+scenario_indirect_prod_1610_iotable_2020_xlsx_3[[#This Row],[2041]]</f>
        <v>38263.644775607361</v>
      </c>
      <c r="S210">
        <f>scenario_indirect_prod_4506_iotable_2020_xlsx_3[[#This Row],[2042]]+scenario_indirect_prod_1610_iotable_2020_xlsx_3[[#This Row],[2042]]</f>
        <v>40380.202396412766</v>
      </c>
      <c r="T210">
        <f>scenario_indirect_prod_4506_iotable_2020_xlsx_3[[#This Row],[2043]]+scenario_indirect_prod_1610_iotable_2020_xlsx_3[[#This Row],[2043]]</f>
        <v>40380.202396412766</v>
      </c>
      <c r="U210">
        <f>scenario_indirect_prod_4506_iotable_2020_xlsx_3[[#This Row],[2044]]+scenario_indirect_prod_1610_iotable_2020_xlsx_3[[#This Row],[2044]]</f>
        <v>42313.879313777521</v>
      </c>
      <c r="V210">
        <f>scenario_indirect_prod_4506_iotable_2020_xlsx_3[[#This Row],[2045]]+scenario_indirect_prod_1610_iotable_2020_xlsx_3[[#This Row],[2045]]</f>
        <v>42313.879313777521</v>
      </c>
      <c r="W210">
        <f>scenario_indirect_prod_4506_iotable_2020_xlsx_3[[#This Row],[2046]]+scenario_indirect_prod_1610_iotable_2020_xlsx_3[[#This Row],[2046]]</f>
        <v>43985.471739243338</v>
      </c>
      <c r="X210">
        <f>scenario_indirect_prod_4506_iotable_2020_xlsx_3[[#This Row],[2047]]+scenario_indirect_prod_1610_iotable_2020_xlsx_3[[#This Row],[2047]]</f>
        <v>43985.471739243338</v>
      </c>
      <c r="Y210">
        <f>scenario_indirect_prod_4506_iotable_2020_xlsx_3[[#This Row],[2048]]+scenario_indirect_prod_1610_iotable_2020_xlsx_3[[#This Row],[2048]]</f>
        <v>43985.471739243338</v>
      </c>
      <c r="Z210">
        <f>scenario_indirect_prod_4506_iotable_2020_xlsx_3[[#This Row],[2049]]+scenario_indirect_prod_1610_iotable_2020_xlsx_3[[#This Row],[2049]]</f>
        <v>43985.471739243338</v>
      </c>
      <c r="AA210">
        <f>scenario_indirect_prod_4506_iotable_2020_xlsx_3[[#This Row],[2050]]+scenario_indirect_prod_1610_iotable_2020_xlsx_3[[#This Row],[2050]]</f>
        <v>43985.471739243338</v>
      </c>
    </row>
    <row r="211" spans="1:27" x14ac:dyDescent="0.2">
      <c r="A211" t="s">
        <v>348</v>
      </c>
      <c r="B211" t="s">
        <v>349</v>
      </c>
      <c r="C211">
        <f>scenario_indirect_prod_4506_iotable_2020_xlsx_3[[#This Row],[2026]]+scenario_indirect_prod_1610_iotable_2020_xlsx_3[[#This Row],[2026]]</f>
        <v>189005.23436524143</v>
      </c>
      <c r="D211">
        <f>scenario_indirect_prod_4506_iotable_2020_xlsx_3[[#This Row],[2027]]+scenario_indirect_prod_1610_iotable_2020_xlsx_3[[#This Row],[2027]]</f>
        <v>203582.68136909261</v>
      </c>
      <c r="E211">
        <f>scenario_indirect_prod_4506_iotable_2020_xlsx_3[[#This Row],[2028]]+scenario_indirect_prod_1610_iotable_2020_xlsx_3[[#This Row],[2028]]</f>
        <v>211992.98506412646</v>
      </c>
      <c r="F211">
        <f>scenario_indirect_prod_4506_iotable_2020_xlsx_3[[#This Row],[2029]]+scenario_indirect_prod_1610_iotable_2020_xlsx_3[[#This Row],[2029]]</f>
        <v>223810.9114706855</v>
      </c>
      <c r="G211">
        <f>scenario_indirect_prod_4506_iotable_2020_xlsx_3[[#This Row],[2030]]+scenario_indirect_prod_1610_iotable_2020_xlsx_3[[#This Row],[2030]]</f>
        <v>265560.86893989227</v>
      </c>
      <c r="H211">
        <f>scenario_indirect_prod_4506_iotable_2020_xlsx_3[[#This Row],[2031]]+scenario_indirect_prod_1610_iotable_2020_xlsx_3[[#This Row],[2031]]</f>
        <v>276908.04748985328</v>
      </c>
      <c r="I211">
        <f>scenario_indirect_prod_4506_iotable_2020_xlsx_3[[#This Row],[2032]]+scenario_indirect_prod_1610_iotable_2020_xlsx_3[[#This Row],[2032]]</f>
        <v>292755.39213108859</v>
      </c>
      <c r="J211">
        <f>scenario_indirect_prod_4506_iotable_2020_xlsx_3[[#This Row],[2033]]+scenario_indirect_prod_1610_iotable_2020_xlsx_3[[#This Row],[2033]]</f>
        <v>344840.70471291756</v>
      </c>
      <c r="K211">
        <f>scenario_indirect_prod_4506_iotable_2020_xlsx_3[[#This Row],[2034]]+scenario_indirect_prod_1610_iotable_2020_xlsx_3[[#This Row],[2034]]</f>
        <v>359587.48515258817</v>
      </c>
      <c r="L211">
        <f>scenario_indirect_prod_4506_iotable_2020_xlsx_3[[#This Row],[2035]]+scenario_indirect_prod_1610_iotable_2020_xlsx_3[[#This Row],[2035]]</f>
        <v>430861.09699461178</v>
      </c>
      <c r="M211">
        <f>scenario_indirect_prod_4506_iotable_2020_xlsx_3[[#This Row],[2036]]+scenario_indirect_prod_1610_iotable_2020_xlsx_3[[#This Row],[2036]]</f>
        <v>466721.65972661681</v>
      </c>
      <c r="N211">
        <f>scenario_indirect_prod_4506_iotable_2020_xlsx_3[[#This Row],[2037]]+scenario_indirect_prod_1610_iotable_2020_xlsx_3[[#This Row],[2037]]</f>
        <v>498667.02010479203</v>
      </c>
      <c r="O211">
        <f>scenario_indirect_prod_4506_iotable_2020_xlsx_3[[#This Row],[2038]]+scenario_indirect_prod_1610_iotable_2020_xlsx_3[[#This Row],[2038]]</f>
        <v>498667.02010479203</v>
      </c>
      <c r="P211">
        <f>scenario_indirect_prod_4506_iotable_2020_xlsx_3[[#This Row],[2039]]+scenario_indirect_prod_1610_iotable_2020_xlsx_3[[#This Row],[2039]]</f>
        <v>498667.02010479203</v>
      </c>
      <c r="Q211">
        <f>scenario_indirect_prod_4506_iotable_2020_xlsx_3[[#This Row],[2040]]+scenario_indirect_prod_1610_iotable_2020_xlsx_3[[#This Row],[2040]]</f>
        <v>526609.99574480543</v>
      </c>
      <c r="R211">
        <f>scenario_indirect_prod_4506_iotable_2020_xlsx_3[[#This Row],[2041]]+scenario_indirect_prod_1610_iotable_2020_xlsx_3[[#This Row],[2041]]</f>
        <v>526609.99574480543</v>
      </c>
      <c r="S211">
        <f>scenario_indirect_prod_4506_iotable_2020_xlsx_3[[#This Row],[2042]]+scenario_indirect_prod_1610_iotable_2020_xlsx_3[[#This Row],[2042]]</f>
        <v>557774.41307583556</v>
      </c>
      <c r="T211">
        <f>scenario_indirect_prod_4506_iotable_2020_xlsx_3[[#This Row],[2043]]+scenario_indirect_prod_1610_iotable_2020_xlsx_3[[#This Row],[2043]]</f>
        <v>557774.41307583556</v>
      </c>
      <c r="U211">
        <f>scenario_indirect_prod_4506_iotable_2020_xlsx_3[[#This Row],[2044]]+scenario_indirect_prod_1610_iotable_2020_xlsx_3[[#This Row],[2044]]</f>
        <v>586436.3365845615</v>
      </c>
      <c r="V211">
        <f>scenario_indirect_prod_4506_iotable_2020_xlsx_3[[#This Row],[2045]]+scenario_indirect_prod_1610_iotable_2020_xlsx_3[[#This Row],[2045]]</f>
        <v>586436.3365845615</v>
      </c>
      <c r="W211">
        <f>scenario_indirect_prod_4506_iotable_2020_xlsx_3[[#This Row],[2046]]+scenario_indirect_prod_1610_iotable_2020_xlsx_3[[#This Row],[2046]]</f>
        <v>611150.67096415511</v>
      </c>
      <c r="X211">
        <f>scenario_indirect_prod_4506_iotable_2020_xlsx_3[[#This Row],[2047]]+scenario_indirect_prod_1610_iotable_2020_xlsx_3[[#This Row],[2047]]</f>
        <v>611150.67096415511</v>
      </c>
      <c r="Y211">
        <f>scenario_indirect_prod_4506_iotable_2020_xlsx_3[[#This Row],[2048]]+scenario_indirect_prod_1610_iotable_2020_xlsx_3[[#This Row],[2048]]</f>
        <v>611150.67096415511</v>
      </c>
      <c r="Z211">
        <f>scenario_indirect_prod_4506_iotable_2020_xlsx_3[[#This Row],[2049]]+scenario_indirect_prod_1610_iotable_2020_xlsx_3[[#This Row],[2049]]</f>
        <v>611150.67096415511</v>
      </c>
      <c r="AA211">
        <f>scenario_indirect_prod_4506_iotable_2020_xlsx_3[[#This Row],[2050]]+scenario_indirect_prod_1610_iotable_2020_xlsx_3[[#This Row],[2050]]</f>
        <v>611150.67096415511</v>
      </c>
    </row>
    <row r="212" spans="1:27" x14ac:dyDescent="0.2">
      <c r="A212" t="s">
        <v>374</v>
      </c>
      <c r="B212" t="s">
        <v>375</v>
      </c>
      <c r="C212">
        <f>scenario_indirect_prod_4506_iotable_2020_xlsx_3[[#This Row],[2026]]+scenario_indirect_prod_1610_iotable_2020_xlsx_3[[#This Row],[2026]]</f>
        <v>91279.866408481452</v>
      </c>
      <c r="D212">
        <f>scenario_indirect_prod_4506_iotable_2020_xlsx_3[[#This Row],[2027]]+scenario_indirect_prod_1610_iotable_2020_xlsx_3[[#This Row],[2027]]</f>
        <v>95796.004835177446</v>
      </c>
      <c r="E212">
        <f>scenario_indirect_prod_4506_iotable_2020_xlsx_3[[#This Row],[2028]]+scenario_indirect_prod_1610_iotable_2020_xlsx_3[[#This Row],[2028]]</f>
        <v>100007.76980365255</v>
      </c>
      <c r="F212">
        <f>scenario_indirect_prod_4506_iotable_2020_xlsx_3[[#This Row],[2029]]+scenario_indirect_prod_1610_iotable_2020_xlsx_3[[#This Row],[2029]]</f>
        <v>104812.40647167759</v>
      </c>
      <c r="G212">
        <f>scenario_indirect_prod_4506_iotable_2020_xlsx_3[[#This Row],[2030]]+scenario_indirect_prod_1610_iotable_2020_xlsx_3[[#This Row],[2030]]</f>
        <v>116280.78925661965</v>
      </c>
      <c r="H212">
        <f>scenario_indirect_prod_4506_iotable_2020_xlsx_3[[#This Row],[2031]]+scenario_indirect_prod_1610_iotable_2020_xlsx_3[[#This Row],[2031]]</f>
        <v>121963.30095188436</v>
      </c>
      <c r="I212">
        <f>scenario_indirect_prod_4506_iotable_2020_xlsx_3[[#This Row],[2032]]+scenario_indirect_prod_1610_iotable_2020_xlsx_3[[#This Row],[2032]]</f>
        <v>129899.43422644355</v>
      </c>
      <c r="J212">
        <f>scenario_indirect_prod_4506_iotable_2020_xlsx_3[[#This Row],[2033]]+scenario_indirect_prod_1610_iotable_2020_xlsx_3[[#This Row],[2033]]</f>
        <v>150717.24929795388</v>
      </c>
      <c r="K212">
        <f>scenario_indirect_prod_4506_iotable_2020_xlsx_3[[#This Row],[2034]]+scenario_indirect_prod_1610_iotable_2020_xlsx_3[[#This Row],[2034]]</f>
        <v>158102.23508512272</v>
      </c>
      <c r="L212">
        <f>scenario_indirect_prod_4506_iotable_2020_xlsx_3[[#This Row],[2035]]+scenario_indirect_prod_1610_iotable_2020_xlsx_3[[#This Row],[2035]]</f>
        <v>187129.21424239868</v>
      </c>
      <c r="M212">
        <f>scenario_indirect_prod_4506_iotable_2020_xlsx_3[[#This Row],[2036]]+scenario_indirect_prod_1610_iotable_2020_xlsx_3[[#This Row],[2036]]</f>
        <v>200712.34731137581</v>
      </c>
      <c r="N212">
        <f>scenario_indirect_prod_4506_iotable_2020_xlsx_3[[#This Row],[2037]]+scenario_indirect_prod_1610_iotable_2020_xlsx_3[[#This Row],[2037]]</f>
        <v>212885.19378913642</v>
      </c>
      <c r="O212">
        <f>scenario_indirect_prod_4506_iotable_2020_xlsx_3[[#This Row],[2038]]+scenario_indirect_prod_1610_iotable_2020_xlsx_3[[#This Row],[2038]]</f>
        <v>212885.19378913642</v>
      </c>
      <c r="P212">
        <f>scenario_indirect_prod_4506_iotable_2020_xlsx_3[[#This Row],[2039]]+scenario_indirect_prod_1610_iotable_2020_xlsx_3[[#This Row],[2039]]</f>
        <v>212885.19378913642</v>
      </c>
      <c r="Q212">
        <f>scenario_indirect_prod_4506_iotable_2020_xlsx_3[[#This Row],[2040]]+scenario_indirect_prod_1610_iotable_2020_xlsx_3[[#This Row],[2040]]</f>
        <v>223520.70119075928</v>
      </c>
      <c r="R212">
        <f>scenario_indirect_prod_4506_iotable_2020_xlsx_3[[#This Row],[2041]]+scenario_indirect_prod_1610_iotable_2020_xlsx_3[[#This Row],[2041]]</f>
        <v>223520.70119075928</v>
      </c>
      <c r="S212">
        <f>scenario_indirect_prod_4506_iotable_2020_xlsx_3[[#This Row],[2042]]+scenario_indirect_prod_1610_iotable_2020_xlsx_3[[#This Row],[2042]]</f>
        <v>235421.06520742463</v>
      </c>
      <c r="T212">
        <f>scenario_indirect_prod_4506_iotable_2020_xlsx_3[[#This Row],[2043]]+scenario_indirect_prod_1610_iotable_2020_xlsx_3[[#This Row],[2043]]</f>
        <v>235421.06520742463</v>
      </c>
      <c r="U212">
        <f>scenario_indirect_prod_4506_iotable_2020_xlsx_3[[#This Row],[2044]]+scenario_indirect_prod_1610_iotable_2020_xlsx_3[[#This Row],[2044]]</f>
        <v>246249.82531012321</v>
      </c>
      <c r="V212">
        <f>scenario_indirect_prod_4506_iotable_2020_xlsx_3[[#This Row],[2045]]+scenario_indirect_prod_1610_iotable_2020_xlsx_3[[#This Row],[2045]]</f>
        <v>246249.82531012321</v>
      </c>
      <c r="W212">
        <f>scenario_indirect_prod_4506_iotable_2020_xlsx_3[[#This Row],[2046]]+scenario_indirect_prod_1610_iotable_2020_xlsx_3[[#This Row],[2046]]</f>
        <v>255625.20938990294</v>
      </c>
      <c r="X212">
        <f>scenario_indirect_prod_4506_iotable_2020_xlsx_3[[#This Row],[2047]]+scenario_indirect_prod_1610_iotable_2020_xlsx_3[[#This Row],[2047]]</f>
        <v>255625.20938990294</v>
      </c>
      <c r="Y212">
        <f>scenario_indirect_prod_4506_iotable_2020_xlsx_3[[#This Row],[2048]]+scenario_indirect_prod_1610_iotable_2020_xlsx_3[[#This Row],[2048]]</f>
        <v>255625.20938990294</v>
      </c>
      <c r="Z212">
        <f>scenario_indirect_prod_4506_iotable_2020_xlsx_3[[#This Row],[2049]]+scenario_indirect_prod_1610_iotable_2020_xlsx_3[[#This Row],[2049]]</f>
        <v>255625.20938990294</v>
      </c>
      <c r="AA212">
        <f>scenario_indirect_prod_4506_iotable_2020_xlsx_3[[#This Row],[2050]]+scenario_indirect_prod_1610_iotable_2020_xlsx_3[[#This Row],[2050]]</f>
        <v>255625.20938990294</v>
      </c>
    </row>
    <row r="213" spans="1:27" x14ac:dyDescent="0.2">
      <c r="A213" t="s">
        <v>464</v>
      </c>
      <c r="B213" t="s">
        <v>191</v>
      </c>
      <c r="C213">
        <f>scenario_indirect_prod_4506_iotable_2020_xlsx_3[[#This Row],[2026]]+scenario_indirect_prod_1610_iotable_2020_xlsx_3[[#This Row],[2026]]</f>
        <v>20161.636050884652</v>
      </c>
      <c r="D213">
        <f>scenario_indirect_prod_4506_iotable_2020_xlsx_3[[#This Row],[2027]]+scenario_indirect_prod_1610_iotable_2020_xlsx_3[[#This Row],[2027]]</f>
        <v>17778.931783701224</v>
      </c>
      <c r="E213">
        <f>scenario_indirect_prod_4506_iotable_2020_xlsx_3[[#This Row],[2028]]+scenario_indirect_prod_1610_iotable_2020_xlsx_3[[#This Row],[2028]]</f>
        <v>18910.121400104632</v>
      </c>
      <c r="F213">
        <f>scenario_indirect_prod_4506_iotable_2020_xlsx_3[[#This Row],[2029]]+scenario_indirect_prod_1610_iotable_2020_xlsx_3[[#This Row],[2029]]</f>
        <v>18762.286653650091</v>
      </c>
      <c r="G213">
        <f>scenario_indirect_prod_4506_iotable_2020_xlsx_3[[#This Row],[2030]]+scenario_indirect_prod_1610_iotable_2020_xlsx_3[[#This Row],[2030]]</f>
        <v>9651.2796895028441</v>
      </c>
      <c r="H213">
        <f>scenario_indirect_prod_4506_iotable_2020_xlsx_3[[#This Row],[2031]]+scenario_indirect_prod_1610_iotable_2020_xlsx_3[[#This Row],[2031]]</f>
        <v>11177.480290174444</v>
      </c>
      <c r="I213">
        <f>scenario_indirect_prod_4506_iotable_2020_xlsx_3[[#This Row],[2032]]+scenario_indirect_prod_1610_iotable_2020_xlsx_3[[#This Row],[2032]]</f>
        <v>13308.955247055816</v>
      </c>
      <c r="J213">
        <f>scenario_indirect_prod_4506_iotable_2020_xlsx_3[[#This Row],[2033]]+scenario_indirect_prod_1610_iotable_2020_xlsx_3[[#This Row],[2033]]</f>
        <v>12099.312498586442</v>
      </c>
      <c r="K213">
        <f>scenario_indirect_prod_4506_iotable_2020_xlsx_3[[#This Row],[2034]]+scenario_indirect_prod_1610_iotable_2020_xlsx_3[[#This Row],[2034]]</f>
        <v>14082.761077094539</v>
      </c>
      <c r="L213">
        <f>scenario_indirect_prod_4506_iotable_2020_xlsx_3[[#This Row],[2035]]+scenario_indirect_prod_1610_iotable_2020_xlsx_3[[#This Row],[2035]]</f>
        <v>13269.706044238214</v>
      </c>
      <c r="M213">
        <f>scenario_indirect_prod_4506_iotable_2020_xlsx_3[[#This Row],[2036]]+scenario_indirect_prod_1610_iotable_2020_xlsx_3[[#This Row],[2036]]</f>
        <v>11267.014383340436</v>
      </c>
      <c r="N213">
        <f>scenario_indirect_prod_4506_iotable_2020_xlsx_3[[#This Row],[2037]]+scenario_indirect_prod_1610_iotable_2020_xlsx_3[[#This Row],[2037]]</f>
        <v>9596.3916332391236</v>
      </c>
      <c r="O213">
        <f>scenario_indirect_prod_4506_iotable_2020_xlsx_3[[#This Row],[2038]]+scenario_indirect_prod_1610_iotable_2020_xlsx_3[[#This Row],[2038]]</f>
        <v>9596.3916332391236</v>
      </c>
      <c r="P213">
        <f>scenario_indirect_prod_4506_iotable_2020_xlsx_3[[#This Row],[2039]]+scenario_indirect_prod_1610_iotable_2020_xlsx_3[[#This Row],[2039]]</f>
        <v>9596.3916332391236</v>
      </c>
      <c r="Q213">
        <f>scenario_indirect_prod_4506_iotable_2020_xlsx_3[[#This Row],[2040]]+scenario_indirect_prod_1610_iotable_2020_xlsx_3[[#This Row],[2040]]</f>
        <v>8116.0111616221548</v>
      </c>
      <c r="R213">
        <f>scenario_indirect_prod_4506_iotable_2020_xlsx_3[[#This Row],[2041]]+scenario_indirect_prod_1610_iotable_2020_xlsx_3[[#This Row],[2041]]</f>
        <v>8116.0111616221548</v>
      </c>
      <c r="S213">
        <f>scenario_indirect_prod_4506_iotable_2020_xlsx_3[[#This Row],[2042]]+scenario_indirect_prod_1610_iotable_2020_xlsx_3[[#This Row],[2042]]</f>
        <v>6525.3833183265233</v>
      </c>
      <c r="T213">
        <f>scenario_indirect_prod_4506_iotable_2020_xlsx_3[[#This Row],[2043]]+scenario_indirect_prod_1610_iotable_2020_xlsx_3[[#This Row],[2043]]</f>
        <v>6525.3833183265233</v>
      </c>
      <c r="U213">
        <f>scenario_indirect_prod_4506_iotable_2020_xlsx_3[[#This Row],[2044]]+scenario_indirect_prod_1610_iotable_2020_xlsx_3[[#This Row],[2044]]</f>
        <v>4881.4988628400752</v>
      </c>
      <c r="V213">
        <f>scenario_indirect_prod_4506_iotable_2020_xlsx_3[[#This Row],[2045]]+scenario_indirect_prod_1610_iotable_2020_xlsx_3[[#This Row],[2045]]</f>
        <v>4881.4988628400752</v>
      </c>
      <c r="W213">
        <f>scenario_indirect_prod_4506_iotable_2020_xlsx_3[[#This Row],[2046]]+scenario_indirect_prod_1610_iotable_2020_xlsx_3[[#This Row],[2046]]</f>
        <v>3523.4066391713277</v>
      </c>
      <c r="X213">
        <f>scenario_indirect_prod_4506_iotable_2020_xlsx_3[[#This Row],[2047]]+scenario_indirect_prod_1610_iotable_2020_xlsx_3[[#This Row],[2047]]</f>
        <v>3523.4066391713277</v>
      </c>
      <c r="Y213">
        <f>scenario_indirect_prod_4506_iotable_2020_xlsx_3[[#This Row],[2048]]+scenario_indirect_prod_1610_iotable_2020_xlsx_3[[#This Row],[2048]]</f>
        <v>3523.4066391713277</v>
      </c>
      <c r="Z213">
        <f>scenario_indirect_prod_4506_iotable_2020_xlsx_3[[#This Row],[2049]]+scenario_indirect_prod_1610_iotable_2020_xlsx_3[[#This Row],[2049]]</f>
        <v>3523.4066391713277</v>
      </c>
      <c r="AA213">
        <f>scenario_indirect_prod_4506_iotable_2020_xlsx_3[[#This Row],[2050]]+scenario_indirect_prod_1610_iotable_2020_xlsx_3[[#This Row],[2050]]</f>
        <v>3523.4066391713277</v>
      </c>
    </row>
    <row r="214" spans="1:27" x14ac:dyDescent="0.2">
      <c r="A214" t="s">
        <v>359</v>
      </c>
      <c r="B214" t="s">
        <v>65</v>
      </c>
      <c r="C214">
        <f>scenario_indirect_prod_4506_iotable_2020_xlsx_3[[#This Row],[2026]]+scenario_indirect_prod_1610_iotable_2020_xlsx_3[[#This Row],[2026]]</f>
        <v>139642.9166147779</v>
      </c>
      <c r="D214">
        <f>scenario_indirect_prod_4506_iotable_2020_xlsx_3[[#This Row],[2027]]+scenario_indirect_prod_1610_iotable_2020_xlsx_3[[#This Row],[2027]]</f>
        <v>151119.68134875837</v>
      </c>
      <c r="E214">
        <f>scenario_indirect_prod_4506_iotable_2020_xlsx_3[[#This Row],[2028]]+scenario_indirect_prod_1610_iotable_2020_xlsx_3[[#This Row],[2028]]</f>
        <v>157291.48262443117</v>
      </c>
      <c r="F214">
        <f>scenario_indirect_prod_4506_iotable_2020_xlsx_3[[#This Row],[2029]]+scenario_indirect_prod_1610_iotable_2020_xlsx_3[[#This Row],[2029]]</f>
        <v>166275.6387989044</v>
      </c>
      <c r="G214">
        <f>scenario_indirect_prod_4506_iotable_2020_xlsx_3[[#This Row],[2030]]+scenario_indirect_prod_1610_iotable_2020_xlsx_3[[#This Row],[2030]]</f>
        <v>199555.52396064904</v>
      </c>
      <c r="H214">
        <f>scenario_indirect_prod_4506_iotable_2020_xlsx_3[[#This Row],[2031]]+scenario_indirect_prod_1610_iotable_2020_xlsx_3[[#This Row],[2031]]</f>
        <v>207882.51589689622</v>
      </c>
      <c r="I214">
        <f>scenario_indirect_prod_4506_iotable_2020_xlsx_3[[#This Row],[2032]]+scenario_indirect_prod_1610_iotable_2020_xlsx_3[[#This Row],[2032]]</f>
        <v>219511.90116279997</v>
      </c>
      <c r="J214">
        <f>scenario_indirect_prod_4506_iotable_2020_xlsx_3[[#This Row],[2033]]+scenario_indirect_prod_1610_iotable_2020_xlsx_3[[#This Row],[2033]]</f>
        <v>259208.02947536169</v>
      </c>
      <c r="K214">
        <f>scenario_indirect_prod_4506_iotable_2020_xlsx_3[[#This Row],[2034]]+scenario_indirect_prod_1610_iotable_2020_xlsx_3[[#This Row],[2034]]</f>
        <v>270029.77879974915</v>
      </c>
      <c r="L214">
        <f>scenario_indirect_prod_4506_iotable_2020_xlsx_3[[#This Row],[2035]]+scenario_indirect_prod_1610_iotable_2020_xlsx_3[[#This Row],[2035]]</f>
        <v>324198.90473611571</v>
      </c>
      <c r="M214">
        <f>scenario_indirect_prod_4506_iotable_2020_xlsx_3[[#This Row],[2036]]+scenario_indirect_prod_1610_iotable_2020_xlsx_3[[#This Row],[2036]]</f>
        <v>351739.44870348024</v>
      </c>
      <c r="N214">
        <f>scenario_indirect_prod_4506_iotable_2020_xlsx_3[[#This Row],[2037]]+scenario_indirect_prod_1610_iotable_2020_xlsx_3[[#This Row],[2037]]</f>
        <v>376252.80826044828</v>
      </c>
      <c r="O214">
        <f>scenario_indirect_prod_4506_iotable_2020_xlsx_3[[#This Row],[2038]]+scenario_indirect_prod_1610_iotable_2020_xlsx_3[[#This Row],[2038]]</f>
        <v>376252.80826044828</v>
      </c>
      <c r="P214">
        <f>scenario_indirect_prod_4506_iotable_2020_xlsx_3[[#This Row],[2039]]+scenario_indirect_prod_1610_iotable_2020_xlsx_3[[#This Row],[2039]]</f>
        <v>376252.80826044828</v>
      </c>
      <c r="Q214">
        <f>scenario_indirect_prod_4506_iotable_2020_xlsx_3[[#This Row],[2040]]+scenario_indirect_prod_1610_iotable_2020_xlsx_3[[#This Row],[2040]]</f>
        <v>397698.34799400187</v>
      </c>
      <c r="R214">
        <f>scenario_indirect_prod_4506_iotable_2020_xlsx_3[[#This Row],[2041]]+scenario_indirect_prod_1610_iotable_2020_xlsx_3[[#This Row],[2041]]</f>
        <v>397698.34799400187</v>
      </c>
      <c r="S214">
        <f>scenario_indirect_prod_4506_iotable_2020_xlsx_3[[#This Row],[2042]]+scenario_indirect_prod_1610_iotable_2020_xlsx_3[[#This Row],[2042]]</f>
        <v>421605.42375878833</v>
      </c>
      <c r="T214">
        <f>scenario_indirect_prod_4506_iotable_2020_xlsx_3[[#This Row],[2043]]+scenario_indirect_prod_1610_iotable_2020_xlsx_3[[#This Row],[2043]]</f>
        <v>421605.42375878833</v>
      </c>
      <c r="U214">
        <f>scenario_indirect_prod_4506_iotable_2020_xlsx_3[[#This Row],[2044]]+scenario_indirect_prod_1610_iotable_2020_xlsx_3[[#This Row],[2044]]</f>
        <v>443625.23981345189</v>
      </c>
      <c r="V214">
        <f>scenario_indirect_prod_4506_iotable_2020_xlsx_3[[#This Row],[2045]]+scenario_indirect_prod_1610_iotable_2020_xlsx_3[[#This Row],[2045]]</f>
        <v>443625.23981345189</v>
      </c>
      <c r="W214">
        <f>scenario_indirect_prod_4506_iotable_2020_xlsx_3[[#This Row],[2046]]+scenario_indirect_prod_1610_iotable_2020_xlsx_3[[#This Row],[2046]]</f>
        <v>462601.62611298676</v>
      </c>
      <c r="X214">
        <f>scenario_indirect_prod_4506_iotable_2020_xlsx_3[[#This Row],[2047]]+scenario_indirect_prod_1610_iotable_2020_xlsx_3[[#This Row],[2047]]</f>
        <v>462601.62611298676</v>
      </c>
      <c r="Y214">
        <f>scenario_indirect_prod_4506_iotable_2020_xlsx_3[[#This Row],[2048]]+scenario_indirect_prod_1610_iotable_2020_xlsx_3[[#This Row],[2048]]</f>
        <v>462601.62611298676</v>
      </c>
      <c r="Z214">
        <f>scenario_indirect_prod_4506_iotable_2020_xlsx_3[[#This Row],[2049]]+scenario_indirect_prod_1610_iotable_2020_xlsx_3[[#This Row],[2049]]</f>
        <v>462601.62611298676</v>
      </c>
      <c r="AA214">
        <f>scenario_indirect_prod_4506_iotable_2020_xlsx_3[[#This Row],[2050]]+scenario_indirect_prod_1610_iotable_2020_xlsx_3[[#This Row],[2050]]</f>
        <v>462601.62611298676</v>
      </c>
    </row>
    <row r="215" spans="1:27" x14ac:dyDescent="0.2">
      <c r="A215" t="s">
        <v>886</v>
      </c>
      <c r="B215" t="s">
        <v>887</v>
      </c>
      <c r="C215">
        <f>scenario_indirect_prod_4506_iotable_2020_xlsx_3[[#This Row],[2026]]+scenario_indirect_prod_1610_iotable_2020_xlsx_3[[#This Row],[2026]]</f>
        <v>335.75319458436763</v>
      </c>
      <c r="D215">
        <f>scenario_indirect_prod_4506_iotable_2020_xlsx_3[[#This Row],[2027]]+scenario_indirect_prod_1610_iotable_2020_xlsx_3[[#This Row],[2027]]</f>
        <v>337.98742472970764</v>
      </c>
      <c r="E215">
        <f>scenario_indirect_prod_4506_iotable_2020_xlsx_3[[#This Row],[2028]]+scenario_indirect_prod_1610_iotable_2020_xlsx_3[[#This Row],[2028]]</f>
        <v>354.33402640332656</v>
      </c>
      <c r="F215">
        <f>scenario_indirect_prod_4506_iotable_2020_xlsx_3[[#This Row],[2029]]+scenario_indirect_prod_1610_iotable_2020_xlsx_3[[#This Row],[2029]]</f>
        <v>366.86418753640294</v>
      </c>
      <c r="G215">
        <f>scenario_indirect_prod_4506_iotable_2020_xlsx_3[[#This Row],[2030]]+scenario_indirect_prod_1610_iotable_2020_xlsx_3[[#This Row],[2030]]</f>
        <v>359.52110422946441</v>
      </c>
      <c r="H215">
        <f>scenario_indirect_prod_4506_iotable_2020_xlsx_3[[#This Row],[2031]]+scenario_indirect_prod_1610_iotable_2020_xlsx_3[[#This Row],[2031]]</f>
        <v>381.57593299684567</v>
      </c>
      <c r="I215">
        <f>scenario_indirect_prod_4506_iotable_2020_xlsx_3[[#This Row],[2032]]+scenario_indirect_prod_1610_iotable_2020_xlsx_3[[#This Row],[2032]]</f>
        <v>412.37746405068816</v>
      </c>
      <c r="J215">
        <f>scenario_indirect_prod_4506_iotable_2020_xlsx_3[[#This Row],[2033]]+scenario_indirect_prod_1610_iotable_2020_xlsx_3[[#This Row],[2033]]</f>
        <v>464.24830000731237</v>
      </c>
      <c r="K215">
        <f>scenario_indirect_prod_4506_iotable_2020_xlsx_3[[#This Row],[2034]]+scenario_indirect_prod_1610_iotable_2020_xlsx_3[[#This Row],[2034]]</f>
        <v>492.91073058731041</v>
      </c>
      <c r="L215">
        <f>scenario_indirect_prod_4506_iotable_2020_xlsx_3[[#This Row],[2035]]+scenario_indirect_prod_1610_iotable_2020_xlsx_3[[#This Row],[2035]]</f>
        <v>568.95170886404435</v>
      </c>
      <c r="M215">
        <f>scenario_indirect_prod_4506_iotable_2020_xlsx_3[[#This Row],[2036]]+scenario_indirect_prod_1610_iotable_2020_xlsx_3[[#This Row],[2036]]</f>
        <v>597.63501109677668</v>
      </c>
      <c r="N215">
        <f>scenario_indirect_prod_4506_iotable_2020_xlsx_3[[#This Row],[2037]]+scenario_indirect_prod_1610_iotable_2020_xlsx_3[[#This Row],[2037]]</f>
        <v>623.86823527002707</v>
      </c>
      <c r="O215">
        <f>scenario_indirect_prod_4506_iotable_2020_xlsx_3[[#This Row],[2038]]+scenario_indirect_prod_1610_iotable_2020_xlsx_3[[#This Row],[2038]]</f>
        <v>623.86823527002707</v>
      </c>
      <c r="P215">
        <f>scenario_indirect_prod_4506_iotable_2020_xlsx_3[[#This Row],[2039]]+scenario_indirect_prod_1610_iotable_2020_xlsx_3[[#This Row],[2039]]</f>
        <v>623.86823527002707</v>
      </c>
      <c r="Q215">
        <f>scenario_indirect_prod_4506_iotable_2020_xlsx_3[[#This Row],[2040]]+scenario_indirect_prod_1610_iotable_2020_xlsx_3[[#This Row],[2040]]</f>
        <v>646.70016426302846</v>
      </c>
      <c r="R215">
        <f>scenario_indirect_prod_4506_iotable_2020_xlsx_3[[#This Row],[2041]]+scenario_indirect_prod_1610_iotable_2020_xlsx_3[[#This Row],[2041]]</f>
        <v>646.70016426302846</v>
      </c>
      <c r="S215">
        <f>scenario_indirect_prod_4506_iotable_2020_xlsx_3[[#This Row],[2042]]+scenario_indirect_prod_1610_iotable_2020_xlsx_3[[#This Row],[2042]]</f>
        <v>672.52736242279263</v>
      </c>
      <c r="T215">
        <f>scenario_indirect_prod_4506_iotable_2020_xlsx_3[[#This Row],[2043]]+scenario_indirect_prod_1610_iotable_2020_xlsx_3[[#This Row],[2043]]</f>
        <v>672.52736242279263</v>
      </c>
      <c r="U215">
        <f>scenario_indirect_prod_4506_iotable_2020_xlsx_3[[#This Row],[2044]]+scenario_indirect_prod_1610_iotable_2020_xlsx_3[[#This Row],[2044]]</f>
        <v>695.19312521153506</v>
      </c>
      <c r="V215">
        <f>scenario_indirect_prod_4506_iotable_2020_xlsx_3[[#This Row],[2045]]+scenario_indirect_prod_1610_iotable_2020_xlsx_3[[#This Row],[2045]]</f>
        <v>695.19312521153506</v>
      </c>
      <c r="W215">
        <f>scenario_indirect_prod_4506_iotable_2020_xlsx_3[[#This Row],[2046]]+scenario_indirect_prod_1610_iotable_2020_xlsx_3[[#This Row],[2046]]</f>
        <v>715.0939632482208</v>
      </c>
      <c r="X215">
        <f>scenario_indirect_prod_4506_iotable_2020_xlsx_3[[#This Row],[2047]]+scenario_indirect_prod_1610_iotable_2020_xlsx_3[[#This Row],[2047]]</f>
        <v>715.0939632482208</v>
      </c>
      <c r="Y215">
        <f>scenario_indirect_prod_4506_iotable_2020_xlsx_3[[#This Row],[2048]]+scenario_indirect_prod_1610_iotable_2020_xlsx_3[[#This Row],[2048]]</f>
        <v>715.0939632482208</v>
      </c>
      <c r="Z215">
        <f>scenario_indirect_prod_4506_iotable_2020_xlsx_3[[#This Row],[2049]]+scenario_indirect_prod_1610_iotable_2020_xlsx_3[[#This Row],[2049]]</f>
        <v>715.0939632482208</v>
      </c>
      <c r="AA215">
        <f>scenario_indirect_prod_4506_iotable_2020_xlsx_3[[#This Row],[2050]]+scenario_indirect_prod_1610_iotable_2020_xlsx_3[[#This Row],[2050]]</f>
        <v>715.0939632482208</v>
      </c>
    </row>
    <row r="216" spans="1:27" x14ac:dyDescent="0.2">
      <c r="A216" t="s">
        <v>830</v>
      </c>
      <c r="B216" t="s">
        <v>831</v>
      </c>
      <c r="C216">
        <f>scenario_indirect_prod_4506_iotable_2020_xlsx_3[[#This Row],[2026]]+scenario_indirect_prod_1610_iotable_2020_xlsx_3[[#This Row],[2026]]</f>
        <v>885.15515340802563</v>
      </c>
      <c r="D216">
        <f>scenario_indirect_prod_4506_iotable_2020_xlsx_3[[#This Row],[2027]]+scenario_indirect_prod_1610_iotable_2020_xlsx_3[[#This Row],[2027]]</f>
        <v>806.3036738283231</v>
      </c>
      <c r="E216">
        <f>scenario_indirect_prod_4506_iotable_2020_xlsx_3[[#This Row],[2028]]+scenario_indirect_prod_1610_iotable_2020_xlsx_3[[#This Row],[2028]]</f>
        <v>854.43537465317092</v>
      </c>
      <c r="F216">
        <f>scenario_indirect_prod_4506_iotable_2020_xlsx_3[[#This Row],[2029]]+scenario_indirect_prod_1610_iotable_2020_xlsx_3[[#This Row],[2029]]</f>
        <v>857.15774480246921</v>
      </c>
      <c r="G216">
        <f>scenario_indirect_prod_4506_iotable_2020_xlsx_3[[#This Row],[2030]]+scenario_indirect_prod_1610_iotable_2020_xlsx_3[[#This Row],[2030]]</f>
        <v>545.88241721275631</v>
      </c>
      <c r="H216">
        <f>scenario_indirect_prod_4506_iotable_2020_xlsx_3[[#This Row],[2031]]+scenario_indirect_prod_1610_iotable_2020_xlsx_3[[#This Row],[2031]]</f>
        <v>610.82168967866596</v>
      </c>
      <c r="I216">
        <f>scenario_indirect_prod_4506_iotable_2020_xlsx_3[[#This Row],[2032]]+scenario_indirect_prod_1610_iotable_2020_xlsx_3[[#This Row],[2032]]</f>
        <v>701.51516268494856</v>
      </c>
      <c r="J216">
        <f>scenario_indirect_prod_4506_iotable_2020_xlsx_3[[#This Row],[2033]]+scenario_indirect_prod_1610_iotable_2020_xlsx_3[[#This Row],[2033]]</f>
        <v>692.66217959092205</v>
      </c>
      <c r="K216">
        <f>scenario_indirect_prod_4506_iotable_2020_xlsx_3[[#This Row],[2034]]+scenario_indirect_prod_1610_iotable_2020_xlsx_3[[#This Row],[2034]]</f>
        <v>777.05718481184635</v>
      </c>
      <c r="L216">
        <f>scenario_indirect_prod_4506_iotable_2020_xlsx_3[[#This Row],[2035]]+scenario_indirect_prod_1610_iotable_2020_xlsx_3[[#This Row],[2035]]</f>
        <v>796.40986472747704</v>
      </c>
      <c r="M216">
        <f>scenario_indirect_prod_4506_iotable_2020_xlsx_3[[#This Row],[2036]]+scenario_indirect_prod_1610_iotable_2020_xlsx_3[[#This Row],[2036]]</f>
        <v>746.60639439919214</v>
      </c>
      <c r="N216">
        <f>scenario_indirect_prod_4506_iotable_2020_xlsx_3[[#This Row],[2037]]+scenario_indirect_prod_1610_iotable_2020_xlsx_3[[#This Row],[2037]]</f>
        <v>706.47792054499405</v>
      </c>
      <c r="O216">
        <f>scenario_indirect_prod_4506_iotable_2020_xlsx_3[[#This Row],[2038]]+scenario_indirect_prod_1610_iotable_2020_xlsx_3[[#This Row],[2038]]</f>
        <v>706.47792054499405</v>
      </c>
      <c r="P216">
        <f>scenario_indirect_prod_4506_iotable_2020_xlsx_3[[#This Row],[2039]]+scenario_indirect_prod_1610_iotable_2020_xlsx_3[[#This Row],[2039]]</f>
        <v>706.47792054499405</v>
      </c>
      <c r="Q216">
        <f>scenario_indirect_prod_4506_iotable_2020_xlsx_3[[#This Row],[2040]]+scenario_indirect_prod_1610_iotable_2020_xlsx_3[[#This Row],[2040]]</f>
        <v>670.66468206026366</v>
      </c>
      <c r="R216">
        <f>scenario_indirect_prod_4506_iotable_2020_xlsx_3[[#This Row],[2041]]+scenario_indirect_prod_1610_iotable_2020_xlsx_3[[#This Row],[2041]]</f>
        <v>670.66468206026366</v>
      </c>
      <c r="S216">
        <f>scenario_indirect_prod_4506_iotable_2020_xlsx_3[[#This Row],[2042]]+scenario_indirect_prod_1610_iotable_2020_xlsx_3[[#This Row],[2042]]</f>
        <v>632.98008933677102</v>
      </c>
      <c r="T216">
        <f>scenario_indirect_prod_4506_iotable_2020_xlsx_3[[#This Row],[2043]]+scenario_indirect_prod_1610_iotable_2020_xlsx_3[[#This Row],[2043]]</f>
        <v>632.98008933677102</v>
      </c>
      <c r="U216">
        <f>scenario_indirect_prod_4506_iotable_2020_xlsx_3[[#This Row],[2044]]+scenario_indirect_prod_1610_iotable_2020_xlsx_3[[#This Row],[2044]]</f>
        <v>591.55964486967196</v>
      </c>
      <c r="V216">
        <f>scenario_indirect_prod_4506_iotable_2020_xlsx_3[[#This Row],[2045]]+scenario_indirect_prod_1610_iotable_2020_xlsx_3[[#This Row],[2045]]</f>
        <v>591.55964486967196</v>
      </c>
      <c r="W216">
        <f>scenario_indirect_prod_4506_iotable_2020_xlsx_3[[#This Row],[2046]]+scenario_indirect_prod_1610_iotable_2020_xlsx_3[[#This Row],[2046]]</f>
        <v>558.06260881911294</v>
      </c>
      <c r="X216">
        <f>scenario_indirect_prod_4506_iotable_2020_xlsx_3[[#This Row],[2047]]+scenario_indirect_prod_1610_iotable_2020_xlsx_3[[#This Row],[2047]]</f>
        <v>558.06260881911294</v>
      </c>
      <c r="Y216">
        <f>scenario_indirect_prod_4506_iotable_2020_xlsx_3[[#This Row],[2048]]+scenario_indirect_prod_1610_iotable_2020_xlsx_3[[#This Row],[2048]]</f>
        <v>558.06260881911294</v>
      </c>
      <c r="Z216">
        <f>scenario_indirect_prod_4506_iotable_2020_xlsx_3[[#This Row],[2049]]+scenario_indirect_prod_1610_iotable_2020_xlsx_3[[#This Row],[2049]]</f>
        <v>558.06260881911294</v>
      </c>
      <c r="AA216">
        <f>scenario_indirect_prod_4506_iotable_2020_xlsx_3[[#This Row],[2050]]+scenario_indirect_prod_1610_iotable_2020_xlsx_3[[#This Row],[2050]]</f>
        <v>558.06260881911294</v>
      </c>
    </row>
    <row r="217" spans="1:27" x14ac:dyDescent="0.2">
      <c r="A217" t="s">
        <v>665</v>
      </c>
      <c r="B217" t="s">
        <v>666</v>
      </c>
      <c r="C217">
        <f>scenario_indirect_prod_4506_iotable_2020_xlsx_3[[#This Row],[2026]]+scenario_indirect_prod_1610_iotable_2020_xlsx_3[[#This Row],[2026]]</f>
        <v>3567.9708906176143</v>
      </c>
      <c r="D217">
        <f>scenario_indirect_prod_4506_iotable_2020_xlsx_3[[#This Row],[2027]]+scenario_indirect_prod_1610_iotable_2020_xlsx_3[[#This Row],[2027]]</f>
        <v>3608.1588449059627</v>
      </c>
      <c r="E217">
        <f>scenario_indirect_prod_4506_iotable_2020_xlsx_3[[#This Row],[2028]]+scenario_indirect_prod_1610_iotable_2020_xlsx_3[[#This Row],[2028]]</f>
        <v>3780.8929224399285</v>
      </c>
      <c r="F217">
        <f>scenario_indirect_prod_4506_iotable_2020_xlsx_3[[#This Row],[2029]]+scenario_indirect_prod_1610_iotable_2020_xlsx_3[[#This Row],[2029]]</f>
        <v>3919.9303444123607</v>
      </c>
      <c r="G217">
        <f>scenario_indirect_prod_4506_iotable_2020_xlsx_3[[#This Row],[2030]]+scenario_indirect_prod_1610_iotable_2020_xlsx_3[[#This Row],[2030]]</f>
        <v>3898.5476402221097</v>
      </c>
      <c r="H217">
        <f>scenario_indirect_prod_4506_iotable_2020_xlsx_3[[#This Row],[2031]]+scenario_indirect_prod_1610_iotable_2020_xlsx_3[[#This Row],[2031]]</f>
        <v>4131.6003920030089</v>
      </c>
      <c r="I217">
        <f>scenario_indirect_prod_4506_iotable_2020_xlsx_3[[#This Row],[2032]]+scenario_indirect_prod_1610_iotable_2020_xlsx_3[[#This Row],[2032]]</f>
        <v>4457.0792994511421</v>
      </c>
      <c r="J217">
        <f>scenario_indirect_prod_4506_iotable_2020_xlsx_3[[#This Row],[2033]]+scenario_indirect_prod_1610_iotable_2020_xlsx_3[[#This Row],[2033]]</f>
        <v>5036.554593892376</v>
      </c>
      <c r="K217">
        <f>scenario_indirect_prod_4506_iotable_2020_xlsx_3[[#This Row],[2034]]+scenario_indirect_prod_1610_iotable_2020_xlsx_3[[#This Row],[2034]]</f>
        <v>5339.4296871362212</v>
      </c>
      <c r="L217">
        <f>scenario_indirect_prod_4506_iotable_2020_xlsx_3[[#This Row],[2035]]+scenario_indirect_prod_1610_iotable_2020_xlsx_3[[#This Row],[2035]]</f>
        <v>6182.6475817928858</v>
      </c>
      <c r="M217">
        <f>scenario_indirect_prod_4506_iotable_2020_xlsx_3[[#This Row],[2036]]+scenario_indirect_prod_1610_iotable_2020_xlsx_3[[#This Row],[2036]]</f>
        <v>6511.7982601643253</v>
      </c>
      <c r="N217">
        <f>scenario_indirect_prod_4506_iotable_2020_xlsx_3[[#This Row],[2037]]+scenario_indirect_prod_1610_iotable_2020_xlsx_3[[#This Row],[2037]]</f>
        <v>6811.7814605771346</v>
      </c>
      <c r="O217">
        <f>scenario_indirect_prod_4506_iotable_2020_xlsx_3[[#This Row],[2038]]+scenario_indirect_prod_1610_iotable_2020_xlsx_3[[#This Row],[2038]]</f>
        <v>6811.7814605771346</v>
      </c>
      <c r="P217">
        <f>scenario_indirect_prod_4506_iotable_2020_xlsx_3[[#This Row],[2039]]+scenario_indirect_prod_1610_iotable_2020_xlsx_3[[#This Row],[2039]]</f>
        <v>6811.7814605771346</v>
      </c>
      <c r="Q217">
        <f>scenario_indirect_prod_4506_iotable_2020_xlsx_3[[#This Row],[2040]]+scenario_indirect_prod_1610_iotable_2020_xlsx_3[[#This Row],[2040]]</f>
        <v>7073.0422995343624</v>
      </c>
      <c r="R217">
        <f>scenario_indirect_prod_4506_iotable_2020_xlsx_3[[#This Row],[2041]]+scenario_indirect_prod_1610_iotable_2020_xlsx_3[[#This Row],[2041]]</f>
        <v>7073.0422995343624</v>
      </c>
      <c r="S217">
        <f>scenario_indirect_prod_4506_iotable_2020_xlsx_3[[#This Row],[2042]]+scenario_indirect_prod_1610_iotable_2020_xlsx_3[[#This Row],[2042]]</f>
        <v>7368.0287569837037</v>
      </c>
      <c r="T217">
        <f>scenario_indirect_prod_4506_iotable_2020_xlsx_3[[#This Row],[2043]]+scenario_indirect_prod_1610_iotable_2020_xlsx_3[[#This Row],[2043]]</f>
        <v>7368.0287569837037</v>
      </c>
      <c r="U217">
        <f>scenario_indirect_prod_4506_iotable_2020_xlsx_3[[#This Row],[2044]]+scenario_indirect_prod_1610_iotable_2020_xlsx_3[[#This Row],[2044]]</f>
        <v>7628.5269305598777</v>
      </c>
      <c r="V217">
        <f>scenario_indirect_prod_4506_iotable_2020_xlsx_3[[#This Row],[2045]]+scenario_indirect_prod_1610_iotable_2020_xlsx_3[[#This Row],[2045]]</f>
        <v>7628.5269305598777</v>
      </c>
      <c r="W217">
        <f>scenario_indirect_prod_4506_iotable_2020_xlsx_3[[#This Row],[2046]]+scenario_indirect_prod_1610_iotable_2020_xlsx_3[[#This Row],[2046]]</f>
        <v>7856.6906634541756</v>
      </c>
      <c r="X217">
        <f>scenario_indirect_prod_4506_iotable_2020_xlsx_3[[#This Row],[2047]]+scenario_indirect_prod_1610_iotable_2020_xlsx_3[[#This Row],[2047]]</f>
        <v>7856.6906634541756</v>
      </c>
      <c r="Y217">
        <f>scenario_indirect_prod_4506_iotable_2020_xlsx_3[[#This Row],[2048]]+scenario_indirect_prod_1610_iotable_2020_xlsx_3[[#This Row],[2048]]</f>
        <v>7856.6906634541756</v>
      </c>
      <c r="Z217">
        <f>scenario_indirect_prod_4506_iotable_2020_xlsx_3[[#This Row],[2049]]+scenario_indirect_prod_1610_iotable_2020_xlsx_3[[#This Row],[2049]]</f>
        <v>7856.6906634541756</v>
      </c>
      <c r="AA217">
        <f>scenario_indirect_prod_4506_iotable_2020_xlsx_3[[#This Row],[2050]]+scenario_indirect_prod_1610_iotable_2020_xlsx_3[[#This Row],[2050]]</f>
        <v>7856.6906634541756</v>
      </c>
    </row>
    <row r="218" spans="1:27" x14ac:dyDescent="0.2">
      <c r="A218" t="s">
        <v>771</v>
      </c>
      <c r="B218" t="s">
        <v>772</v>
      </c>
      <c r="C218">
        <f>scenario_indirect_prod_4506_iotable_2020_xlsx_3[[#This Row],[2026]]+scenario_indirect_prod_1610_iotable_2020_xlsx_3[[#This Row],[2026]]</f>
        <v>1355.0677869263354</v>
      </c>
      <c r="D218">
        <f>scenario_indirect_prod_4506_iotable_2020_xlsx_3[[#This Row],[2027]]+scenario_indirect_prod_1610_iotable_2020_xlsx_3[[#This Row],[2027]]</f>
        <v>1093.2370995025954</v>
      </c>
      <c r="E218">
        <f>scenario_indirect_prod_4506_iotable_2020_xlsx_3[[#This Row],[2028]]+scenario_indirect_prod_1610_iotable_2020_xlsx_3[[#This Row],[2028]]</f>
        <v>1175.3085711182057</v>
      </c>
      <c r="F218">
        <f>scenario_indirect_prod_4506_iotable_2020_xlsx_3[[#This Row],[2029]]+scenario_indirect_prod_1610_iotable_2020_xlsx_3[[#This Row],[2029]]</f>
        <v>1128.9995684501787</v>
      </c>
      <c r="G218">
        <f>scenario_indirect_prod_4506_iotable_2020_xlsx_3[[#This Row],[2030]]+scenario_indirect_prod_1610_iotable_2020_xlsx_3[[#This Row],[2030]]</f>
        <v>166.35160497164588</v>
      </c>
      <c r="H218">
        <f>scenario_indirect_prod_4506_iotable_2020_xlsx_3[[#This Row],[2031]]+scenario_indirect_prod_1610_iotable_2020_xlsx_3[[#This Row],[2031]]</f>
        <v>277.08240329350383</v>
      </c>
      <c r="I218">
        <f>scenario_indirect_prod_4506_iotable_2020_xlsx_3[[#This Row],[2032]]+scenario_indirect_prod_1610_iotable_2020_xlsx_3[[#This Row],[2032]]</f>
        <v>431.72781718907163</v>
      </c>
      <c r="J218">
        <f>scenario_indirect_prod_4506_iotable_2020_xlsx_3[[#This Row],[2033]]+scenario_indirect_prod_1610_iotable_2020_xlsx_3[[#This Row],[2033]]</f>
        <v>175.70801620184193</v>
      </c>
      <c r="K218">
        <f>scenario_indirect_prod_4506_iotable_2020_xlsx_3[[#This Row],[2034]]+scenario_indirect_prod_1610_iotable_2020_xlsx_3[[#This Row],[2034]]</f>
        <v>319.6136367552017</v>
      </c>
      <c r="L218">
        <f>scenario_indirect_prod_4506_iotable_2020_xlsx_3[[#This Row],[2035]]+scenario_indirect_prod_1610_iotable_2020_xlsx_3[[#This Row],[2035]]</f>
        <v>47.63146075005352</v>
      </c>
      <c r="M218">
        <f>scenario_indirect_prod_4506_iotable_2020_xlsx_3[[#This Row],[2036]]+scenario_indirect_prod_1610_iotable_2020_xlsx_3[[#This Row],[2036]]</f>
        <v>-237.47432583598857</v>
      </c>
      <c r="N218">
        <f>scenario_indirect_prod_4506_iotable_2020_xlsx_3[[#This Row],[2037]]+scenario_indirect_prod_1610_iotable_2020_xlsx_3[[#This Row],[2037]]</f>
        <v>-480.90090180133029</v>
      </c>
      <c r="O218">
        <f>scenario_indirect_prod_4506_iotable_2020_xlsx_3[[#This Row],[2038]]+scenario_indirect_prod_1610_iotable_2020_xlsx_3[[#This Row],[2038]]</f>
        <v>-480.90090180133029</v>
      </c>
      <c r="P218">
        <f>scenario_indirect_prod_4506_iotable_2020_xlsx_3[[#This Row],[2039]]+scenario_indirect_prod_1610_iotable_2020_xlsx_3[[#This Row],[2039]]</f>
        <v>-480.90090180133029</v>
      </c>
      <c r="Q218">
        <f>scenario_indirect_prod_4506_iotable_2020_xlsx_3[[#This Row],[2040]]+scenario_indirect_prod_1610_iotable_2020_xlsx_3[[#This Row],[2040]]</f>
        <v>-695.60287020073883</v>
      </c>
      <c r="R218">
        <f>scenario_indirect_prod_4506_iotable_2020_xlsx_3[[#This Row],[2041]]+scenario_indirect_prod_1610_iotable_2020_xlsx_3[[#This Row],[2041]]</f>
        <v>-695.60287020073883</v>
      </c>
      <c r="S218">
        <f>scenario_indirect_prod_4506_iotable_2020_xlsx_3[[#This Row],[2042]]+scenario_indirect_prod_1610_iotable_2020_xlsx_3[[#This Row],[2042]]</f>
        <v>-929.4358689680239</v>
      </c>
      <c r="T218">
        <f>scenario_indirect_prod_4506_iotable_2020_xlsx_3[[#This Row],[2043]]+scenario_indirect_prod_1610_iotable_2020_xlsx_3[[#This Row],[2043]]</f>
        <v>-929.4358689680239</v>
      </c>
      <c r="U218">
        <f>scenario_indirect_prod_4506_iotable_2020_xlsx_3[[#This Row],[2044]]+scenario_indirect_prod_1610_iotable_2020_xlsx_3[[#This Row],[2044]]</f>
        <v>-1161.3298580764003</v>
      </c>
      <c r="V218">
        <f>scenario_indirect_prod_4506_iotable_2020_xlsx_3[[#This Row],[2045]]+scenario_indirect_prod_1610_iotable_2020_xlsx_3[[#This Row],[2045]]</f>
        <v>-1161.3298580764003</v>
      </c>
      <c r="W218">
        <f>scenario_indirect_prod_4506_iotable_2020_xlsx_3[[#This Row],[2046]]+scenario_indirect_prod_1610_iotable_2020_xlsx_3[[#This Row],[2046]]</f>
        <v>-1355.7607464808607</v>
      </c>
      <c r="X218">
        <f>scenario_indirect_prod_4506_iotable_2020_xlsx_3[[#This Row],[2047]]+scenario_indirect_prod_1610_iotable_2020_xlsx_3[[#This Row],[2047]]</f>
        <v>-1355.7607464808607</v>
      </c>
      <c r="Y218">
        <f>scenario_indirect_prod_4506_iotable_2020_xlsx_3[[#This Row],[2048]]+scenario_indirect_prod_1610_iotable_2020_xlsx_3[[#This Row],[2048]]</f>
        <v>-1355.7607464808607</v>
      </c>
      <c r="Z218">
        <f>scenario_indirect_prod_4506_iotable_2020_xlsx_3[[#This Row],[2049]]+scenario_indirect_prod_1610_iotable_2020_xlsx_3[[#This Row],[2049]]</f>
        <v>-1355.7607464808607</v>
      </c>
      <c r="AA218">
        <f>scenario_indirect_prod_4506_iotable_2020_xlsx_3[[#This Row],[2050]]+scenario_indirect_prod_1610_iotable_2020_xlsx_3[[#This Row],[2050]]</f>
        <v>-1355.7607464808607</v>
      </c>
    </row>
    <row r="219" spans="1:27" x14ac:dyDescent="0.2">
      <c r="A219" t="s">
        <v>579</v>
      </c>
      <c r="B219" t="s">
        <v>580</v>
      </c>
      <c r="C219">
        <f>scenario_indirect_prod_4506_iotable_2020_xlsx_3[[#This Row],[2026]]+scenario_indirect_prod_1610_iotable_2020_xlsx_3[[#This Row],[2026]]</f>
        <v>3105.85195621606</v>
      </c>
      <c r="D219">
        <f>scenario_indirect_prod_4506_iotable_2020_xlsx_3[[#This Row],[2027]]+scenario_indirect_prod_1610_iotable_2020_xlsx_3[[#This Row],[2027]]</f>
        <v>-628.28330938460022</v>
      </c>
      <c r="E219">
        <f>scenario_indirect_prod_4506_iotable_2020_xlsx_3[[#This Row],[2028]]+scenario_indirect_prod_1610_iotable_2020_xlsx_3[[#This Row],[2028]]</f>
        <v>-253.89967664901451</v>
      </c>
      <c r="F219">
        <f>scenario_indirect_prod_4506_iotable_2020_xlsx_3[[#This Row],[2029]]+scenario_indirect_prod_1610_iotable_2020_xlsx_3[[#This Row],[2029]]</f>
        <v>-1481.0457252713113</v>
      </c>
      <c r="G219">
        <f>scenario_indirect_prod_4506_iotable_2020_xlsx_3[[#This Row],[2030]]+scenario_indirect_prod_1610_iotable_2020_xlsx_3[[#This Row],[2030]]</f>
        <v>-14483.452920968737</v>
      </c>
      <c r="H219">
        <f>scenario_indirect_prod_4506_iotable_2020_xlsx_3[[#This Row],[2031]]+scenario_indirect_prod_1610_iotable_2020_xlsx_3[[#This Row],[2031]]</f>
        <v>-13978.334665923796</v>
      </c>
      <c r="I219">
        <f>scenario_indirect_prod_4506_iotable_2020_xlsx_3[[#This Row],[2032]]+scenario_indirect_prod_1610_iotable_2020_xlsx_3[[#This Row],[2032]]</f>
        <v>-13272.892071799433</v>
      </c>
      <c r="J219">
        <f>scenario_indirect_prod_4506_iotable_2020_xlsx_3[[#This Row],[2033]]+scenario_indirect_prod_1610_iotable_2020_xlsx_3[[#This Row],[2033]]</f>
        <v>-19244.496052956139</v>
      </c>
      <c r="K219">
        <f>scenario_indirect_prod_4506_iotable_2020_xlsx_3[[#This Row],[2034]]+scenario_indirect_prod_1610_iotable_2020_xlsx_3[[#This Row],[2034]]</f>
        <v>-18588.044938661908</v>
      </c>
      <c r="L219">
        <f>scenario_indirect_prod_4506_iotable_2020_xlsx_3[[#This Row],[2035]]+scenario_indirect_prod_1610_iotable_2020_xlsx_3[[#This Row],[2035]]</f>
        <v>-25909.681532327111</v>
      </c>
      <c r="M219">
        <f>scenario_indirect_prod_4506_iotable_2020_xlsx_3[[#This Row],[2036]]+scenario_indirect_prod_1610_iotable_2020_xlsx_3[[#This Row],[2036]]</f>
        <v>-31201.652622529422</v>
      </c>
      <c r="N219">
        <f>scenario_indirect_prod_4506_iotable_2020_xlsx_3[[#This Row],[2037]]+scenario_indirect_prod_1610_iotable_2020_xlsx_3[[#This Row],[2037]]</f>
        <v>-35801.400290190053</v>
      </c>
      <c r="O219">
        <f>scenario_indirect_prod_4506_iotable_2020_xlsx_3[[#This Row],[2038]]+scenario_indirect_prod_1610_iotable_2020_xlsx_3[[#This Row],[2038]]</f>
        <v>-35801.400290190053</v>
      </c>
      <c r="P219">
        <f>scenario_indirect_prod_4506_iotable_2020_xlsx_3[[#This Row],[2039]]+scenario_indirect_prod_1610_iotable_2020_xlsx_3[[#This Row],[2039]]</f>
        <v>-35801.400290190053</v>
      </c>
      <c r="Q219">
        <f>scenario_indirect_prod_4506_iotable_2020_xlsx_3[[#This Row],[2040]]+scenario_indirect_prod_1610_iotable_2020_xlsx_3[[#This Row],[2040]]</f>
        <v>-39844.094310273678</v>
      </c>
      <c r="R219">
        <f>scenario_indirect_prod_4506_iotable_2020_xlsx_3[[#This Row],[2041]]+scenario_indirect_prod_1610_iotable_2020_xlsx_3[[#This Row],[2041]]</f>
        <v>-39844.094310273678</v>
      </c>
      <c r="S219">
        <f>scenario_indirect_prod_4506_iotable_2020_xlsx_3[[#This Row],[2042]]+scenario_indirect_prod_1610_iotable_2020_xlsx_3[[#This Row],[2042]]</f>
        <v>-44291.883437400458</v>
      </c>
      <c r="T219">
        <f>scenario_indirect_prod_4506_iotable_2020_xlsx_3[[#This Row],[2043]]+scenario_indirect_prod_1610_iotable_2020_xlsx_3[[#This Row],[2043]]</f>
        <v>-44291.883437400458</v>
      </c>
      <c r="U219">
        <f>scenario_indirect_prod_4506_iotable_2020_xlsx_3[[#This Row],[2044]]+scenario_indirect_prod_1610_iotable_2020_xlsx_3[[#This Row],[2044]]</f>
        <v>-48565.15299002159</v>
      </c>
      <c r="V219">
        <f>scenario_indirect_prod_4506_iotable_2020_xlsx_3[[#This Row],[2045]]+scenario_indirect_prod_1610_iotable_2020_xlsx_3[[#This Row],[2045]]</f>
        <v>-48565.15299002159</v>
      </c>
      <c r="W219">
        <f>scenario_indirect_prod_4506_iotable_2020_xlsx_3[[#This Row],[2046]]+scenario_indirect_prod_1610_iotable_2020_xlsx_3[[#This Row],[2046]]</f>
        <v>-52189.9443471173</v>
      </c>
      <c r="X219">
        <f>scenario_indirect_prod_4506_iotable_2020_xlsx_3[[#This Row],[2047]]+scenario_indirect_prod_1610_iotable_2020_xlsx_3[[#This Row],[2047]]</f>
        <v>-52189.9443471173</v>
      </c>
      <c r="Y219">
        <f>scenario_indirect_prod_4506_iotable_2020_xlsx_3[[#This Row],[2048]]+scenario_indirect_prod_1610_iotable_2020_xlsx_3[[#This Row],[2048]]</f>
        <v>-52189.9443471173</v>
      </c>
      <c r="Z219">
        <f>scenario_indirect_prod_4506_iotable_2020_xlsx_3[[#This Row],[2049]]+scenario_indirect_prod_1610_iotable_2020_xlsx_3[[#This Row],[2049]]</f>
        <v>-52189.9443471173</v>
      </c>
      <c r="AA219">
        <f>scenario_indirect_prod_4506_iotable_2020_xlsx_3[[#This Row],[2050]]+scenario_indirect_prod_1610_iotable_2020_xlsx_3[[#This Row],[2050]]</f>
        <v>-52189.9443471173</v>
      </c>
    </row>
    <row r="220" spans="1:27" x14ac:dyDescent="0.2">
      <c r="A220" t="s">
        <v>367</v>
      </c>
      <c r="B220" t="s">
        <v>93</v>
      </c>
      <c r="C220">
        <f>scenario_indirect_prod_4506_iotable_2020_xlsx_3[[#This Row],[2026]]+scenario_indirect_prod_1610_iotable_2020_xlsx_3[[#This Row],[2026]]</f>
        <v>101271.92436668511</v>
      </c>
      <c r="D220">
        <f>scenario_indirect_prod_4506_iotable_2020_xlsx_3[[#This Row],[2027]]+scenario_indirect_prod_1610_iotable_2020_xlsx_3[[#This Row],[2027]]</f>
        <v>107683.96106454873</v>
      </c>
      <c r="E220">
        <f>scenario_indirect_prod_4506_iotable_2020_xlsx_3[[#This Row],[2028]]+scenario_indirect_prod_1610_iotable_2020_xlsx_3[[#This Row],[2028]]</f>
        <v>112273.47007148342</v>
      </c>
      <c r="F220">
        <f>scenario_indirect_prod_4506_iotable_2020_xlsx_3[[#This Row],[2029]]+scenario_indirect_prod_1610_iotable_2020_xlsx_3[[#This Row],[2029]]</f>
        <v>118105.36646712312</v>
      </c>
      <c r="G220">
        <f>scenario_indirect_prod_4506_iotable_2020_xlsx_3[[#This Row],[2030]]+scenario_indirect_prod_1610_iotable_2020_xlsx_3[[#This Row],[2030]]</f>
        <v>135657.12926069944</v>
      </c>
      <c r="H220">
        <f>scenario_indirect_prod_4506_iotable_2020_xlsx_3[[#This Row],[2031]]+scenario_indirect_prod_1610_iotable_2020_xlsx_3[[#This Row],[2031]]</f>
        <v>141849.29306913519</v>
      </c>
      <c r="I220">
        <f>scenario_indirect_prod_4506_iotable_2020_xlsx_3[[#This Row],[2032]]+scenario_indirect_prod_1610_iotable_2020_xlsx_3[[#This Row],[2032]]</f>
        <v>150497.20087416421</v>
      </c>
      <c r="J220">
        <f>scenario_indirect_prod_4506_iotable_2020_xlsx_3[[#This Row],[2033]]+scenario_indirect_prod_1610_iotable_2020_xlsx_3[[#This Row],[2033]]</f>
        <v>176001.95113720969</v>
      </c>
      <c r="K220">
        <f>scenario_indirect_prod_4506_iotable_2020_xlsx_3[[#This Row],[2034]]+scenario_indirect_prod_1610_iotable_2020_xlsx_3[[#This Row],[2034]]</f>
        <v>184049.28023557755</v>
      </c>
      <c r="L220">
        <f>scenario_indirect_prod_4506_iotable_2020_xlsx_3[[#This Row],[2035]]+scenario_indirect_prod_1610_iotable_2020_xlsx_3[[#This Row],[2035]]</f>
        <v>219249.19512791763</v>
      </c>
      <c r="M220">
        <f>scenario_indirect_prod_4506_iotable_2020_xlsx_3[[#This Row],[2036]]+scenario_indirect_prod_1610_iotable_2020_xlsx_3[[#This Row],[2036]]</f>
        <v>236393.56475561054</v>
      </c>
      <c r="N220">
        <f>scenario_indirect_prod_4506_iotable_2020_xlsx_3[[#This Row],[2037]]+scenario_indirect_prod_1610_iotable_2020_xlsx_3[[#This Row],[2037]]</f>
        <v>251706.4270752407</v>
      </c>
      <c r="O220">
        <f>scenario_indirect_prod_4506_iotable_2020_xlsx_3[[#This Row],[2038]]+scenario_indirect_prod_1610_iotable_2020_xlsx_3[[#This Row],[2038]]</f>
        <v>251706.4270752407</v>
      </c>
      <c r="P220">
        <f>scenario_indirect_prod_4506_iotable_2020_xlsx_3[[#This Row],[2039]]+scenario_indirect_prod_1610_iotable_2020_xlsx_3[[#This Row],[2039]]</f>
        <v>251706.4270752407</v>
      </c>
      <c r="Q220">
        <f>scenario_indirect_prod_4506_iotable_2020_xlsx_3[[#This Row],[2040]]+scenario_indirect_prod_1610_iotable_2020_xlsx_3[[#This Row],[2040]]</f>
        <v>265093.99129954632</v>
      </c>
      <c r="R220">
        <f>scenario_indirect_prod_4506_iotable_2020_xlsx_3[[#This Row],[2041]]+scenario_indirect_prod_1610_iotable_2020_xlsx_3[[#This Row],[2041]]</f>
        <v>265093.99129954632</v>
      </c>
      <c r="S220">
        <f>scenario_indirect_prod_4506_iotable_2020_xlsx_3[[#This Row],[2042]]+scenario_indirect_prod_1610_iotable_2020_xlsx_3[[#This Row],[2042]]</f>
        <v>280046.42090064753</v>
      </c>
      <c r="T220">
        <f>scenario_indirect_prod_4506_iotable_2020_xlsx_3[[#This Row],[2043]]+scenario_indirect_prod_1610_iotable_2020_xlsx_3[[#This Row],[2043]]</f>
        <v>280046.42090064753</v>
      </c>
      <c r="U220">
        <f>scenario_indirect_prod_4506_iotable_2020_xlsx_3[[#This Row],[2044]]+scenario_indirect_prod_1610_iotable_2020_xlsx_3[[#This Row],[2044]]</f>
        <v>293733.88433074625</v>
      </c>
      <c r="V220">
        <f>scenario_indirect_prod_4506_iotable_2020_xlsx_3[[#This Row],[2045]]+scenario_indirect_prod_1610_iotable_2020_xlsx_3[[#This Row],[2045]]</f>
        <v>293733.88433074625</v>
      </c>
      <c r="W220">
        <f>scenario_indirect_prod_4506_iotable_2020_xlsx_3[[#This Row],[2046]]+scenario_indirect_prod_1610_iotable_2020_xlsx_3[[#This Row],[2046]]</f>
        <v>305557.27560086036</v>
      </c>
      <c r="X220">
        <f>scenario_indirect_prod_4506_iotable_2020_xlsx_3[[#This Row],[2047]]+scenario_indirect_prod_1610_iotable_2020_xlsx_3[[#This Row],[2047]]</f>
        <v>305557.27560086036</v>
      </c>
      <c r="Y220">
        <f>scenario_indirect_prod_4506_iotable_2020_xlsx_3[[#This Row],[2048]]+scenario_indirect_prod_1610_iotable_2020_xlsx_3[[#This Row],[2048]]</f>
        <v>305557.27560086036</v>
      </c>
      <c r="Z220">
        <f>scenario_indirect_prod_4506_iotable_2020_xlsx_3[[#This Row],[2049]]+scenario_indirect_prod_1610_iotable_2020_xlsx_3[[#This Row],[2049]]</f>
        <v>305557.27560086036</v>
      </c>
      <c r="AA220">
        <f>scenario_indirect_prod_4506_iotable_2020_xlsx_3[[#This Row],[2050]]+scenario_indirect_prod_1610_iotable_2020_xlsx_3[[#This Row],[2050]]</f>
        <v>305557.27560086036</v>
      </c>
    </row>
    <row r="221" spans="1:27" x14ac:dyDescent="0.2">
      <c r="A221" t="s">
        <v>744</v>
      </c>
      <c r="B221" t="s">
        <v>247</v>
      </c>
      <c r="C221">
        <f>scenario_indirect_prod_4506_iotable_2020_xlsx_3[[#This Row],[2026]]+scenario_indirect_prod_1610_iotable_2020_xlsx_3[[#This Row],[2026]]</f>
        <v>2082.9037323236907</v>
      </c>
      <c r="D221">
        <f>scenario_indirect_prod_4506_iotable_2020_xlsx_3[[#This Row],[2027]]+scenario_indirect_prod_1610_iotable_2020_xlsx_3[[#This Row],[2027]]</f>
        <v>2002.4657829466946</v>
      </c>
      <c r="E221">
        <f>scenario_indirect_prod_4506_iotable_2020_xlsx_3[[#This Row],[2028]]+scenario_indirect_prod_1610_iotable_2020_xlsx_3[[#This Row],[2028]]</f>
        <v>2109.4795212054123</v>
      </c>
      <c r="F221">
        <f>scenario_indirect_prod_4506_iotable_2020_xlsx_3[[#This Row],[2029]]+scenario_indirect_prod_1610_iotable_2020_xlsx_3[[#This Row],[2029]]</f>
        <v>2153.4829881130431</v>
      </c>
      <c r="G221">
        <f>scenario_indirect_prod_4506_iotable_2020_xlsx_3[[#This Row],[2030]]+scenario_indirect_prod_1610_iotable_2020_xlsx_3[[#This Row],[2030]]</f>
        <v>1783.091406150648</v>
      </c>
      <c r="H221">
        <f>scenario_indirect_prod_4506_iotable_2020_xlsx_3[[#This Row],[2031]]+scenario_indirect_prod_1610_iotable_2020_xlsx_3[[#This Row],[2031]]</f>
        <v>1927.4743011509179</v>
      </c>
      <c r="I221">
        <f>scenario_indirect_prod_4506_iotable_2020_xlsx_3[[#This Row],[2032]]+scenario_indirect_prod_1610_iotable_2020_xlsx_3[[#This Row],[2032]]</f>
        <v>2129.1178627899862</v>
      </c>
      <c r="J221">
        <f>scenario_indirect_prod_4506_iotable_2020_xlsx_3[[#This Row],[2033]]+scenario_indirect_prod_1610_iotable_2020_xlsx_3[[#This Row],[2033]]</f>
        <v>2288.8859978540609</v>
      </c>
      <c r="K221">
        <f>scenario_indirect_prod_4506_iotable_2020_xlsx_3[[#This Row],[2034]]+scenario_indirect_prod_1610_iotable_2020_xlsx_3[[#This Row],[2034]]</f>
        <v>2476.5258452785397</v>
      </c>
      <c r="L221">
        <f>scenario_indirect_prod_4506_iotable_2020_xlsx_3[[#This Row],[2035]]+scenario_indirect_prod_1610_iotable_2020_xlsx_3[[#This Row],[2035]]</f>
        <v>2746.7177814718407</v>
      </c>
      <c r="M221">
        <f>scenario_indirect_prod_4506_iotable_2020_xlsx_3[[#This Row],[2036]]+scenario_indirect_prod_1610_iotable_2020_xlsx_3[[#This Row],[2036]]</f>
        <v>2785.093158109727</v>
      </c>
      <c r="N221">
        <f>scenario_indirect_prod_4506_iotable_2020_xlsx_3[[#This Row],[2037]]+scenario_indirect_prod_1610_iotable_2020_xlsx_3[[#This Row],[2037]]</f>
        <v>2826.2227858179194</v>
      </c>
      <c r="O221">
        <f>scenario_indirect_prod_4506_iotable_2020_xlsx_3[[#This Row],[2038]]+scenario_indirect_prod_1610_iotable_2020_xlsx_3[[#This Row],[2038]]</f>
        <v>2826.2227858179194</v>
      </c>
      <c r="P221">
        <f>scenario_indirect_prod_4506_iotable_2020_xlsx_3[[#This Row],[2039]]+scenario_indirect_prod_1610_iotable_2020_xlsx_3[[#This Row],[2039]]</f>
        <v>2826.2227858179194</v>
      </c>
      <c r="Q221">
        <f>scenario_indirect_prod_4506_iotable_2020_xlsx_3[[#This Row],[2040]]+scenario_indirect_prod_1610_iotable_2020_xlsx_3[[#This Row],[2040]]</f>
        <v>2861.0319414332162</v>
      </c>
      <c r="R221">
        <f>scenario_indirect_prod_4506_iotable_2020_xlsx_3[[#This Row],[2041]]+scenario_indirect_prod_1610_iotable_2020_xlsx_3[[#This Row],[2041]]</f>
        <v>2861.0319414332162</v>
      </c>
      <c r="S221">
        <f>scenario_indirect_prod_4506_iotable_2020_xlsx_3[[#This Row],[2042]]+scenario_indirect_prod_1610_iotable_2020_xlsx_3[[#This Row],[2042]]</f>
        <v>2903.5533394224394</v>
      </c>
      <c r="T221">
        <f>scenario_indirect_prod_4506_iotable_2020_xlsx_3[[#This Row],[2043]]+scenario_indirect_prod_1610_iotable_2020_xlsx_3[[#This Row],[2043]]</f>
        <v>2903.5533394224394</v>
      </c>
      <c r="U221">
        <f>scenario_indirect_prod_4506_iotable_2020_xlsx_3[[#This Row],[2044]]+scenario_indirect_prod_1610_iotable_2020_xlsx_3[[#This Row],[2044]]</f>
        <v>2931.5795663359768</v>
      </c>
      <c r="V221">
        <f>scenario_indirect_prod_4506_iotable_2020_xlsx_3[[#This Row],[2045]]+scenario_indirect_prod_1610_iotable_2020_xlsx_3[[#This Row],[2045]]</f>
        <v>2931.5795663359768</v>
      </c>
      <c r="W221">
        <f>scenario_indirect_prod_4506_iotable_2020_xlsx_3[[#This Row],[2046]]+scenario_indirect_prod_1610_iotable_2020_xlsx_3[[#This Row],[2046]]</f>
        <v>2959.3813606468048</v>
      </c>
      <c r="X221">
        <f>scenario_indirect_prod_4506_iotable_2020_xlsx_3[[#This Row],[2047]]+scenario_indirect_prod_1610_iotable_2020_xlsx_3[[#This Row],[2047]]</f>
        <v>2959.3813606468048</v>
      </c>
      <c r="Y221">
        <f>scenario_indirect_prod_4506_iotable_2020_xlsx_3[[#This Row],[2048]]+scenario_indirect_prod_1610_iotable_2020_xlsx_3[[#This Row],[2048]]</f>
        <v>2959.3813606468048</v>
      </c>
      <c r="Z221">
        <f>scenario_indirect_prod_4506_iotable_2020_xlsx_3[[#This Row],[2049]]+scenario_indirect_prod_1610_iotable_2020_xlsx_3[[#This Row],[2049]]</f>
        <v>2959.3813606468048</v>
      </c>
      <c r="AA221">
        <f>scenario_indirect_prod_4506_iotable_2020_xlsx_3[[#This Row],[2050]]+scenario_indirect_prod_1610_iotable_2020_xlsx_3[[#This Row],[2050]]</f>
        <v>2959.3813606468048</v>
      </c>
    </row>
    <row r="222" spans="1:27" x14ac:dyDescent="0.2">
      <c r="A222" t="s">
        <v>408</v>
      </c>
      <c r="B222" t="s">
        <v>163</v>
      </c>
      <c r="C222">
        <f>scenario_indirect_prod_4506_iotable_2020_xlsx_3[[#This Row],[2026]]+scenario_indirect_prod_1610_iotable_2020_xlsx_3[[#This Row],[2026]]</f>
        <v>53441.753596274197</v>
      </c>
      <c r="D222">
        <f>scenario_indirect_prod_4506_iotable_2020_xlsx_3[[#This Row],[2027]]+scenario_indirect_prod_1610_iotable_2020_xlsx_3[[#This Row],[2027]]</f>
        <v>56994.620411508717</v>
      </c>
      <c r="E222">
        <f>scenario_indirect_prod_4506_iotable_2020_xlsx_3[[#This Row],[2028]]+scenario_indirect_prod_1610_iotable_2020_xlsx_3[[#This Row],[2028]]</f>
        <v>59406.473077759787</v>
      </c>
      <c r="F222">
        <f>scenario_indirect_prod_4506_iotable_2020_xlsx_3[[#This Row],[2029]]+scenario_indirect_prod_1610_iotable_2020_xlsx_3[[#This Row],[2029]]</f>
        <v>62544.518010374617</v>
      </c>
      <c r="G222">
        <f>scenario_indirect_prod_4506_iotable_2020_xlsx_3[[#This Row],[2030]]+scenario_indirect_prod_1610_iotable_2020_xlsx_3[[#This Row],[2030]]</f>
        <v>72389.536210061575</v>
      </c>
      <c r="H222">
        <f>scenario_indirect_prod_4506_iotable_2020_xlsx_3[[#This Row],[2031]]+scenario_indirect_prod_1610_iotable_2020_xlsx_3[[#This Row],[2031]]</f>
        <v>75643.606911017429</v>
      </c>
      <c r="I222">
        <f>scenario_indirect_prod_4506_iotable_2020_xlsx_3[[#This Row],[2032]]+scenario_indirect_prod_1610_iotable_2020_xlsx_3[[#This Row],[2032]]</f>
        <v>80188.206227749833</v>
      </c>
      <c r="J222">
        <f>scenario_indirect_prod_4506_iotable_2020_xlsx_3[[#This Row],[2033]]+scenario_indirect_prod_1610_iotable_2020_xlsx_3[[#This Row],[2033]]</f>
        <v>93937.919338934982</v>
      </c>
      <c r="K222">
        <f>scenario_indirect_prod_4506_iotable_2020_xlsx_3[[#This Row],[2034]]+scenario_indirect_prod_1610_iotable_2020_xlsx_3[[#This Row],[2034]]</f>
        <v>98166.90595008916</v>
      </c>
      <c r="L222">
        <f>scenario_indirect_prod_4506_iotable_2020_xlsx_3[[#This Row],[2035]]+scenario_indirect_prod_1610_iotable_2020_xlsx_3[[#This Row],[2035]]</f>
        <v>117103.72155674445</v>
      </c>
      <c r="M222">
        <f>scenario_indirect_prod_4506_iotable_2020_xlsx_3[[#This Row],[2036]]+scenario_indirect_prod_1610_iotable_2020_xlsx_3[[#This Row],[2036]]</f>
        <v>126401.32433106822</v>
      </c>
      <c r="N222">
        <f>scenario_indirect_prod_4506_iotable_2020_xlsx_3[[#This Row],[2037]]+scenario_indirect_prod_1610_iotable_2020_xlsx_3[[#This Row],[2037]]</f>
        <v>134700.21618279265</v>
      </c>
      <c r="O222">
        <f>scenario_indirect_prod_4506_iotable_2020_xlsx_3[[#This Row],[2038]]+scenario_indirect_prod_1610_iotable_2020_xlsx_3[[#This Row],[2038]]</f>
        <v>134700.21618279265</v>
      </c>
      <c r="P222">
        <f>scenario_indirect_prod_4506_iotable_2020_xlsx_3[[#This Row],[2039]]+scenario_indirect_prod_1610_iotable_2020_xlsx_3[[#This Row],[2039]]</f>
        <v>134700.21618279265</v>
      </c>
      <c r="Q222">
        <f>scenario_indirect_prod_4506_iotable_2020_xlsx_3[[#This Row],[2040]]+scenario_indirect_prod_1610_iotable_2020_xlsx_3[[#This Row],[2040]]</f>
        <v>141956.59773364884</v>
      </c>
      <c r="R222">
        <f>scenario_indirect_prod_4506_iotable_2020_xlsx_3[[#This Row],[2041]]+scenario_indirect_prod_1610_iotable_2020_xlsx_3[[#This Row],[2041]]</f>
        <v>141956.59773364884</v>
      </c>
      <c r="S222">
        <f>scenario_indirect_prod_4506_iotable_2020_xlsx_3[[#This Row],[2042]]+scenario_indirect_prod_1610_iotable_2020_xlsx_3[[#This Row],[2042]]</f>
        <v>150058.2704154939</v>
      </c>
      <c r="T222">
        <f>scenario_indirect_prod_4506_iotable_2020_xlsx_3[[#This Row],[2043]]+scenario_indirect_prod_1610_iotable_2020_xlsx_3[[#This Row],[2043]]</f>
        <v>150058.2704154939</v>
      </c>
      <c r="U222">
        <f>scenario_indirect_prod_4506_iotable_2020_xlsx_3[[#This Row],[2044]]+scenario_indirect_prod_1610_iotable_2020_xlsx_3[[#This Row],[2044]]</f>
        <v>157483.23140691771</v>
      </c>
      <c r="V222">
        <f>scenario_indirect_prod_4506_iotable_2020_xlsx_3[[#This Row],[2045]]+scenario_indirect_prod_1610_iotable_2020_xlsx_3[[#This Row],[2045]]</f>
        <v>157483.23140691771</v>
      </c>
      <c r="W222">
        <f>scenario_indirect_prod_4506_iotable_2020_xlsx_3[[#This Row],[2046]]+scenario_indirect_prod_1610_iotable_2020_xlsx_3[[#This Row],[2046]]</f>
        <v>163894.13683771537</v>
      </c>
      <c r="X222">
        <f>scenario_indirect_prod_4506_iotable_2020_xlsx_3[[#This Row],[2047]]+scenario_indirect_prod_1610_iotable_2020_xlsx_3[[#This Row],[2047]]</f>
        <v>163894.13683771537</v>
      </c>
      <c r="Y222">
        <f>scenario_indirect_prod_4506_iotable_2020_xlsx_3[[#This Row],[2048]]+scenario_indirect_prod_1610_iotable_2020_xlsx_3[[#This Row],[2048]]</f>
        <v>163894.13683771537</v>
      </c>
      <c r="Z222">
        <f>scenario_indirect_prod_4506_iotable_2020_xlsx_3[[#This Row],[2049]]+scenario_indirect_prod_1610_iotable_2020_xlsx_3[[#This Row],[2049]]</f>
        <v>163894.13683771537</v>
      </c>
      <c r="AA222">
        <f>scenario_indirect_prod_4506_iotable_2020_xlsx_3[[#This Row],[2050]]+scenario_indirect_prod_1610_iotable_2020_xlsx_3[[#This Row],[2050]]</f>
        <v>163894.13683771537</v>
      </c>
    </row>
    <row r="223" spans="1:27" x14ac:dyDescent="0.2">
      <c r="A223" t="s">
        <v>499</v>
      </c>
      <c r="B223" t="s">
        <v>500</v>
      </c>
      <c r="C223">
        <f>scenario_indirect_prod_4506_iotable_2020_xlsx_3[[#This Row],[2026]]+scenario_indirect_prod_1610_iotable_2020_xlsx_3[[#This Row],[2026]]</f>
        <v>18420.486597993171</v>
      </c>
      <c r="D223">
        <f>scenario_indirect_prod_4506_iotable_2020_xlsx_3[[#This Row],[2027]]+scenario_indirect_prod_1610_iotable_2020_xlsx_3[[#This Row],[2027]]</f>
        <v>19249.522579083554</v>
      </c>
      <c r="E223">
        <f>scenario_indirect_prod_4506_iotable_2020_xlsx_3[[#This Row],[2028]]+scenario_indirect_prod_1610_iotable_2020_xlsx_3[[#This Row],[2028]]</f>
        <v>20104.359863308138</v>
      </c>
      <c r="F223">
        <f>scenario_indirect_prod_4506_iotable_2020_xlsx_3[[#This Row],[2029]]+scenario_indirect_prod_1610_iotable_2020_xlsx_3[[#This Row],[2029]]</f>
        <v>21044.497561791712</v>
      </c>
      <c r="G223">
        <f>scenario_indirect_prod_4506_iotable_2020_xlsx_3[[#This Row],[2030]]+scenario_indirect_prod_1610_iotable_2020_xlsx_3[[#This Row],[2030]]</f>
        <v>23075.230691358847</v>
      </c>
      <c r="H223">
        <f>scenario_indirect_prod_4506_iotable_2020_xlsx_3[[#This Row],[2031]]+scenario_indirect_prod_1610_iotable_2020_xlsx_3[[#This Row],[2031]]</f>
        <v>24228.576830451049</v>
      </c>
      <c r="I223">
        <f>scenario_indirect_prod_4506_iotable_2020_xlsx_3[[#This Row],[2032]]+scenario_indirect_prod_1610_iotable_2020_xlsx_3[[#This Row],[2032]]</f>
        <v>25839.327351063504</v>
      </c>
      <c r="J223">
        <f>scenario_indirect_prod_4506_iotable_2020_xlsx_3[[#This Row],[2033]]+scenario_indirect_prod_1610_iotable_2020_xlsx_3[[#This Row],[2033]]</f>
        <v>29898.950473418889</v>
      </c>
      <c r="K223">
        <f>scenario_indirect_prod_4506_iotable_2020_xlsx_3[[#This Row],[2034]]+scenario_indirect_prod_1610_iotable_2020_xlsx_3[[#This Row],[2034]]</f>
        <v>31397.83781437757</v>
      </c>
      <c r="L223">
        <f>scenario_indirect_prod_4506_iotable_2020_xlsx_3[[#This Row],[2035]]+scenario_indirect_prod_1610_iotable_2020_xlsx_3[[#This Row],[2035]]</f>
        <v>37079.584598568559</v>
      </c>
      <c r="M223">
        <f>scenario_indirect_prod_4506_iotable_2020_xlsx_3[[#This Row],[2036]]+scenario_indirect_prod_1610_iotable_2020_xlsx_3[[#This Row],[2036]]</f>
        <v>39698.83769949017</v>
      </c>
      <c r="N223">
        <f>scenario_indirect_prod_4506_iotable_2020_xlsx_3[[#This Row],[2037]]+scenario_indirect_prod_1610_iotable_2020_xlsx_3[[#This Row],[2037]]</f>
        <v>42049.16698600044</v>
      </c>
      <c r="O223">
        <f>scenario_indirect_prod_4506_iotable_2020_xlsx_3[[#This Row],[2038]]+scenario_indirect_prod_1610_iotable_2020_xlsx_3[[#This Row],[2038]]</f>
        <v>42049.16698600044</v>
      </c>
      <c r="P223">
        <f>scenario_indirect_prod_4506_iotable_2020_xlsx_3[[#This Row],[2039]]+scenario_indirect_prod_1610_iotable_2020_xlsx_3[[#This Row],[2039]]</f>
        <v>42049.16698600044</v>
      </c>
      <c r="Q223">
        <f>scenario_indirect_prod_4506_iotable_2020_xlsx_3[[#This Row],[2040]]+scenario_indirect_prod_1610_iotable_2020_xlsx_3[[#This Row],[2040]]</f>
        <v>44102.162060849099</v>
      </c>
      <c r="R223">
        <f>scenario_indirect_prod_4506_iotable_2020_xlsx_3[[#This Row],[2041]]+scenario_indirect_prod_1610_iotable_2020_xlsx_3[[#This Row],[2041]]</f>
        <v>44102.162060849099</v>
      </c>
      <c r="S223">
        <f>scenario_indirect_prod_4506_iotable_2020_xlsx_3[[#This Row],[2042]]+scenario_indirect_prod_1610_iotable_2020_xlsx_3[[#This Row],[2042]]</f>
        <v>46400.918093552318</v>
      </c>
      <c r="T223">
        <f>scenario_indirect_prod_4506_iotable_2020_xlsx_3[[#This Row],[2043]]+scenario_indirect_prod_1610_iotable_2020_xlsx_3[[#This Row],[2043]]</f>
        <v>46400.918093552318</v>
      </c>
      <c r="U223">
        <f>scenario_indirect_prod_4506_iotable_2020_xlsx_3[[#This Row],[2044]]+scenario_indirect_prod_1610_iotable_2020_xlsx_3[[#This Row],[2044]]</f>
        <v>48487.889908325786</v>
      </c>
      <c r="V223">
        <f>scenario_indirect_prod_4506_iotable_2020_xlsx_3[[#This Row],[2045]]+scenario_indirect_prod_1610_iotable_2020_xlsx_3[[#This Row],[2045]]</f>
        <v>48487.889908325786</v>
      </c>
      <c r="W223">
        <f>scenario_indirect_prod_4506_iotable_2020_xlsx_3[[#This Row],[2046]]+scenario_indirect_prod_1610_iotable_2020_xlsx_3[[#This Row],[2046]]</f>
        <v>50296.347027108888</v>
      </c>
      <c r="X223">
        <f>scenario_indirect_prod_4506_iotable_2020_xlsx_3[[#This Row],[2047]]+scenario_indirect_prod_1610_iotable_2020_xlsx_3[[#This Row],[2047]]</f>
        <v>50296.347027108888</v>
      </c>
      <c r="Y223">
        <f>scenario_indirect_prod_4506_iotable_2020_xlsx_3[[#This Row],[2048]]+scenario_indirect_prod_1610_iotable_2020_xlsx_3[[#This Row],[2048]]</f>
        <v>50296.347027108888</v>
      </c>
      <c r="Z223">
        <f>scenario_indirect_prod_4506_iotable_2020_xlsx_3[[#This Row],[2049]]+scenario_indirect_prod_1610_iotable_2020_xlsx_3[[#This Row],[2049]]</f>
        <v>50296.347027108888</v>
      </c>
      <c r="AA223">
        <f>scenario_indirect_prod_4506_iotable_2020_xlsx_3[[#This Row],[2050]]+scenario_indirect_prod_1610_iotable_2020_xlsx_3[[#This Row],[2050]]</f>
        <v>50296.347027108888</v>
      </c>
    </row>
    <row r="224" spans="1:27" x14ac:dyDescent="0.2">
      <c r="A224" t="s">
        <v>396</v>
      </c>
      <c r="B224" t="s">
        <v>397</v>
      </c>
      <c r="C224">
        <f>scenario_indirect_prod_4506_iotable_2020_xlsx_3[[#This Row],[2026]]+scenario_indirect_prod_1610_iotable_2020_xlsx_3[[#This Row],[2026]]</f>
        <v>67517.304756476486</v>
      </c>
      <c r="D224">
        <f>scenario_indirect_prod_4506_iotable_2020_xlsx_3[[#This Row],[2027]]+scenario_indirect_prod_1610_iotable_2020_xlsx_3[[#This Row],[2027]]</f>
        <v>72788.560439521723</v>
      </c>
      <c r="E224">
        <f>scenario_indirect_prod_4506_iotable_2020_xlsx_3[[#This Row],[2028]]+scenario_indirect_prod_1610_iotable_2020_xlsx_3[[#This Row],[2028]]</f>
        <v>75789.133113927586</v>
      </c>
      <c r="F224">
        <f>scenario_indirect_prod_4506_iotable_2020_xlsx_3[[#This Row],[2029]]+scenario_indirect_prod_1610_iotable_2020_xlsx_3[[#This Row],[2029]]</f>
        <v>80033.619064083279</v>
      </c>
      <c r="G224">
        <f>scenario_indirect_prod_4506_iotable_2020_xlsx_3[[#This Row],[2030]]+scenario_indirect_prod_1610_iotable_2020_xlsx_3[[#This Row],[2030]]</f>
        <v>95167.622429297291</v>
      </c>
      <c r="H224">
        <f>scenario_indirect_prod_4506_iotable_2020_xlsx_3[[#This Row],[2031]]+scenario_indirect_prod_1610_iotable_2020_xlsx_3[[#This Row],[2031]]</f>
        <v>99215.993941579567</v>
      </c>
      <c r="I224">
        <f>scenario_indirect_prod_4506_iotable_2020_xlsx_3[[#This Row],[2032]]+scenario_indirect_prod_1610_iotable_2020_xlsx_3[[#This Row],[2032]]</f>
        <v>104869.90502691422</v>
      </c>
      <c r="J224">
        <f>scenario_indirect_prod_4506_iotable_2020_xlsx_3[[#This Row],[2033]]+scenario_indirect_prod_1610_iotable_2020_xlsx_3[[#This Row],[2033]]</f>
        <v>123585.73455599193</v>
      </c>
      <c r="K224">
        <f>scenario_indirect_prod_4506_iotable_2020_xlsx_3[[#This Row],[2034]]+scenario_indirect_prod_1610_iotable_2020_xlsx_3[[#This Row],[2034]]</f>
        <v>128846.99360527775</v>
      </c>
      <c r="L224">
        <f>scenario_indirect_prod_4506_iotable_2020_xlsx_3[[#This Row],[2035]]+scenario_indirect_prod_1610_iotable_2020_xlsx_3[[#This Row],[2035]]</f>
        <v>154444.10670434666</v>
      </c>
      <c r="M224">
        <f>scenario_indirect_prod_4506_iotable_2020_xlsx_3[[#This Row],[2036]]+scenario_indirect_prod_1610_iotable_2020_xlsx_3[[#This Row],[2036]]</f>
        <v>167348.85695458288</v>
      </c>
      <c r="N224">
        <f>scenario_indirect_prod_4506_iotable_2020_xlsx_3[[#This Row],[2037]]+scenario_indirect_prod_1610_iotable_2020_xlsx_3[[#This Row],[2037]]</f>
        <v>178842.84734867426</v>
      </c>
      <c r="O224">
        <f>scenario_indirect_prod_4506_iotable_2020_xlsx_3[[#This Row],[2038]]+scenario_indirect_prod_1610_iotable_2020_xlsx_3[[#This Row],[2038]]</f>
        <v>178842.84734867426</v>
      </c>
      <c r="P224">
        <f>scenario_indirect_prod_4506_iotable_2020_xlsx_3[[#This Row],[2039]]+scenario_indirect_prod_1610_iotable_2020_xlsx_3[[#This Row],[2039]]</f>
        <v>178842.84734867426</v>
      </c>
      <c r="Q224">
        <f>scenario_indirect_prod_4506_iotable_2020_xlsx_3[[#This Row],[2040]]+scenario_indirect_prod_1610_iotable_2020_xlsx_3[[#This Row],[2040]]</f>
        <v>188897.08258511676</v>
      </c>
      <c r="R224">
        <f>scenario_indirect_prod_4506_iotable_2020_xlsx_3[[#This Row],[2041]]+scenario_indirect_prod_1610_iotable_2020_xlsx_3[[#This Row],[2041]]</f>
        <v>188897.08258511676</v>
      </c>
      <c r="S224">
        <f>scenario_indirect_prod_4506_iotable_2020_xlsx_3[[#This Row],[2042]]+scenario_indirect_prod_1610_iotable_2020_xlsx_3[[#This Row],[2042]]</f>
        <v>200109.45372311227</v>
      </c>
      <c r="T224">
        <f>scenario_indirect_prod_4506_iotable_2020_xlsx_3[[#This Row],[2043]]+scenario_indirect_prod_1610_iotable_2020_xlsx_3[[#This Row],[2043]]</f>
        <v>200109.45372311227</v>
      </c>
      <c r="U224">
        <f>scenario_indirect_prod_4506_iotable_2020_xlsx_3[[#This Row],[2044]]+scenario_indirect_prod_1610_iotable_2020_xlsx_3[[#This Row],[2044]]</f>
        <v>210424.40857370492</v>
      </c>
      <c r="V224">
        <f>scenario_indirect_prod_4506_iotable_2020_xlsx_3[[#This Row],[2045]]+scenario_indirect_prod_1610_iotable_2020_xlsx_3[[#This Row],[2045]]</f>
        <v>210424.40857370492</v>
      </c>
      <c r="W224">
        <f>scenario_indirect_prod_4506_iotable_2020_xlsx_3[[#This Row],[2046]]+scenario_indirect_prod_1610_iotable_2020_xlsx_3[[#This Row],[2046]]</f>
        <v>219317.7284017964</v>
      </c>
      <c r="X224">
        <f>scenario_indirect_prod_4506_iotable_2020_xlsx_3[[#This Row],[2047]]+scenario_indirect_prod_1610_iotable_2020_xlsx_3[[#This Row],[2047]]</f>
        <v>219317.7284017964</v>
      </c>
      <c r="Y224">
        <f>scenario_indirect_prod_4506_iotable_2020_xlsx_3[[#This Row],[2048]]+scenario_indirect_prod_1610_iotable_2020_xlsx_3[[#This Row],[2048]]</f>
        <v>219317.7284017964</v>
      </c>
      <c r="Z224">
        <f>scenario_indirect_prod_4506_iotable_2020_xlsx_3[[#This Row],[2049]]+scenario_indirect_prod_1610_iotable_2020_xlsx_3[[#This Row],[2049]]</f>
        <v>219317.7284017964</v>
      </c>
      <c r="AA224">
        <f>scenario_indirect_prod_4506_iotable_2020_xlsx_3[[#This Row],[2050]]+scenario_indirect_prod_1610_iotable_2020_xlsx_3[[#This Row],[2050]]</f>
        <v>219317.7284017964</v>
      </c>
    </row>
    <row r="225" spans="1:27" x14ac:dyDescent="0.2">
      <c r="A225" t="s">
        <v>745</v>
      </c>
      <c r="B225" t="s">
        <v>257</v>
      </c>
      <c r="C225">
        <f>scenario_indirect_prod_4506_iotable_2020_xlsx_3[[#This Row],[2026]]+scenario_indirect_prod_1610_iotable_2020_xlsx_3[[#This Row],[2026]]</f>
        <v>1654.816477030135</v>
      </c>
      <c r="D225">
        <f>scenario_indirect_prod_4506_iotable_2020_xlsx_3[[#This Row],[2027]]+scenario_indirect_prod_1610_iotable_2020_xlsx_3[[#This Row],[2027]]</f>
        <v>1280.5321650551853</v>
      </c>
      <c r="E225">
        <f>scenario_indirect_prod_4506_iotable_2020_xlsx_3[[#This Row],[2028]]+scenario_indirect_prod_1610_iotable_2020_xlsx_3[[#This Row],[2028]]</f>
        <v>1383.9996736615019</v>
      </c>
      <c r="F225">
        <f>scenario_indirect_prod_4506_iotable_2020_xlsx_3[[#This Row],[2029]]+scenario_indirect_prod_1610_iotable_2020_xlsx_3[[#This Row],[2029]]</f>
        <v>1307.9401695635274</v>
      </c>
      <c r="G225">
        <f>scenario_indirect_prod_4506_iotable_2020_xlsx_3[[#This Row],[2030]]+scenario_indirect_prod_1610_iotable_2020_xlsx_3[[#This Row],[2030]]</f>
        <v>-55.51288272613192</v>
      </c>
      <c r="H225">
        <f>scenario_indirect_prod_4506_iotable_2020_xlsx_3[[#This Row],[2031]]+scenario_indirect_prod_1610_iotable_2020_xlsx_3[[#This Row],[2031]]</f>
        <v>84.085440574458062</v>
      </c>
      <c r="I225">
        <f>scenario_indirect_prod_4506_iotable_2020_xlsx_3[[#This Row],[2032]]+scenario_indirect_prod_1610_iotable_2020_xlsx_3[[#This Row],[2032]]</f>
        <v>279.04692205133779</v>
      </c>
      <c r="J225">
        <f>scenario_indirect_prod_4506_iotable_2020_xlsx_3[[#This Row],[2033]]+scenario_indirect_prod_1610_iotable_2020_xlsx_3[[#This Row],[2033]]</f>
        <v>-127.30722830063951</v>
      </c>
      <c r="K225">
        <f>scenario_indirect_prod_4506_iotable_2020_xlsx_3[[#This Row],[2034]]+scenario_indirect_prod_1610_iotable_2020_xlsx_3[[#This Row],[2034]]</f>
        <v>54.11459514172202</v>
      </c>
      <c r="L225">
        <f>scenario_indirect_prod_4506_iotable_2020_xlsx_3[[#This Row],[2035]]+scenario_indirect_prod_1610_iotable_2020_xlsx_3[[#This Row],[2035]]</f>
        <v>-394.58828084845754</v>
      </c>
      <c r="M225">
        <f>scenario_indirect_prod_4506_iotable_2020_xlsx_3[[#This Row],[2036]]+scenario_indirect_prod_1610_iotable_2020_xlsx_3[[#This Row],[2036]]</f>
        <v>-823.47599968723625</v>
      </c>
      <c r="N225">
        <f>scenario_indirect_prod_4506_iotable_2020_xlsx_3[[#This Row],[2037]]+scenario_indirect_prod_1610_iotable_2020_xlsx_3[[#This Row],[2037]]</f>
        <v>-1191.0817193038338</v>
      </c>
      <c r="O225">
        <f>scenario_indirect_prod_4506_iotable_2020_xlsx_3[[#This Row],[2038]]+scenario_indirect_prod_1610_iotable_2020_xlsx_3[[#This Row],[2038]]</f>
        <v>-1191.0817193038338</v>
      </c>
      <c r="P225">
        <f>scenario_indirect_prod_4506_iotable_2020_xlsx_3[[#This Row],[2039]]+scenario_indirect_prod_1610_iotable_2020_xlsx_3[[#This Row],[2039]]</f>
        <v>-1191.0817193038338</v>
      </c>
      <c r="Q225">
        <f>scenario_indirect_prod_4506_iotable_2020_xlsx_3[[#This Row],[2040]]+scenario_indirect_prod_1610_iotable_2020_xlsx_3[[#This Row],[2040]]</f>
        <v>-1515.0610962124929</v>
      </c>
      <c r="R225">
        <f>scenario_indirect_prod_4506_iotable_2020_xlsx_3[[#This Row],[2041]]+scenario_indirect_prod_1610_iotable_2020_xlsx_3[[#This Row],[2041]]</f>
        <v>-1515.0610962124929</v>
      </c>
      <c r="S225">
        <f>scenario_indirect_prod_4506_iotable_2020_xlsx_3[[#This Row],[2042]]+scenario_indirect_prod_1610_iotable_2020_xlsx_3[[#This Row],[2042]]</f>
        <v>-1868.6894702939271</v>
      </c>
      <c r="T225">
        <f>scenario_indirect_prod_4506_iotable_2020_xlsx_3[[#This Row],[2043]]+scenario_indirect_prod_1610_iotable_2020_xlsx_3[[#This Row],[2043]]</f>
        <v>-1868.6894702939271</v>
      </c>
      <c r="U225">
        <f>scenario_indirect_prod_4506_iotable_2020_xlsx_3[[#This Row],[2044]]+scenario_indirect_prod_1610_iotable_2020_xlsx_3[[#This Row],[2044]]</f>
        <v>-2216.9904211213434</v>
      </c>
      <c r="V225">
        <f>scenario_indirect_prod_4506_iotable_2020_xlsx_3[[#This Row],[2045]]+scenario_indirect_prod_1610_iotable_2020_xlsx_3[[#This Row],[2045]]</f>
        <v>-2216.9904211213434</v>
      </c>
      <c r="W225">
        <f>scenario_indirect_prod_4506_iotable_2020_xlsx_3[[#This Row],[2046]]+scenario_indirect_prod_1610_iotable_2020_xlsx_3[[#This Row],[2046]]</f>
        <v>-2509.7511699491815</v>
      </c>
      <c r="X225">
        <f>scenario_indirect_prod_4506_iotable_2020_xlsx_3[[#This Row],[2047]]+scenario_indirect_prod_1610_iotable_2020_xlsx_3[[#This Row],[2047]]</f>
        <v>-2509.7511699491815</v>
      </c>
      <c r="Y225">
        <f>scenario_indirect_prod_4506_iotable_2020_xlsx_3[[#This Row],[2048]]+scenario_indirect_prod_1610_iotable_2020_xlsx_3[[#This Row],[2048]]</f>
        <v>-2509.7511699491815</v>
      </c>
      <c r="Z225">
        <f>scenario_indirect_prod_4506_iotable_2020_xlsx_3[[#This Row],[2049]]+scenario_indirect_prod_1610_iotable_2020_xlsx_3[[#This Row],[2049]]</f>
        <v>-2509.7511699491815</v>
      </c>
      <c r="AA225">
        <f>scenario_indirect_prod_4506_iotable_2020_xlsx_3[[#This Row],[2050]]+scenario_indirect_prod_1610_iotable_2020_xlsx_3[[#This Row],[2050]]</f>
        <v>-2509.7511699491815</v>
      </c>
    </row>
    <row r="226" spans="1:27" x14ac:dyDescent="0.2">
      <c r="A226" t="s">
        <v>655</v>
      </c>
      <c r="B226" t="s">
        <v>656</v>
      </c>
      <c r="C226">
        <f>scenario_indirect_prod_4506_iotable_2020_xlsx_3[[#This Row],[2026]]+scenario_indirect_prod_1610_iotable_2020_xlsx_3[[#This Row],[2026]]</f>
        <v>3621.539773842469</v>
      </c>
      <c r="D226">
        <f>scenario_indirect_prod_4506_iotable_2020_xlsx_3[[#This Row],[2027]]+scenario_indirect_prod_1610_iotable_2020_xlsx_3[[#This Row],[2027]]</f>
        <v>3452.9355975926892</v>
      </c>
      <c r="E226">
        <f>scenario_indirect_prod_4506_iotable_2020_xlsx_3[[#This Row],[2028]]+scenario_indirect_prod_1610_iotable_2020_xlsx_3[[#This Row],[2028]]</f>
        <v>3640.7087353772067</v>
      </c>
      <c r="F226">
        <f>scenario_indirect_prod_4506_iotable_2020_xlsx_3[[#This Row],[2029]]+scenario_indirect_prod_1610_iotable_2020_xlsx_3[[#This Row],[2029]]</f>
        <v>3706.9349810632502</v>
      </c>
      <c r="G226">
        <f>scenario_indirect_prod_4506_iotable_2020_xlsx_3[[#This Row],[2030]]+scenario_indirect_prod_1610_iotable_2020_xlsx_3[[#This Row],[2030]]</f>
        <v>2963.9091692657953</v>
      </c>
      <c r="H226">
        <f>scenario_indirect_prod_4506_iotable_2020_xlsx_3[[#This Row],[2031]]+scenario_indirect_prod_1610_iotable_2020_xlsx_3[[#This Row],[2031]]</f>
        <v>3217.2526154228563</v>
      </c>
      <c r="I226">
        <f>scenario_indirect_prod_4506_iotable_2020_xlsx_3[[#This Row],[2032]]+scenario_indirect_prod_1610_iotable_2020_xlsx_3[[#This Row],[2032]]</f>
        <v>3571.069283255496</v>
      </c>
      <c r="J226">
        <f>scenario_indirect_prod_4506_iotable_2020_xlsx_3[[#This Row],[2033]]+scenario_indirect_prod_1610_iotable_2020_xlsx_3[[#This Row],[2033]]</f>
        <v>3799.4653807803506</v>
      </c>
      <c r="K226">
        <f>scenario_indirect_prod_4506_iotable_2020_xlsx_3[[#This Row],[2034]]+scenario_indirect_prod_1610_iotable_2020_xlsx_3[[#This Row],[2034]]</f>
        <v>4128.7102375399672</v>
      </c>
      <c r="L226">
        <f>scenario_indirect_prod_4506_iotable_2020_xlsx_3[[#This Row],[2035]]+scenario_indirect_prod_1610_iotable_2020_xlsx_3[[#This Row],[2035]]</f>
        <v>4537.0522743713409</v>
      </c>
      <c r="M226">
        <f>scenario_indirect_prod_4506_iotable_2020_xlsx_3[[#This Row],[2036]]+scenario_indirect_prod_1610_iotable_2020_xlsx_3[[#This Row],[2036]]</f>
        <v>4561.2285385790492</v>
      </c>
      <c r="N226">
        <f>scenario_indirect_prod_4506_iotable_2020_xlsx_3[[#This Row],[2037]]+scenario_indirect_prod_1610_iotable_2020_xlsx_3[[#This Row],[2037]]</f>
        <v>4595.6668178749451</v>
      </c>
      <c r="O226">
        <f>scenario_indirect_prod_4506_iotable_2020_xlsx_3[[#This Row],[2038]]+scenario_indirect_prod_1610_iotable_2020_xlsx_3[[#This Row],[2038]]</f>
        <v>4595.6668178749451</v>
      </c>
      <c r="P226">
        <f>scenario_indirect_prod_4506_iotable_2020_xlsx_3[[#This Row],[2039]]+scenario_indirect_prod_1610_iotable_2020_xlsx_3[[#This Row],[2039]]</f>
        <v>4595.6668178749451</v>
      </c>
      <c r="Q226">
        <f>scenario_indirect_prod_4506_iotable_2020_xlsx_3[[#This Row],[2040]]+scenario_indirect_prod_1610_iotable_2020_xlsx_3[[#This Row],[2040]]</f>
        <v>4623.6214145388249</v>
      </c>
      <c r="R226">
        <f>scenario_indirect_prod_4506_iotable_2020_xlsx_3[[#This Row],[2041]]+scenario_indirect_prod_1610_iotable_2020_xlsx_3[[#This Row],[2041]]</f>
        <v>4623.6214145388249</v>
      </c>
      <c r="S226">
        <f>scenario_indirect_prod_4506_iotable_2020_xlsx_3[[#This Row],[2042]]+scenario_indirect_prod_1610_iotable_2020_xlsx_3[[#This Row],[2042]]</f>
        <v>4661.671716880317</v>
      </c>
      <c r="T226">
        <f>scenario_indirect_prod_4506_iotable_2020_xlsx_3[[#This Row],[2043]]+scenario_indirect_prod_1610_iotable_2020_xlsx_3[[#This Row],[2043]]</f>
        <v>4661.671716880317</v>
      </c>
      <c r="U226">
        <f>scenario_indirect_prod_4506_iotable_2020_xlsx_3[[#This Row],[2044]]+scenario_indirect_prod_1610_iotable_2020_xlsx_3[[#This Row],[2044]]</f>
        <v>4676.0793251047471</v>
      </c>
      <c r="V226">
        <f>scenario_indirect_prod_4506_iotable_2020_xlsx_3[[#This Row],[2045]]+scenario_indirect_prod_1610_iotable_2020_xlsx_3[[#This Row],[2045]]</f>
        <v>4676.0793251047471</v>
      </c>
      <c r="W226">
        <f>scenario_indirect_prod_4506_iotable_2020_xlsx_3[[#This Row],[2046]]+scenario_indirect_prod_1610_iotable_2020_xlsx_3[[#This Row],[2046]]</f>
        <v>4695.2573010486758</v>
      </c>
      <c r="X226">
        <f>scenario_indirect_prod_4506_iotable_2020_xlsx_3[[#This Row],[2047]]+scenario_indirect_prod_1610_iotable_2020_xlsx_3[[#This Row],[2047]]</f>
        <v>4695.2573010486758</v>
      </c>
      <c r="Y226">
        <f>scenario_indirect_prod_4506_iotable_2020_xlsx_3[[#This Row],[2048]]+scenario_indirect_prod_1610_iotable_2020_xlsx_3[[#This Row],[2048]]</f>
        <v>4695.2573010486758</v>
      </c>
      <c r="Z226">
        <f>scenario_indirect_prod_4506_iotable_2020_xlsx_3[[#This Row],[2049]]+scenario_indirect_prod_1610_iotable_2020_xlsx_3[[#This Row],[2049]]</f>
        <v>4695.2573010486758</v>
      </c>
      <c r="AA226">
        <f>scenario_indirect_prod_4506_iotable_2020_xlsx_3[[#This Row],[2050]]+scenario_indirect_prod_1610_iotable_2020_xlsx_3[[#This Row],[2050]]</f>
        <v>4695.2573010486758</v>
      </c>
    </row>
    <row r="227" spans="1:27" x14ac:dyDescent="0.2">
      <c r="A227" t="s">
        <v>805</v>
      </c>
      <c r="B227" t="s">
        <v>806</v>
      </c>
      <c r="C227">
        <f>scenario_indirect_prod_4506_iotable_2020_xlsx_3[[#This Row],[2026]]+scenario_indirect_prod_1610_iotable_2020_xlsx_3[[#This Row],[2026]]</f>
        <v>-323.2062413282606</v>
      </c>
      <c r="D227">
        <f>scenario_indirect_prod_4506_iotable_2020_xlsx_3[[#This Row],[2027]]+scenario_indirect_prod_1610_iotable_2020_xlsx_3[[#This Row],[2027]]</f>
        <v>-1595.3923645605284</v>
      </c>
      <c r="E227">
        <f>scenario_indirect_prod_4506_iotable_2020_xlsx_3[[#This Row],[2028]]+scenario_indirect_prod_1610_iotable_2020_xlsx_3[[#This Row],[2028]]</f>
        <v>-1535.6420947736547</v>
      </c>
      <c r="F227">
        <f>scenario_indirect_prod_4506_iotable_2020_xlsx_3[[#This Row],[2029]]+scenario_indirect_prod_1610_iotable_2020_xlsx_3[[#This Row],[2029]]</f>
        <v>-2001.9828521357431</v>
      </c>
      <c r="G227">
        <f>scenario_indirect_prod_4506_iotable_2020_xlsx_3[[#This Row],[2030]]+scenario_indirect_prod_1610_iotable_2020_xlsx_3[[#This Row],[2030]]</f>
        <v>-6369.910446878268</v>
      </c>
      <c r="H227">
        <f>scenario_indirect_prod_4506_iotable_2020_xlsx_3[[#This Row],[2031]]+scenario_indirect_prod_1610_iotable_2020_xlsx_3[[#This Row],[2031]]</f>
        <v>-6289.2954055831142</v>
      </c>
      <c r="I227">
        <f>scenario_indirect_prod_4506_iotable_2020_xlsx_3[[#This Row],[2032]]+scenario_indirect_prod_1610_iotable_2020_xlsx_3[[#This Row],[2032]]</f>
        <v>-6176.7093264052019</v>
      </c>
      <c r="J227">
        <f>scenario_indirect_prod_4506_iotable_2020_xlsx_3[[#This Row],[2033]]+scenario_indirect_prod_1610_iotable_2020_xlsx_3[[#This Row],[2033]]</f>
        <v>-8408.7921824866917</v>
      </c>
      <c r="K227">
        <f>scenario_indirect_prod_4506_iotable_2020_xlsx_3[[#This Row],[2034]]+scenario_indirect_prod_1610_iotable_2020_xlsx_3[[#This Row],[2034]]</f>
        <v>-8304.0249657834011</v>
      </c>
      <c r="L227">
        <f>scenario_indirect_prod_4506_iotable_2020_xlsx_3[[#This Row],[2035]]+scenario_indirect_prod_1610_iotable_2020_xlsx_3[[#This Row],[2035]]</f>
        <v>-11091.639223167072</v>
      </c>
      <c r="M227">
        <f>scenario_indirect_prod_4506_iotable_2020_xlsx_3[[#This Row],[2036]]+scenario_indirect_prod_1610_iotable_2020_xlsx_3[[#This Row],[2036]]</f>
        <v>-12998.968979919231</v>
      </c>
      <c r="N227">
        <f>scenario_indirect_prod_4506_iotable_2020_xlsx_3[[#This Row],[2037]]+scenario_indirect_prod_1610_iotable_2020_xlsx_3[[#This Row],[2037]]</f>
        <v>-14662.134552168087</v>
      </c>
      <c r="O227">
        <f>scenario_indirect_prod_4506_iotable_2020_xlsx_3[[#This Row],[2038]]+scenario_indirect_prod_1610_iotable_2020_xlsx_3[[#This Row],[2038]]</f>
        <v>-14662.134552168087</v>
      </c>
      <c r="P227">
        <f>scenario_indirect_prod_4506_iotable_2020_xlsx_3[[#This Row],[2039]]+scenario_indirect_prod_1610_iotable_2020_xlsx_3[[#This Row],[2039]]</f>
        <v>-14662.134552168087</v>
      </c>
      <c r="Q227">
        <f>scenario_indirect_prod_4506_iotable_2020_xlsx_3[[#This Row],[2040]]+scenario_indirect_prod_1610_iotable_2020_xlsx_3[[#This Row],[2040]]</f>
        <v>-16122.964239221654</v>
      </c>
      <c r="R227">
        <f>scenario_indirect_prod_4506_iotable_2020_xlsx_3[[#This Row],[2041]]+scenario_indirect_prod_1610_iotable_2020_xlsx_3[[#This Row],[2041]]</f>
        <v>-16122.964239221654</v>
      </c>
      <c r="S227">
        <f>scenario_indirect_prod_4506_iotable_2020_xlsx_3[[#This Row],[2042]]+scenario_indirect_prod_1610_iotable_2020_xlsx_3[[#This Row],[2042]]</f>
        <v>-17733.06965326488</v>
      </c>
      <c r="T227">
        <f>scenario_indirect_prod_4506_iotable_2020_xlsx_3[[#This Row],[2043]]+scenario_indirect_prod_1610_iotable_2020_xlsx_3[[#This Row],[2043]]</f>
        <v>-17733.06965326488</v>
      </c>
      <c r="U227">
        <f>scenario_indirect_prod_4506_iotable_2020_xlsx_3[[#This Row],[2044]]+scenario_indirect_prod_1610_iotable_2020_xlsx_3[[#This Row],[2044]]</f>
        <v>-19271.210005899302</v>
      </c>
      <c r="V227">
        <f>scenario_indirect_prod_4506_iotable_2020_xlsx_3[[#This Row],[2045]]+scenario_indirect_prod_1610_iotable_2020_xlsx_3[[#This Row],[2045]]</f>
        <v>-19271.210005899302</v>
      </c>
      <c r="W227">
        <f>scenario_indirect_prod_4506_iotable_2020_xlsx_3[[#This Row],[2046]]+scenario_indirect_prod_1610_iotable_2020_xlsx_3[[#This Row],[2046]]</f>
        <v>-20578.69448709127</v>
      </c>
      <c r="X227">
        <f>scenario_indirect_prod_4506_iotable_2020_xlsx_3[[#This Row],[2047]]+scenario_indirect_prod_1610_iotable_2020_xlsx_3[[#This Row],[2047]]</f>
        <v>-20578.69448709127</v>
      </c>
      <c r="Y227">
        <f>scenario_indirect_prod_4506_iotable_2020_xlsx_3[[#This Row],[2048]]+scenario_indirect_prod_1610_iotable_2020_xlsx_3[[#This Row],[2048]]</f>
        <v>-20578.69448709127</v>
      </c>
      <c r="Z227">
        <f>scenario_indirect_prod_4506_iotable_2020_xlsx_3[[#This Row],[2049]]+scenario_indirect_prod_1610_iotable_2020_xlsx_3[[#This Row],[2049]]</f>
        <v>-20578.69448709127</v>
      </c>
      <c r="AA227">
        <f>scenario_indirect_prod_4506_iotable_2020_xlsx_3[[#This Row],[2050]]+scenario_indirect_prod_1610_iotable_2020_xlsx_3[[#This Row],[2050]]</f>
        <v>-20578.69448709127</v>
      </c>
    </row>
    <row r="228" spans="1:27" x14ac:dyDescent="0.2">
      <c r="A228" t="s">
        <v>850</v>
      </c>
      <c r="B228" t="s">
        <v>851</v>
      </c>
      <c r="C228">
        <f>scenario_indirect_prod_4506_iotable_2020_xlsx_3[[#This Row],[2026]]+scenario_indirect_prod_1610_iotable_2020_xlsx_3[[#This Row],[2026]]</f>
        <v>664.56399677372497</v>
      </c>
      <c r="D228">
        <f>scenario_indirect_prod_4506_iotable_2020_xlsx_3[[#This Row],[2027]]+scenario_indirect_prod_1610_iotable_2020_xlsx_3[[#This Row],[2027]]</f>
        <v>610.11748488728301</v>
      </c>
      <c r="E228">
        <f>scenario_indirect_prod_4506_iotable_2020_xlsx_3[[#This Row],[2028]]+scenario_indirect_prod_1610_iotable_2020_xlsx_3[[#This Row],[2028]]</f>
        <v>645.97162137733358</v>
      </c>
      <c r="F228">
        <f>scenario_indirect_prod_4506_iotable_2020_xlsx_3[[#This Row],[2029]]+scenario_indirect_prod_1610_iotable_2020_xlsx_3[[#This Row],[2029]]</f>
        <v>649.71608983088765</v>
      </c>
      <c r="G228">
        <f>scenario_indirect_prod_4506_iotable_2020_xlsx_3[[#This Row],[2030]]+scenario_indirect_prod_1610_iotable_2020_xlsx_3[[#This Row],[2030]]</f>
        <v>432.39160345661946</v>
      </c>
      <c r="H228">
        <f>scenario_indirect_prod_4506_iotable_2020_xlsx_3[[#This Row],[2031]]+scenario_indirect_prod_1610_iotable_2020_xlsx_3[[#This Row],[2031]]</f>
        <v>480.76599078671154</v>
      </c>
      <c r="I228">
        <f>scenario_indirect_prod_4506_iotable_2020_xlsx_3[[#This Row],[2032]]+scenario_indirect_prod_1610_iotable_2020_xlsx_3[[#This Row],[2032]]</f>
        <v>548.32512757593702</v>
      </c>
      <c r="J228">
        <f>scenario_indirect_prod_4506_iotable_2020_xlsx_3[[#This Row],[2033]]+scenario_indirect_prod_1610_iotable_2020_xlsx_3[[#This Row],[2033]]</f>
        <v>549.84706406646126</v>
      </c>
      <c r="K228">
        <f>scenario_indirect_prod_4506_iotable_2020_xlsx_3[[#This Row],[2034]]+scenario_indirect_prod_1610_iotable_2020_xlsx_3[[#This Row],[2034]]</f>
        <v>612.71436325625939</v>
      </c>
      <c r="L228">
        <f>scenario_indirect_prod_4506_iotable_2020_xlsx_3[[#This Row],[2035]]+scenario_indirect_prod_1610_iotable_2020_xlsx_3[[#This Row],[2035]]</f>
        <v>637.40525348811298</v>
      </c>
      <c r="M228">
        <f>scenario_indirect_prod_4506_iotable_2020_xlsx_3[[#This Row],[2036]]+scenario_indirect_prod_1610_iotable_2020_xlsx_3[[#This Row],[2036]]</f>
        <v>607.04992682274428</v>
      </c>
      <c r="N228">
        <f>scenario_indirect_prod_4506_iotable_2020_xlsx_3[[#This Row],[2037]]+scenario_indirect_prod_1610_iotable_2020_xlsx_3[[#This Row],[2037]]</f>
        <v>583.05329867324463</v>
      </c>
      <c r="O228">
        <f>scenario_indirect_prod_4506_iotable_2020_xlsx_3[[#This Row],[2038]]+scenario_indirect_prod_1610_iotable_2020_xlsx_3[[#This Row],[2038]]</f>
        <v>583.05329867324463</v>
      </c>
      <c r="P228">
        <f>scenario_indirect_prod_4506_iotable_2020_xlsx_3[[#This Row],[2039]]+scenario_indirect_prod_1610_iotable_2020_xlsx_3[[#This Row],[2039]]</f>
        <v>583.05329867324463</v>
      </c>
      <c r="Q228">
        <f>scenario_indirect_prod_4506_iotable_2020_xlsx_3[[#This Row],[2040]]+scenario_indirect_prod_1610_iotable_2020_xlsx_3[[#This Row],[2040]]</f>
        <v>561.55133150477786</v>
      </c>
      <c r="R228">
        <f>scenario_indirect_prod_4506_iotable_2020_xlsx_3[[#This Row],[2041]]+scenario_indirect_prod_1610_iotable_2020_xlsx_3[[#This Row],[2041]]</f>
        <v>561.55133150477786</v>
      </c>
      <c r="S228">
        <f>scenario_indirect_prod_4506_iotable_2020_xlsx_3[[#This Row],[2042]]+scenario_indirect_prod_1610_iotable_2020_xlsx_3[[#This Row],[2042]]</f>
        <v>539.19237831759892</v>
      </c>
      <c r="T228">
        <f>scenario_indirect_prod_4506_iotable_2020_xlsx_3[[#This Row],[2043]]+scenario_indirect_prod_1610_iotable_2020_xlsx_3[[#This Row],[2043]]</f>
        <v>539.19237831759892</v>
      </c>
      <c r="U228">
        <f>scenario_indirect_prod_4506_iotable_2020_xlsx_3[[#This Row],[2044]]+scenario_indirect_prod_1610_iotable_2020_xlsx_3[[#This Row],[2044]]</f>
        <v>513.77059051515835</v>
      </c>
      <c r="V228">
        <f>scenario_indirect_prod_4506_iotable_2020_xlsx_3[[#This Row],[2045]]+scenario_indirect_prod_1610_iotable_2020_xlsx_3[[#This Row],[2045]]</f>
        <v>513.77059051515835</v>
      </c>
      <c r="W228">
        <f>scenario_indirect_prod_4506_iotable_2020_xlsx_3[[#This Row],[2046]]+scenario_indirect_prod_1610_iotable_2020_xlsx_3[[#This Row],[2046]]</f>
        <v>493.44413118337206</v>
      </c>
      <c r="X228">
        <f>scenario_indirect_prod_4506_iotable_2020_xlsx_3[[#This Row],[2047]]+scenario_indirect_prod_1610_iotable_2020_xlsx_3[[#This Row],[2047]]</f>
        <v>493.44413118337206</v>
      </c>
      <c r="Y228">
        <f>scenario_indirect_prod_4506_iotable_2020_xlsx_3[[#This Row],[2048]]+scenario_indirect_prod_1610_iotable_2020_xlsx_3[[#This Row],[2048]]</f>
        <v>493.44413118337206</v>
      </c>
      <c r="Z228">
        <f>scenario_indirect_prod_4506_iotable_2020_xlsx_3[[#This Row],[2049]]+scenario_indirect_prod_1610_iotable_2020_xlsx_3[[#This Row],[2049]]</f>
        <v>493.44413118337206</v>
      </c>
      <c r="AA228">
        <f>scenario_indirect_prod_4506_iotable_2020_xlsx_3[[#This Row],[2050]]+scenario_indirect_prod_1610_iotable_2020_xlsx_3[[#This Row],[2050]]</f>
        <v>493.44413118337206</v>
      </c>
    </row>
    <row r="229" spans="1:27" x14ac:dyDescent="0.2">
      <c r="A229" t="s">
        <v>473</v>
      </c>
      <c r="B229" t="s">
        <v>143</v>
      </c>
      <c r="C229">
        <f>scenario_indirect_prod_4506_iotable_2020_xlsx_3[[#This Row],[2026]]+scenario_indirect_prod_1610_iotable_2020_xlsx_3[[#This Row],[2026]]</f>
        <v>22074.346677809423</v>
      </c>
      <c r="D229">
        <f>scenario_indirect_prod_4506_iotable_2020_xlsx_3[[#This Row],[2027]]+scenario_indirect_prod_1610_iotable_2020_xlsx_3[[#This Row],[2027]]</f>
        <v>23338.398496466732</v>
      </c>
      <c r="E229">
        <f>scenario_indirect_prod_4506_iotable_2020_xlsx_3[[#This Row],[2028]]+scenario_indirect_prod_1610_iotable_2020_xlsx_3[[#This Row],[2028]]</f>
        <v>24346.718413617076</v>
      </c>
      <c r="F229">
        <f>scenario_indirect_prod_4506_iotable_2020_xlsx_3[[#This Row],[2029]]+scenario_indirect_prod_1610_iotable_2020_xlsx_3[[#This Row],[2029]]</f>
        <v>25570.120396951326</v>
      </c>
      <c r="G229">
        <f>scenario_indirect_prod_4506_iotable_2020_xlsx_3[[#This Row],[2030]]+scenario_indirect_prod_1610_iotable_2020_xlsx_3[[#This Row],[2030]]</f>
        <v>28935.719924526533</v>
      </c>
      <c r="H229">
        <f>scenario_indirect_prod_4506_iotable_2020_xlsx_3[[#This Row],[2031]]+scenario_indirect_prod_1610_iotable_2020_xlsx_3[[#This Row],[2031]]</f>
        <v>30296.144773648557</v>
      </c>
      <c r="I229">
        <f>scenario_indirect_prod_4506_iotable_2020_xlsx_3[[#This Row],[2032]]+scenario_indirect_prod_1610_iotable_2020_xlsx_3[[#This Row],[2032]]</f>
        <v>32196.099140949082</v>
      </c>
      <c r="J229">
        <f>scenario_indirect_prod_4506_iotable_2020_xlsx_3[[#This Row],[2033]]+scenario_indirect_prod_1610_iotable_2020_xlsx_3[[#This Row],[2033]]</f>
        <v>37525.870340828449</v>
      </c>
      <c r="K229">
        <f>scenario_indirect_prod_4506_iotable_2020_xlsx_3[[#This Row],[2034]]+scenario_indirect_prod_1610_iotable_2020_xlsx_3[[#This Row],[2034]]</f>
        <v>39293.876939679707</v>
      </c>
      <c r="L229">
        <f>scenario_indirect_prod_4506_iotable_2020_xlsx_3[[#This Row],[2035]]+scenario_indirect_prod_1610_iotable_2020_xlsx_3[[#This Row],[2035]]</f>
        <v>46680.927931711311</v>
      </c>
      <c r="M229">
        <f>scenario_indirect_prod_4506_iotable_2020_xlsx_3[[#This Row],[2036]]+scenario_indirect_prod_1610_iotable_2020_xlsx_3[[#This Row],[2036]]</f>
        <v>50220.189067476422</v>
      </c>
      <c r="N229">
        <f>scenario_indirect_prod_4506_iotable_2020_xlsx_3[[#This Row],[2037]]+scenario_indirect_prod_1610_iotable_2020_xlsx_3[[#This Row],[2037]]</f>
        <v>53385.668563735468</v>
      </c>
      <c r="O229">
        <f>scenario_indirect_prod_4506_iotable_2020_xlsx_3[[#This Row],[2038]]+scenario_indirect_prod_1610_iotable_2020_xlsx_3[[#This Row],[2038]]</f>
        <v>53385.668563735468</v>
      </c>
      <c r="P229">
        <f>scenario_indirect_prod_4506_iotable_2020_xlsx_3[[#This Row],[2039]]+scenario_indirect_prod_1610_iotable_2020_xlsx_3[[#This Row],[2039]]</f>
        <v>53385.668563735468</v>
      </c>
      <c r="Q229">
        <f>scenario_indirect_prod_4506_iotable_2020_xlsx_3[[#This Row],[2040]]+scenario_indirect_prod_1610_iotable_2020_xlsx_3[[#This Row],[2040]]</f>
        <v>56152.426794049439</v>
      </c>
      <c r="R229">
        <f>scenario_indirect_prod_4506_iotable_2020_xlsx_3[[#This Row],[2041]]+scenario_indirect_prod_1610_iotable_2020_xlsx_3[[#This Row],[2041]]</f>
        <v>56152.426794049439</v>
      </c>
      <c r="S229">
        <f>scenario_indirect_prod_4506_iotable_2020_xlsx_3[[#This Row],[2042]]+scenario_indirect_prod_1610_iotable_2020_xlsx_3[[#This Row],[2042]]</f>
        <v>59244.882326133375</v>
      </c>
      <c r="T229">
        <f>scenario_indirect_prod_4506_iotable_2020_xlsx_3[[#This Row],[2043]]+scenario_indirect_prod_1610_iotable_2020_xlsx_3[[#This Row],[2043]]</f>
        <v>59244.882326133375</v>
      </c>
      <c r="U229">
        <f>scenario_indirect_prod_4506_iotable_2020_xlsx_3[[#This Row],[2044]]+scenario_indirect_prod_1610_iotable_2020_xlsx_3[[#This Row],[2044]]</f>
        <v>62068.861283996826</v>
      </c>
      <c r="V229">
        <f>scenario_indirect_prod_4506_iotable_2020_xlsx_3[[#This Row],[2045]]+scenario_indirect_prod_1610_iotable_2020_xlsx_3[[#This Row],[2045]]</f>
        <v>62068.861283996826</v>
      </c>
      <c r="W229">
        <f>scenario_indirect_prod_4506_iotable_2020_xlsx_3[[#This Row],[2046]]+scenario_indirect_prod_1610_iotable_2020_xlsx_3[[#This Row],[2046]]</f>
        <v>64510.507679968505</v>
      </c>
      <c r="X229">
        <f>scenario_indirect_prod_4506_iotable_2020_xlsx_3[[#This Row],[2047]]+scenario_indirect_prod_1610_iotable_2020_xlsx_3[[#This Row],[2047]]</f>
        <v>64510.507679968505</v>
      </c>
      <c r="Y229">
        <f>scenario_indirect_prod_4506_iotable_2020_xlsx_3[[#This Row],[2048]]+scenario_indirect_prod_1610_iotable_2020_xlsx_3[[#This Row],[2048]]</f>
        <v>64510.507679968505</v>
      </c>
      <c r="Z229">
        <f>scenario_indirect_prod_4506_iotable_2020_xlsx_3[[#This Row],[2049]]+scenario_indirect_prod_1610_iotable_2020_xlsx_3[[#This Row],[2049]]</f>
        <v>64510.507679968505</v>
      </c>
      <c r="AA229">
        <f>scenario_indirect_prod_4506_iotable_2020_xlsx_3[[#This Row],[2050]]+scenario_indirect_prod_1610_iotable_2020_xlsx_3[[#This Row],[2050]]</f>
        <v>64510.507679968505</v>
      </c>
    </row>
    <row r="230" spans="1:27" x14ac:dyDescent="0.2">
      <c r="A230" t="s">
        <v>898</v>
      </c>
      <c r="B230" t="s">
        <v>899</v>
      </c>
      <c r="C230">
        <f>scenario_indirect_prod_4506_iotable_2020_xlsx_3[[#This Row],[2026]]+scenario_indirect_prod_1610_iotable_2020_xlsx_3[[#This Row],[2026]]</f>
        <v>229.56708230838558</v>
      </c>
      <c r="D230">
        <f>scenario_indirect_prod_4506_iotable_2020_xlsx_3[[#This Row],[2027]]+scenario_indirect_prod_1610_iotable_2020_xlsx_3[[#This Row],[2027]]</f>
        <v>234.31590278543797</v>
      </c>
      <c r="E230">
        <f>scenario_indirect_prod_4506_iotable_2020_xlsx_3[[#This Row],[2028]]+scenario_indirect_prod_1610_iotable_2020_xlsx_3[[#This Row],[2028]]</f>
        <v>245.30123361576696</v>
      </c>
      <c r="F230">
        <f>scenario_indirect_prod_4506_iotable_2020_xlsx_3[[#This Row],[2029]]+scenario_indirect_prod_1610_iotable_2020_xlsx_3[[#This Row],[2029]]</f>
        <v>255.02076422576897</v>
      </c>
      <c r="G230">
        <f>scenario_indirect_prod_4506_iotable_2020_xlsx_3[[#This Row],[2030]]+scenario_indirect_prod_1610_iotable_2020_xlsx_3[[#This Row],[2030]]</f>
        <v>261.09633401989169</v>
      </c>
      <c r="H230">
        <f>scenario_indirect_prod_4506_iotable_2020_xlsx_3[[#This Row],[2031]]+scenario_indirect_prod_1610_iotable_2020_xlsx_3[[#This Row],[2031]]</f>
        <v>275.91773820244691</v>
      </c>
      <c r="I230">
        <f>scenario_indirect_prod_4506_iotable_2020_xlsx_3[[#This Row],[2032]]+scenario_indirect_prod_1610_iotable_2020_xlsx_3[[#This Row],[2032]]</f>
        <v>296.6171481142444</v>
      </c>
      <c r="J230">
        <f>scenario_indirect_prod_4506_iotable_2020_xlsx_3[[#This Row],[2033]]+scenario_indirect_prod_1610_iotable_2020_xlsx_3[[#This Row],[2033]]</f>
        <v>337.61778134337658</v>
      </c>
      <c r="K230">
        <f>scenario_indirect_prod_4506_iotable_2020_xlsx_3[[#This Row],[2034]]+scenario_indirect_prod_1610_iotable_2020_xlsx_3[[#This Row],[2034]]</f>
        <v>356.87966149494162</v>
      </c>
      <c r="L230">
        <f>scenario_indirect_prod_4506_iotable_2020_xlsx_3[[#This Row],[2035]]+scenario_indirect_prod_1610_iotable_2020_xlsx_3[[#This Row],[2035]]</f>
        <v>415.75631324204949</v>
      </c>
      <c r="M230">
        <f>scenario_indirect_prod_4506_iotable_2020_xlsx_3[[#This Row],[2036]]+scenario_indirect_prod_1610_iotable_2020_xlsx_3[[#This Row],[2036]]</f>
        <v>440.13569880915475</v>
      </c>
      <c r="N230">
        <f>scenario_indirect_prod_4506_iotable_2020_xlsx_3[[#This Row],[2037]]+scenario_indirect_prod_1610_iotable_2020_xlsx_3[[#This Row],[2037]]</f>
        <v>462.22658169365684</v>
      </c>
      <c r="O230">
        <f>scenario_indirect_prod_4506_iotable_2020_xlsx_3[[#This Row],[2038]]+scenario_indirect_prod_1610_iotable_2020_xlsx_3[[#This Row],[2038]]</f>
        <v>462.22658169365684</v>
      </c>
      <c r="P230">
        <f>scenario_indirect_prod_4506_iotable_2020_xlsx_3[[#This Row],[2039]]+scenario_indirect_prod_1610_iotable_2020_xlsx_3[[#This Row],[2039]]</f>
        <v>462.22658169365684</v>
      </c>
      <c r="Q230">
        <f>scenario_indirect_prod_4506_iotable_2020_xlsx_3[[#This Row],[2040]]+scenario_indirect_prod_1610_iotable_2020_xlsx_3[[#This Row],[2040]]</f>
        <v>481.48699060513007</v>
      </c>
      <c r="R230">
        <f>scenario_indirect_prod_4506_iotable_2020_xlsx_3[[#This Row],[2041]]+scenario_indirect_prod_1610_iotable_2020_xlsx_3[[#This Row],[2041]]</f>
        <v>481.48699060513007</v>
      </c>
      <c r="S230">
        <f>scenario_indirect_prod_4506_iotable_2020_xlsx_3[[#This Row],[2042]]+scenario_indirect_prod_1610_iotable_2020_xlsx_3[[#This Row],[2042]]</f>
        <v>503.16667297324358</v>
      </c>
      <c r="T230">
        <f>scenario_indirect_prod_4506_iotable_2020_xlsx_3[[#This Row],[2043]]+scenario_indirect_prod_1610_iotable_2020_xlsx_3[[#This Row],[2043]]</f>
        <v>503.16667297324358</v>
      </c>
      <c r="U230">
        <f>scenario_indirect_prod_4506_iotable_2020_xlsx_3[[#This Row],[2044]]+scenario_indirect_prod_1610_iotable_2020_xlsx_3[[#This Row],[2044]]</f>
        <v>522.50995670008081</v>
      </c>
      <c r="V230">
        <f>scenario_indirect_prod_4506_iotable_2020_xlsx_3[[#This Row],[2045]]+scenario_indirect_prod_1610_iotable_2020_xlsx_3[[#This Row],[2045]]</f>
        <v>522.50995670008081</v>
      </c>
      <c r="W230">
        <f>scenario_indirect_prod_4506_iotable_2020_xlsx_3[[#This Row],[2046]]+scenario_indirect_prod_1610_iotable_2020_xlsx_3[[#This Row],[2046]]</f>
        <v>539.38449509026816</v>
      </c>
      <c r="X230">
        <f>scenario_indirect_prod_4506_iotable_2020_xlsx_3[[#This Row],[2047]]+scenario_indirect_prod_1610_iotable_2020_xlsx_3[[#This Row],[2047]]</f>
        <v>539.38449509026816</v>
      </c>
      <c r="Y230">
        <f>scenario_indirect_prod_4506_iotable_2020_xlsx_3[[#This Row],[2048]]+scenario_indirect_prod_1610_iotable_2020_xlsx_3[[#This Row],[2048]]</f>
        <v>539.38449509026816</v>
      </c>
      <c r="Z230">
        <f>scenario_indirect_prod_4506_iotable_2020_xlsx_3[[#This Row],[2049]]+scenario_indirect_prod_1610_iotable_2020_xlsx_3[[#This Row],[2049]]</f>
        <v>539.38449509026816</v>
      </c>
      <c r="AA230">
        <f>scenario_indirect_prod_4506_iotable_2020_xlsx_3[[#This Row],[2050]]+scenario_indirect_prod_1610_iotable_2020_xlsx_3[[#This Row],[2050]]</f>
        <v>539.38449509026816</v>
      </c>
    </row>
    <row r="231" spans="1:27" x14ac:dyDescent="0.2">
      <c r="A231" t="s">
        <v>846</v>
      </c>
      <c r="B231" t="s">
        <v>847</v>
      </c>
      <c r="C231">
        <f>scenario_indirect_prod_4506_iotable_2020_xlsx_3[[#This Row],[2026]]+scenario_indirect_prod_1610_iotable_2020_xlsx_3[[#This Row],[2026]]</f>
        <v>-5751.5168629954314</v>
      </c>
      <c r="D231">
        <f>scenario_indirect_prod_4506_iotable_2020_xlsx_3[[#This Row],[2027]]+scenario_indirect_prod_1610_iotable_2020_xlsx_3[[#This Row],[2027]]</f>
        <v>-11112.535449475266</v>
      </c>
      <c r="E231">
        <f>scenario_indirect_prod_4506_iotable_2020_xlsx_3[[#This Row],[2028]]+scenario_indirect_prod_1610_iotable_2020_xlsx_3[[#This Row],[2028]]</f>
        <v>-11076.19239814506</v>
      </c>
      <c r="F231">
        <f>scenario_indirect_prod_4506_iotable_2020_xlsx_3[[#This Row],[2029]]+scenario_indirect_prod_1610_iotable_2020_xlsx_3[[#This Row],[2029]]</f>
        <v>-13194.728936021538</v>
      </c>
      <c r="G231">
        <f>scenario_indirect_prod_4506_iotable_2020_xlsx_3[[#This Row],[2030]]+scenario_indirect_prod_1610_iotable_2020_xlsx_3[[#This Row],[2030]]</f>
        <v>-31404.644584788304</v>
      </c>
      <c r="H231">
        <f>scenario_indirect_prod_4506_iotable_2020_xlsx_3[[#This Row],[2031]]+scenario_indirect_prod_1610_iotable_2020_xlsx_3[[#This Row],[2031]]</f>
        <v>-31355.610553741652</v>
      </c>
      <c r="I231">
        <f>scenario_indirect_prod_4506_iotable_2020_xlsx_3[[#This Row],[2032]]+scenario_indirect_prod_1610_iotable_2020_xlsx_3[[#This Row],[2032]]</f>
        <v>-31287.130165799899</v>
      </c>
      <c r="J231">
        <f>scenario_indirect_prod_4506_iotable_2020_xlsx_3[[#This Row],[2033]]+scenario_indirect_prod_1610_iotable_2020_xlsx_3[[#This Row],[2033]]</f>
        <v>-41321.127184668701</v>
      </c>
      <c r="K231">
        <f>scenario_indirect_prod_4506_iotable_2020_xlsx_3[[#This Row],[2034]]+scenario_indirect_prod_1610_iotable_2020_xlsx_3[[#This Row],[2034]]</f>
        <v>-41257.402613249164</v>
      </c>
      <c r="L231">
        <f>scenario_indirect_prod_4506_iotable_2020_xlsx_3[[#This Row],[2035]]+scenario_indirect_prod_1610_iotable_2020_xlsx_3[[#This Row],[2035]]</f>
        <v>-53936.170810396201</v>
      </c>
      <c r="M231">
        <f>scenario_indirect_prod_4506_iotable_2020_xlsx_3[[#This Row],[2036]]+scenario_indirect_prod_1610_iotable_2020_xlsx_3[[#This Row],[2036]]</f>
        <v>-62305.461543943922</v>
      </c>
      <c r="N231">
        <f>scenario_indirect_prod_4506_iotable_2020_xlsx_3[[#This Row],[2037]]+scenario_indirect_prod_1610_iotable_2020_xlsx_3[[#This Row],[2037]]</f>
        <v>-69619.369192726663</v>
      </c>
      <c r="O231">
        <f>scenario_indirect_prod_4506_iotable_2020_xlsx_3[[#This Row],[2038]]+scenario_indirect_prod_1610_iotable_2020_xlsx_3[[#This Row],[2038]]</f>
        <v>-69619.369192726663</v>
      </c>
      <c r="P231">
        <f>scenario_indirect_prod_4506_iotable_2020_xlsx_3[[#This Row],[2039]]+scenario_indirect_prod_1610_iotable_2020_xlsx_3[[#This Row],[2039]]</f>
        <v>-69619.369192726663</v>
      </c>
      <c r="Q231">
        <f>scenario_indirect_prod_4506_iotable_2020_xlsx_3[[#This Row],[2040]]+scenario_indirect_prod_1610_iotable_2020_xlsx_3[[#This Row],[2040]]</f>
        <v>-76040.740127319514</v>
      </c>
      <c r="R231">
        <f>scenario_indirect_prod_4506_iotable_2020_xlsx_3[[#This Row],[2041]]+scenario_indirect_prod_1610_iotable_2020_xlsx_3[[#This Row],[2041]]</f>
        <v>-76040.740127319514</v>
      </c>
      <c r="S231">
        <f>scenario_indirect_prod_4506_iotable_2020_xlsx_3[[#This Row],[2042]]+scenario_indirect_prod_1610_iotable_2020_xlsx_3[[#This Row],[2042]]</f>
        <v>-83126.954273983807</v>
      </c>
      <c r="T231">
        <f>scenario_indirect_prod_4506_iotable_2020_xlsx_3[[#This Row],[2043]]+scenario_indirect_prod_1610_iotable_2020_xlsx_3[[#This Row],[2043]]</f>
        <v>-83126.954273983807</v>
      </c>
      <c r="U231">
        <f>scenario_indirect_prod_4506_iotable_2020_xlsx_3[[#This Row],[2044]]+scenario_indirect_prod_1610_iotable_2020_xlsx_3[[#This Row],[2044]]</f>
        <v>-89870.159804360155</v>
      </c>
      <c r="V231">
        <f>scenario_indirect_prod_4506_iotable_2020_xlsx_3[[#This Row],[2045]]+scenario_indirect_prod_1610_iotable_2020_xlsx_3[[#This Row],[2045]]</f>
        <v>-89870.159804360155</v>
      </c>
      <c r="W231">
        <f>scenario_indirect_prod_4506_iotable_2020_xlsx_3[[#This Row],[2046]]+scenario_indirect_prod_1610_iotable_2020_xlsx_3[[#This Row],[2046]]</f>
        <v>-95610.472717041834</v>
      </c>
      <c r="X231">
        <f>scenario_indirect_prod_4506_iotable_2020_xlsx_3[[#This Row],[2047]]+scenario_indirect_prod_1610_iotable_2020_xlsx_3[[#This Row],[2047]]</f>
        <v>-95610.472717041834</v>
      </c>
      <c r="Y231">
        <f>scenario_indirect_prod_4506_iotable_2020_xlsx_3[[#This Row],[2048]]+scenario_indirect_prod_1610_iotable_2020_xlsx_3[[#This Row],[2048]]</f>
        <v>-95610.472717041834</v>
      </c>
      <c r="Z231">
        <f>scenario_indirect_prod_4506_iotable_2020_xlsx_3[[#This Row],[2049]]+scenario_indirect_prod_1610_iotable_2020_xlsx_3[[#This Row],[2049]]</f>
        <v>-95610.472717041834</v>
      </c>
      <c r="AA231">
        <f>scenario_indirect_prod_4506_iotable_2020_xlsx_3[[#This Row],[2050]]+scenario_indirect_prod_1610_iotable_2020_xlsx_3[[#This Row],[2050]]</f>
        <v>-95610.472717041834</v>
      </c>
    </row>
    <row r="232" spans="1:27" x14ac:dyDescent="0.2">
      <c r="A232" t="s">
        <v>885</v>
      </c>
      <c r="B232" t="s">
        <v>293</v>
      </c>
      <c r="C232">
        <f>scenario_indirect_prod_4506_iotable_2020_xlsx_3[[#This Row],[2026]]+scenario_indirect_prod_1610_iotable_2020_xlsx_3[[#This Row],[2026]]</f>
        <v>331.48243941577823</v>
      </c>
      <c r="D232">
        <f>scenario_indirect_prod_4506_iotable_2020_xlsx_3[[#This Row],[2027]]+scenario_indirect_prod_1610_iotable_2020_xlsx_3[[#This Row],[2027]]</f>
        <v>325.94035852112069</v>
      </c>
      <c r="E232">
        <f>scenario_indirect_prod_4506_iotable_2020_xlsx_3[[#This Row],[2028]]+scenario_indirect_prod_1610_iotable_2020_xlsx_3[[#This Row],[2028]]</f>
        <v>342.53953747356695</v>
      </c>
      <c r="F232">
        <f>scenario_indirect_prod_4506_iotable_2020_xlsx_3[[#This Row],[2029]]+scenario_indirect_prod_1610_iotable_2020_xlsx_3[[#This Row],[2029]]</f>
        <v>352.13897318411682</v>
      </c>
      <c r="G232">
        <f>scenario_indirect_prod_4506_iotable_2020_xlsx_3[[#This Row],[2030]]+scenario_indirect_prod_1610_iotable_2020_xlsx_3[[#This Row],[2030]]</f>
        <v>318.19948758525499</v>
      </c>
      <c r="H232">
        <f>scenario_indirect_prod_4506_iotable_2020_xlsx_3[[#This Row],[2031]]+scenario_indirect_prod_1610_iotable_2020_xlsx_3[[#This Row],[2031]]</f>
        <v>340.59509352126668</v>
      </c>
      <c r="I232">
        <f>scenario_indirect_prod_4506_iotable_2020_xlsx_3[[#This Row],[2032]]+scenario_indirect_prod_1610_iotable_2020_xlsx_3[[#This Row],[2032]]</f>
        <v>371.87255021718636</v>
      </c>
      <c r="J232">
        <f>scenario_indirect_prod_4506_iotable_2020_xlsx_3[[#This Row],[2033]]+scenario_indirect_prod_1610_iotable_2020_xlsx_3[[#This Row],[2033]]</f>
        <v>409.77131416014976</v>
      </c>
      <c r="K232">
        <f>scenario_indirect_prod_4506_iotable_2020_xlsx_3[[#This Row],[2034]]+scenario_indirect_prod_1610_iotable_2020_xlsx_3[[#This Row],[2034]]</f>
        <v>438.87661836397632</v>
      </c>
      <c r="L232">
        <f>scenario_indirect_prod_4506_iotable_2020_xlsx_3[[#This Row],[2035]]+scenario_indirect_prod_1610_iotable_2020_xlsx_3[[#This Row],[2035]]</f>
        <v>497.39098559275129</v>
      </c>
      <c r="M232">
        <f>scenario_indirect_prod_4506_iotable_2020_xlsx_3[[#This Row],[2036]]+scenario_indirect_prod_1610_iotable_2020_xlsx_3[[#This Row],[2036]]</f>
        <v>514.24215609593773</v>
      </c>
      <c r="N232">
        <f>scenario_indirect_prod_4506_iotable_2020_xlsx_3[[#This Row],[2037]]+scenario_indirect_prod_1610_iotable_2020_xlsx_3[[#This Row],[2037]]</f>
        <v>530.14955659843918</v>
      </c>
      <c r="O232">
        <f>scenario_indirect_prod_4506_iotable_2020_xlsx_3[[#This Row],[2038]]+scenario_indirect_prod_1610_iotable_2020_xlsx_3[[#This Row],[2038]]</f>
        <v>530.14955659843918</v>
      </c>
      <c r="P232">
        <f>scenario_indirect_prod_4506_iotable_2020_xlsx_3[[#This Row],[2039]]+scenario_indirect_prod_1610_iotable_2020_xlsx_3[[#This Row],[2039]]</f>
        <v>530.14955659843918</v>
      </c>
      <c r="Q232">
        <f>scenario_indirect_prod_4506_iotable_2020_xlsx_3[[#This Row],[2040]]+scenario_indirect_prod_1610_iotable_2020_xlsx_3[[#This Row],[2040]]</f>
        <v>543.91330842337413</v>
      </c>
      <c r="R232">
        <f>scenario_indirect_prod_4506_iotable_2020_xlsx_3[[#This Row],[2041]]+scenario_indirect_prod_1610_iotable_2020_xlsx_3[[#This Row],[2041]]</f>
        <v>543.91330842337413</v>
      </c>
      <c r="S232">
        <f>scenario_indirect_prod_4506_iotable_2020_xlsx_3[[#This Row],[2042]]+scenario_indirect_prod_1610_iotable_2020_xlsx_3[[#This Row],[2042]]</f>
        <v>559.74115832648135</v>
      </c>
      <c r="T232">
        <f>scenario_indirect_prod_4506_iotable_2020_xlsx_3[[#This Row],[2043]]+scenario_indirect_prod_1610_iotable_2020_xlsx_3[[#This Row],[2043]]</f>
        <v>559.74115832648135</v>
      </c>
      <c r="U232">
        <f>scenario_indirect_prod_4506_iotable_2020_xlsx_3[[#This Row],[2044]]+scenario_indirect_prod_1610_iotable_2020_xlsx_3[[#This Row],[2044]]</f>
        <v>572.86824554086752</v>
      </c>
      <c r="V232">
        <f>scenario_indirect_prod_4506_iotable_2020_xlsx_3[[#This Row],[2045]]+scenario_indirect_prod_1610_iotable_2020_xlsx_3[[#This Row],[2045]]</f>
        <v>572.86824554086752</v>
      </c>
      <c r="W232">
        <f>scenario_indirect_prod_4506_iotable_2020_xlsx_3[[#This Row],[2046]]+scenario_indirect_prod_1610_iotable_2020_xlsx_3[[#This Row],[2046]]</f>
        <v>584.65646403338803</v>
      </c>
      <c r="X232">
        <f>scenario_indirect_prod_4506_iotable_2020_xlsx_3[[#This Row],[2047]]+scenario_indirect_prod_1610_iotable_2020_xlsx_3[[#This Row],[2047]]</f>
        <v>584.65646403338803</v>
      </c>
      <c r="Y232">
        <f>scenario_indirect_prod_4506_iotable_2020_xlsx_3[[#This Row],[2048]]+scenario_indirect_prod_1610_iotable_2020_xlsx_3[[#This Row],[2048]]</f>
        <v>584.65646403338803</v>
      </c>
      <c r="Z232">
        <f>scenario_indirect_prod_4506_iotable_2020_xlsx_3[[#This Row],[2049]]+scenario_indirect_prod_1610_iotable_2020_xlsx_3[[#This Row],[2049]]</f>
        <v>584.65646403338803</v>
      </c>
      <c r="AA232">
        <f>scenario_indirect_prod_4506_iotable_2020_xlsx_3[[#This Row],[2050]]+scenario_indirect_prod_1610_iotable_2020_xlsx_3[[#This Row],[2050]]</f>
        <v>584.65646403338803</v>
      </c>
    </row>
    <row r="233" spans="1:27" x14ac:dyDescent="0.2">
      <c r="A233" t="s">
        <v>852</v>
      </c>
      <c r="B233" t="s">
        <v>289</v>
      </c>
      <c r="C233">
        <f>scenario_indirect_prod_4506_iotable_2020_xlsx_3[[#This Row],[2026]]+scenario_indirect_prod_1610_iotable_2020_xlsx_3[[#This Row],[2026]]</f>
        <v>749.61327315441736</v>
      </c>
      <c r="D233">
        <f>scenario_indirect_prod_4506_iotable_2020_xlsx_3[[#This Row],[2027]]+scenario_indirect_prod_1610_iotable_2020_xlsx_3[[#This Row],[2027]]</f>
        <v>775.17006626163584</v>
      </c>
      <c r="E233">
        <f>scenario_indirect_prod_4506_iotable_2020_xlsx_3[[#This Row],[2028]]+scenario_indirect_prod_1610_iotable_2020_xlsx_3[[#This Row],[2028]]</f>
        <v>810.44349259451462</v>
      </c>
      <c r="F233">
        <f>scenario_indirect_prod_4506_iotable_2020_xlsx_3[[#This Row],[2029]]+scenario_indirect_prod_1610_iotable_2020_xlsx_3[[#This Row],[2029]]</f>
        <v>845.77590276323031</v>
      </c>
      <c r="G233">
        <f>scenario_indirect_prod_4506_iotable_2020_xlsx_3[[#This Row],[2030]]+scenario_indirect_prod_1610_iotable_2020_xlsx_3[[#This Row],[2030]]</f>
        <v>900.23579443051676</v>
      </c>
      <c r="H233">
        <f>scenario_indirect_prod_4506_iotable_2020_xlsx_3[[#This Row],[2031]]+scenario_indirect_prod_1610_iotable_2020_xlsx_3[[#This Row],[2031]]</f>
        <v>947.82668783718611</v>
      </c>
      <c r="I233">
        <f>scenario_indirect_prod_4506_iotable_2020_xlsx_3[[#This Row],[2032]]+scenario_indirect_prod_1610_iotable_2020_xlsx_3[[#This Row],[2032]]</f>
        <v>1014.2916056384814</v>
      </c>
      <c r="J233">
        <f>scenario_indirect_prod_4506_iotable_2020_xlsx_3[[#This Row],[2033]]+scenario_indirect_prod_1610_iotable_2020_xlsx_3[[#This Row],[2033]]</f>
        <v>1165.4406243914848</v>
      </c>
      <c r="K233">
        <f>scenario_indirect_prod_4506_iotable_2020_xlsx_3[[#This Row],[2034]]+scenario_indirect_prod_1610_iotable_2020_xlsx_3[[#This Row],[2034]]</f>
        <v>1227.2896957624762</v>
      </c>
      <c r="L233">
        <f>scenario_indirect_prod_4506_iotable_2020_xlsx_3[[#This Row],[2035]]+scenario_indirect_prod_1610_iotable_2020_xlsx_3[[#This Row],[2035]]</f>
        <v>1441.0219167222731</v>
      </c>
      <c r="M233">
        <f>scenario_indirect_prod_4506_iotable_2020_xlsx_3[[#This Row],[2036]]+scenario_indirect_prod_1610_iotable_2020_xlsx_3[[#This Row],[2036]]</f>
        <v>1535.5037369838055</v>
      </c>
      <c r="N233">
        <f>scenario_indirect_prod_4506_iotable_2020_xlsx_3[[#This Row],[2037]]+scenario_indirect_prod_1610_iotable_2020_xlsx_3[[#This Row],[2037]]</f>
        <v>1620.5993243046785</v>
      </c>
      <c r="O233">
        <f>scenario_indirect_prod_4506_iotable_2020_xlsx_3[[#This Row],[2038]]+scenario_indirect_prod_1610_iotable_2020_xlsx_3[[#This Row],[2038]]</f>
        <v>1620.5993243046785</v>
      </c>
      <c r="P233">
        <f>scenario_indirect_prod_4506_iotable_2020_xlsx_3[[#This Row],[2039]]+scenario_indirect_prod_1610_iotable_2020_xlsx_3[[#This Row],[2039]]</f>
        <v>1620.5993243046785</v>
      </c>
      <c r="Q233">
        <f>scenario_indirect_prod_4506_iotable_2020_xlsx_3[[#This Row],[2040]]+scenario_indirect_prod_1610_iotable_2020_xlsx_3[[#This Row],[2040]]</f>
        <v>1694.8772116487894</v>
      </c>
      <c r="R233">
        <f>scenario_indirect_prod_4506_iotable_2020_xlsx_3[[#This Row],[2041]]+scenario_indirect_prod_1610_iotable_2020_xlsx_3[[#This Row],[2041]]</f>
        <v>1694.8772116487894</v>
      </c>
      <c r="S233">
        <f>scenario_indirect_prod_4506_iotable_2020_xlsx_3[[#This Row],[2042]]+scenario_indirect_prod_1610_iotable_2020_xlsx_3[[#This Row],[2042]]</f>
        <v>1778.2132981738382</v>
      </c>
      <c r="T233">
        <f>scenario_indirect_prod_4506_iotable_2020_xlsx_3[[#This Row],[2043]]+scenario_indirect_prod_1610_iotable_2020_xlsx_3[[#This Row],[2043]]</f>
        <v>1778.2132981738382</v>
      </c>
      <c r="U233">
        <f>scenario_indirect_prod_4506_iotable_2020_xlsx_3[[#This Row],[2044]]+scenario_indirect_prod_1610_iotable_2020_xlsx_3[[#This Row],[2044]]</f>
        <v>1853.3748560431882</v>
      </c>
      <c r="V233">
        <f>scenario_indirect_prod_4506_iotable_2020_xlsx_3[[#This Row],[2045]]+scenario_indirect_prod_1610_iotable_2020_xlsx_3[[#This Row],[2045]]</f>
        <v>1853.3748560431882</v>
      </c>
      <c r="W233">
        <f>scenario_indirect_prod_4506_iotable_2020_xlsx_3[[#This Row],[2046]]+scenario_indirect_prod_1610_iotable_2020_xlsx_3[[#This Row],[2046]]</f>
        <v>1918.6709236265347</v>
      </c>
      <c r="X233">
        <f>scenario_indirect_prod_4506_iotable_2020_xlsx_3[[#This Row],[2047]]+scenario_indirect_prod_1610_iotable_2020_xlsx_3[[#This Row],[2047]]</f>
        <v>1918.6709236265347</v>
      </c>
      <c r="Y233">
        <f>scenario_indirect_prod_4506_iotable_2020_xlsx_3[[#This Row],[2048]]+scenario_indirect_prod_1610_iotable_2020_xlsx_3[[#This Row],[2048]]</f>
        <v>1918.6709236265347</v>
      </c>
      <c r="Z233">
        <f>scenario_indirect_prod_4506_iotable_2020_xlsx_3[[#This Row],[2049]]+scenario_indirect_prod_1610_iotable_2020_xlsx_3[[#This Row],[2049]]</f>
        <v>1918.6709236265347</v>
      </c>
      <c r="AA233">
        <f>scenario_indirect_prod_4506_iotable_2020_xlsx_3[[#This Row],[2050]]+scenario_indirect_prod_1610_iotable_2020_xlsx_3[[#This Row],[2050]]</f>
        <v>1918.6709236265347</v>
      </c>
    </row>
    <row r="234" spans="1:27" x14ac:dyDescent="0.2">
      <c r="A234" t="s">
        <v>875</v>
      </c>
      <c r="B234" t="s">
        <v>876</v>
      </c>
      <c r="C234">
        <f>scenario_indirect_prod_4506_iotable_2020_xlsx_3[[#This Row],[2026]]+scenario_indirect_prod_1610_iotable_2020_xlsx_3[[#This Row],[2026]]</f>
        <v>512.53840198193666</v>
      </c>
      <c r="D234">
        <f>scenario_indirect_prod_4506_iotable_2020_xlsx_3[[#This Row],[2027]]+scenario_indirect_prod_1610_iotable_2020_xlsx_3[[#This Row],[2027]]</f>
        <v>534.47949657809386</v>
      </c>
      <c r="E234">
        <f>scenario_indirect_prod_4506_iotable_2020_xlsx_3[[#This Row],[2028]]+scenario_indirect_prod_1610_iotable_2020_xlsx_3[[#This Row],[2028]]</f>
        <v>558.33174733990973</v>
      </c>
      <c r="F234">
        <f>scenario_indirect_prod_4506_iotable_2020_xlsx_3[[#This Row],[2029]]+scenario_indirect_prod_1610_iotable_2020_xlsx_3[[#This Row],[2029]]</f>
        <v>584.08761590385075</v>
      </c>
      <c r="G234">
        <f>scenario_indirect_prod_4506_iotable_2020_xlsx_3[[#This Row],[2030]]+scenario_indirect_prod_1610_iotable_2020_xlsx_3[[#This Row],[2030]]</f>
        <v>636.71159628984014</v>
      </c>
      <c r="H234">
        <f>scenario_indirect_prod_4506_iotable_2020_xlsx_3[[#This Row],[2031]]+scenario_indirect_prod_1610_iotable_2020_xlsx_3[[#This Row],[2031]]</f>
        <v>668.89304395534907</v>
      </c>
      <c r="I234">
        <f>scenario_indirect_prod_4506_iotable_2020_xlsx_3[[#This Row],[2032]]+scenario_indirect_prod_1610_iotable_2020_xlsx_3[[#This Row],[2032]]</f>
        <v>713.8372994778772</v>
      </c>
      <c r="J234">
        <f>scenario_indirect_prod_4506_iotable_2020_xlsx_3[[#This Row],[2033]]+scenario_indirect_prod_1610_iotable_2020_xlsx_3[[#This Row],[2033]]</f>
        <v>824.85854763131351</v>
      </c>
      <c r="K234">
        <f>scenario_indirect_prod_4506_iotable_2020_xlsx_3[[#This Row],[2034]]+scenario_indirect_prod_1610_iotable_2020_xlsx_3[[#This Row],[2034]]</f>
        <v>866.68152070470728</v>
      </c>
      <c r="L234">
        <f>scenario_indirect_prod_4506_iotable_2020_xlsx_3[[#This Row],[2035]]+scenario_indirect_prod_1610_iotable_2020_xlsx_3[[#This Row],[2035]]</f>
        <v>1022.3653058387323</v>
      </c>
      <c r="M234">
        <f>scenario_indirect_prod_4506_iotable_2020_xlsx_3[[#This Row],[2036]]+scenario_indirect_prod_1610_iotable_2020_xlsx_3[[#This Row],[2036]]</f>
        <v>1093.5773745273498</v>
      </c>
      <c r="N234">
        <f>scenario_indirect_prod_4506_iotable_2020_xlsx_3[[#This Row],[2037]]+scenario_indirect_prod_1610_iotable_2020_xlsx_3[[#This Row],[2037]]</f>
        <v>1157.5212489411995</v>
      </c>
      <c r="O234">
        <f>scenario_indirect_prod_4506_iotable_2020_xlsx_3[[#This Row],[2038]]+scenario_indirect_prod_1610_iotable_2020_xlsx_3[[#This Row],[2038]]</f>
        <v>1157.5212489411995</v>
      </c>
      <c r="P234">
        <f>scenario_indirect_prod_4506_iotable_2020_xlsx_3[[#This Row],[2039]]+scenario_indirect_prod_1610_iotable_2020_xlsx_3[[#This Row],[2039]]</f>
        <v>1157.5212489411995</v>
      </c>
      <c r="Q234">
        <f>scenario_indirect_prod_4506_iotable_2020_xlsx_3[[#This Row],[2040]]+scenario_indirect_prod_1610_iotable_2020_xlsx_3[[#This Row],[2040]]</f>
        <v>1213.3685210124916</v>
      </c>
      <c r="R234">
        <f>scenario_indirect_prod_4506_iotable_2020_xlsx_3[[#This Row],[2041]]+scenario_indirect_prod_1610_iotable_2020_xlsx_3[[#This Row],[2041]]</f>
        <v>1213.3685210124916</v>
      </c>
      <c r="S234">
        <f>scenario_indirect_prod_4506_iotable_2020_xlsx_3[[#This Row],[2042]]+scenario_indirect_prod_1610_iotable_2020_xlsx_3[[#This Row],[2042]]</f>
        <v>1275.9241110385362</v>
      </c>
      <c r="T234">
        <f>scenario_indirect_prod_4506_iotable_2020_xlsx_3[[#This Row],[2043]]+scenario_indirect_prod_1610_iotable_2020_xlsx_3[[#This Row],[2043]]</f>
        <v>1275.9241110385362</v>
      </c>
      <c r="U234">
        <f>scenario_indirect_prod_4506_iotable_2020_xlsx_3[[#This Row],[2044]]+scenario_indirect_prod_1610_iotable_2020_xlsx_3[[#This Row],[2044]]</f>
        <v>1332.6480610183842</v>
      </c>
      <c r="V234">
        <f>scenario_indirect_prod_4506_iotable_2020_xlsx_3[[#This Row],[2045]]+scenario_indirect_prod_1610_iotable_2020_xlsx_3[[#This Row],[2045]]</f>
        <v>1332.6480610183842</v>
      </c>
      <c r="W234">
        <f>scenario_indirect_prod_4506_iotable_2020_xlsx_3[[#This Row],[2046]]+scenario_indirect_prod_1610_iotable_2020_xlsx_3[[#This Row],[2046]]</f>
        <v>1381.8247081188433</v>
      </c>
      <c r="X234">
        <f>scenario_indirect_prod_4506_iotable_2020_xlsx_3[[#This Row],[2047]]+scenario_indirect_prod_1610_iotable_2020_xlsx_3[[#This Row],[2047]]</f>
        <v>1381.8247081188433</v>
      </c>
      <c r="Y234">
        <f>scenario_indirect_prod_4506_iotable_2020_xlsx_3[[#This Row],[2048]]+scenario_indirect_prod_1610_iotable_2020_xlsx_3[[#This Row],[2048]]</f>
        <v>1381.8247081188433</v>
      </c>
      <c r="Z234">
        <f>scenario_indirect_prod_4506_iotable_2020_xlsx_3[[#This Row],[2049]]+scenario_indirect_prod_1610_iotable_2020_xlsx_3[[#This Row],[2049]]</f>
        <v>1381.8247081188433</v>
      </c>
      <c r="AA234">
        <f>scenario_indirect_prod_4506_iotable_2020_xlsx_3[[#This Row],[2050]]+scenario_indirect_prod_1610_iotable_2020_xlsx_3[[#This Row],[2050]]</f>
        <v>1381.8247081188433</v>
      </c>
    </row>
    <row r="235" spans="1:27" x14ac:dyDescent="0.2">
      <c r="A235" t="s">
        <v>938</v>
      </c>
      <c r="B235" t="s">
        <v>939</v>
      </c>
      <c r="C235">
        <f>scenario_indirect_prod_4506_iotable_2020_xlsx_3[[#This Row],[2026]]+scenario_indirect_prod_1610_iotable_2020_xlsx_3[[#This Row],[2026]]</f>
        <v>10.350425519198771</v>
      </c>
      <c r="D235">
        <f>scenario_indirect_prod_4506_iotable_2020_xlsx_3[[#This Row],[2027]]+scenario_indirect_prod_1610_iotable_2020_xlsx_3[[#This Row],[2027]]</f>
        <v>10.500538326002827</v>
      </c>
      <c r="E235">
        <f>scenario_indirect_prod_4506_iotable_2020_xlsx_3[[#This Row],[2028]]+scenario_indirect_prod_1610_iotable_2020_xlsx_3[[#This Row],[2028]]</f>
        <v>10.999634471741908</v>
      </c>
      <c r="F235">
        <f>scenario_indirect_prod_4506_iotable_2020_xlsx_3[[#This Row],[2029]]+scenario_indirect_prod_1610_iotable_2020_xlsx_3[[#This Row],[2029]]</f>
        <v>11.414965484182046</v>
      </c>
      <c r="G235">
        <f>scenario_indirect_prod_4506_iotable_2020_xlsx_3[[#This Row],[2030]]+scenario_indirect_prod_1610_iotable_2020_xlsx_3[[#This Row],[2030]]</f>
        <v>11.468440955792307</v>
      </c>
      <c r="H235">
        <f>scenario_indirect_prod_4506_iotable_2020_xlsx_3[[#This Row],[2031]]+scenario_indirect_prod_1610_iotable_2020_xlsx_3[[#This Row],[2031]]</f>
        <v>12.141821285998791</v>
      </c>
      <c r="I235">
        <f>scenario_indirect_prod_4506_iotable_2020_xlsx_3[[#This Row],[2032]]+scenario_indirect_prod_1610_iotable_2020_xlsx_3[[#This Row],[2032]]</f>
        <v>13.082256841888384</v>
      </c>
      <c r="J235">
        <f>scenario_indirect_prod_4506_iotable_2020_xlsx_3[[#This Row],[2033]]+scenario_indirect_prod_1610_iotable_2020_xlsx_3[[#This Row],[2033]]</f>
        <v>14.820884152308146</v>
      </c>
      <c r="K235">
        <f>scenario_indirect_prod_4506_iotable_2020_xlsx_3[[#This Row],[2034]]+scenario_indirect_prod_1610_iotable_2020_xlsx_3[[#This Row],[2034]]</f>
        <v>15.696008469619791</v>
      </c>
      <c r="L235">
        <f>scenario_indirect_prod_4506_iotable_2020_xlsx_3[[#This Row],[2035]]+scenario_indirect_prod_1610_iotable_2020_xlsx_3[[#This Row],[2035]]</f>
        <v>18.213786410480182</v>
      </c>
      <c r="M235">
        <f>scenario_indirect_prod_4506_iotable_2020_xlsx_3[[#This Row],[2036]]+scenario_indirect_prod_1610_iotable_2020_xlsx_3[[#This Row],[2036]]</f>
        <v>19.218255543508477</v>
      </c>
      <c r="N235">
        <f>scenario_indirect_prod_4506_iotable_2020_xlsx_3[[#This Row],[2037]]+scenario_indirect_prod_1610_iotable_2020_xlsx_3[[#This Row],[2037]]</f>
        <v>20.131727972723588</v>
      </c>
      <c r="O235">
        <f>scenario_indirect_prod_4506_iotable_2020_xlsx_3[[#This Row],[2038]]+scenario_indirect_prod_1610_iotable_2020_xlsx_3[[#This Row],[2038]]</f>
        <v>20.131727972723588</v>
      </c>
      <c r="P235">
        <f>scenario_indirect_prod_4506_iotable_2020_xlsx_3[[#This Row],[2039]]+scenario_indirect_prod_1610_iotable_2020_xlsx_3[[#This Row],[2039]]</f>
        <v>20.131727972723588</v>
      </c>
      <c r="Q235">
        <f>scenario_indirect_prod_4506_iotable_2020_xlsx_3[[#This Row],[2040]]+scenario_indirect_prod_1610_iotable_2020_xlsx_3[[#This Row],[2040]]</f>
        <v>20.927614164189592</v>
      </c>
      <c r="R235">
        <f>scenario_indirect_prod_4506_iotable_2020_xlsx_3[[#This Row],[2041]]+scenario_indirect_prod_1610_iotable_2020_xlsx_3[[#This Row],[2041]]</f>
        <v>20.927614164189592</v>
      </c>
      <c r="S235">
        <f>scenario_indirect_prod_4506_iotable_2020_xlsx_3[[#This Row],[2042]]+scenario_indirect_prod_1610_iotable_2020_xlsx_3[[#This Row],[2042]]</f>
        <v>21.825200870587253</v>
      </c>
      <c r="T235">
        <f>scenario_indirect_prod_4506_iotable_2020_xlsx_3[[#This Row],[2043]]+scenario_indirect_prod_1610_iotable_2020_xlsx_3[[#This Row],[2043]]</f>
        <v>21.825200870587253</v>
      </c>
      <c r="U235">
        <f>scenario_indirect_prod_4506_iotable_2020_xlsx_3[[#This Row],[2044]]+scenario_indirect_prod_1610_iotable_2020_xlsx_3[[#This Row],[2044]]</f>
        <v>22.620919942304305</v>
      </c>
      <c r="V235">
        <f>scenario_indirect_prod_4506_iotable_2020_xlsx_3[[#This Row],[2045]]+scenario_indirect_prod_1610_iotable_2020_xlsx_3[[#This Row],[2045]]</f>
        <v>22.620919942304305</v>
      </c>
      <c r="W235">
        <f>scenario_indirect_prod_4506_iotable_2020_xlsx_3[[#This Row],[2046]]+scenario_indirect_prod_1610_iotable_2020_xlsx_3[[#This Row],[2046]]</f>
        <v>23.316819817754226</v>
      </c>
      <c r="X235">
        <f>scenario_indirect_prod_4506_iotable_2020_xlsx_3[[#This Row],[2047]]+scenario_indirect_prod_1610_iotable_2020_xlsx_3[[#This Row],[2047]]</f>
        <v>23.316819817754226</v>
      </c>
      <c r="Y235">
        <f>scenario_indirect_prod_4506_iotable_2020_xlsx_3[[#This Row],[2048]]+scenario_indirect_prod_1610_iotable_2020_xlsx_3[[#This Row],[2048]]</f>
        <v>23.316819817754226</v>
      </c>
      <c r="Z235">
        <f>scenario_indirect_prod_4506_iotable_2020_xlsx_3[[#This Row],[2049]]+scenario_indirect_prod_1610_iotable_2020_xlsx_3[[#This Row],[2049]]</f>
        <v>23.316819817754226</v>
      </c>
      <c r="AA235">
        <f>scenario_indirect_prod_4506_iotable_2020_xlsx_3[[#This Row],[2050]]+scenario_indirect_prod_1610_iotable_2020_xlsx_3[[#This Row],[2050]]</f>
        <v>23.316819817754226</v>
      </c>
    </row>
    <row r="236" spans="1:27" x14ac:dyDescent="0.2">
      <c r="A236" t="s">
        <v>883</v>
      </c>
      <c r="B236" t="s">
        <v>884</v>
      </c>
      <c r="C236">
        <f>scenario_indirect_prod_4506_iotable_2020_xlsx_3[[#This Row],[2026]]+scenario_indirect_prod_1610_iotable_2020_xlsx_3[[#This Row],[2026]]</f>
        <v>371.23689939785271</v>
      </c>
      <c r="D236">
        <f>scenario_indirect_prod_4506_iotable_2020_xlsx_3[[#This Row],[2027]]+scenario_indirect_prod_1610_iotable_2020_xlsx_3[[#This Row],[2027]]</f>
        <v>376.48970131738099</v>
      </c>
      <c r="E236">
        <f>scenario_indirect_prod_4506_iotable_2020_xlsx_3[[#This Row],[2028]]+scenario_indirect_prod_1610_iotable_2020_xlsx_3[[#This Row],[2028]]</f>
        <v>394.39849742226824</v>
      </c>
      <c r="F236">
        <f>scenario_indirect_prod_4506_iotable_2020_xlsx_3[[#This Row],[2029]]+scenario_indirect_prod_1610_iotable_2020_xlsx_3[[#This Row],[2029]]</f>
        <v>409.24814892816352</v>
      </c>
      <c r="G236">
        <f>scenario_indirect_prod_4506_iotable_2020_xlsx_3[[#This Row],[2030]]+scenario_indirect_prod_1610_iotable_2020_xlsx_3[[#This Row],[2030]]</f>
        <v>410.71395510905768</v>
      </c>
      <c r="H236">
        <f>scenario_indirect_prod_4506_iotable_2020_xlsx_3[[#This Row],[2031]]+scenario_indirect_prod_1610_iotable_2020_xlsx_3[[#This Row],[2031]]</f>
        <v>434.87649600957184</v>
      </c>
      <c r="I236">
        <f>scenario_indirect_prod_4506_iotable_2020_xlsx_3[[#This Row],[2032]]+scenario_indirect_prod_1610_iotable_2020_xlsx_3[[#This Row],[2032]]</f>
        <v>468.62163462464275</v>
      </c>
      <c r="J236">
        <f>scenario_indirect_prod_4506_iotable_2020_xlsx_3[[#This Row],[2033]]+scenario_indirect_prod_1610_iotable_2020_xlsx_3[[#This Row],[2033]]</f>
        <v>530.75513400775367</v>
      </c>
      <c r="K236">
        <f>scenario_indirect_prod_4506_iotable_2020_xlsx_3[[#This Row],[2034]]+scenario_indirect_prod_1610_iotable_2020_xlsx_3[[#This Row],[2034]]</f>
        <v>562.15674489768446</v>
      </c>
      <c r="L236">
        <f>scenario_indirect_prod_4506_iotable_2020_xlsx_3[[#This Row],[2035]]+scenario_indirect_prod_1610_iotable_2020_xlsx_3[[#This Row],[2035]]</f>
        <v>652.18088989835428</v>
      </c>
      <c r="M236">
        <f>scenario_indirect_prod_4506_iotable_2020_xlsx_3[[#This Row],[2036]]+scenario_indirect_prod_1610_iotable_2020_xlsx_3[[#This Row],[2036]]</f>
        <v>688.01372516697199</v>
      </c>
      <c r="N236">
        <f>scenario_indirect_prod_4506_iotable_2020_xlsx_3[[#This Row],[2037]]+scenario_indirect_prod_1610_iotable_2020_xlsx_3[[#This Row],[2037]]</f>
        <v>720.60779005401048</v>
      </c>
      <c r="O236">
        <f>scenario_indirect_prod_4506_iotable_2020_xlsx_3[[#This Row],[2038]]+scenario_indirect_prod_1610_iotable_2020_xlsx_3[[#This Row],[2038]]</f>
        <v>720.60779005401048</v>
      </c>
      <c r="P236">
        <f>scenario_indirect_prod_4506_iotable_2020_xlsx_3[[#This Row],[2039]]+scenario_indirect_prod_1610_iotable_2020_xlsx_3[[#This Row],[2039]]</f>
        <v>720.60779005401048</v>
      </c>
      <c r="Q236">
        <f>scenario_indirect_prod_4506_iotable_2020_xlsx_3[[#This Row],[2040]]+scenario_indirect_prod_1610_iotable_2020_xlsx_3[[#This Row],[2040]]</f>
        <v>749.00498448757389</v>
      </c>
      <c r="R236">
        <f>scenario_indirect_prod_4506_iotable_2020_xlsx_3[[#This Row],[2041]]+scenario_indirect_prod_1610_iotable_2020_xlsx_3[[#This Row],[2041]]</f>
        <v>749.00498448757389</v>
      </c>
      <c r="S236">
        <f>scenario_indirect_prod_4506_iotable_2020_xlsx_3[[#This Row],[2042]]+scenario_indirect_prod_1610_iotable_2020_xlsx_3[[#This Row],[2042]]</f>
        <v>781.03472271036821</v>
      </c>
      <c r="T236">
        <f>scenario_indirect_prod_4506_iotable_2020_xlsx_3[[#This Row],[2043]]+scenario_indirect_prod_1610_iotable_2020_xlsx_3[[#This Row],[2043]]</f>
        <v>781.03472271036821</v>
      </c>
      <c r="U236">
        <f>scenario_indirect_prod_4506_iotable_2020_xlsx_3[[#This Row],[2044]]+scenario_indirect_prod_1610_iotable_2020_xlsx_3[[#This Row],[2044]]</f>
        <v>809.4179159101717</v>
      </c>
      <c r="V236">
        <f>scenario_indirect_prod_4506_iotable_2020_xlsx_3[[#This Row],[2045]]+scenario_indirect_prod_1610_iotable_2020_xlsx_3[[#This Row],[2045]]</f>
        <v>809.4179159101717</v>
      </c>
      <c r="W236">
        <f>scenario_indirect_prod_4506_iotable_2020_xlsx_3[[#This Row],[2046]]+scenario_indirect_prod_1610_iotable_2020_xlsx_3[[#This Row],[2046]]</f>
        <v>834.24447642386326</v>
      </c>
      <c r="X236">
        <f>scenario_indirect_prod_4506_iotable_2020_xlsx_3[[#This Row],[2047]]+scenario_indirect_prod_1610_iotable_2020_xlsx_3[[#This Row],[2047]]</f>
        <v>834.24447642386326</v>
      </c>
      <c r="Y236">
        <f>scenario_indirect_prod_4506_iotable_2020_xlsx_3[[#This Row],[2048]]+scenario_indirect_prod_1610_iotable_2020_xlsx_3[[#This Row],[2048]]</f>
        <v>834.24447642386326</v>
      </c>
      <c r="Z236">
        <f>scenario_indirect_prod_4506_iotable_2020_xlsx_3[[#This Row],[2049]]+scenario_indirect_prod_1610_iotable_2020_xlsx_3[[#This Row],[2049]]</f>
        <v>834.24447642386326</v>
      </c>
      <c r="AA236">
        <f>scenario_indirect_prod_4506_iotable_2020_xlsx_3[[#This Row],[2050]]+scenario_indirect_prod_1610_iotable_2020_xlsx_3[[#This Row],[2050]]</f>
        <v>834.24447642386326</v>
      </c>
    </row>
    <row r="237" spans="1:27" x14ac:dyDescent="0.2">
      <c r="A237" t="s">
        <v>946</v>
      </c>
      <c r="B237" t="s">
        <v>947</v>
      </c>
      <c r="C237">
        <f>scenario_indirect_prod_4506_iotable_2020_xlsx_3[[#This Row],[2026]]+scenario_indirect_prod_1610_iotable_2020_xlsx_3[[#This Row],[2026]]</f>
        <v>3.0308630461276937</v>
      </c>
      <c r="D237">
        <f>scenario_indirect_prod_4506_iotable_2020_xlsx_3[[#This Row],[2027]]+scenario_indirect_prod_1610_iotable_2020_xlsx_3[[#This Row],[2027]]</f>
        <v>2.8605202180191176</v>
      </c>
      <c r="E237">
        <f>scenario_indirect_prod_4506_iotable_2020_xlsx_3[[#This Row],[2028]]+scenario_indirect_prod_1610_iotable_2020_xlsx_3[[#This Row],[2028]]</f>
        <v>3.019405174357825</v>
      </c>
      <c r="F237">
        <f>scenario_indirect_prod_4506_iotable_2020_xlsx_3[[#This Row],[2029]]+scenario_indirect_prod_1610_iotable_2020_xlsx_3[[#This Row],[2029]]</f>
        <v>3.0643716588252041</v>
      </c>
      <c r="G237">
        <f>scenario_indirect_prod_4506_iotable_2020_xlsx_3[[#This Row],[2030]]+scenario_indirect_prod_1610_iotable_2020_xlsx_3[[#This Row],[2030]]</f>
        <v>2.3418149773043262</v>
      </c>
      <c r="H237">
        <f>scenario_indirect_prod_4506_iotable_2020_xlsx_3[[#This Row],[2031]]+scenario_indirect_prod_1610_iotable_2020_xlsx_3[[#This Row],[2031]]</f>
        <v>2.5561825000303648</v>
      </c>
      <c r="I237">
        <f>scenario_indirect_prod_4506_iotable_2020_xlsx_3[[#This Row],[2032]]+scenario_indirect_prod_1610_iotable_2020_xlsx_3[[#This Row],[2032]]</f>
        <v>2.855565822287073</v>
      </c>
      <c r="J237">
        <f>scenario_indirect_prod_4506_iotable_2020_xlsx_3[[#This Row],[2033]]+scenario_indirect_prod_1610_iotable_2020_xlsx_3[[#This Row],[2033]]</f>
        <v>2.9964738445068075</v>
      </c>
      <c r="K237">
        <f>scenario_indirect_prod_4506_iotable_2020_xlsx_3[[#This Row],[2034]]+scenario_indirect_prod_1610_iotable_2020_xlsx_3[[#This Row],[2034]]</f>
        <v>3.2750656351548777</v>
      </c>
      <c r="L237">
        <f>scenario_indirect_prod_4506_iotable_2020_xlsx_3[[#This Row],[2035]]+scenario_indirect_prod_1610_iotable_2020_xlsx_3[[#This Row],[2035]]</f>
        <v>3.5543166916947095</v>
      </c>
      <c r="M237">
        <f>scenario_indirect_prod_4506_iotable_2020_xlsx_3[[#This Row],[2036]]+scenario_indirect_prod_1610_iotable_2020_xlsx_3[[#This Row],[2036]]</f>
        <v>3.531275787529168</v>
      </c>
      <c r="N237">
        <f>scenario_indirect_prod_4506_iotable_2020_xlsx_3[[#This Row],[2037]]+scenario_indirect_prod_1610_iotable_2020_xlsx_3[[#This Row],[2037]]</f>
        <v>3.5223898904487365</v>
      </c>
      <c r="O237">
        <f>scenario_indirect_prod_4506_iotable_2020_xlsx_3[[#This Row],[2038]]+scenario_indirect_prod_1610_iotable_2020_xlsx_3[[#This Row],[2038]]</f>
        <v>3.5223898904487365</v>
      </c>
      <c r="P237">
        <f>scenario_indirect_prod_4506_iotable_2020_xlsx_3[[#This Row],[2039]]+scenario_indirect_prod_1610_iotable_2020_xlsx_3[[#This Row],[2039]]</f>
        <v>3.5223898904487365</v>
      </c>
      <c r="Q237">
        <f>scenario_indirect_prod_4506_iotable_2020_xlsx_3[[#This Row],[2040]]+scenario_indirect_prod_1610_iotable_2020_xlsx_3[[#This Row],[2040]]</f>
        <v>3.5126605109674696</v>
      </c>
      <c r="R237">
        <f>scenario_indirect_prod_4506_iotable_2020_xlsx_3[[#This Row],[2041]]+scenario_indirect_prod_1610_iotable_2020_xlsx_3[[#This Row],[2041]]</f>
        <v>3.5126605109674696</v>
      </c>
      <c r="S237">
        <f>scenario_indirect_prod_4506_iotable_2020_xlsx_3[[#This Row],[2042]]+scenario_indirect_prod_1610_iotable_2020_xlsx_3[[#This Row],[2042]]</f>
        <v>3.508010040484109</v>
      </c>
      <c r="T237">
        <f>scenario_indirect_prod_4506_iotable_2020_xlsx_3[[#This Row],[2043]]+scenario_indirect_prod_1610_iotable_2020_xlsx_3[[#This Row],[2043]]</f>
        <v>3.508010040484109</v>
      </c>
      <c r="U237">
        <f>scenario_indirect_prod_4506_iotable_2020_xlsx_3[[#This Row],[2044]]+scenario_indirect_prod_1610_iotable_2020_xlsx_3[[#This Row],[2044]]</f>
        <v>3.4851597074063108</v>
      </c>
      <c r="V237">
        <f>scenario_indirect_prod_4506_iotable_2020_xlsx_3[[#This Row],[2045]]+scenario_indirect_prod_1610_iotable_2020_xlsx_3[[#This Row],[2045]]</f>
        <v>3.4851597074063108</v>
      </c>
      <c r="W237">
        <f>scenario_indirect_prod_4506_iotable_2020_xlsx_3[[#This Row],[2046]]+scenario_indirect_prod_1610_iotable_2020_xlsx_3[[#This Row],[2046]]</f>
        <v>3.4715504677260505</v>
      </c>
      <c r="X237">
        <f>scenario_indirect_prod_4506_iotable_2020_xlsx_3[[#This Row],[2047]]+scenario_indirect_prod_1610_iotable_2020_xlsx_3[[#This Row],[2047]]</f>
        <v>3.4715504677260505</v>
      </c>
      <c r="Y237">
        <f>scenario_indirect_prod_4506_iotable_2020_xlsx_3[[#This Row],[2048]]+scenario_indirect_prod_1610_iotable_2020_xlsx_3[[#This Row],[2048]]</f>
        <v>3.4715504677260505</v>
      </c>
      <c r="Z237">
        <f>scenario_indirect_prod_4506_iotable_2020_xlsx_3[[#This Row],[2049]]+scenario_indirect_prod_1610_iotable_2020_xlsx_3[[#This Row],[2049]]</f>
        <v>3.4715504677260505</v>
      </c>
      <c r="AA237">
        <f>scenario_indirect_prod_4506_iotable_2020_xlsx_3[[#This Row],[2050]]+scenario_indirect_prod_1610_iotable_2020_xlsx_3[[#This Row],[2050]]</f>
        <v>3.4715504677260505</v>
      </c>
    </row>
    <row r="238" spans="1:27" x14ac:dyDescent="0.2">
      <c r="A238" t="s">
        <v>914</v>
      </c>
      <c r="B238" t="s">
        <v>915</v>
      </c>
      <c r="C238">
        <f>scenario_indirect_prod_4506_iotable_2020_xlsx_3[[#This Row],[2026]]+scenario_indirect_prod_1610_iotable_2020_xlsx_3[[#This Row],[2026]]</f>
        <v>40.45639453729504</v>
      </c>
      <c r="D238">
        <f>scenario_indirect_prod_4506_iotable_2020_xlsx_3[[#This Row],[2027]]+scenario_indirect_prod_1610_iotable_2020_xlsx_3[[#This Row],[2027]]</f>
        <v>-20.154870035693392</v>
      </c>
      <c r="E238">
        <f>scenario_indirect_prod_4506_iotable_2020_xlsx_3[[#This Row],[2028]]+scenario_indirect_prod_1610_iotable_2020_xlsx_3[[#This Row],[2028]]</f>
        <v>-14.566694567387287</v>
      </c>
      <c r="F238">
        <f>scenario_indirect_prod_4506_iotable_2020_xlsx_3[[#This Row],[2029]]+scenario_indirect_prod_1610_iotable_2020_xlsx_3[[#This Row],[2029]]</f>
        <v>-34.833212082930004</v>
      </c>
      <c r="G238">
        <f>scenario_indirect_prod_4506_iotable_2020_xlsx_3[[#This Row],[2030]]+scenario_indirect_prod_1610_iotable_2020_xlsx_3[[#This Row],[2030]]</f>
        <v>-245.43804299833573</v>
      </c>
      <c r="H238">
        <f>scenario_indirect_prod_4506_iotable_2020_xlsx_3[[#This Row],[2031]]+scenario_indirect_prod_1610_iotable_2020_xlsx_3[[#This Row],[2031]]</f>
        <v>-237.89847877964752</v>
      </c>
      <c r="I238">
        <f>scenario_indirect_prod_4506_iotable_2020_xlsx_3[[#This Row],[2032]]+scenario_indirect_prod_1610_iotable_2020_xlsx_3[[#This Row],[2032]]</f>
        <v>-227.3688063952562</v>
      </c>
      <c r="J238">
        <f>scenario_indirect_prod_4506_iotable_2020_xlsx_3[[#This Row],[2033]]+scenario_indirect_prod_1610_iotable_2020_xlsx_3[[#This Row],[2033]]</f>
        <v>-325.72232518518786</v>
      </c>
      <c r="K238">
        <f>scenario_indirect_prod_4506_iotable_2020_xlsx_3[[#This Row],[2034]]+scenario_indirect_prod_1610_iotable_2020_xlsx_3[[#This Row],[2034]]</f>
        <v>-315.92391603402689</v>
      </c>
      <c r="L238">
        <f>scenario_indirect_prod_4506_iotable_2020_xlsx_3[[#This Row],[2035]]+scenario_indirect_prod_1610_iotable_2020_xlsx_3[[#This Row],[2035]]</f>
        <v>-436.87972282649923</v>
      </c>
      <c r="M238">
        <f>scenario_indirect_prod_4506_iotable_2020_xlsx_3[[#This Row],[2036]]+scenario_indirect_prod_1610_iotable_2020_xlsx_3[[#This Row],[2036]]</f>
        <v>-523.52981226651082</v>
      </c>
      <c r="N238">
        <f>scenario_indirect_prod_4506_iotable_2020_xlsx_3[[#This Row],[2037]]+scenario_indirect_prod_1610_iotable_2020_xlsx_3[[#This Row],[2037]]</f>
        <v>-598.8839146022209</v>
      </c>
      <c r="O238">
        <f>scenario_indirect_prod_4506_iotable_2020_xlsx_3[[#This Row],[2038]]+scenario_indirect_prod_1610_iotable_2020_xlsx_3[[#This Row],[2038]]</f>
        <v>-598.8839146022209</v>
      </c>
      <c r="P238">
        <f>scenario_indirect_prod_4506_iotable_2020_xlsx_3[[#This Row],[2039]]+scenario_indirect_prod_1610_iotable_2020_xlsx_3[[#This Row],[2039]]</f>
        <v>-598.8839146022209</v>
      </c>
      <c r="Q238">
        <f>scenario_indirect_prod_4506_iotable_2020_xlsx_3[[#This Row],[2040]]+scenario_indirect_prod_1610_iotable_2020_xlsx_3[[#This Row],[2040]]</f>
        <v>-665.1056231922629</v>
      </c>
      <c r="R238">
        <f>scenario_indirect_prod_4506_iotable_2020_xlsx_3[[#This Row],[2041]]+scenario_indirect_prod_1610_iotable_2020_xlsx_3[[#This Row],[2041]]</f>
        <v>-665.1056231922629</v>
      </c>
      <c r="S238">
        <f>scenario_indirect_prod_4506_iotable_2020_xlsx_3[[#This Row],[2042]]+scenario_indirect_prod_1610_iotable_2020_xlsx_3[[#This Row],[2042]]</f>
        <v>-737.98389107648484</v>
      </c>
      <c r="T238">
        <f>scenario_indirect_prod_4506_iotable_2020_xlsx_3[[#This Row],[2043]]+scenario_indirect_prod_1610_iotable_2020_xlsx_3[[#This Row],[2043]]</f>
        <v>-737.98389107648484</v>
      </c>
      <c r="U238">
        <f>scenario_indirect_prod_4506_iotable_2020_xlsx_3[[#This Row],[2044]]+scenario_indirect_prod_1610_iotable_2020_xlsx_3[[#This Row],[2044]]</f>
        <v>-807.93925721823348</v>
      </c>
      <c r="V238">
        <f>scenario_indirect_prod_4506_iotable_2020_xlsx_3[[#This Row],[2045]]+scenario_indirect_prod_1610_iotable_2020_xlsx_3[[#This Row],[2045]]</f>
        <v>-807.93925721823348</v>
      </c>
      <c r="W238">
        <f>scenario_indirect_prod_4506_iotable_2020_xlsx_3[[#This Row],[2046]]+scenario_indirect_prod_1610_iotable_2020_xlsx_3[[#This Row],[2046]]</f>
        <v>-867.29863717857381</v>
      </c>
      <c r="X238">
        <f>scenario_indirect_prod_4506_iotable_2020_xlsx_3[[#This Row],[2047]]+scenario_indirect_prod_1610_iotable_2020_xlsx_3[[#This Row],[2047]]</f>
        <v>-867.29863717857381</v>
      </c>
      <c r="Y238">
        <f>scenario_indirect_prod_4506_iotable_2020_xlsx_3[[#This Row],[2048]]+scenario_indirect_prod_1610_iotable_2020_xlsx_3[[#This Row],[2048]]</f>
        <v>-867.29863717857381</v>
      </c>
      <c r="Z238">
        <f>scenario_indirect_prod_4506_iotable_2020_xlsx_3[[#This Row],[2049]]+scenario_indirect_prod_1610_iotable_2020_xlsx_3[[#This Row],[2049]]</f>
        <v>-867.29863717857381</v>
      </c>
      <c r="AA238">
        <f>scenario_indirect_prod_4506_iotable_2020_xlsx_3[[#This Row],[2050]]+scenario_indirect_prod_1610_iotable_2020_xlsx_3[[#This Row],[2050]]</f>
        <v>-867.29863717857381</v>
      </c>
    </row>
    <row r="239" spans="1:27" x14ac:dyDescent="0.2">
      <c r="A239" t="s">
        <v>936</v>
      </c>
      <c r="B239" t="s">
        <v>937</v>
      </c>
      <c r="C239">
        <f>scenario_indirect_prod_4506_iotable_2020_xlsx_3[[#This Row],[2026]]+scenario_indirect_prod_1610_iotable_2020_xlsx_3[[#This Row],[2026]]</f>
        <v>13.201368831676916</v>
      </c>
      <c r="D239">
        <f>scenario_indirect_prod_4506_iotable_2020_xlsx_3[[#This Row],[2027]]+scenario_indirect_prod_1610_iotable_2020_xlsx_3[[#This Row],[2027]]</f>
        <v>12.366088404228417</v>
      </c>
      <c r="E239">
        <f>scenario_indirect_prod_4506_iotable_2020_xlsx_3[[#This Row],[2028]]+scenario_indirect_prod_1610_iotable_2020_xlsx_3[[#This Row],[2028]]</f>
        <v>13.063682162010419</v>
      </c>
      <c r="F239">
        <f>scenario_indirect_prod_4506_iotable_2020_xlsx_3[[#This Row],[2029]]+scenario_indirect_prod_1610_iotable_2020_xlsx_3[[#This Row],[2029]]</f>
        <v>13.226158073117638</v>
      </c>
      <c r="G239">
        <f>scenario_indirect_prod_4506_iotable_2020_xlsx_3[[#This Row],[2030]]+scenario_indirect_prod_1610_iotable_2020_xlsx_3[[#This Row],[2030]]</f>
        <v>9.7574643156013128</v>
      </c>
      <c r="H239">
        <f>scenario_indirect_prod_4506_iotable_2020_xlsx_3[[#This Row],[2031]]+scenario_indirect_prod_1610_iotable_2020_xlsx_3[[#This Row],[2031]]</f>
        <v>10.698657548559673</v>
      </c>
      <c r="I239">
        <f>scenario_indirect_prod_4506_iotable_2020_xlsx_3[[#This Row],[2032]]+scenario_indirect_prod_1610_iotable_2020_xlsx_3[[#This Row],[2032]]</f>
        <v>12.013117656067276</v>
      </c>
      <c r="J239">
        <f>scenario_indirect_prod_4506_iotable_2020_xlsx_3[[#This Row],[2033]]+scenario_indirect_prod_1610_iotable_2020_xlsx_3[[#This Row],[2033]]</f>
        <v>12.466510158226292</v>
      </c>
      <c r="K239">
        <f>scenario_indirect_prod_4506_iotable_2020_xlsx_3[[#This Row],[2034]]+scenario_indirect_prod_1610_iotable_2020_xlsx_3[[#This Row],[2034]]</f>
        <v>13.689683821761225</v>
      </c>
      <c r="L239">
        <f>scenario_indirect_prod_4506_iotable_2020_xlsx_3[[#This Row],[2035]]+scenario_indirect_prod_1610_iotable_2020_xlsx_3[[#This Row],[2035]]</f>
        <v>14.706536808114251</v>
      </c>
      <c r="M239">
        <f>scenario_indirect_prod_4506_iotable_2020_xlsx_3[[#This Row],[2036]]+scenario_indirect_prod_1610_iotable_2020_xlsx_3[[#This Row],[2036]]</f>
        <v>14.468049607536635</v>
      </c>
      <c r="N239">
        <f>scenario_indirect_prod_4506_iotable_2020_xlsx_3[[#This Row],[2037]]+scenario_indirect_prod_1610_iotable_2020_xlsx_3[[#This Row],[2037]]</f>
        <v>14.308985457387028</v>
      </c>
      <c r="O239">
        <f>scenario_indirect_prod_4506_iotable_2020_xlsx_3[[#This Row],[2038]]+scenario_indirect_prod_1610_iotable_2020_xlsx_3[[#This Row],[2038]]</f>
        <v>14.308985457387028</v>
      </c>
      <c r="P239">
        <f>scenario_indirect_prod_4506_iotable_2020_xlsx_3[[#This Row],[2039]]+scenario_indirect_prod_1610_iotable_2020_xlsx_3[[#This Row],[2039]]</f>
        <v>14.308985457387028</v>
      </c>
      <c r="Q239">
        <f>scenario_indirect_prod_4506_iotable_2020_xlsx_3[[#This Row],[2040]]+scenario_indirect_prod_1610_iotable_2020_xlsx_3[[#This Row],[2040]]</f>
        <v>14.160875238925797</v>
      </c>
      <c r="R239">
        <f>scenario_indirect_prod_4506_iotable_2020_xlsx_3[[#This Row],[2041]]+scenario_indirect_prod_1610_iotable_2020_xlsx_3[[#This Row],[2041]]</f>
        <v>14.160875238925797</v>
      </c>
      <c r="S239">
        <f>scenario_indirect_prod_4506_iotable_2020_xlsx_3[[#This Row],[2042]]+scenario_indirect_prod_1610_iotable_2020_xlsx_3[[#This Row],[2042]]</f>
        <v>14.024129460447</v>
      </c>
      <c r="T239">
        <f>scenario_indirect_prod_4506_iotable_2020_xlsx_3[[#This Row],[2043]]+scenario_indirect_prod_1610_iotable_2020_xlsx_3[[#This Row],[2043]]</f>
        <v>14.024129460447</v>
      </c>
      <c r="U239">
        <f>scenario_indirect_prod_4506_iotable_2020_xlsx_3[[#This Row],[2044]]+scenario_indirect_prod_1610_iotable_2020_xlsx_3[[#This Row],[2044]]</f>
        <v>13.81317615418785</v>
      </c>
      <c r="V239">
        <f>scenario_indirect_prod_4506_iotable_2020_xlsx_3[[#This Row],[2045]]+scenario_indirect_prod_1610_iotable_2020_xlsx_3[[#This Row],[2045]]</f>
        <v>13.81317615418785</v>
      </c>
      <c r="W239">
        <f>scenario_indirect_prod_4506_iotable_2020_xlsx_3[[#This Row],[2046]]+scenario_indirect_prod_1610_iotable_2020_xlsx_3[[#This Row],[2046]]</f>
        <v>13.659227710054424</v>
      </c>
      <c r="X239">
        <f>scenario_indirect_prod_4506_iotable_2020_xlsx_3[[#This Row],[2047]]+scenario_indirect_prod_1610_iotable_2020_xlsx_3[[#This Row],[2047]]</f>
        <v>13.659227710054424</v>
      </c>
      <c r="Y239">
        <f>scenario_indirect_prod_4506_iotable_2020_xlsx_3[[#This Row],[2048]]+scenario_indirect_prod_1610_iotable_2020_xlsx_3[[#This Row],[2048]]</f>
        <v>13.659227710054424</v>
      </c>
      <c r="Z239">
        <f>scenario_indirect_prod_4506_iotable_2020_xlsx_3[[#This Row],[2049]]+scenario_indirect_prod_1610_iotable_2020_xlsx_3[[#This Row],[2049]]</f>
        <v>13.659227710054424</v>
      </c>
      <c r="AA239">
        <f>scenario_indirect_prod_4506_iotable_2020_xlsx_3[[#This Row],[2050]]+scenario_indirect_prod_1610_iotable_2020_xlsx_3[[#This Row],[2050]]</f>
        <v>13.659227710054424</v>
      </c>
    </row>
    <row r="240" spans="1:27" x14ac:dyDescent="0.2">
      <c r="A240" t="s">
        <v>942</v>
      </c>
      <c r="B240" t="s">
        <v>943</v>
      </c>
      <c r="C240">
        <f>scenario_indirect_prod_4506_iotable_2020_xlsx_3[[#This Row],[2026]]+scenario_indirect_prod_1610_iotable_2020_xlsx_3[[#This Row],[2026]]</f>
        <v>3.5256335003012103</v>
      </c>
      <c r="D240">
        <f>scenario_indirect_prod_4506_iotable_2020_xlsx_3[[#This Row],[2027]]+scenario_indirect_prod_1610_iotable_2020_xlsx_3[[#This Row],[2027]]</f>
        <v>2.6527763193061595</v>
      </c>
      <c r="E240">
        <f>scenario_indirect_prod_4506_iotable_2020_xlsx_3[[#This Row],[2028]]+scenario_indirect_prod_1610_iotable_2020_xlsx_3[[#This Row],[2028]]</f>
        <v>2.8777002804889484</v>
      </c>
      <c r="F240">
        <f>scenario_indirect_prod_4506_iotable_2020_xlsx_3[[#This Row],[2029]]+scenario_indirect_prod_1610_iotable_2020_xlsx_3[[#This Row],[2029]]</f>
        <v>2.6886714289184059</v>
      </c>
      <c r="G240">
        <f>scenario_indirect_prod_4506_iotable_2020_xlsx_3[[#This Row],[2030]]+scenario_indirect_prod_1610_iotable_2020_xlsx_3[[#This Row],[2030]]</f>
        <v>-0.47605717577004203</v>
      </c>
      <c r="H240">
        <f>scenario_indirect_prod_4506_iotable_2020_xlsx_3[[#This Row],[2031]]+scenario_indirect_prod_1610_iotable_2020_xlsx_3[[#This Row],[2031]]</f>
        <v>-0.17258985279897932</v>
      </c>
      <c r="I240">
        <f>scenario_indirect_prod_4506_iotable_2020_xlsx_3[[#This Row],[2032]]+scenario_indirect_prod_1610_iotable_2020_xlsx_3[[#This Row],[2032]]</f>
        <v>0.2512292695759033</v>
      </c>
      <c r="J240">
        <f>scenario_indirect_prod_4506_iotable_2020_xlsx_3[[#This Row],[2033]]+scenario_indirect_prod_1610_iotable_2020_xlsx_3[[#This Row],[2033]]</f>
        <v>-0.74412873732383567</v>
      </c>
      <c r="K240">
        <f>scenario_indirect_prod_4506_iotable_2020_xlsx_3[[#This Row],[2034]]+scenario_indirect_prod_1610_iotable_2020_xlsx_3[[#This Row],[2034]]</f>
        <v>-0.3497429468152049</v>
      </c>
      <c r="L240">
        <f>scenario_indirect_prod_4506_iotable_2020_xlsx_3[[#This Row],[2035]]+scenario_indirect_prod_1610_iotable_2020_xlsx_3[[#This Row],[2035]]</f>
        <v>-1.4669399962152081</v>
      </c>
      <c r="M240">
        <f>scenario_indirect_prod_4506_iotable_2020_xlsx_3[[#This Row],[2036]]+scenario_indirect_prod_1610_iotable_2020_xlsx_3[[#This Row],[2036]]</f>
        <v>-2.4923434402799582</v>
      </c>
      <c r="N240">
        <f>scenario_indirect_prod_4506_iotable_2020_xlsx_3[[#This Row],[2037]]+scenario_indirect_prod_1610_iotable_2020_xlsx_3[[#This Row],[2037]]</f>
        <v>-3.3728217832380416</v>
      </c>
      <c r="O240">
        <f>scenario_indirect_prod_4506_iotable_2020_xlsx_3[[#This Row],[2038]]+scenario_indirect_prod_1610_iotable_2020_xlsx_3[[#This Row],[2038]]</f>
        <v>-3.3728217832380416</v>
      </c>
      <c r="P240">
        <f>scenario_indirect_prod_4506_iotable_2020_xlsx_3[[#This Row],[2039]]+scenario_indirect_prod_1610_iotable_2020_xlsx_3[[#This Row],[2039]]</f>
        <v>-3.3728217832380416</v>
      </c>
      <c r="Q240">
        <f>scenario_indirect_prod_4506_iotable_2020_xlsx_3[[#This Row],[2040]]+scenario_indirect_prod_1610_iotable_2020_xlsx_3[[#This Row],[2040]]</f>
        <v>-4.1485296832556884</v>
      </c>
      <c r="R240">
        <f>scenario_indirect_prod_4506_iotable_2020_xlsx_3[[#This Row],[2041]]+scenario_indirect_prod_1610_iotable_2020_xlsx_3[[#This Row],[2041]]</f>
        <v>-4.1485296832556884</v>
      </c>
      <c r="S240">
        <f>scenario_indirect_prod_4506_iotable_2020_xlsx_3[[#This Row],[2042]]+scenario_indirect_prod_1610_iotable_2020_xlsx_3[[#This Row],[2042]]</f>
        <v>-4.9961005981855848</v>
      </c>
      <c r="T240">
        <f>scenario_indirect_prod_4506_iotable_2020_xlsx_3[[#This Row],[2043]]+scenario_indirect_prod_1610_iotable_2020_xlsx_3[[#This Row],[2043]]</f>
        <v>-4.9961005981855848</v>
      </c>
      <c r="U240">
        <f>scenario_indirect_prod_4506_iotable_2020_xlsx_3[[#This Row],[2044]]+scenario_indirect_prod_1610_iotable_2020_xlsx_3[[#This Row],[2044]]</f>
        <v>-5.8282276742258929</v>
      </c>
      <c r="V240">
        <f>scenario_indirect_prod_4506_iotable_2020_xlsx_3[[#This Row],[2045]]+scenario_indirect_prod_1610_iotable_2020_xlsx_3[[#This Row],[2045]]</f>
        <v>-5.8282276742258929</v>
      </c>
      <c r="W240">
        <f>scenario_indirect_prod_4506_iotable_2020_xlsx_3[[#This Row],[2046]]+scenario_indirect_prod_1610_iotable_2020_xlsx_3[[#This Row],[2046]]</f>
        <v>-6.5284830397524267</v>
      </c>
      <c r="X240">
        <f>scenario_indirect_prod_4506_iotable_2020_xlsx_3[[#This Row],[2047]]+scenario_indirect_prod_1610_iotable_2020_xlsx_3[[#This Row],[2047]]</f>
        <v>-6.5284830397524267</v>
      </c>
      <c r="Y240">
        <f>scenario_indirect_prod_4506_iotable_2020_xlsx_3[[#This Row],[2048]]+scenario_indirect_prod_1610_iotable_2020_xlsx_3[[#This Row],[2048]]</f>
        <v>-6.5284830397524267</v>
      </c>
      <c r="Z240">
        <f>scenario_indirect_prod_4506_iotable_2020_xlsx_3[[#This Row],[2049]]+scenario_indirect_prod_1610_iotable_2020_xlsx_3[[#This Row],[2049]]</f>
        <v>-6.5284830397524267</v>
      </c>
      <c r="AA240">
        <f>scenario_indirect_prod_4506_iotable_2020_xlsx_3[[#This Row],[2050]]+scenario_indirect_prod_1610_iotable_2020_xlsx_3[[#This Row],[2050]]</f>
        <v>-6.5284830397524267</v>
      </c>
    </row>
    <row r="241" spans="1:27" x14ac:dyDescent="0.2">
      <c r="A241" t="s">
        <v>874</v>
      </c>
      <c r="B241" t="s">
        <v>283</v>
      </c>
      <c r="C241">
        <f>scenario_indirect_prod_4506_iotable_2020_xlsx_3[[#This Row],[2026]]+scenario_indirect_prod_1610_iotable_2020_xlsx_3[[#This Row],[2026]]</f>
        <v>493.10098840247082</v>
      </c>
      <c r="D241">
        <f>scenario_indirect_prod_4506_iotable_2020_xlsx_3[[#This Row],[2027]]+scenario_indirect_prod_1610_iotable_2020_xlsx_3[[#This Row],[2027]]</f>
        <v>496.34968048302125</v>
      </c>
      <c r="E241">
        <f>scenario_indirect_prod_4506_iotable_2020_xlsx_3[[#This Row],[2028]]+scenario_indirect_prod_1610_iotable_2020_xlsx_3[[#This Row],[2028]]</f>
        <v>520.3589109038229</v>
      </c>
      <c r="F241">
        <f>scenario_indirect_prod_4506_iotable_2020_xlsx_3[[#This Row],[2029]]+scenario_indirect_prod_1610_iotable_2020_xlsx_3[[#This Row],[2029]]</f>
        <v>538.74956502544444</v>
      </c>
      <c r="G241">
        <f>scenario_indirect_prod_4506_iotable_2020_xlsx_3[[#This Row],[2030]]+scenario_indirect_prod_1610_iotable_2020_xlsx_3[[#This Row],[2030]]</f>
        <v>527.85294300624025</v>
      </c>
      <c r="H241">
        <f>scenario_indirect_prod_4506_iotable_2020_xlsx_3[[#This Row],[2031]]+scenario_indirect_prod_1610_iotable_2020_xlsx_3[[#This Row],[2031]]</f>
        <v>560.24618756801044</v>
      </c>
      <c r="I241">
        <f>scenario_indirect_prod_4506_iotable_2020_xlsx_3[[#This Row],[2032]]+scenario_indirect_prod_1610_iotable_2020_xlsx_3[[#This Row],[2032]]</f>
        <v>605.48623630417478</v>
      </c>
      <c r="J241">
        <f>scenario_indirect_prod_4506_iotable_2020_xlsx_3[[#This Row],[2033]]+scenario_indirect_prod_1610_iotable_2020_xlsx_3[[#This Row],[2033]]</f>
        <v>681.60988891056013</v>
      </c>
      <c r="K241">
        <f>scenario_indirect_prod_4506_iotable_2020_xlsx_3[[#This Row],[2034]]+scenario_indirect_prod_1610_iotable_2020_xlsx_3[[#This Row],[2034]]</f>
        <v>723.70811299134903</v>
      </c>
      <c r="L241">
        <f>scenario_indirect_prod_4506_iotable_2020_xlsx_3[[#This Row],[2035]]+scenario_indirect_prod_1610_iotable_2020_xlsx_3[[#This Row],[2035]]</f>
        <v>835.31537494221357</v>
      </c>
      <c r="M241">
        <f>scenario_indirect_prod_4506_iotable_2020_xlsx_3[[#This Row],[2036]]+scenario_indirect_prod_1610_iotable_2020_xlsx_3[[#This Row],[2036]]</f>
        <v>877.39261996927257</v>
      </c>
      <c r="N241">
        <f>scenario_indirect_prod_4506_iotable_2020_xlsx_3[[#This Row],[2037]]+scenario_indirect_prod_1610_iotable_2020_xlsx_3[[#This Row],[2037]]</f>
        <v>915.87778430367359</v>
      </c>
      <c r="O241">
        <f>scenario_indirect_prod_4506_iotable_2020_xlsx_3[[#This Row],[2038]]+scenario_indirect_prod_1610_iotable_2020_xlsx_3[[#This Row],[2038]]</f>
        <v>915.87778430367359</v>
      </c>
      <c r="P241">
        <f>scenario_indirect_prod_4506_iotable_2020_xlsx_3[[#This Row],[2039]]+scenario_indirect_prod_1610_iotable_2020_xlsx_3[[#This Row],[2039]]</f>
        <v>915.87778430367359</v>
      </c>
      <c r="Q241">
        <f>scenario_indirect_prod_4506_iotable_2020_xlsx_3[[#This Row],[2040]]+scenario_indirect_prod_1610_iotable_2020_xlsx_3[[#This Row],[2040]]</f>
        <v>949.3727743970702</v>
      </c>
      <c r="R241">
        <f>scenario_indirect_prod_4506_iotable_2020_xlsx_3[[#This Row],[2041]]+scenario_indirect_prod_1610_iotable_2020_xlsx_3[[#This Row],[2041]]</f>
        <v>949.3727743970702</v>
      </c>
      <c r="S241">
        <f>scenario_indirect_prod_4506_iotable_2020_xlsx_3[[#This Row],[2042]]+scenario_indirect_prod_1610_iotable_2020_xlsx_3[[#This Row],[2042]]</f>
        <v>987.26298373325255</v>
      </c>
      <c r="T241">
        <f>scenario_indirect_prod_4506_iotable_2020_xlsx_3[[#This Row],[2043]]+scenario_indirect_prod_1610_iotable_2020_xlsx_3[[#This Row],[2043]]</f>
        <v>987.26298373325255</v>
      </c>
      <c r="U241">
        <f>scenario_indirect_prod_4506_iotable_2020_xlsx_3[[#This Row],[2044]]+scenario_indirect_prod_1610_iotable_2020_xlsx_3[[#This Row],[2044]]</f>
        <v>1020.5119473079818</v>
      </c>
      <c r="V241">
        <f>scenario_indirect_prod_4506_iotable_2020_xlsx_3[[#This Row],[2045]]+scenario_indirect_prod_1610_iotable_2020_xlsx_3[[#This Row],[2045]]</f>
        <v>1020.5119473079818</v>
      </c>
      <c r="W241">
        <f>scenario_indirect_prod_4506_iotable_2020_xlsx_3[[#This Row],[2046]]+scenario_indirect_prod_1610_iotable_2020_xlsx_3[[#This Row],[2046]]</f>
        <v>1049.7060789377115</v>
      </c>
      <c r="X241">
        <f>scenario_indirect_prod_4506_iotable_2020_xlsx_3[[#This Row],[2047]]+scenario_indirect_prod_1610_iotable_2020_xlsx_3[[#This Row],[2047]]</f>
        <v>1049.7060789377115</v>
      </c>
      <c r="Y241">
        <f>scenario_indirect_prod_4506_iotable_2020_xlsx_3[[#This Row],[2048]]+scenario_indirect_prod_1610_iotable_2020_xlsx_3[[#This Row],[2048]]</f>
        <v>1049.7060789377115</v>
      </c>
      <c r="Z241">
        <f>scenario_indirect_prod_4506_iotable_2020_xlsx_3[[#This Row],[2049]]+scenario_indirect_prod_1610_iotable_2020_xlsx_3[[#This Row],[2049]]</f>
        <v>1049.7060789377115</v>
      </c>
      <c r="AA241">
        <f>scenario_indirect_prod_4506_iotable_2020_xlsx_3[[#This Row],[2050]]+scenario_indirect_prod_1610_iotable_2020_xlsx_3[[#This Row],[2050]]</f>
        <v>1049.7060789377115</v>
      </c>
    </row>
    <row r="242" spans="1:27" x14ac:dyDescent="0.2">
      <c r="A242" t="s">
        <v>1005</v>
      </c>
      <c r="B242" t="s">
        <v>1006</v>
      </c>
      <c r="C242">
        <f>scenario_indirect_prod_4506_iotable_2020_xlsx_3[[#This Row],[2026]]+scenario_indirect_prod_1610_iotable_2020_xlsx_3[[#This Row],[2026]]</f>
        <v>0</v>
      </c>
      <c r="D242">
        <f>scenario_indirect_prod_4506_iotable_2020_xlsx_3[[#This Row],[2027]]+scenario_indirect_prod_1610_iotable_2020_xlsx_3[[#This Row],[2027]]</f>
        <v>0</v>
      </c>
      <c r="E242">
        <f>scenario_indirect_prod_4506_iotable_2020_xlsx_3[[#This Row],[2028]]+scenario_indirect_prod_1610_iotable_2020_xlsx_3[[#This Row],[2028]]</f>
        <v>0</v>
      </c>
      <c r="F242">
        <f>scenario_indirect_prod_4506_iotable_2020_xlsx_3[[#This Row],[2029]]+scenario_indirect_prod_1610_iotable_2020_xlsx_3[[#This Row],[2029]]</f>
        <v>0</v>
      </c>
      <c r="G242">
        <f>scenario_indirect_prod_4506_iotable_2020_xlsx_3[[#This Row],[2030]]+scenario_indirect_prod_1610_iotable_2020_xlsx_3[[#This Row],[2030]]</f>
        <v>0</v>
      </c>
      <c r="H242">
        <f>scenario_indirect_prod_4506_iotable_2020_xlsx_3[[#This Row],[2031]]+scenario_indirect_prod_1610_iotable_2020_xlsx_3[[#This Row],[2031]]</f>
        <v>0</v>
      </c>
      <c r="I242">
        <f>scenario_indirect_prod_4506_iotable_2020_xlsx_3[[#This Row],[2032]]+scenario_indirect_prod_1610_iotable_2020_xlsx_3[[#This Row],[2032]]</f>
        <v>0</v>
      </c>
      <c r="J242">
        <f>scenario_indirect_prod_4506_iotable_2020_xlsx_3[[#This Row],[2033]]+scenario_indirect_prod_1610_iotable_2020_xlsx_3[[#This Row],[2033]]</f>
        <v>0</v>
      </c>
      <c r="K242">
        <f>scenario_indirect_prod_4506_iotable_2020_xlsx_3[[#This Row],[2034]]+scenario_indirect_prod_1610_iotable_2020_xlsx_3[[#This Row],[2034]]</f>
        <v>0</v>
      </c>
      <c r="L242">
        <f>scenario_indirect_prod_4506_iotable_2020_xlsx_3[[#This Row],[2035]]+scenario_indirect_prod_1610_iotable_2020_xlsx_3[[#This Row],[2035]]</f>
        <v>0</v>
      </c>
      <c r="M242">
        <f>scenario_indirect_prod_4506_iotable_2020_xlsx_3[[#This Row],[2036]]+scenario_indirect_prod_1610_iotable_2020_xlsx_3[[#This Row],[2036]]</f>
        <v>0</v>
      </c>
      <c r="N242">
        <f>scenario_indirect_prod_4506_iotable_2020_xlsx_3[[#This Row],[2037]]+scenario_indirect_prod_1610_iotable_2020_xlsx_3[[#This Row],[2037]]</f>
        <v>0</v>
      </c>
      <c r="O242">
        <f>scenario_indirect_prod_4506_iotable_2020_xlsx_3[[#This Row],[2038]]+scenario_indirect_prod_1610_iotable_2020_xlsx_3[[#This Row],[2038]]</f>
        <v>0</v>
      </c>
      <c r="P242">
        <f>scenario_indirect_prod_4506_iotable_2020_xlsx_3[[#This Row],[2039]]+scenario_indirect_prod_1610_iotable_2020_xlsx_3[[#This Row],[2039]]</f>
        <v>0</v>
      </c>
      <c r="Q242">
        <f>scenario_indirect_prod_4506_iotable_2020_xlsx_3[[#This Row],[2040]]+scenario_indirect_prod_1610_iotable_2020_xlsx_3[[#This Row],[2040]]</f>
        <v>0</v>
      </c>
      <c r="R242">
        <f>scenario_indirect_prod_4506_iotable_2020_xlsx_3[[#This Row],[2041]]+scenario_indirect_prod_1610_iotable_2020_xlsx_3[[#This Row],[2041]]</f>
        <v>0</v>
      </c>
      <c r="S242">
        <f>scenario_indirect_prod_4506_iotable_2020_xlsx_3[[#This Row],[2042]]+scenario_indirect_prod_1610_iotable_2020_xlsx_3[[#This Row],[2042]]</f>
        <v>0</v>
      </c>
      <c r="T242">
        <f>scenario_indirect_prod_4506_iotable_2020_xlsx_3[[#This Row],[2043]]+scenario_indirect_prod_1610_iotable_2020_xlsx_3[[#This Row],[2043]]</f>
        <v>0</v>
      </c>
      <c r="U242">
        <f>scenario_indirect_prod_4506_iotable_2020_xlsx_3[[#This Row],[2044]]+scenario_indirect_prod_1610_iotable_2020_xlsx_3[[#This Row],[2044]]</f>
        <v>0</v>
      </c>
      <c r="V242">
        <f>scenario_indirect_prod_4506_iotable_2020_xlsx_3[[#This Row],[2045]]+scenario_indirect_prod_1610_iotable_2020_xlsx_3[[#This Row],[2045]]</f>
        <v>0</v>
      </c>
      <c r="W242">
        <f>scenario_indirect_prod_4506_iotable_2020_xlsx_3[[#This Row],[2046]]+scenario_indirect_prod_1610_iotable_2020_xlsx_3[[#This Row],[2046]]</f>
        <v>0</v>
      </c>
      <c r="X242">
        <f>scenario_indirect_prod_4506_iotable_2020_xlsx_3[[#This Row],[2047]]+scenario_indirect_prod_1610_iotable_2020_xlsx_3[[#This Row],[2047]]</f>
        <v>0</v>
      </c>
      <c r="Y242">
        <f>scenario_indirect_prod_4506_iotable_2020_xlsx_3[[#This Row],[2048]]+scenario_indirect_prod_1610_iotable_2020_xlsx_3[[#This Row],[2048]]</f>
        <v>0</v>
      </c>
      <c r="Z242">
        <f>scenario_indirect_prod_4506_iotable_2020_xlsx_3[[#This Row],[2049]]+scenario_indirect_prod_1610_iotable_2020_xlsx_3[[#This Row],[2049]]</f>
        <v>0</v>
      </c>
      <c r="AA242">
        <f>scenario_indirect_prod_4506_iotable_2020_xlsx_3[[#This Row],[2050]]+scenario_indirect_prod_1610_iotable_2020_xlsx_3[[#This Row],[2050]]</f>
        <v>0</v>
      </c>
    </row>
    <row r="243" spans="1:27" x14ac:dyDescent="0.2">
      <c r="A243" t="s">
        <v>1007</v>
      </c>
      <c r="B243" t="s">
        <v>1008</v>
      </c>
      <c r="C243">
        <f>scenario_indirect_prod_4506_iotable_2020_xlsx_3[[#This Row],[2026]]+scenario_indirect_prod_1610_iotable_2020_xlsx_3[[#This Row],[2026]]</f>
        <v>0</v>
      </c>
      <c r="D243">
        <f>scenario_indirect_prod_4506_iotable_2020_xlsx_3[[#This Row],[2027]]+scenario_indirect_prod_1610_iotable_2020_xlsx_3[[#This Row],[2027]]</f>
        <v>0</v>
      </c>
      <c r="E243">
        <f>scenario_indirect_prod_4506_iotable_2020_xlsx_3[[#This Row],[2028]]+scenario_indirect_prod_1610_iotable_2020_xlsx_3[[#This Row],[2028]]</f>
        <v>0</v>
      </c>
      <c r="F243">
        <f>scenario_indirect_prod_4506_iotable_2020_xlsx_3[[#This Row],[2029]]+scenario_indirect_prod_1610_iotable_2020_xlsx_3[[#This Row],[2029]]</f>
        <v>0</v>
      </c>
      <c r="G243">
        <f>scenario_indirect_prod_4506_iotable_2020_xlsx_3[[#This Row],[2030]]+scenario_indirect_prod_1610_iotable_2020_xlsx_3[[#This Row],[2030]]</f>
        <v>0</v>
      </c>
      <c r="H243">
        <f>scenario_indirect_prod_4506_iotable_2020_xlsx_3[[#This Row],[2031]]+scenario_indirect_prod_1610_iotable_2020_xlsx_3[[#This Row],[2031]]</f>
        <v>0</v>
      </c>
      <c r="I243">
        <f>scenario_indirect_prod_4506_iotable_2020_xlsx_3[[#This Row],[2032]]+scenario_indirect_prod_1610_iotable_2020_xlsx_3[[#This Row],[2032]]</f>
        <v>0</v>
      </c>
      <c r="J243">
        <f>scenario_indirect_prod_4506_iotable_2020_xlsx_3[[#This Row],[2033]]+scenario_indirect_prod_1610_iotable_2020_xlsx_3[[#This Row],[2033]]</f>
        <v>0</v>
      </c>
      <c r="K243">
        <f>scenario_indirect_prod_4506_iotable_2020_xlsx_3[[#This Row],[2034]]+scenario_indirect_prod_1610_iotable_2020_xlsx_3[[#This Row],[2034]]</f>
        <v>0</v>
      </c>
      <c r="L243">
        <f>scenario_indirect_prod_4506_iotable_2020_xlsx_3[[#This Row],[2035]]+scenario_indirect_prod_1610_iotable_2020_xlsx_3[[#This Row],[2035]]</f>
        <v>0</v>
      </c>
      <c r="M243">
        <f>scenario_indirect_prod_4506_iotable_2020_xlsx_3[[#This Row],[2036]]+scenario_indirect_prod_1610_iotable_2020_xlsx_3[[#This Row],[2036]]</f>
        <v>0</v>
      </c>
      <c r="N243">
        <f>scenario_indirect_prod_4506_iotable_2020_xlsx_3[[#This Row],[2037]]+scenario_indirect_prod_1610_iotable_2020_xlsx_3[[#This Row],[2037]]</f>
        <v>0</v>
      </c>
      <c r="O243">
        <f>scenario_indirect_prod_4506_iotable_2020_xlsx_3[[#This Row],[2038]]+scenario_indirect_prod_1610_iotable_2020_xlsx_3[[#This Row],[2038]]</f>
        <v>0</v>
      </c>
      <c r="P243">
        <f>scenario_indirect_prod_4506_iotable_2020_xlsx_3[[#This Row],[2039]]+scenario_indirect_prod_1610_iotable_2020_xlsx_3[[#This Row],[2039]]</f>
        <v>0</v>
      </c>
      <c r="Q243">
        <f>scenario_indirect_prod_4506_iotable_2020_xlsx_3[[#This Row],[2040]]+scenario_indirect_prod_1610_iotable_2020_xlsx_3[[#This Row],[2040]]</f>
        <v>0</v>
      </c>
      <c r="R243">
        <f>scenario_indirect_prod_4506_iotable_2020_xlsx_3[[#This Row],[2041]]+scenario_indirect_prod_1610_iotable_2020_xlsx_3[[#This Row],[2041]]</f>
        <v>0</v>
      </c>
      <c r="S243">
        <f>scenario_indirect_prod_4506_iotable_2020_xlsx_3[[#This Row],[2042]]+scenario_indirect_prod_1610_iotable_2020_xlsx_3[[#This Row],[2042]]</f>
        <v>0</v>
      </c>
      <c r="T243">
        <f>scenario_indirect_prod_4506_iotable_2020_xlsx_3[[#This Row],[2043]]+scenario_indirect_prod_1610_iotable_2020_xlsx_3[[#This Row],[2043]]</f>
        <v>0</v>
      </c>
      <c r="U243">
        <f>scenario_indirect_prod_4506_iotable_2020_xlsx_3[[#This Row],[2044]]+scenario_indirect_prod_1610_iotable_2020_xlsx_3[[#This Row],[2044]]</f>
        <v>0</v>
      </c>
      <c r="V243">
        <f>scenario_indirect_prod_4506_iotable_2020_xlsx_3[[#This Row],[2045]]+scenario_indirect_prod_1610_iotable_2020_xlsx_3[[#This Row],[2045]]</f>
        <v>0</v>
      </c>
      <c r="W243">
        <f>scenario_indirect_prod_4506_iotable_2020_xlsx_3[[#This Row],[2046]]+scenario_indirect_prod_1610_iotable_2020_xlsx_3[[#This Row],[2046]]</f>
        <v>0</v>
      </c>
      <c r="X243">
        <f>scenario_indirect_prod_4506_iotable_2020_xlsx_3[[#This Row],[2047]]+scenario_indirect_prod_1610_iotable_2020_xlsx_3[[#This Row],[2047]]</f>
        <v>0</v>
      </c>
      <c r="Y243">
        <f>scenario_indirect_prod_4506_iotable_2020_xlsx_3[[#This Row],[2048]]+scenario_indirect_prod_1610_iotable_2020_xlsx_3[[#This Row],[2048]]</f>
        <v>0</v>
      </c>
      <c r="Z243">
        <f>scenario_indirect_prod_4506_iotable_2020_xlsx_3[[#This Row],[2049]]+scenario_indirect_prod_1610_iotable_2020_xlsx_3[[#This Row],[2049]]</f>
        <v>0</v>
      </c>
      <c r="AA243">
        <f>scenario_indirect_prod_4506_iotable_2020_xlsx_3[[#This Row],[2050]]+scenario_indirect_prod_1610_iotable_2020_xlsx_3[[#This Row],[2050]]</f>
        <v>0</v>
      </c>
    </row>
    <row r="244" spans="1:27" x14ac:dyDescent="0.2">
      <c r="A244" t="s">
        <v>994</v>
      </c>
      <c r="B244" t="s">
        <v>995</v>
      </c>
      <c r="C244">
        <f>scenario_indirect_prod_4506_iotable_2020_xlsx_3[[#This Row],[2026]]+scenario_indirect_prod_1610_iotable_2020_xlsx_3[[#This Row],[2026]]</f>
        <v>0</v>
      </c>
      <c r="D244">
        <f>scenario_indirect_prod_4506_iotable_2020_xlsx_3[[#This Row],[2027]]+scenario_indirect_prod_1610_iotable_2020_xlsx_3[[#This Row],[2027]]</f>
        <v>0</v>
      </c>
      <c r="E244">
        <f>scenario_indirect_prod_4506_iotable_2020_xlsx_3[[#This Row],[2028]]+scenario_indirect_prod_1610_iotable_2020_xlsx_3[[#This Row],[2028]]</f>
        <v>0</v>
      </c>
      <c r="F244">
        <f>scenario_indirect_prod_4506_iotable_2020_xlsx_3[[#This Row],[2029]]+scenario_indirect_prod_1610_iotable_2020_xlsx_3[[#This Row],[2029]]</f>
        <v>0</v>
      </c>
      <c r="G244">
        <f>scenario_indirect_prod_4506_iotable_2020_xlsx_3[[#This Row],[2030]]+scenario_indirect_prod_1610_iotable_2020_xlsx_3[[#This Row],[2030]]</f>
        <v>0</v>
      </c>
      <c r="H244">
        <f>scenario_indirect_prod_4506_iotable_2020_xlsx_3[[#This Row],[2031]]+scenario_indirect_prod_1610_iotable_2020_xlsx_3[[#This Row],[2031]]</f>
        <v>0</v>
      </c>
      <c r="I244">
        <f>scenario_indirect_prod_4506_iotable_2020_xlsx_3[[#This Row],[2032]]+scenario_indirect_prod_1610_iotable_2020_xlsx_3[[#This Row],[2032]]</f>
        <v>0</v>
      </c>
      <c r="J244">
        <f>scenario_indirect_prod_4506_iotable_2020_xlsx_3[[#This Row],[2033]]+scenario_indirect_prod_1610_iotable_2020_xlsx_3[[#This Row],[2033]]</f>
        <v>0</v>
      </c>
      <c r="K244">
        <f>scenario_indirect_prod_4506_iotable_2020_xlsx_3[[#This Row],[2034]]+scenario_indirect_prod_1610_iotable_2020_xlsx_3[[#This Row],[2034]]</f>
        <v>0</v>
      </c>
      <c r="L244">
        <f>scenario_indirect_prod_4506_iotable_2020_xlsx_3[[#This Row],[2035]]+scenario_indirect_prod_1610_iotable_2020_xlsx_3[[#This Row],[2035]]</f>
        <v>0</v>
      </c>
      <c r="M244">
        <f>scenario_indirect_prod_4506_iotable_2020_xlsx_3[[#This Row],[2036]]+scenario_indirect_prod_1610_iotable_2020_xlsx_3[[#This Row],[2036]]</f>
        <v>0</v>
      </c>
      <c r="N244">
        <f>scenario_indirect_prod_4506_iotable_2020_xlsx_3[[#This Row],[2037]]+scenario_indirect_prod_1610_iotable_2020_xlsx_3[[#This Row],[2037]]</f>
        <v>0</v>
      </c>
      <c r="O244">
        <f>scenario_indirect_prod_4506_iotable_2020_xlsx_3[[#This Row],[2038]]+scenario_indirect_prod_1610_iotable_2020_xlsx_3[[#This Row],[2038]]</f>
        <v>0</v>
      </c>
      <c r="P244">
        <f>scenario_indirect_prod_4506_iotable_2020_xlsx_3[[#This Row],[2039]]+scenario_indirect_prod_1610_iotable_2020_xlsx_3[[#This Row],[2039]]</f>
        <v>0</v>
      </c>
      <c r="Q244">
        <f>scenario_indirect_prod_4506_iotable_2020_xlsx_3[[#This Row],[2040]]+scenario_indirect_prod_1610_iotable_2020_xlsx_3[[#This Row],[2040]]</f>
        <v>0</v>
      </c>
      <c r="R244">
        <f>scenario_indirect_prod_4506_iotable_2020_xlsx_3[[#This Row],[2041]]+scenario_indirect_prod_1610_iotable_2020_xlsx_3[[#This Row],[2041]]</f>
        <v>0</v>
      </c>
      <c r="S244">
        <f>scenario_indirect_prod_4506_iotable_2020_xlsx_3[[#This Row],[2042]]+scenario_indirect_prod_1610_iotable_2020_xlsx_3[[#This Row],[2042]]</f>
        <v>0</v>
      </c>
      <c r="T244">
        <f>scenario_indirect_prod_4506_iotable_2020_xlsx_3[[#This Row],[2043]]+scenario_indirect_prod_1610_iotable_2020_xlsx_3[[#This Row],[2043]]</f>
        <v>0</v>
      </c>
      <c r="U244">
        <f>scenario_indirect_prod_4506_iotable_2020_xlsx_3[[#This Row],[2044]]+scenario_indirect_prod_1610_iotable_2020_xlsx_3[[#This Row],[2044]]</f>
        <v>0</v>
      </c>
      <c r="V244">
        <f>scenario_indirect_prod_4506_iotable_2020_xlsx_3[[#This Row],[2045]]+scenario_indirect_prod_1610_iotable_2020_xlsx_3[[#This Row],[2045]]</f>
        <v>0</v>
      </c>
      <c r="W244">
        <f>scenario_indirect_prod_4506_iotable_2020_xlsx_3[[#This Row],[2046]]+scenario_indirect_prod_1610_iotable_2020_xlsx_3[[#This Row],[2046]]</f>
        <v>0</v>
      </c>
      <c r="X244">
        <f>scenario_indirect_prod_4506_iotable_2020_xlsx_3[[#This Row],[2047]]+scenario_indirect_prod_1610_iotable_2020_xlsx_3[[#This Row],[2047]]</f>
        <v>0</v>
      </c>
      <c r="Y244">
        <f>scenario_indirect_prod_4506_iotable_2020_xlsx_3[[#This Row],[2048]]+scenario_indirect_prod_1610_iotable_2020_xlsx_3[[#This Row],[2048]]</f>
        <v>0</v>
      </c>
      <c r="Z244">
        <f>scenario_indirect_prod_4506_iotable_2020_xlsx_3[[#This Row],[2049]]+scenario_indirect_prod_1610_iotable_2020_xlsx_3[[#This Row],[2049]]</f>
        <v>0</v>
      </c>
      <c r="AA244">
        <f>scenario_indirect_prod_4506_iotable_2020_xlsx_3[[#This Row],[2050]]+scenario_indirect_prod_1610_iotable_2020_xlsx_3[[#This Row],[2050]]</f>
        <v>0</v>
      </c>
    </row>
    <row r="245" spans="1:27" x14ac:dyDescent="0.2">
      <c r="A245" t="s">
        <v>1009</v>
      </c>
      <c r="B245" t="s">
        <v>1010</v>
      </c>
      <c r="C245">
        <f>scenario_indirect_prod_4506_iotable_2020_xlsx_3[[#This Row],[2026]]+scenario_indirect_prod_1610_iotable_2020_xlsx_3[[#This Row],[2026]]</f>
        <v>0</v>
      </c>
      <c r="D245">
        <f>scenario_indirect_prod_4506_iotable_2020_xlsx_3[[#This Row],[2027]]+scenario_indirect_prod_1610_iotable_2020_xlsx_3[[#This Row],[2027]]</f>
        <v>0</v>
      </c>
      <c r="E245">
        <f>scenario_indirect_prod_4506_iotable_2020_xlsx_3[[#This Row],[2028]]+scenario_indirect_prod_1610_iotable_2020_xlsx_3[[#This Row],[2028]]</f>
        <v>0</v>
      </c>
      <c r="F245">
        <f>scenario_indirect_prod_4506_iotable_2020_xlsx_3[[#This Row],[2029]]+scenario_indirect_prod_1610_iotable_2020_xlsx_3[[#This Row],[2029]]</f>
        <v>0</v>
      </c>
      <c r="G245">
        <f>scenario_indirect_prod_4506_iotable_2020_xlsx_3[[#This Row],[2030]]+scenario_indirect_prod_1610_iotable_2020_xlsx_3[[#This Row],[2030]]</f>
        <v>0</v>
      </c>
      <c r="H245">
        <f>scenario_indirect_prod_4506_iotable_2020_xlsx_3[[#This Row],[2031]]+scenario_indirect_prod_1610_iotable_2020_xlsx_3[[#This Row],[2031]]</f>
        <v>0</v>
      </c>
      <c r="I245">
        <f>scenario_indirect_prod_4506_iotable_2020_xlsx_3[[#This Row],[2032]]+scenario_indirect_prod_1610_iotable_2020_xlsx_3[[#This Row],[2032]]</f>
        <v>0</v>
      </c>
      <c r="J245">
        <f>scenario_indirect_prod_4506_iotable_2020_xlsx_3[[#This Row],[2033]]+scenario_indirect_prod_1610_iotable_2020_xlsx_3[[#This Row],[2033]]</f>
        <v>0</v>
      </c>
      <c r="K245">
        <f>scenario_indirect_prod_4506_iotable_2020_xlsx_3[[#This Row],[2034]]+scenario_indirect_prod_1610_iotable_2020_xlsx_3[[#This Row],[2034]]</f>
        <v>0</v>
      </c>
      <c r="L245">
        <f>scenario_indirect_prod_4506_iotable_2020_xlsx_3[[#This Row],[2035]]+scenario_indirect_prod_1610_iotable_2020_xlsx_3[[#This Row],[2035]]</f>
        <v>0</v>
      </c>
      <c r="M245">
        <f>scenario_indirect_prod_4506_iotable_2020_xlsx_3[[#This Row],[2036]]+scenario_indirect_prod_1610_iotable_2020_xlsx_3[[#This Row],[2036]]</f>
        <v>0</v>
      </c>
      <c r="N245">
        <f>scenario_indirect_prod_4506_iotable_2020_xlsx_3[[#This Row],[2037]]+scenario_indirect_prod_1610_iotable_2020_xlsx_3[[#This Row],[2037]]</f>
        <v>0</v>
      </c>
      <c r="O245">
        <f>scenario_indirect_prod_4506_iotable_2020_xlsx_3[[#This Row],[2038]]+scenario_indirect_prod_1610_iotable_2020_xlsx_3[[#This Row],[2038]]</f>
        <v>0</v>
      </c>
      <c r="P245">
        <f>scenario_indirect_prod_4506_iotable_2020_xlsx_3[[#This Row],[2039]]+scenario_indirect_prod_1610_iotable_2020_xlsx_3[[#This Row],[2039]]</f>
        <v>0</v>
      </c>
      <c r="Q245">
        <f>scenario_indirect_prod_4506_iotable_2020_xlsx_3[[#This Row],[2040]]+scenario_indirect_prod_1610_iotable_2020_xlsx_3[[#This Row],[2040]]</f>
        <v>0</v>
      </c>
      <c r="R245">
        <f>scenario_indirect_prod_4506_iotable_2020_xlsx_3[[#This Row],[2041]]+scenario_indirect_prod_1610_iotable_2020_xlsx_3[[#This Row],[2041]]</f>
        <v>0</v>
      </c>
      <c r="S245">
        <f>scenario_indirect_prod_4506_iotable_2020_xlsx_3[[#This Row],[2042]]+scenario_indirect_prod_1610_iotable_2020_xlsx_3[[#This Row],[2042]]</f>
        <v>0</v>
      </c>
      <c r="T245">
        <f>scenario_indirect_prod_4506_iotable_2020_xlsx_3[[#This Row],[2043]]+scenario_indirect_prod_1610_iotable_2020_xlsx_3[[#This Row],[2043]]</f>
        <v>0</v>
      </c>
      <c r="U245">
        <f>scenario_indirect_prod_4506_iotable_2020_xlsx_3[[#This Row],[2044]]+scenario_indirect_prod_1610_iotable_2020_xlsx_3[[#This Row],[2044]]</f>
        <v>0</v>
      </c>
      <c r="V245">
        <f>scenario_indirect_prod_4506_iotable_2020_xlsx_3[[#This Row],[2045]]+scenario_indirect_prod_1610_iotable_2020_xlsx_3[[#This Row],[2045]]</f>
        <v>0</v>
      </c>
      <c r="W245">
        <f>scenario_indirect_prod_4506_iotable_2020_xlsx_3[[#This Row],[2046]]+scenario_indirect_prod_1610_iotable_2020_xlsx_3[[#This Row],[2046]]</f>
        <v>0</v>
      </c>
      <c r="X245">
        <f>scenario_indirect_prod_4506_iotable_2020_xlsx_3[[#This Row],[2047]]+scenario_indirect_prod_1610_iotable_2020_xlsx_3[[#This Row],[2047]]</f>
        <v>0</v>
      </c>
      <c r="Y245">
        <f>scenario_indirect_prod_4506_iotable_2020_xlsx_3[[#This Row],[2048]]+scenario_indirect_prod_1610_iotable_2020_xlsx_3[[#This Row],[2048]]</f>
        <v>0</v>
      </c>
      <c r="Z245">
        <f>scenario_indirect_prod_4506_iotable_2020_xlsx_3[[#This Row],[2049]]+scenario_indirect_prod_1610_iotable_2020_xlsx_3[[#This Row],[2049]]</f>
        <v>0</v>
      </c>
      <c r="AA245">
        <f>scenario_indirect_prod_4506_iotable_2020_xlsx_3[[#This Row],[2050]]+scenario_indirect_prod_1610_iotable_2020_xlsx_3[[#This Row],[2050]]</f>
        <v>0</v>
      </c>
    </row>
    <row r="246" spans="1:27" x14ac:dyDescent="0.2">
      <c r="A246" t="s">
        <v>1013</v>
      </c>
      <c r="B246" t="s">
        <v>1014</v>
      </c>
      <c r="C246">
        <f>scenario_indirect_prod_4506_iotable_2020_xlsx_3[[#This Row],[2026]]+scenario_indirect_prod_1610_iotable_2020_xlsx_3[[#This Row],[2026]]</f>
        <v>0</v>
      </c>
      <c r="D246">
        <f>scenario_indirect_prod_4506_iotable_2020_xlsx_3[[#This Row],[2027]]+scenario_indirect_prod_1610_iotable_2020_xlsx_3[[#This Row],[2027]]</f>
        <v>0</v>
      </c>
      <c r="E246">
        <f>scenario_indirect_prod_4506_iotable_2020_xlsx_3[[#This Row],[2028]]+scenario_indirect_prod_1610_iotable_2020_xlsx_3[[#This Row],[2028]]</f>
        <v>0</v>
      </c>
      <c r="F246">
        <f>scenario_indirect_prod_4506_iotable_2020_xlsx_3[[#This Row],[2029]]+scenario_indirect_prod_1610_iotable_2020_xlsx_3[[#This Row],[2029]]</f>
        <v>0</v>
      </c>
      <c r="G246">
        <f>scenario_indirect_prod_4506_iotable_2020_xlsx_3[[#This Row],[2030]]+scenario_indirect_prod_1610_iotable_2020_xlsx_3[[#This Row],[2030]]</f>
        <v>0</v>
      </c>
      <c r="H246">
        <f>scenario_indirect_prod_4506_iotable_2020_xlsx_3[[#This Row],[2031]]+scenario_indirect_prod_1610_iotable_2020_xlsx_3[[#This Row],[2031]]</f>
        <v>0</v>
      </c>
      <c r="I246">
        <f>scenario_indirect_prod_4506_iotable_2020_xlsx_3[[#This Row],[2032]]+scenario_indirect_prod_1610_iotable_2020_xlsx_3[[#This Row],[2032]]</f>
        <v>0</v>
      </c>
      <c r="J246">
        <f>scenario_indirect_prod_4506_iotable_2020_xlsx_3[[#This Row],[2033]]+scenario_indirect_prod_1610_iotable_2020_xlsx_3[[#This Row],[2033]]</f>
        <v>0</v>
      </c>
      <c r="K246">
        <f>scenario_indirect_prod_4506_iotable_2020_xlsx_3[[#This Row],[2034]]+scenario_indirect_prod_1610_iotable_2020_xlsx_3[[#This Row],[2034]]</f>
        <v>0</v>
      </c>
      <c r="L246">
        <f>scenario_indirect_prod_4506_iotable_2020_xlsx_3[[#This Row],[2035]]+scenario_indirect_prod_1610_iotable_2020_xlsx_3[[#This Row],[2035]]</f>
        <v>0</v>
      </c>
      <c r="M246">
        <f>scenario_indirect_prod_4506_iotable_2020_xlsx_3[[#This Row],[2036]]+scenario_indirect_prod_1610_iotable_2020_xlsx_3[[#This Row],[2036]]</f>
        <v>0</v>
      </c>
      <c r="N246">
        <f>scenario_indirect_prod_4506_iotable_2020_xlsx_3[[#This Row],[2037]]+scenario_indirect_prod_1610_iotable_2020_xlsx_3[[#This Row],[2037]]</f>
        <v>0</v>
      </c>
      <c r="O246">
        <f>scenario_indirect_prod_4506_iotable_2020_xlsx_3[[#This Row],[2038]]+scenario_indirect_prod_1610_iotable_2020_xlsx_3[[#This Row],[2038]]</f>
        <v>0</v>
      </c>
      <c r="P246">
        <f>scenario_indirect_prod_4506_iotable_2020_xlsx_3[[#This Row],[2039]]+scenario_indirect_prod_1610_iotable_2020_xlsx_3[[#This Row],[2039]]</f>
        <v>0</v>
      </c>
      <c r="Q246">
        <f>scenario_indirect_prod_4506_iotable_2020_xlsx_3[[#This Row],[2040]]+scenario_indirect_prod_1610_iotable_2020_xlsx_3[[#This Row],[2040]]</f>
        <v>0</v>
      </c>
      <c r="R246">
        <f>scenario_indirect_prod_4506_iotable_2020_xlsx_3[[#This Row],[2041]]+scenario_indirect_prod_1610_iotable_2020_xlsx_3[[#This Row],[2041]]</f>
        <v>0</v>
      </c>
      <c r="S246">
        <f>scenario_indirect_prod_4506_iotable_2020_xlsx_3[[#This Row],[2042]]+scenario_indirect_prod_1610_iotable_2020_xlsx_3[[#This Row],[2042]]</f>
        <v>0</v>
      </c>
      <c r="T246">
        <f>scenario_indirect_prod_4506_iotable_2020_xlsx_3[[#This Row],[2043]]+scenario_indirect_prod_1610_iotable_2020_xlsx_3[[#This Row],[2043]]</f>
        <v>0</v>
      </c>
      <c r="U246">
        <f>scenario_indirect_prod_4506_iotable_2020_xlsx_3[[#This Row],[2044]]+scenario_indirect_prod_1610_iotable_2020_xlsx_3[[#This Row],[2044]]</f>
        <v>0</v>
      </c>
      <c r="V246">
        <f>scenario_indirect_prod_4506_iotable_2020_xlsx_3[[#This Row],[2045]]+scenario_indirect_prod_1610_iotable_2020_xlsx_3[[#This Row],[2045]]</f>
        <v>0</v>
      </c>
      <c r="W246">
        <f>scenario_indirect_prod_4506_iotable_2020_xlsx_3[[#This Row],[2046]]+scenario_indirect_prod_1610_iotable_2020_xlsx_3[[#This Row],[2046]]</f>
        <v>0</v>
      </c>
      <c r="X246">
        <f>scenario_indirect_prod_4506_iotable_2020_xlsx_3[[#This Row],[2047]]+scenario_indirect_prod_1610_iotable_2020_xlsx_3[[#This Row],[2047]]</f>
        <v>0</v>
      </c>
      <c r="Y246">
        <f>scenario_indirect_prod_4506_iotable_2020_xlsx_3[[#This Row],[2048]]+scenario_indirect_prod_1610_iotable_2020_xlsx_3[[#This Row],[2048]]</f>
        <v>0</v>
      </c>
      <c r="Z246">
        <f>scenario_indirect_prod_4506_iotable_2020_xlsx_3[[#This Row],[2049]]+scenario_indirect_prod_1610_iotable_2020_xlsx_3[[#This Row],[2049]]</f>
        <v>0</v>
      </c>
      <c r="AA246">
        <f>scenario_indirect_prod_4506_iotable_2020_xlsx_3[[#This Row],[2050]]+scenario_indirect_prod_1610_iotable_2020_xlsx_3[[#This Row],[2050]]</f>
        <v>0</v>
      </c>
    </row>
    <row r="247" spans="1:27" x14ac:dyDescent="0.2">
      <c r="A247" t="s">
        <v>932</v>
      </c>
      <c r="B247" t="s">
        <v>933</v>
      </c>
      <c r="C247">
        <f>scenario_indirect_prod_4506_iotable_2020_xlsx_3[[#This Row],[2026]]+scenario_indirect_prod_1610_iotable_2020_xlsx_3[[#This Row],[2026]]</f>
        <v>20.347415113411515</v>
      </c>
      <c r="D247">
        <f>scenario_indirect_prod_4506_iotable_2020_xlsx_3[[#This Row],[2027]]+scenario_indirect_prod_1610_iotable_2020_xlsx_3[[#This Row],[2027]]</f>
        <v>17.993200893300646</v>
      </c>
      <c r="E247">
        <f>scenario_indirect_prod_4506_iotable_2020_xlsx_3[[#This Row],[2028]]+scenario_indirect_prod_1610_iotable_2020_xlsx_3[[#This Row],[2028]]</f>
        <v>19.131815555542211</v>
      </c>
      <c r="F247">
        <f>scenario_indirect_prod_4506_iotable_2020_xlsx_3[[#This Row],[2029]]+scenario_indirect_prod_1610_iotable_2020_xlsx_3[[#This Row],[2029]]</f>
        <v>19.000662411805898</v>
      </c>
      <c r="G247">
        <f>scenario_indirect_prod_4506_iotable_2020_xlsx_3[[#This Row],[2030]]+scenario_indirect_prod_1610_iotable_2020_xlsx_3[[#This Row],[2030]]</f>
        <v>9.9794758041009928</v>
      </c>
      <c r="H247">
        <f>scenario_indirect_prod_4506_iotable_2020_xlsx_3[[#This Row],[2031]]+scenario_indirect_prod_1610_iotable_2020_xlsx_3[[#This Row],[2031]]</f>
        <v>11.515694273796392</v>
      </c>
      <c r="I247">
        <f>scenario_indirect_prod_4506_iotable_2020_xlsx_3[[#This Row],[2032]]+scenario_indirect_prod_1610_iotable_2020_xlsx_3[[#This Row],[2032]]</f>
        <v>13.661160076269184</v>
      </c>
      <c r="J247">
        <f>scenario_indirect_prod_4506_iotable_2020_xlsx_3[[#This Row],[2033]]+scenario_indirect_prod_1610_iotable_2020_xlsx_3[[#This Row],[2033]]</f>
        <v>12.527045474468792</v>
      </c>
      <c r="K247">
        <f>scenario_indirect_prod_4506_iotable_2020_xlsx_3[[#This Row],[2034]]+scenario_indirect_prod_1610_iotable_2020_xlsx_3[[#This Row],[2034]]</f>
        <v>14.523513264256309</v>
      </c>
      <c r="L247">
        <f>scenario_indirect_prod_4506_iotable_2020_xlsx_3[[#This Row],[2035]]+scenario_indirect_prod_1610_iotable_2020_xlsx_3[[#This Row],[2035]]</f>
        <v>13.810782119673561</v>
      </c>
      <c r="M247">
        <f>scenario_indirect_prod_4506_iotable_2020_xlsx_3[[#This Row],[2036]]+scenario_indirect_prod_1610_iotable_2020_xlsx_3[[#This Row],[2036]]</f>
        <v>11.864298555303023</v>
      </c>
      <c r="N247">
        <f>scenario_indirect_prod_4506_iotable_2020_xlsx_3[[#This Row],[2037]]+scenario_indirect_prod_1610_iotable_2020_xlsx_3[[#This Row],[2037]]</f>
        <v>10.243339294530813</v>
      </c>
      <c r="O247">
        <f>scenario_indirect_prod_4506_iotable_2020_xlsx_3[[#This Row],[2038]]+scenario_indirect_prod_1610_iotable_2020_xlsx_3[[#This Row],[2038]]</f>
        <v>10.243339294530813</v>
      </c>
      <c r="P247">
        <f>scenario_indirect_prod_4506_iotable_2020_xlsx_3[[#This Row],[2039]]+scenario_indirect_prod_1610_iotable_2020_xlsx_3[[#This Row],[2039]]</f>
        <v>10.243339294530813</v>
      </c>
      <c r="Q247">
        <f>scenario_indirect_prod_4506_iotable_2020_xlsx_3[[#This Row],[2040]]+scenario_indirect_prod_1610_iotable_2020_xlsx_3[[#This Row],[2040]]</f>
        <v>8.8064686239363539</v>
      </c>
      <c r="R247">
        <f>scenario_indirect_prod_4506_iotable_2020_xlsx_3[[#This Row],[2041]]+scenario_indirect_prod_1610_iotable_2020_xlsx_3[[#This Row],[2041]]</f>
        <v>8.8064686239363539</v>
      </c>
      <c r="S247">
        <f>scenario_indirect_prod_4506_iotable_2020_xlsx_3[[#This Row],[2042]]+scenario_indirect_prod_1610_iotable_2020_xlsx_3[[#This Row],[2042]]</f>
        <v>7.264149372230051</v>
      </c>
      <c r="T247">
        <f>scenario_indirect_prod_4506_iotable_2020_xlsx_3[[#This Row],[2043]]+scenario_indirect_prod_1610_iotable_2020_xlsx_3[[#This Row],[2043]]</f>
        <v>7.264149372230051</v>
      </c>
      <c r="U247">
        <f>scenario_indirect_prod_4506_iotable_2020_xlsx_3[[#This Row],[2044]]+scenario_indirect_prod_1610_iotable_2020_xlsx_3[[#This Row],[2044]]</f>
        <v>5.6653452235941018</v>
      </c>
      <c r="V247">
        <f>scenario_indirect_prod_4506_iotable_2020_xlsx_3[[#This Row],[2045]]+scenario_indirect_prod_1610_iotable_2020_xlsx_3[[#This Row],[2045]]</f>
        <v>5.6653452235941018</v>
      </c>
      <c r="W247">
        <f>scenario_indirect_prod_4506_iotable_2020_xlsx_3[[#This Row],[2046]]+scenario_indirect_prod_1610_iotable_2020_xlsx_3[[#This Row],[2046]]</f>
        <v>4.345910868439546</v>
      </c>
      <c r="X247">
        <f>scenario_indirect_prod_4506_iotable_2020_xlsx_3[[#This Row],[2047]]+scenario_indirect_prod_1610_iotable_2020_xlsx_3[[#This Row],[2047]]</f>
        <v>4.345910868439546</v>
      </c>
      <c r="Y247">
        <f>scenario_indirect_prod_4506_iotable_2020_xlsx_3[[#This Row],[2048]]+scenario_indirect_prod_1610_iotable_2020_xlsx_3[[#This Row],[2048]]</f>
        <v>4.345910868439546</v>
      </c>
      <c r="Z247">
        <f>scenario_indirect_prod_4506_iotable_2020_xlsx_3[[#This Row],[2049]]+scenario_indirect_prod_1610_iotable_2020_xlsx_3[[#This Row],[2049]]</f>
        <v>4.345910868439546</v>
      </c>
      <c r="AA247">
        <f>scenario_indirect_prod_4506_iotable_2020_xlsx_3[[#This Row],[2050]]+scenario_indirect_prod_1610_iotable_2020_xlsx_3[[#This Row],[2050]]</f>
        <v>4.345910868439546</v>
      </c>
    </row>
    <row r="248" spans="1:27" x14ac:dyDescent="0.2">
      <c r="A248" t="s">
        <v>708</v>
      </c>
      <c r="B248" t="s">
        <v>709</v>
      </c>
      <c r="C248">
        <f>scenario_indirect_prod_4506_iotable_2020_xlsx_3[[#This Row],[2026]]+scenario_indirect_prod_1610_iotable_2020_xlsx_3[[#This Row],[2026]]</f>
        <v>2535.983029819643</v>
      </c>
      <c r="D248">
        <f>scenario_indirect_prod_4506_iotable_2020_xlsx_3[[#This Row],[2027]]+scenario_indirect_prod_1610_iotable_2020_xlsx_3[[#This Row],[2027]]</f>
        <v>2231.5134054374003</v>
      </c>
      <c r="E248">
        <f>scenario_indirect_prod_4506_iotable_2020_xlsx_3[[#This Row],[2028]]+scenario_indirect_prod_1610_iotable_2020_xlsx_3[[#This Row],[2028]]</f>
        <v>2374.0807031705335</v>
      </c>
      <c r="F248">
        <f>scenario_indirect_prod_4506_iotable_2020_xlsx_3[[#This Row],[2029]]+scenario_indirect_prod_1610_iotable_2020_xlsx_3[[#This Row],[2029]]</f>
        <v>2353.7805980884777</v>
      </c>
      <c r="G248">
        <f>scenario_indirect_prod_4506_iotable_2020_xlsx_3[[#This Row],[2030]]+scenario_indirect_prod_1610_iotable_2020_xlsx_3[[#This Row],[2030]]</f>
        <v>1191.3535624282649</v>
      </c>
      <c r="H248">
        <f>scenario_indirect_prod_4506_iotable_2020_xlsx_3[[#This Row],[2031]]+scenario_indirect_prod_1610_iotable_2020_xlsx_3[[#This Row],[2031]]</f>
        <v>1383.705306363333</v>
      </c>
      <c r="I248">
        <f>scenario_indirect_prod_4506_iotable_2020_xlsx_3[[#This Row],[2032]]+scenario_indirect_prod_1610_iotable_2020_xlsx_3[[#This Row],[2032]]</f>
        <v>1652.341634333352</v>
      </c>
      <c r="J248">
        <f>scenario_indirect_prod_4506_iotable_2020_xlsx_3[[#This Row],[2033]]+scenario_indirect_prod_1610_iotable_2020_xlsx_3[[#This Row],[2033]]</f>
        <v>1491.9992551723353</v>
      </c>
      <c r="K248">
        <f>scenario_indirect_prod_4506_iotable_2020_xlsx_3[[#This Row],[2034]]+scenario_indirect_prod_1610_iotable_2020_xlsx_3[[#This Row],[2034]]</f>
        <v>1741.9793645456875</v>
      </c>
      <c r="L248">
        <f>scenario_indirect_prod_4506_iotable_2020_xlsx_3[[#This Row],[2035]]+scenario_indirect_prod_1610_iotable_2020_xlsx_3[[#This Row],[2035]]</f>
        <v>1629.5230466336852</v>
      </c>
      <c r="M248">
        <f>scenario_indirect_prod_4506_iotable_2020_xlsx_3[[#This Row],[2036]]+scenario_indirect_prod_1610_iotable_2020_xlsx_3[[#This Row],[2036]]</f>
        <v>1370.5640447728956</v>
      </c>
      <c r="N248">
        <f>scenario_indirect_prod_4506_iotable_2020_xlsx_3[[#This Row],[2037]]+scenario_indirect_prod_1610_iotable_2020_xlsx_3[[#This Row],[2037]]</f>
        <v>1154.2811148888313</v>
      </c>
      <c r="O248">
        <f>scenario_indirect_prod_4506_iotable_2020_xlsx_3[[#This Row],[2038]]+scenario_indirect_prod_1610_iotable_2020_xlsx_3[[#This Row],[2038]]</f>
        <v>1154.2811148888313</v>
      </c>
      <c r="P248">
        <f>scenario_indirect_prod_4506_iotable_2020_xlsx_3[[#This Row],[2039]]+scenario_indirect_prod_1610_iotable_2020_xlsx_3[[#This Row],[2039]]</f>
        <v>1154.2811148888313</v>
      </c>
      <c r="Q248">
        <f>scenario_indirect_prod_4506_iotable_2020_xlsx_3[[#This Row],[2040]]+scenario_indirect_prod_1610_iotable_2020_xlsx_3[[#This Row],[2040]]</f>
        <v>962.67450128116252</v>
      </c>
      <c r="R248">
        <f>scenario_indirect_prod_4506_iotable_2020_xlsx_3[[#This Row],[2041]]+scenario_indirect_prod_1610_iotable_2020_xlsx_3[[#This Row],[2041]]</f>
        <v>962.67450128116252</v>
      </c>
      <c r="S248">
        <f>scenario_indirect_prod_4506_iotable_2020_xlsx_3[[#This Row],[2042]]+scenario_indirect_prod_1610_iotable_2020_xlsx_3[[#This Row],[2042]]</f>
        <v>756.65122504474675</v>
      </c>
      <c r="T248">
        <f>scenario_indirect_prod_4506_iotable_2020_xlsx_3[[#This Row],[2043]]+scenario_indirect_prod_1610_iotable_2020_xlsx_3[[#This Row],[2043]]</f>
        <v>756.65122504474675</v>
      </c>
      <c r="U248">
        <f>scenario_indirect_prod_4506_iotable_2020_xlsx_3[[#This Row],[2044]]+scenario_indirect_prod_1610_iotable_2020_xlsx_3[[#This Row],[2044]]</f>
        <v>544.18788089329246</v>
      </c>
      <c r="V248">
        <f>scenario_indirect_prod_4506_iotable_2020_xlsx_3[[#This Row],[2045]]+scenario_indirect_prod_1610_iotable_2020_xlsx_3[[#This Row],[2045]]</f>
        <v>544.18788089329246</v>
      </c>
      <c r="W248">
        <f>scenario_indirect_prod_4506_iotable_2020_xlsx_3[[#This Row],[2046]]+scenario_indirect_prod_1610_iotable_2020_xlsx_3[[#This Row],[2046]]</f>
        <v>368.52796870145903</v>
      </c>
      <c r="X248">
        <f>scenario_indirect_prod_4506_iotable_2020_xlsx_3[[#This Row],[2047]]+scenario_indirect_prod_1610_iotable_2020_xlsx_3[[#This Row],[2047]]</f>
        <v>368.52796870145903</v>
      </c>
      <c r="Y248">
        <f>scenario_indirect_prod_4506_iotable_2020_xlsx_3[[#This Row],[2048]]+scenario_indirect_prod_1610_iotable_2020_xlsx_3[[#This Row],[2048]]</f>
        <v>368.52796870145903</v>
      </c>
      <c r="Z248">
        <f>scenario_indirect_prod_4506_iotable_2020_xlsx_3[[#This Row],[2049]]+scenario_indirect_prod_1610_iotable_2020_xlsx_3[[#This Row],[2049]]</f>
        <v>368.52796870145903</v>
      </c>
      <c r="AA248">
        <f>scenario_indirect_prod_4506_iotable_2020_xlsx_3[[#This Row],[2050]]+scenario_indirect_prod_1610_iotable_2020_xlsx_3[[#This Row],[2050]]</f>
        <v>368.52796870145903</v>
      </c>
    </row>
    <row r="249" spans="1:27" x14ac:dyDescent="0.2">
      <c r="A249" t="s">
        <v>382</v>
      </c>
      <c r="B249" t="s">
        <v>383</v>
      </c>
      <c r="C249">
        <f>scenario_indirect_prod_4506_iotable_2020_xlsx_3[[#This Row],[2026]]+scenario_indirect_prod_1610_iotable_2020_xlsx_3[[#This Row],[2026]]</f>
        <v>69583.561292199258</v>
      </c>
      <c r="D249">
        <f>scenario_indirect_prod_4506_iotable_2020_xlsx_3[[#This Row],[2027]]+scenario_indirect_prod_1610_iotable_2020_xlsx_3[[#This Row],[2027]]</f>
        <v>67018.685377316026</v>
      </c>
      <c r="E249">
        <f>scenario_indirect_prod_4506_iotable_2020_xlsx_3[[#This Row],[2028]]+scenario_indirect_prod_1610_iotable_2020_xlsx_3[[#This Row],[2028]]</f>
        <v>70586.423238306306</v>
      </c>
      <c r="F249">
        <f>scenario_indirect_prod_4506_iotable_2020_xlsx_3[[#This Row],[2029]]+scenario_indirect_prod_1610_iotable_2020_xlsx_3[[#This Row],[2029]]</f>
        <v>72100.197647981331</v>
      </c>
      <c r="G249">
        <f>scenario_indirect_prod_4506_iotable_2020_xlsx_3[[#This Row],[2030]]+scenario_indirect_prod_1610_iotable_2020_xlsx_3[[#This Row],[2030]]</f>
        <v>60147.873692742498</v>
      </c>
      <c r="H249">
        <f>scenario_indirect_prod_4506_iotable_2020_xlsx_3[[#This Row],[2031]]+scenario_indirect_prod_1610_iotable_2020_xlsx_3[[#This Row],[2031]]</f>
        <v>64961.464259277855</v>
      </c>
      <c r="I249">
        <f>scenario_indirect_prod_4506_iotable_2020_xlsx_3[[#This Row],[2032]]+scenario_indirect_prod_1610_iotable_2020_xlsx_3[[#This Row],[2032]]</f>
        <v>71684.071851448665</v>
      </c>
      <c r="J249">
        <f>scenario_indirect_prod_4506_iotable_2020_xlsx_3[[#This Row],[2033]]+scenario_indirect_prod_1610_iotable_2020_xlsx_3[[#This Row],[2033]]</f>
        <v>77231.604111120731</v>
      </c>
      <c r="K249">
        <f>scenario_indirect_prod_4506_iotable_2020_xlsx_3[[#This Row],[2034]]+scenario_indirect_prod_1610_iotable_2020_xlsx_3[[#This Row],[2034]]</f>
        <v>83487.340979860761</v>
      </c>
      <c r="L249">
        <f>scenario_indirect_prod_4506_iotable_2020_xlsx_3[[#This Row],[2035]]+scenario_indirect_prod_1610_iotable_2020_xlsx_3[[#This Row],[2035]]</f>
        <v>92775.062275052391</v>
      </c>
      <c r="M249">
        <f>scenario_indirect_prod_4506_iotable_2020_xlsx_3[[#This Row],[2036]]+scenario_indirect_prod_1610_iotable_2020_xlsx_3[[#This Row],[2036]]</f>
        <v>94238.100253119279</v>
      </c>
      <c r="N249">
        <f>scenario_indirect_prod_4506_iotable_2020_xlsx_3[[#This Row],[2037]]+scenario_indirect_prod_1610_iotable_2020_xlsx_3[[#This Row],[2037]]</f>
        <v>95769.861681469658</v>
      </c>
      <c r="O249">
        <f>scenario_indirect_prod_4506_iotable_2020_xlsx_3[[#This Row],[2038]]+scenario_indirect_prod_1610_iotable_2020_xlsx_3[[#This Row],[2038]]</f>
        <v>95769.861681469658</v>
      </c>
      <c r="P249">
        <f>scenario_indirect_prod_4506_iotable_2020_xlsx_3[[#This Row],[2039]]+scenario_indirect_prod_1610_iotable_2020_xlsx_3[[#This Row],[2039]]</f>
        <v>95769.861681469658</v>
      </c>
      <c r="Q249">
        <f>scenario_indirect_prod_4506_iotable_2020_xlsx_3[[#This Row],[2040]]+scenario_indirect_prod_1610_iotable_2020_xlsx_3[[#This Row],[2040]]</f>
        <v>97071.303884028806</v>
      </c>
      <c r="R249">
        <f>scenario_indirect_prod_4506_iotable_2020_xlsx_3[[#This Row],[2041]]+scenario_indirect_prod_1610_iotable_2020_xlsx_3[[#This Row],[2041]]</f>
        <v>97071.303884028806</v>
      </c>
      <c r="S249">
        <f>scenario_indirect_prod_4506_iotable_2020_xlsx_3[[#This Row],[2042]]+scenario_indirect_prod_1610_iotable_2020_xlsx_3[[#This Row],[2042]]</f>
        <v>98644.487706340675</v>
      </c>
      <c r="T249">
        <f>scenario_indirect_prod_4506_iotable_2020_xlsx_3[[#This Row],[2043]]+scenario_indirect_prod_1610_iotable_2020_xlsx_3[[#This Row],[2043]]</f>
        <v>98644.487706340675</v>
      </c>
      <c r="U249">
        <f>scenario_indirect_prod_4506_iotable_2020_xlsx_3[[#This Row],[2044]]+scenario_indirect_prod_1610_iotable_2020_xlsx_3[[#This Row],[2044]]</f>
        <v>99726.793659388437</v>
      </c>
      <c r="V249">
        <f>scenario_indirect_prod_4506_iotable_2020_xlsx_3[[#This Row],[2045]]+scenario_indirect_prod_1610_iotable_2020_xlsx_3[[#This Row],[2045]]</f>
        <v>99726.793659388437</v>
      </c>
      <c r="W249">
        <f>scenario_indirect_prod_4506_iotable_2020_xlsx_3[[#This Row],[2046]]+scenario_indirect_prod_1610_iotable_2020_xlsx_3[[#This Row],[2046]]</f>
        <v>100779.64432972725</v>
      </c>
      <c r="X249">
        <f>scenario_indirect_prod_4506_iotable_2020_xlsx_3[[#This Row],[2047]]+scenario_indirect_prod_1610_iotable_2020_xlsx_3[[#This Row],[2047]]</f>
        <v>100779.64432972725</v>
      </c>
      <c r="Y249">
        <f>scenario_indirect_prod_4506_iotable_2020_xlsx_3[[#This Row],[2048]]+scenario_indirect_prod_1610_iotable_2020_xlsx_3[[#This Row],[2048]]</f>
        <v>100779.64432972725</v>
      </c>
      <c r="Z249">
        <f>scenario_indirect_prod_4506_iotable_2020_xlsx_3[[#This Row],[2049]]+scenario_indirect_prod_1610_iotable_2020_xlsx_3[[#This Row],[2049]]</f>
        <v>100779.64432972725</v>
      </c>
      <c r="AA249">
        <f>scenario_indirect_prod_4506_iotable_2020_xlsx_3[[#This Row],[2050]]+scenario_indirect_prod_1610_iotable_2020_xlsx_3[[#This Row],[2050]]</f>
        <v>100779.64432972725</v>
      </c>
    </row>
    <row r="250" spans="1:27" x14ac:dyDescent="0.2">
      <c r="A250" t="s">
        <v>1015</v>
      </c>
      <c r="B250" t="s">
        <v>1016</v>
      </c>
      <c r="C250">
        <f>scenario_indirect_prod_4506_iotable_2020_xlsx_3[[#This Row],[2026]]+scenario_indirect_prod_1610_iotable_2020_xlsx_3[[#This Row],[2026]]</f>
        <v>0</v>
      </c>
      <c r="D250">
        <f>scenario_indirect_prod_4506_iotable_2020_xlsx_3[[#This Row],[2027]]+scenario_indirect_prod_1610_iotable_2020_xlsx_3[[#This Row],[2027]]</f>
        <v>0</v>
      </c>
      <c r="E250">
        <f>scenario_indirect_prod_4506_iotable_2020_xlsx_3[[#This Row],[2028]]+scenario_indirect_prod_1610_iotable_2020_xlsx_3[[#This Row],[2028]]</f>
        <v>0</v>
      </c>
      <c r="F250">
        <f>scenario_indirect_prod_4506_iotable_2020_xlsx_3[[#This Row],[2029]]+scenario_indirect_prod_1610_iotable_2020_xlsx_3[[#This Row],[2029]]</f>
        <v>0</v>
      </c>
      <c r="G250">
        <f>scenario_indirect_prod_4506_iotable_2020_xlsx_3[[#This Row],[2030]]+scenario_indirect_prod_1610_iotable_2020_xlsx_3[[#This Row],[2030]]</f>
        <v>0</v>
      </c>
      <c r="H250">
        <f>scenario_indirect_prod_4506_iotable_2020_xlsx_3[[#This Row],[2031]]+scenario_indirect_prod_1610_iotable_2020_xlsx_3[[#This Row],[2031]]</f>
        <v>0</v>
      </c>
      <c r="I250">
        <f>scenario_indirect_prod_4506_iotable_2020_xlsx_3[[#This Row],[2032]]+scenario_indirect_prod_1610_iotable_2020_xlsx_3[[#This Row],[2032]]</f>
        <v>0</v>
      </c>
      <c r="J250">
        <f>scenario_indirect_prod_4506_iotable_2020_xlsx_3[[#This Row],[2033]]+scenario_indirect_prod_1610_iotable_2020_xlsx_3[[#This Row],[2033]]</f>
        <v>0</v>
      </c>
      <c r="K250">
        <f>scenario_indirect_prod_4506_iotable_2020_xlsx_3[[#This Row],[2034]]+scenario_indirect_prod_1610_iotable_2020_xlsx_3[[#This Row],[2034]]</f>
        <v>0</v>
      </c>
      <c r="L250">
        <f>scenario_indirect_prod_4506_iotable_2020_xlsx_3[[#This Row],[2035]]+scenario_indirect_prod_1610_iotable_2020_xlsx_3[[#This Row],[2035]]</f>
        <v>0</v>
      </c>
      <c r="M250">
        <f>scenario_indirect_prod_4506_iotable_2020_xlsx_3[[#This Row],[2036]]+scenario_indirect_prod_1610_iotable_2020_xlsx_3[[#This Row],[2036]]</f>
        <v>0</v>
      </c>
      <c r="N250">
        <f>scenario_indirect_prod_4506_iotable_2020_xlsx_3[[#This Row],[2037]]+scenario_indirect_prod_1610_iotable_2020_xlsx_3[[#This Row],[2037]]</f>
        <v>0</v>
      </c>
      <c r="O250">
        <f>scenario_indirect_prod_4506_iotable_2020_xlsx_3[[#This Row],[2038]]+scenario_indirect_prod_1610_iotable_2020_xlsx_3[[#This Row],[2038]]</f>
        <v>0</v>
      </c>
      <c r="P250">
        <f>scenario_indirect_prod_4506_iotable_2020_xlsx_3[[#This Row],[2039]]+scenario_indirect_prod_1610_iotable_2020_xlsx_3[[#This Row],[2039]]</f>
        <v>0</v>
      </c>
      <c r="Q250">
        <f>scenario_indirect_prod_4506_iotable_2020_xlsx_3[[#This Row],[2040]]+scenario_indirect_prod_1610_iotable_2020_xlsx_3[[#This Row],[2040]]</f>
        <v>0</v>
      </c>
      <c r="R250">
        <f>scenario_indirect_prod_4506_iotable_2020_xlsx_3[[#This Row],[2041]]+scenario_indirect_prod_1610_iotable_2020_xlsx_3[[#This Row],[2041]]</f>
        <v>0</v>
      </c>
      <c r="S250">
        <f>scenario_indirect_prod_4506_iotable_2020_xlsx_3[[#This Row],[2042]]+scenario_indirect_prod_1610_iotable_2020_xlsx_3[[#This Row],[2042]]</f>
        <v>0</v>
      </c>
      <c r="T250">
        <f>scenario_indirect_prod_4506_iotable_2020_xlsx_3[[#This Row],[2043]]+scenario_indirect_prod_1610_iotable_2020_xlsx_3[[#This Row],[2043]]</f>
        <v>0</v>
      </c>
      <c r="U250">
        <f>scenario_indirect_prod_4506_iotable_2020_xlsx_3[[#This Row],[2044]]+scenario_indirect_prod_1610_iotable_2020_xlsx_3[[#This Row],[2044]]</f>
        <v>0</v>
      </c>
      <c r="V250">
        <f>scenario_indirect_prod_4506_iotable_2020_xlsx_3[[#This Row],[2045]]+scenario_indirect_prod_1610_iotable_2020_xlsx_3[[#This Row],[2045]]</f>
        <v>0</v>
      </c>
      <c r="W250">
        <f>scenario_indirect_prod_4506_iotable_2020_xlsx_3[[#This Row],[2046]]+scenario_indirect_prod_1610_iotable_2020_xlsx_3[[#This Row],[2046]]</f>
        <v>0</v>
      </c>
      <c r="X250">
        <f>scenario_indirect_prod_4506_iotable_2020_xlsx_3[[#This Row],[2047]]+scenario_indirect_prod_1610_iotable_2020_xlsx_3[[#This Row],[2047]]</f>
        <v>0</v>
      </c>
      <c r="Y250">
        <f>scenario_indirect_prod_4506_iotable_2020_xlsx_3[[#This Row],[2048]]+scenario_indirect_prod_1610_iotable_2020_xlsx_3[[#This Row],[2048]]</f>
        <v>0</v>
      </c>
      <c r="Z250">
        <f>scenario_indirect_prod_4506_iotable_2020_xlsx_3[[#This Row],[2049]]+scenario_indirect_prod_1610_iotable_2020_xlsx_3[[#This Row],[2049]]</f>
        <v>0</v>
      </c>
      <c r="AA250">
        <f>scenario_indirect_prod_4506_iotable_2020_xlsx_3[[#This Row],[2050]]+scenario_indirect_prod_1610_iotable_2020_xlsx_3[[#This Row],[2050]]</f>
        <v>0</v>
      </c>
    </row>
    <row r="251" spans="1:27" x14ac:dyDescent="0.2">
      <c r="A251" t="s">
        <v>950</v>
      </c>
      <c r="B251" t="s">
        <v>951</v>
      </c>
      <c r="C251">
        <f>scenario_indirect_prod_4506_iotable_2020_xlsx_3[[#This Row],[2026]]+scenario_indirect_prod_1610_iotable_2020_xlsx_3[[#This Row],[2026]]</f>
        <v>1.6315824462740998</v>
      </c>
      <c r="D251">
        <f>scenario_indirect_prod_4506_iotable_2020_xlsx_3[[#This Row],[2027]]+scenario_indirect_prod_1610_iotable_2020_xlsx_3[[#This Row],[2027]]</f>
        <v>1.6232356070923042</v>
      </c>
      <c r="E251">
        <f>scenario_indirect_prod_4506_iotable_2020_xlsx_3[[#This Row],[2028]]+scenario_indirect_prod_1610_iotable_2020_xlsx_3[[#This Row],[2028]]</f>
        <v>1.703812833649144</v>
      </c>
      <c r="F251">
        <f>scenario_indirect_prod_4506_iotable_2020_xlsx_3[[#This Row],[2029]]+scenario_indirect_prod_1610_iotable_2020_xlsx_3[[#This Row],[2029]]</f>
        <v>1.7578336893391135</v>
      </c>
      <c r="G251">
        <f>scenario_indirect_prod_4506_iotable_2020_xlsx_3[[#This Row],[2030]]+scenario_indirect_prod_1610_iotable_2020_xlsx_3[[#This Row],[2030]]</f>
        <v>1.6559965432610655</v>
      </c>
      <c r="H251">
        <f>scenario_indirect_prod_4506_iotable_2020_xlsx_3[[#This Row],[2031]]+scenario_indirect_prod_1610_iotable_2020_xlsx_3[[#This Row],[2031]]</f>
        <v>1.7647113067173501</v>
      </c>
      <c r="I251">
        <f>scenario_indirect_prod_4506_iotable_2020_xlsx_3[[#This Row],[2032]]+scenario_indirect_prod_1610_iotable_2020_xlsx_3[[#This Row],[2032]]</f>
        <v>1.916541148514282</v>
      </c>
      <c r="J251">
        <f>scenario_indirect_prod_4506_iotable_2020_xlsx_3[[#This Row],[2033]]+scenario_indirect_prod_1610_iotable_2020_xlsx_3[[#This Row],[2033]]</f>
        <v>2.1356099337842345</v>
      </c>
      <c r="K251">
        <f>scenario_indirect_prod_4506_iotable_2020_xlsx_3[[#This Row],[2034]]+scenario_indirect_prod_1610_iotable_2020_xlsx_3[[#This Row],[2034]]</f>
        <v>2.276895517701135</v>
      </c>
      <c r="L251">
        <f>scenario_indirect_prod_4506_iotable_2020_xlsx_3[[#This Row],[2035]]+scenario_indirect_prod_1610_iotable_2020_xlsx_3[[#This Row],[2035]]</f>
        <v>2.6053700844178476</v>
      </c>
      <c r="M251">
        <f>scenario_indirect_prod_4506_iotable_2020_xlsx_3[[#This Row],[2036]]+scenario_indirect_prod_1610_iotable_2020_xlsx_3[[#This Row],[2036]]</f>
        <v>2.7163327837518634</v>
      </c>
      <c r="N251">
        <f>scenario_indirect_prod_4506_iotable_2020_xlsx_3[[#This Row],[2037]]+scenario_indirect_prod_1610_iotable_2020_xlsx_3[[#This Row],[2037]]</f>
        <v>2.8190457100379134</v>
      </c>
      <c r="O251">
        <f>scenario_indirect_prod_4506_iotable_2020_xlsx_3[[#This Row],[2038]]+scenario_indirect_prod_1610_iotable_2020_xlsx_3[[#This Row],[2038]]</f>
        <v>2.8190457100379134</v>
      </c>
      <c r="P251">
        <f>scenario_indirect_prod_4506_iotable_2020_xlsx_3[[#This Row],[2039]]+scenario_indirect_prod_1610_iotable_2020_xlsx_3[[#This Row],[2039]]</f>
        <v>2.8190457100379134</v>
      </c>
      <c r="Q251">
        <f>scenario_indirect_prod_4506_iotable_2020_xlsx_3[[#This Row],[2040]]+scenario_indirect_prod_1610_iotable_2020_xlsx_3[[#This Row],[2040]]</f>
        <v>2.9082401274896648</v>
      </c>
      <c r="R251">
        <f>scenario_indirect_prod_4506_iotable_2020_xlsx_3[[#This Row],[2041]]+scenario_indirect_prod_1610_iotable_2020_xlsx_3[[#This Row],[2041]]</f>
        <v>2.9082401274896648</v>
      </c>
      <c r="S251">
        <f>scenario_indirect_prod_4506_iotable_2020_xlsx_3[[#This Row],[2042]]+scenario_indirect_prod_1610_iotable_2020_xlsx_3[[#This Row],[2042]]</f>
        <v>3.009776387287308</v>
      </c>
      <c r="T251">
        <f>scenario_indirect_prod_4506_iotable_2020_xlsx_3[[#This Row],[2043]]+scenario_indirect_prod_1610_iotable_2020_xlsx_3[[#This Row],[2043]]</f>
        <v>3.009776387287308</v>
      </c>
      <c r="U251">
        <f>scenario_indirect_prod_4506_iotable_2020_xlsx_3[[#This Row],[2044]]+scenario_indirect_prod_1610_iotable_2020_xlsx_3[[#This Row],[2044]]</f>
        <v>3.0969919035752698</v>
      </c>
      <c r="V251">
        <f>scenario_indirect_prod_4506_iotable_2020_xlsx_3[[#This Row],[2045]]+scenario_indirect_prod_1610_iotable_2020_xlsx_3[[#This Row],[2045]]</f>
        <v>3.0969919035752698</v>
      </c>
      <c r="W251">
        <f>scenario_indirect_prod_4506_iotable_2020_xlsx_3[[#This Row],[2046]]+scenario_indirect_prod_1610_iotable_2020_xlsx_3[[#This Row],[2046]]</f>
        <v>3.1742188188826317</v>
      </c>
      <c r="X251">
        <f>scenario_indirect_prod_4506_iotable_2020_xlsx_3[[#This Row],[2047]]+scenario_indirect_prod_1610_iotable_2020_xlsx_3[[#This Row],[2047]]</f>
        <v>3.1742188188826317</v>
      </c>
      <c r="Y251">
        <f>scenario_indirect_prod_4506_iotable_2020_xlsx_3[[#This Row],[2048]]+scenario_indirect_prod_1610_iotable_2020_xlsx_3[[#This Row],[2048]]</f>
        <v>3.1742188188826317</v>
      </c>
      <c r="Z251">
        <f>scenario_indirect_prod_4506_iotable_2020_xlsx_3[[#This Row],[2049]]+scenario_indirect_prod_1610_iotable_2020_xlsx_3[[#This Row],[2049]]</f>
        <v>3.1742188188826317</v>
      </c>
      <c r="AA251">
        <f>scenario_indirect_prod_4506_iotable_2020_xlsx_3[[#This Row],[2050]]+scenario_indirect_prod_1610_iotable_2020_xlsx_3[[#This Row],[2050]]</f>
        <v>3.1742188188826317</v>
      </c>
    </row>
    <row r="252" spans="1:27" x14ac:dyDescent="0.2">
      <c r="A252" t="s">
        <v>813</v>
      </c>
      <c r="B252" t="s">
        <v>814</v>
      </c>
      <c r="C252">
        <f>scenario_indirect_prod_4506_iotable_2020_xlsx_3[[#This Row],[2026]]+scenario_indirect_prod_1610_iotable_2020_xlsx_3[[#This Row],[2026]]</f>
        <v>977.14324871688461</v>
      </c>
      <c r="D252">
        <f>scenario_indirect_prod_4506_iotable_2020_xlsx_3[[#This Row],[2027]]+scenario_indirect_prod_1610_iotable_2020_xlsx_3[[#This Row],[2027]]</f>
        <v>840.4864355830191</v>
      </c>
      <c r="E252">
        <f>scenario_indirect_prod_4506_iotable_2020_xlsx_3[[#This Row],[2028]]+scenario_indirect_prod_1610_iotable_2020_xlsx_3[[#This Row],[2028]]</f>
        <v>896.56881055551526</v>
      </c>
      <c r="F252">
        <f>scenario_indirect_prod_4506_iotable_2020_xlsx_3[[#This Row],[2029]]+scenario_indirect_prod_1610_iotable_2020_xlsx_3[[#This Row],[2029]]</f>
        <v>881.82880071306511</v>
      </c>
      <c r="G252">
        <f>scenario_indirect_prod_4506_iotable_2020_xlsx_3[[#This Row],[2030]]+scenario_indirect_prod_1610_iotable_2020_xlsx_3[[#This Row],[2030]]</f>
        <v>367.30618642115701</v>
      </c>
      <c r="H252">
        <f>scenario_indirect_prod_4506_iotable_2020_xlsx_3[[#This Row],[2031]]+scenario_indirect_prod_1610_iotable_2020_xlsx_3[[#This Row],[2031]]</f>
        <v>442.97250542632423</v>
      </c>
      <c r="I252">
        <f>scenario_indirect_prod_4506_iotable_2020_xlsx_3[[#This Row],[2032]]+scenario_indirect_prod_1610_iotable_2020_xlsx_3[[#This Row],[2032]]</f>
        <v>548.64725353475774</v>
      </c>
      <c r="J252">
        <f>scenario_indirect_prod_4506_iotable_2020_xlsx_3[[#This Row],[2033]]+scenario_indirect_prod_1610_iotable_2020_xlsx_3[[#This Row],[2033]]</f>
        <v>453.63384656951735</v>
      </c>
      <c r="K252">
        <f>scenario_indirect_prod_4506_iotable_2020_xlsx_3[[#This Row],[2034]]+scenario_indirect_prod_1610_iotable_2020_xlsx_3[[#This Row],[2034]]</f>
        <v>551.96970936874345</v>
      </c>
      <c r="L252">
        <f>scenario_indirect_prod_4506_iotable_2020_xlsx_3[[#This Row],[2035]]+scenario_indirect_prod_1610_iotable_2020_xlsx_3[[#This Row],[2035]]</f>
        <v>467.30156966388449</v>
      </c>
      <c r="M252">
        <f>scenario_indirect_prod_4506_iotable_2020_xlsx_3[[#This Row],[2036]]+scenario_indirect_prod_1610_iotable_2020_xlsx_3[[#This Row],[2036]]</f>
        <v>338.89574540042622</v>
      </c>
      <c r="N252">
        <f>scenario_indirect_prod_4506_iotable_2020_xlsx_3[[#This Row],[2037]]+scenario_indirect_prod_1610_iotable_2020_xlsx_3[[#This Row],[2037]]</f>
        <v>230.61592324756111</v>
      </c>
      <c r="O252">
        <f>scenario_indirect_prod_4506_iotable_2020_xlsx_3[[#This Row],[2038]]+scenario_indirect_prod_1610_iotable_2020_xlsx_3[[#This Row],[2038]]</f>
        <v>230.61592324756111</v>
      </c>
      <c r="P252">
        <f>scenario_indirect_prod_4506_iotable_2020_xlsx_3[[#This Row],[2039]]+scenario_indirect_prod_1610_iotable_2020_xlsx_3[[#This Row],[2039]]</f>
        <v>230.61592324756111</v>
      </c>
      <c r="Q252">
        <f>scenario_indirect_prod_4506_iotable_2020_xlsx_3[[#This Row],[2040]]+scenario_indirect_prod_1610_iotable_2020_xlsx_3[[#This Row],[2040]]</f>
        <v>134.87564980577645</v>
      </c>
      <c r="R252">
        <f>scenario_indirect_prod_4506_iotable_2020_xlsx_3[[#This Row],[2041]]+scenario_indirect_prod_1610_iotable_2020_xlsx_3[[#This Row],[2041]]</f>
        <v>134.87564980577645</v>
      </c>
      <c r="S252">
        <f>scenario_indirect_prod_4506_iotable_2020_xlsx_3[[#This Row],[2042]]+scenario_indirect_prod_1610_iotable_2020_xlsx_3[[#This Row],[2042]]</f>
        <v>31.351082766979744</v>
      </c>
      <c r="T252">
        <f>scenario_indirect_prod_4506_iotable_2020_xlsx_3[[#This Row],[2043]]+scenario_indirect_prod_1610_iotable_2020_xlsx_3[[#This Row],[2043]]</f>
        <v>31.351082766979744</v>
      </c>
      <c r="U252">
        <f>scenario_indirect_prod_4506_iotable_2020_xlsx_3[[#This Row],[2044]]+scenario_indirect_prod_1610_iotable_2020_xlsx_3[[#This Row],[2044]]</f>
        <v>-73.605316343988306</v>
      </c>
      <c r="V252">
        <f>scenario_indirect_prod_4506_iotable_2020_xlsx_3[[#This Row],[2045]]+scenario_indirect_prod_1610_iotable_2020_xlsx_3[[#This Row],[2045]]</f>
        <v>-73.605316343988306</v>
      </c>
      <c r="W252">
        <f>scenario_indirect_prod_4506_iotable_2020_xlsx_3[[#This Row],[2046]]+scenario_indirect_prod_1610_iotable_2020_xlsx_3[[#This Row],[2046]]</f>
        <v>-160.90884040810488</v>
      </c>
      <c r="X252">
        <f>scenario_indirect_prod_4506_iotable_2020_xlsx_3[[#This Row],[2047]]+scenario_indirect_prod_1610_iotable_2020_xlsx_3[[#This Row],[2047]]</f>
        <v>-160.90884040810488</v>
      </c>
      <c r="Y252">
        <f>scenario_indirect_prod_4506_iotable_2020_xlsx_3[[#This Row],[2048]]+scenario_indirect_prod_1610_iotable_2020_xlsx_3[[#This Row],[2048]]</f>
        <v>-160.90884040810488</v>
      </c>
      <c r="Z252">
        <f>scenario_indirect_prod_4506_iotable_2020_xlsx_3[[#This Row],[2049]]+scenario_indirect_prod_1610_iotable_2020_xlsx_3[[#This Row],[2049]]</f>
        <v>-160.90884040810488</v>
      </c>
      <c r="AA252">
        <f>scenario_indirect_prod_4506_iotable_2020_xlsx_3[[#This Row],[2050]]+scenario_indirect_prod_1610_iotable_2020_xlsx_3[[#This Row],[2050]]</f>
        <v>-160.90884040810488</v>
      </c>
    </row>
    <row r="253" spans="1:27" x14ac:dyDescent="0.2">
      <c r="A253" t="s">
        <v>878</v>
      </c>
      <c r="B253" t="s">
        <v>237</v>
      </c>
      <c r="C253">
        <f>scenario_indirect_prod_4506_iotable_2020_xlsx_3[[#This Row],[2026]]+scenario_indirect_prod_1610_iotable_2020_xlsx_3[[#This Row],[2026]]</f>
        <v>-6285.1676800575024</v>
      </c>
      <c r="D253">
        <f>scenario_indirect_prod_4506_iotable_2020_xlsx_3[[#This Row],[2027]]+scenario_indirect_prod_1610_iotable_2020_xlsx_3[[#This Row],[2027]]</f>
        <v>-11817.917606403462</v>
      </c>
      <c r="E253">
        <f>scenario_indirect_prod_4506_iotable_2020_xlsx_3[[#This Row],[2028]]+scenario_indirect_prod_1610_iotable_2020_xlsx_3[[#This Row],[2028]]</f>
        <v>-11797.560088137297</v>
      </c>
      <c r="F253">
        <f>scenario_indirect_prod_4506_iotable_2020_xlsx_3[[#This Row],[2029]]+scenario_indirect_prod_1610_iotable_2020_xlsx_3[[#This Row],[2029]]</f>
        <v>-13996.168608098767</v>
      </c>
      <c r="G253">
        <f>scenario_indirect_prod_4506_iotable_2020_xlsx_3[[#This Row],[2030]]+scenario_indirect_prod_1610_iotable_2020_xlsx_3[[#This Row],[2030]]</f>
        <v>-32773.757427164041</v>
      </c>
      <c r="H253">
        <f>scenario_indirect_prod_4506_iotable_2020_xlsx_3[[#This Row],[2031]]+scenario_indirect_prod_1610_iotable_2020_xlsx_3[[#This Row],[2031]]</f>
        <v>-32746.291071253905</v>
      </c>
      <c r="I253">
        <f>scenario_indirect_prod_4506_iotable_2020_xlsx_3[[#This Row],[2032]]+scenario_indirect_prod_1610_iotable_2020_xlsx_3[[#This Row],[2032]]</f>
        <v>-32707.931860968241</v>
      </c>
      <c r="J253">
        <f>scenario_indirect_prod_4506_iotable_2020_xlsx_3[[#This Row],[2033]]+scenario_indirect_prod_1610_iotable_2020_xlsx_3[[#This Row],[2033]]</f>
        <v>-43113.337141127144</v>
      </c>
      <c r="K253">
        <f>scenario_indirect_prod_4506_iotable_2020_xlsx_3[[#This Row],[2034]]+scenario_indirect_prod_1610_iotable_2020_xlsx_3[[#This Row],[2034]]</f>
        <v>-43077.641895978632</v>
      </c>
      <c r="L253">
        <f>scenario_indirect_prod_4506_iotable_2020_xlsx_3[[#This Row],[2035]]+scenario_indirect_prod_1610_iotable_2020_xlsx_3[[#This Row],[2035]]</f>
        <v>-56236.718075395147</v>
      </c>
      <c r="M253">
        <f>scenario_indirect_prod_4506_iotable_2020_xlsx_3[[#This Row],[2036]]+scenario_indirect_prod_1610_iotable_2020_xlsx_3[[#This Row],[2036]]</f>
        <v>-64900.513916036958</v>
      </c>
      <c r="N253">
        <f>scenario_indirect_prod_4506_iotable_2020_xlsx_3[[#This Row],[2037]]+scenario_indirect_prod_1610_iotable_2020_xlsx_3[[#This Row],[2037]]</f>
        <v>-72473.012170517322</v>
      </c>
      <c r="O253">
        <f>scenario_indirect_prod_4506_iotable_2020_xlsx_3[[#This Row],[2038]]+scenario_indirect_prod_1610_iotable_2020_xlsx_3[[#This Row],[2038]]</f>
        <v>-72473.012170517322</v>
      </c>
      <c r="P253">
        <f>scenario_indirect_prod_4506_iotable_2020_xlsx_3[[#This Row],[2039]]+scenario_indirect_prod_1610_iotable_2020_xlsx_3[[#This Row],[2039]]</f>
        <v>-72473.012170517322</v>
      </c>
      <c r="Q253">
        <f>scenario_indirect_prod_4506_iotable_2020_xlsx_3[[#This Row],[2040]]+scenario_indirect_prod_1610_iotable_2020_xlsx_3[[#This Row],[2040]]</f>
        <v>-79121.207560061943</v>
      </c>
      <c r="R253">
        <f>scenario_indirect_prod_4506_iotable_2020_xlsx_3[[#This Row],[2041]]+scenario_indirect_prod_1610_iotable_2020_xlsx_3[[#This Row],[2041]]</f>
        <v>-79121.207560061943</v>
      </c>
      <c r="S253">
        <f>scenario_indirect_prod_4506_iotable_2020_xlsx_3[[#This Row],[2042]]+scenario_indirect_prod_1610_iotable_2020_xlsx_3[[#This Row],[2042]]</f>
        <v>-86458.392410965404</v>
      </c>
      <c r="T253">
        <f>scenario_indirect_prod_4506_iotable_2020_xlsx_3[[#This Row],[2043]]+scenario_indirect_prod_1610_iotable_2020_xlsx_3[[#This Row],[2043]]</f>
        <v>-86458.392410965404</v>
      </c>
      <c r="U253">
        <f>scenario_indirect_prod_4506_iotable_2020_xlsx_3[[#This Row],[2044]]+scenario_indirect_prod_1610_iotable_2020_xlsx_3[[#This Row],[2044]]</f>
        <v>-93438.417079590203</v>
      </c>
      <c r="V253">
        <f>scenario_indirect_prod_4506_iotable_2020_xlsx_3[[#This Row],[2045]]+scenario_indirect_prod_1610_iotable_2020_xlsx_3[[#This Row],[2045]]</f>
        <v>-93438.417079590203</v>
      </c>
      <c r="W253">
        <f>scenario_indirect_prod_4506_iotable_2020_xlsx_3[[#This Row],[2046]]+scenario_indirect_prod_1610_iotable_2020_xlsx_3[[#This Row],[2046]]</f>
        <v>-99380.963135440907</v>
      </c>
      <c r="X253">
        <f>scenario_indirect_prod_4506_iotable_2020_xlsx_3[[#This Row],[2047]]+scenario_indirect_prod_1610_iotable_2020_xlsx_3[[#This Row],[2047]]</f>
        <v>-99380.963135440907</v>
      </c>
      <c r="Y253">
        <f>scenario_indirect_prod_4506_iotable_2020_xlsx_3[[#This Row],[2048]]+scenario_indirect_prod_1610_iotable_2020_xlsx_3[[#This Row],[2048]]</f>
        <v>-99380.963135440907</v>
      </c>
      <c r="Z253">
        <f>scenario_indirect_prod_4506_iotable_2020_xlsx_3[[#This Row],[2049]]+scenario_indirect_prod_1610_iotable_2020_xlsx_3[[#This Row],[2049]]</f>
        <v>-99380.963135440907</v>
      </c>
      <c r="AA253">
        <f>scenario_indirect_prod_4506_iotable_2020_xlsx_3[[#This Row],[2050]]+scenario_indirect_prod_1610_iotable_2020_xlsx_3[[#This Row],[2050]]</f>
        <v>-99380.963135440907</v>
      </c>
    </row>
    <row r="254" spans="1:27" x14ac:dyDescent="0.2">
      <c r="A254" t="s">
        <v>861</v>
      </c>
      <c r="B254" t="s">
        <v>285</v>
      </c>
      <c r="C254">
        <f>scenario_indirect_prod_4506_iotable_2020_xlsx_3[[#This Row],[2026]]+scenario_indirect_prod_1610_iotable_2020_xlsx_3[[#This Row],[2026]]</f>
        <v>630.75184515845797</v>
      </c>
      <c r="D254">
        <f>scenario_indirect_prod_4506_iotable_2020_xlsx_3[[#This Row],[2027]]+scenario_indirect_prod_1610_iotable_2020_xlsx_3[[#This Row],[2027]]</f>
        <v>632.14333591498348</v>
      </c>
      <c r="E254">
        <f>scenario_indirect_prod_4506_iotable_2020_xlsx_3[[#This Row],[2028]]+scenario_indirect_prod_1610_iotable_2020_xlsx_3[[#This Row],[2028]]</f>
        <v>663.01911310789683</v>
      </c>
      <c r="F254">
        <f>scenario_indirect_prod_4506_iotable_2020_xlsx_3[[#This Row],[2029]]+scenario_indirect_prod_1610_iotable_2020_xlsx_3[[#This Row],[2029]]</f>
        <v>685.55489699779366</v>
      </c>
      <c r="G254">
        <f>scenario_indirect_prod_4506_iotable_2020_xlsx_3[[#This Row],[2030]]+scenario_indirect_prod_1610_iotable_2020_xlsx_3[[#This Row],[2030]]</f>
        <v>662.09477200311437</v>
      </c>
      <c r="H254">
        <f>scenario_indirect_prod_4506_iotable_2020_xlsx_3[[#This Row],[2031]]+scenario_indirect_prod_1610_iotable_2020_xlsx_3[[#This Row],[2031]]</f>
        <v>703.752358860968</v>
      </c>
      <c r="I254">
        <f>scenario_indirect_prod_4506_iotable_2020_xlsx_3[[#This Row],[2032]]+scenario_indirect_prod_1610_iotable_2020_xlsx_3[[#This Row],[2032]]</f>
        <v>761.93088605624769</v>
      </c>
      <c r="J254">
        <f>scenario_indirect_prod_4506_iotable_2020_xlsx_3[[#This Row],[2033]]+scenario_indirect_prod_1610_iotable_2020_xlsx_3[[#This Row],[2033]]</f>
        <v>854.55552336660844</v>
      </c>
      <c r="K254">
        <f>scenario_indirect_prod_4506_iotable_2020_xlsx_3[[#This Row],[2034]]+scenario_indirect_prod_1610_iotable_2020_xlsx_3[[#This Row],[2034]]</f>
        <v>908.69367624174652</v>
      </c>
      <c r="L254">
        <f>scenario_indirect_prod_4506_iotable_2020_xlsx_3[[#This Row],[2035]]+scenario_indirect_prod_1610_iotable_2020_xlsx_3[[#This Row],[2035]]</f>
        <v>1045.5488838658164</v>
      </c>
      <c r="M254">
        <f>scenario_indirect_prod_4506_iotable_2020_xlsx_3[[#This Row],[2036]]+scenario_indirect_prod_1610_iotable_2020_xlsx_3[[#This Row],[2036]]</f>
        <v>1095.2811488551179</v>
      </c>
      <c r="N254">
        <f>scenario_indirect_prod_4506_iotable_2020_xlsx_3[[#This Row],[2037]]+scenario_indirect_prod_1610_iotable_2020_xlsx_3[[#This Row],[2037]]</f>
        <v>1140.9448533700249</v>
      </c>
      <c r="O254">
        <f>scenario_indirect_prod_4506_iotable_2020_xlsx_3[[#This Row],[2038]]+scenario_indirect_prod_1610_iotable_2020_xlsx_3[[#This Row],[2038]]</f>
        <v>1140.9448533700249</v>
      </c>
      <c r="P254">
        <f>scenario_indirect_prod_4506_iotable_2020_xlsx_3[[#This Row],[2039]]+scenario_indirect_prod_1610_iotable_2020_xlsx_3[[#This Row],[2039]]</f>
        <v>1140.9448533700249</v>
      </c>
      <c r="Q254">
        <f>scenario_indirect_prod_4506_iotable_2020_xlsx_3[[#This Row],[2040]]+scenario_indirect_prod_1610_iotable_2020_xlsx_3[[#This Row],[2040]]</f>
        <v>1180.6585938800106</v>
      </c>
      <c r="R254">
        <f>scenario_indirect_prod_4506_iotable_2020_xlsx_3[[#This Row],[2041]]+scenario_indirect_prod_1610_iotable_2020_xlsx_3[[#This Row],[2041]]</f>
        <v>1180.6585938800106</v>
      </c>
      <c r="S254">
        <f>scenario_indirect_prod_4506_iotable_2020_xlsx_3[[#This Row],[2042]]+scenario_indirect_prod_1610_iotable_2020_xlsx_3[[#This Row],[2042]]</f>
        <v>1225.6758882855495</v>
      </c>
      <c r="T254">
        <f>scenario_indirect_prod_4506_iotable_2020_xlsx_3[[#This Row],[2043]]+scenario_indirect_prod_1610_iotable_2020_xlsx_3[[#This Row],[2043]]</f>
        <v>1225.6758882855495</v>
      </c>
      <c r="U254">
        <f>scenario_indirect_prod_4506_iotable_2020_xlsx_3[[#This Row],[2044]]+scenario_indirect_prod_1610_iotable_2020_xlsx_3[[#This Row],[2044]]</f>
        <v>1264.9063172752267</v>
      </c>
      <c r="V254">
        <f>scenario_indirect_prod_4506_iotable_2020_xlsx_3[[#This Row],[2045]]+scenario_indirect_prod_1610_iotable_2020_xlsx_3[[#This Row],[2045]]</f>
        <v>1264.9063172752267</v>
      </c>
      <c r="W254">
        <f>scenario_indirect_prod_4506_iotable_2020_xlsx_3[[#This Row],[2046]]+scenario_indirect_prod_1610_iotable_2020_xlsx_3[[#This Row],[2046]]</f>
        <v>1299.4461970151788</v>
      </c>
      <c r="X254">
        <f>scenario_indirect_prod_4506_iotable_2020_xlsx_3[[#This Row],[2047]]+scenario_indirect_prod_1610_iotable_2020_xlsx_3[[#This Row],[2047]]</f>
        <v>1299.4461970151788</v>
      </c>
      <c r="Y254">
        <f>scenario_indirect_prod_4506_iotable_2020_xlsx_3[[#This Row],[2048]]+scenario_indirect_prod_1610_iotable_2020_xlsx_3[[#This Row],[2048]]</f>
        <v>1299.4461970151788</v>
      </c>
      <c r="Z254">
        <f>scenario_indirect_prod_4506_iotable_2020_xlsx_3[[#This Row],[2049]]+scenario_indirect_prod_1610_iotable_2020_xlsx_3[[#This Row],[2049]]</f>
        <v>1299.4461970151788</v>
      </c>
      <c r="AA254">
        <f>scenario_indirect_prod_4506_iotable_2020_xlsx_3[[#This Row],[2050]]+scenario_indirect_prod_1610_iotable_2020_xlsx_3[[#This Row],[2050]]</f>
        <v>1299.4461970151788</v>
      </c>
    </row>
    <row r="255" spans="1:27" x14ac:dyDescent="0.2">
      <c r="A255" t="s">
        <v>920</v>
      </c>
      <c r="B255" t="s">
        <v>921</v>
      </c>
      <c r="C255">
        <f>scenario_indirect_prod_4506_iotable_2020_xlsx_3[[#This Row],[2026]]+scenario_indirect_prod_1610_iotable_2020_xlsx_3[[#This Row],[2026]]</f>
        <v>76.202676901085994</v>
      </c>
      <c r="D255">
        <f>scenario_indirect_prod_4506_iotable_2020_xlsx_3[[#This Row],[2027]]+scenario_indirect_prod_1610_iotable_2020_xlsx_3[[#This Row],[2027]]</f>
        <v>73.709425601601836</v>
      </c>
      <c r="E255">
        <f>scenario_indirect_prod_4506_iotable_2020_xlsx_3[[#This Row],[2028]]+scenario_indirect_prod_1610_iotable_2020_xlsx_3[[#This Row],[2028]]</f>
        <v>77.59778496416169</v>
      </c>
      <c r="F255">
        <f>scenario_indirect_prod_4506_iotable_2020_xlsx_3[[#This Row],[2029]]+scenario_indirect_prod_1610_iotable_2020_xlsx_3[[#This Row],[2029]]</f>
        <v>79.36844639617874</v>
      </c>
      <c r="G255">
        <f>scenario_indirect_prod_4506_iotable_2020_xlsx_3[[#This Row],[2030]]+scenario_indirect_prod_1610_iotable_2020_xlsx_3[[#This Row],[2030]]</f>
        <v>67.366361119252659</v>
      </c>
      <c r="H255">
        <f>scenario_indirect_prod_4506_iotable_2020_xlsx_3[[#This Row],[2031]]+scenario_indirect_prod_1610_iotable_2020_xlsx_3[[#This Row],[2031]]</f>
        <v>72.612534093889963</v>
      </c>
      <c r="I255">
        <f>scenario_indirect_prod_4506_iotable_2020_xlsx_3[[#This Row],[2032]]+scenario_indirect_prod_1610_iotable_2020_xlsx_3[[#This Row],[2032]]</f>
        <v>79.939281514895185</v>
      </c>
      <c r="J255">
        <f>scenario_indirect_prod_4506_iotable_2020_xlsx_3[[#This Row],[2033]]+scenario_indirect_prod_1610_iotable_2020_xlsx_3[[#This Row],[2033]]</f>
        <v>86.556792180952982</v>
      </c>
      <c r="K255">
        <f>scenario_indirect_prod_4506_iotable_2020_xlsx_3[[#This Row],[2034]]+scenario_indirect_prod_1610_iotable_2020_xlsx_3[[#This Row],[2034]]</f>
        <v>93.374712659147661</v>
      </c>
      <c r="L255">
        <f>scenario_indirect_prod_4506_iotable_2020_xlsx_3[[#This Row],[2035]]+scenario_indirect_prod_1610_iotable_2020_xlsx_3[[#This Row],[2035]]</f>
        <v>104.22046608421509</v>
      </c>
      <c r="M255">
        <f>scenario_indirect_prod_4506_iotable_2020_xlsx_3[[#This Row],[2036]]+scenario_indirect_prod_1610_iotable_2020_xlsx_3[[#This Row],[2036]]</f>
        <v>106.28979086802379</v>
      </c>
      <c r="N255">
        <f>scenario_indirect_prod_4506_iotable_2020_xlsx_3[[#This Row],[2037]]+scenario_indirect_prod_1610_iotable_2020_xlsx_3[[#This Row],[2037]]</f>
        <v>108.37428695309941</v>
      </c>
      <c r="O255">
        <f>scenario_indirect_prod_4506_iotable_2020_xlsx_3[[#This Row],[2038]]+scenario_indirect_prod_1610_iotable_2020_xlsx_3[[#This Row],[2038]]</f>
        <v>108.37428695309941</v>
      </c>
      <c r="P255">
        <f>scenario_indirect_prod_4506_iotable_2020_xlsx_3[[#This Row],[2039]]+scenario_indirect_prod_1610_iotable_2020_xlsx_3[[#This Row],[2039]]</f>
        <v>108.37428695309941</v>
      </c>
      <c r="Q255">
        <f>scenario_indirect_prod_4506_iotable_2020_xlsx_3[[#This Row],[2040]]+scenario_indirect_prod_1610_iotable_2020_xlsx_3[[#This Row],[2040]]</f>
        <v>110.15708732475147</v>
      </c>
      <c r="R255">
        <f>scenario_indirect_prod_4506_iotable_2020_xlsx_3[[#This Row],[2041]]+scenario_indirect_prod_1610_iotable_2020_xlsx_3[[#This Row],[2041]]</f>
        <v>110.15708732475147</v>
      </c>
      <c r="S255">
        <f>scenario_indirect_prod_4506_iotable_2020_xlsx_3[[#This Row],[2042]]+scenario_indirect_prod_1610_iotable_2020_xlsx_3[[#This Row],[2042]]</f>
        <v>112.27385761337965</v>
      </c>
      <c r="T255">
        <f>scenario_indirect_prod_4506_iotable_2020_xlsx_3[[#This Row],[2043]]+scenario_indirect_prod_1610_iotable_2020_xlsx_3[[#This Row],[2043]]</f>
        <v>112.27385761337965</v>
      </c>
      <c r="U255">
        <f>scenario_indirect_prod_4506_iotable_2020_xlsx_3[[#This Row],[2044]]+scenario_indirect_prod_1610_iotable_2020_xlsx_3[[#This Row],[2044]]</f>
        <v>113.83592815126957</v>
      </c>
      <c r="V255">
        <f>scenario_indirect_prod_4506_iotable_2020_xlsx_3[[#This Row],[2045]]+scenario_indirect_prod_1610_iotable_2020_xlsx_3[[#This Row],[2045]]</f>
        <v>113.83592815126957</v>
      </c>
      <c r="W255">
        <f>scenario_indirect_prod_4506_iotable_2020_xlsx_3[[#This Row],[2046]]+scenario_indirect_prod_1610_iotable_2020_xlsx_3[[#This Row],[2046]]</f>
        <v>115.30908420824917</v>
      </c>
      <c r="X255">
        <f>scenario_indirect_prod_4506_iotable_2020_xlsx_3[[#This Row],[2047]]+scenario_indirect_prod_1610_iotable_2020_xlsx_3[[#This Row],[2047]]</f>
        <v>115.30908420824917</v>
      </c>
      <c r="Y255">
        <f>scenario_indirect_prod_4506_iotable_2020_xlsx_3[[#This Row],[2048]]+scenario_indirect_prod_1610_iotable_2020_xlsx_3[[#This Row],[2048]]</f>
        <v>115.30908420824917</v>
      </c>
      <c r="Z255">
        <f>scenario_indirect_prod_4506_iotable_2020_xlsx_3[[#This Row],[2049]]+scenario_indirect_prod_1610_iotable_2020_xlsx_3[[#This Row],[2049]]</f>
        <v>115.30908420824917</v>
      </c>
      <c r="AA255">
        <f>scenario_indirect_prod_4506_iotable_2020_xlsx_3[[#This Row],[2050]]+scenario_indirect_prod_1610_iotable_2020_xlsx_3[[#This Row],[2050]]</f>
        <v>115.30908420824917</v>
      </c>
    </row>
    <row r="256" spans="1:27" x14ac:dyDescent="0.2">
      <c r="A256" t="s">
        <v>748</v>
      </c>
      <c r="B256" t="s">
        <v>749</v>
      </c>
      <c r="C256">
        <f>scenario_indirect_prod_4506_iotable_2020_xlsx_3[[#This Row],[2026]]+scenario_indirect_prod_1610_iotable_2020_xlsx_3[[#This Row],[2026]]</f>
        <v>1634.655184622633</v>
      </c>
      <c r="D256">
        <f>scenario_indirect_prod_4506_iotable_2020_xlsx_3[[#This Row],[2027]]+scenario_indirect_prod_1610_iotable_2020_xlsx_3[[#This Row],[2027]]</f>
        <v>1269.8009687451956</v>
      </c>
      <c r="E256">
        <f>scenario_indirect_prod_4506_iotable_2020_xlsx_3[[#This Row],[2028]]+scenario_indirect_prod_1610_iotable_2020_xlsx_3[[#This Row],[2028]]</f>
        <v>1371.7184348066614</v>
      </c>
      <c r="F256">
        <f>scenario_indirect_prod_4506_iotable_2020_xlsx_3[[#This Row],[2029]]+scenario_indirect_prod_1610_iotable_2020_xlsx_3[[#This Row],[2029]]</f>
        <v>1298.3275584131286</v>
      </c>
      <c r="G256">
        <f>scenario_indirect_prod_4506_iotable_2020_xlsx_3[[#This Row],[2030]]+scenario_indirect_prod_1610_iotable_2020_xlsx_3[[#This Row],[2030]]</f>
        <v>-31.737766925607957</v>
      </c>
      <c r="H256">
        <f>scenario_indirect_prod_4506_iotable_2020_xlsx_3[[#This Row],[2031]]+scenario_indirect_prod_1610_iotable_2020_xlsx_3[[#This Row],[2031]]</f>
        <v>105.7692395623867</v>
      </c>
      <c r="I256">
        <f>scenario_indirect_prod_4506_iotable_2020_xlsx_3[[#This Row],[2032]]+scenario_indirect_prod_1610_iotable_2020_xlsx_3[[#This Row],[2032]]</f>
        <v>297.81001100220374</v>
      </c>
      <c r="J256">
        <f>scenario_indirect_prod_4506_iotable_2020_xlsx_3[[#This Row],[2033]]+scenario_indirect_prod_1610_iotable_2020_xlsx_3[[#This Row],[2033]]</f>
        <v>-95.225754125823187</v>
      </c>
      <c r="K256">
        <f>scenario_indirect_prod_4506_iotable_2020_xlsx_3[[#This Row],[2034]]+scenario_indirect_prod_1610_iotable_2020_xlsx_3[[#This Row],[2034]]</f>
        <v>83.478196346677578</v>
      </c>
      <c r="L256">
        <f>scenario_indirect_prod_4506_iotable_2020_xlsx_3[[#This Row],[2035]]+scenario_indirect_prod_1610_iotable_2020_xlsx_3[[#This Row],[2035]]</f>
        <v>-349.34933718607954</v>
      </c>
      <c r="M256">
        <f>scenario_indirect_prod_4506_iotable_2020_xlsx_3[[#This Row],[2036]]+scenario_indirect_prod_1610_iotable_2020_xlsx_3[[#This Row],[2036]]</f>
        <v>-765.803832433151</v>
      </c>
      <c r="N256">
        <f>scenario_indirect_prod_4506_iotable_2020_xlsx_3[[#This Row],[2037]]+scenario_indirect_prod_1610_iotable_2020_xlsx_3[[#This Row],[2037]]</f>
        <v>-1122.6501725022736</v>
      </c>
      <c r="O256">
        <f>scenario_indirect_prod_4506_iotable_2020_xlsx_3[[#This Row],[2038]]+scenario_indirect_prod_1610_iotable_2020_xlsx_3[[#This Row],[2038]]</f>
        <v>-1122.6501725022736</v>
      </c>
      <c r="P256">
        <f>scenario_indirect_prod_4506_iotable_2020_xlsx_3[[#This Row],[2039]]+scenario_indirect_prod_1610_iotable_2020_xlsx_3[[#This Row],[2039]]</f>
        <v>-1122.6501725022736</v>
      </c>
      <c r="Q256">
        <f>scenario_indirect_prod_4506_iotable_2020_xlsx_3[[#This Row],[2040]]+scenario_indirect_prod_1610_iotable_2020_xlsx_3[[#This Row],[2040]]</f>
        <v>-1437.1650031990894</v>
      </c>
      <c r="R256">
        <f>scenario_indirect_prod_4506_iotable_2020_xlsx_3[[#This Row],[2041]]+scenario_indirect_prod_1610_iotable_2020_xlsx_3[[#This Row],[2041]]</f>
        <v>-1437.1650031990894</v>
      </c>
      <c r="S256">
        <f>scenario_indirect_prod_4506_iotable_2020_xlsx_3[[#This Row],[2042]]+scenario_indirect_prod_1610_iotable_2020_xlsx_3[[#This Row],[2042]]</f>
        <v>-1780.4062535035182</v>
      </c>
      <c r="T256">
        <f>scenario_indirect_prod_4506_iotable_2020_xlsx_3[[#This Row],[2043]]+scenario_indirect_prod_1610_iotable_2020_xlsx_3[[#This Row],[2043]]</f>
        <v>-1780.4062535035182</v>
      </c>
      <c r="U256">
        <f>scenario_indirect_prod_4506_iotable_2020_xlsx_3[[#This Row],[2044]]+scenario_indirect_prod_1610_iotable_2020_xlsx_3[[#This Row],[2044]]</f>
        <v>-2118.6492720679007</v>
      </c>
      <c r="V256">
        <f>scenario_indirect_prod_4506_iotable_2020_xlsx_3[[#This Row],[2045]]+scenario_indirect_prod_1610_iotable_2020_xlsx_3[[#This Row],[2045]]</f>
        <v>-2118.6492720679007</v>
      </c>
      <c r="W256">
        <f>scenario_indirect_prod_4506_iotable_2020_xlsx_3[[#This Row],[2046]]+scenario_indirect_prod_1610_iotable_2020_xlsx_3[[#This Row],[2046]]</f>
        <v>-2402.9030172948214</v>
      </c>
      <c r="X256">
        <f>scenario_indirect_prod_4506_iotable_2020_xlsx_3[[#This Row],[2047]]+scenario_indirect_prod_1610_iotable_2020_xlsx_3[[#This Row],[2047]]</f>
        <v>-2402.9030172948214</v>
      </c>
      <c r="Y256">
        <f>scenario_indirect_prod_4506_iotable_2020_xlsx_3[[#This Row],[2048]]+scenario_indirect_prod_1610_iotable_2020_xlsx_3[[#This Row],[2048]]</f>
        <v>-2402.9030172948214</v>
      </c>
      <c r="Z256">
        <f>scenario_indirect_prod_4506_iotable_2020_xlsx_3[[#This Row],[2049]]+scenario_indirect_prod_1610_iotable_2020_xlsx_3[[#This Row],[2049]]</f>
        <v>-2402.9030172948214</v>
      </c>
      <c r="AA256">
        <f>scenario_indirect_prod_4506_iotable_2020_xlsx_3[[#This Row],[2050]]+scenario_indirect_prod_1610_iotable_2020_xlsx_3[[#This Row],[2050]]</f>
        <v>-2402.9030172948214</v>
      </c>
    </row>
    <row r="257" spans="1:27" x14ac:dyDescent="0.2">
      <c r="A257" t="s">
        <v>629</v>
      </c>
      <c r="B257" t="s">
        <v>630</v>
      </c>
      <c r="C257">
        <f>scenario_indirect_prod_4506_iotable_2020_xlsx_3[[#This Row],[2026]]+scenario_indirect_prod_1610_iotable_2020_xlsx_3[[#This Row],[2026]]</f>
        <v>4552.6935578367129</v>
      </c>
      <c r="D257">
        <f>scenario_indirect_prod_4506_iotable_2020_xlsx_3[[#This Row],[2027]]+scenario_indirect_prod_1610_iotable_2020_xlsx_3[[#This Row],[2027]]</f>
        <v>3976.9339319530773</v>
      </c>
      <c r="E257">
        <f>scenario_indirect_prod_4506_iotable_2020_xlsx_3[[#This Row],[2028]]+scenario_indirect_prod_1610_iotable_2020_xlsx_3[[#This Row],[2028]]</f>
        <v>4234.6095915274209</v>
      </c>
      <c r="F257">
        <f>scenario_indirect_prod_4506_iotable_2020_xlsx_3[[#This Row],[2029]]+scenario_indirect_prod_1610_iotable_2020_xlsx_3[[#This Row],[2029]]</f>
        <v>4187.7343521927014</v>
      </c>
      <c r="G257">
        <f>scenario_indirect_prod_4506_iotable_2020_xlsx_3[[#This Row],[2030]]+scenario_indirect_prod_1610_iotable_2020_xlsx_3[[#This Row],[2030]]</f>
        <v>2000.4368526082853</v>
      </c>
      <c r="H257">
        <f>scenario_indirect_prod_4506_iotable_2020_xlsx_3[[#This Row],[2031]]+scenario_indirect_prod_1610_iotable_2020_xlsx_3[[#This Row],[2031]]</f>
        <v>2348.092754605681</v>
      </c>
      <c r="I257">
        <f>scenario_indirect_prod_4506_iotable_2020_xlsx_3[[#This Row],[2032]]+scenario_indirect_prod_1610_iotable_2020_xlsx_3[[#This Row],[2032]]</f>
        <v>2833.6251599745228</v>
      </c>
      <c r="J257">
        <f>scenario_indirect_prod_4506_iotable_2020_xlsx_3[[#This Row],[2033]]+scenario_indirect_prod_1610_iotable_2020_xlsx_3[[#This Row],[2033]]</f>
        <v>2495.6631480820288</v>
      </c>
      <c r="K257">
        <f>scenario_indirect_prod_4506_iotable_2020_xlsx_3[[#This Row],[2034]]+scenario_indirect_prod_1610_iotable_2020_xlsx_3[[#This Row],[2034]]</f>
        <v>2947.4763660320441</v>
      </c>
      <c r="L257">
        <f>scenario_indirect_prod_4506_iotable_2020_xlsx_3[[#This Row],[2035]]+scenario_indirect_prod_1610_iotable_2020_xlsx_3[[#This Row],[2035]]</f>
        <v>2683.2587205980799</v>
      </c>
      <c r="M257">
        <f>scenario_indirect_prod_4506_iotable_2020_xlsx_3[[#This Row],[2036]]+scenario_indirect_prod_1610_iotable_2020_xlsx_3[[#This Row],[2036]]</f>
        <v>2175.2012038188623</v>
      </c>
      <c r="N257">
        <f>scenario_indirect_prod_4506_iotable_2020_xlsx_3[[#This Row],[2037]]+scenario_indirect_prod_1610_iotable_2020_xlsx_3[[#This Row],[2037]]</f>
        <v>1749.3100431419698</v>
      </c>
      <c r="O257">
        <f>scenario_indirect_prod_4506_iotable_2020_xlsx_3[[#This Row],[2038]]+scenario_indirect_prod_1610_iotable_2020_xlsx_3[[#This Row],[2038]]</f>
        <v>1749.3100431419698</v>
      </c>
      <c r="P257">
        <f>scenario_indirect_prod_4506_iotable_2020_xlsx_3[[#This Row],[2039]]+scenario_indirect_prod_1610_iotable_2020_xlsx_3[[#This Row],[2039]]</f>
        <v>1749.3100431419698</v>
      </c>
      <c r="Q257">
        <f>scenario_indirect_prod_4506_iotable_2020_xlsx_3[[#This Row],[2040]]+scenario_indirect_prod_1610_iotable_2020_xlsx_3[[#This Row],[2040]]</f>
        <v>1372.2898497279748</v>
      </c>
      <c r="R257">
        <f>scenario_indirect_prod_4506_iotable_2020_xlsx_3[[#This Row],[2041]]+scenario_indirect_prod_1610_iotable_2020_xlsx_3[[#This Row],[2041]]</f>
        <v>1372.2898497279748</v>
      </c>
      <c r="S257">
        <f>scenario_indirect_prod_4506_iotable_2020_xlsx_3[[#This Row],[2042]]+scenario_indirect_prod_1610_iotable_2020_xlsx_3[[#This Row],[2042]]</f>
        <v>966.02666906353988</v>
      </c>
      <c r="T257">
        <f>scenario_indirect_prod_4506_iotable_2020_xlsx_3[[#This Row],[2043]]+scenario_indirect_prod_1610_iotable_2020_xlsx_3[[#This Row],[2043]]</f>
        <v>966.02666906353988</v>
      </c>
      <c r="U257">
        <f>scenario_indirect_prod_4506_iotable_2020_xlsx_3[[#This Row],[2044]]+scenario_indirect_prod_1610_iotable_2020_xlsx_3[[#This Row],[2044]]</f>
        <v>549.78469992224564</v>
      </c>
      <c r="V257">
        <f>scenario_indirect_prod_4506_iotable_2020_xlsx_3[[#This Row],[2045]]+scenario_indirect_prod_1610_iotable_2020_xlsx_3[[#This Row],[2045]]</f>
        <v>549.78469992224564</v>
      </c>
      <c r="W257">
        <f>scenario_indirect_prod_4506_iotable_2020_xlsx_3[[#This Row],[2046]]+scenario_indirect_prod_1610_iotable_2020_xlsx_3[[#This Row],[2046]]</f>
        <v>204.8491449061512</v>
      </c>
      <c r="X257">
        <f>scenario_indirect_prod_4506_iotable_2020_xlsx_3[[#This Row],[2047]]+scenario_indirect_prod_1610_iotable_2020_xlsx_3[[#This Row],[2047]]</f>
        <v>204.8491449061512</v>
      </c>
      <c r="Y257">
        <f>scenario_indirect_prod_4506_iotable_2020_xlsx_3[[#This Row],[2048]]+scenario_indirect_prod_1610_iotable_2020_xlsx_3[[#This Row],[2048]]</f>
        <v>204.8491449061512</v>
      </c>
      <c r="Z257">
        <f>scenario_indirect_prod_4506_iotable_2020_xlsx_3[[#This Row],[2049]]+scenario_indirect_prod_1610_iotable_2020_xlsx_3[[#This Row],[2049]]</f>
        <v>204.8491449061512</v>
      </c>
      <c r="AA257">
        <f>scenario_indirect_prod_4506_iotable_2020_xlsx_3[[#This Row],[2050]]+scenario_indirect_prod_1610_iotable_2020_xlsx_3[[#This Row],[2050]]</f>
        <v>204.8491449061512</v>
      </c>
    </row>
    <row r="258" spans="1:27" x14ac:dyDescent="0.2">
      <c r="A258" t="s">
        <v>775</v>
      </c>
      <c r="B258" t="s">
        <v>776</v>
      </c>
      <c r="C258">
        <f>scenario_indirect_prod_4506_iotable_2020_xlsx_3[[#This Row],[2026]]+scenario_indirect_prod_1610_iotable_2020_xlsx_3[[#This Row],[2026]]</f>
        <v>1562.1213706659209</v>
      </c>
      <c r="D258">
        <f>scenario_indirect_prod_4506_iotable_2020_xlsx_3[[#This Row],[2027]]+scenario_indirect_prod_1610_iotable_2020_xlsx_3[[#This Row],[2027]]</f>
        <v>1524.8585085501752</v>
      </c>
      <c r="E258">
        <f>scenario_indirect_prod_4506_iotable_2020_xlsx_3[[#This Row],[2028]]+scenario_indirect_prod_1610_iotable_2020_xlsx_3[[#This Row],[2028]]</f>
        <v>1603.7451123076291</v>
      </c>
      <c r="F258">
        <f>scenario_indirect_prod_4506_iotable_2020_xlsx_3[[#This Row],[2029]]+scenario_indirect_prod_1610_iotable_2020_xlsx_3[[#This Row],[2029]]</f>
        <v>1644.9960732746067</v>
      </c>
      <c r="G258">
        <f>scenario_indirect_prod_4506_iotable_2020_xlsx_3[[#This Row],[2030]]+scenario_indirect_prod_1610_iotable_2020_xlsx_3[[#This Row],[2030]]</f>
        <v>1446.6609002809971</v>
      </c>
      <c r="H258">
        <f>scenario_indirect_prod_4506_iotable_2020_xlsx_3[[#This Row],[2031]]+scenario_indirect_prod_1610_iotable_2020_xlsx_3[[#This Row],[2031]]</f>
        <v>1553.0946760986783</v>
      </c>
      <c r="I258">
        <f>scenario_indirect_prod_4506_iotable_2020_xlsx_3[[#This Row],[2032]]+scenario_indirect_prod_1610_iotable_2020_xlsx_3[[#This Row],[2032]]</f>
        <v>1701.7389156710408</v>
      </c>
      <c r="J258">
        <f>scenario_indirect_prod_4506_iotable_2020_xlsx_3[[#This Row],[2033]]+scenario_indirect_prod_1610_iotable_2020_xlsx_3[[#This Row],[2033]]</f>
        <v>1861.1878152941179</v>
      </c>
      <c r="K258">
        <f>scenario_indirect_prod_4506_iotable_2020_xlsx_3[[#This Row],[2034]]+scenario_indirect_prod_1610_iotable_2020_xlsx_3[[#This Row],[2034]]</f>
        <v>1999.5090302496958</v>
      </c>
      <c r="L258">
        <f>scenario_indirect_prod_4506_iotable_2020_xlsx_3[[#This Row],[2035]]+scenario_indirect_prod_1610_iotable_2020_xlsx_3[[#This Row],[2035]]</f>
        <v>2251.438535481861</v>
      </c>
      <c r="M258">
        <f>scenario_indirect_prod_4506_iotable_2020_xlsx_3[[#This Row],[2036]]+scenario_indirect_prod_1610_iotable_2020_xlsx_3[[#This Row],[2036]]</f>
        <v>2314.3540889671913</v>
      </c>
      <c r="N258">
        <f>scenario_indirect_prod_4506_iotable_2020_xlsx_3[[#This Row],[2037]]+scenario_indirect_prod_1610_iotable_2020_xlsx_3[[#This Row],[2037]]</f>
        <v>2374.9441455830615</v>
      </c>
      <c r="O258">
        <f>scenario_indirect_prod_4506_iotable_2020_xlsx_3[[#This Row],[2038]]+scenario_indirect_prod_1610_iotable_2020_xlsx_3[[#This Row],[2038]]</f>
        <v>2374.9441455830615</v>
      </c>
      <c r="P258">
        <f>scenario_indirect_prod_4506_iotable_2020_xlsx_3[[#This Row],[2039]]+scenario_indirect_prod_1610_iotable_2020_xlsx_3[[#This Row],[2039]]</f>
        <v>2374.9441455830615</v>
      </c>
      <c r="Q258">
        <f>scenario_indirect_prod_4506_iotable_2020_xlsx_3[[#This Row],[2040]]+scenario_indirect_prod_1610_iotable_2020_xlsx_3[[#This Row],[2040]]</f>
        <v>2427.1791250980195</v>
      </c>
      <c r="R258">
        <f>scenario_indirect_prod_4506_iotable_2020_xlsx_3[[#This Row],[2041]]+scenario_indirect_prod_1610_iotable_2020_xlsx_3[[#This Row],[2041]]</f>
        <v>2427.1791250980195</v>
      </c>
      <c r="S258">
        <f>scenario_indirect_prod_4506_iotable_2020_xlsx_3[[#This Row],[2042]]+scenario_indirect_prod_1610_iotable_2020_xlsx_3[[#This Row],[2042]]</f>
        <v>2487.8565146315646</v>
      </c>
      <c r="T258">
        <f>scenario_indirect_prod_4506_iotable_2020_xlsx_3[[#This Row],[2043]]+scenario_indirect_prod_1610_iotable_2020_xlsx_3[[#This Row],[2043]]</f>
        <v>2487.8565146315646</v>
      </c>
      <c r="U258">
        <f>scenario_indirect_prod_4506_iotable_2020_xlsx_3[[#This Row],[2044]]+scenario_indirect_prod_1610_iotable_2020_xlsx_3[[#This Row],[2044]]</f>
        <v>2536.4113221459011</v>
      </c>
      <c r="V258">
        <f>scenario_indirect_prod_4506_iotable_2020_xlsx_3[[#This Row],[2045]]+scenario_indirect_prod_1610_iotable_2020_xlsx_3[[#This Row],[2045]]</f>
        <v>2536.4113221459011</v>
      </c>
      <c r="W258">
        <f>scenario_indirect_prod_4506_iotable_2020_xlsx_3[[#This Row],[2046]]+scenario_indirect_prod_1610_iotable_2020_xlsx_3[[#This Row],[2046]]</f>
        <v>2580.6575110611739</v>
      </c>
      <c r="X258">
        <f>scenario_indirect_prod_4506_iotable_2020_xlsx_3[[#This Row],[2047]]+scenario_indirect_prod_1610_iotable_2020_xlsx_3[[#This Row],[2047]]</f>
        <v>2580.6575110611739</v>
      </c>
      <c r="Y258">
        <f>scenario_indirect_prod_4506_iotable_2020_xlsx_3[[#This Row],[2048]]+scenario_indirect_prod_1610_iotable_2020_xlsx_3[[#This Row],[2048]]</f>
        <v>2580.6575110611739</v>
      </c>
      <c r="Z258">
        <f>scenario_indirect_prod_4506_iotable_2020_xlsx_3[[#This Row],[2049]]+scenario_indirect_prod_1610_iotable_2020_xlsx_3[[#This Row],[2049]]</f>
        <v>2580.6575110611739</v>
      </c>
      <c r="AA258">
        <f>scenario_indirect_prod_4506_iotable_2020_xlsx_3[[#This Row],[2050]]+scenario_indirect_prod_1610_iotable_2020_xlsx_3[[#This Row],[2050]]</f>
        <v>2580.6575110611739</v>
      </c>
    </row>
    <row r="259" spans="1:27" x14ac:dyDescent="0.2">
      <c r="A259" t="s">
        <v>733</v>
      </c>
      <c r="B259" t="s">
        <v>734</v>
      </c>
      <c r="C259">
        <f>scenario_indirect_prod_4506_iotable_2020_xlsx_3[[#This Row],[2026]]+scenario_indirect_prod_1610_iotable_2020_xlsx_3[[#This Row],[2026]]</f>
        <v>2218.5399789603748</v>
      </c>
      <c r="D259">
        <f>scenario_indirect_prod_4506_iotable_2020_xlsx_3[[#This Row],[2027]]+scenario_indirect_prod_1610_iotable_2020_xlsx_3[[#This Row],[2027]]</f>
        <v>2148.3699612224223</v>
      </c>
      <c r="E259">
        <f>scenario_indirect_prod_4506_iotable_2020_xlsx_3[[#This Row],[2028]]+scenario_indirect_prod_1610_iotable_2020_xlsx_3[[#This Row],[2028]]</f>
        <v>2261.430694267101</v>
      </c>
      <c r="F259">
        <f>scenario_indirect_prod_4506_iotable_2020_xlsx_3[[#This Row],[2029]]+scenario_indirect_prod_1610_iotable_2020_xlsx_3[[#This Row],[2029]]</f>
        <v>2313.8459394892607</v>
      </c>
      <c r="G259">
        <f>scenario_indirect_prod_4506_iotable_2020_xlsx_3[[#This Row],[2030]]+scenario_indirect_prod_1610_iotable_2020_xlsx_3[[#This Row],[2030]]</f>
        <v>1972.7495473270815</v>
      </c>
      <c r="H259">
        <f>scenario_indirect_prod_4506_iotable_2020_xlsx_3[[#This Row],[2031]]+scenario_indirect_prod_1610_iotable_2020_xlsx_3[[#This Row],[2031]]</f>
        <v>2125.2910453950981</v>
      </c>
      <c r="I259">
        <f>scenario_indirect_prod_4506_iotable_2020_xlsx_3[[#This Row],[2032]]+scenario_indirect_prod_1610_iotable_2020_xlsx_3[[#This Row],[2032]]</f>
        <v>2338.3288222601241</v>
      </c>
      <c r="J259">
        <f>scenario_indirect_prod_4506_iotable_2020_xlsx_3[[#This Row],[2033]]+scenario_indirect_prod_1610_iotable_2020_xlsx_3[[#This Row],[2033]]</f>
        <v>2535.1429074922967</v>
      </c>
      <c r="K259">
        <f>scenario_indirect_prod_4506_iotable_2020_xlsx_3[[#This Row],[2034]]+scenario_indirect_prod_1610_iotable_2020_xlsx_3[[#This Row],[2034]]</f>
        <v>2733.3856662576659</v>
      </c>
      <c r="L259">
        <f>scenario_indirect_prod_4506_iotable_2020_xlsx_3[[#This Row],[2035]]+scenario_indirect_prod_1610_iotable_2020_xlsx_3[[#This Row],[2035]]</f>
        <v>3054.3126776776344</v>
      </c>
      <c r="M259">
        <f>scenario_indirect_prod_4506_iotable_2020_xlsx_3[[#This Row],[2036]]+scenario_indirect_prod_1610_iotable_2020_xlsx_3[[#This Row],[2036]]</f>
        <v>3118.1366348278102</v>
      </c>
      <c r="N259">
        <f>scenario_indirect_prod_4506_iotable_2020_xlsx_3[[#This Row],[2037]]+scenario_indirect_prod_1610_iotable_2020_xlsx_3[[#This Row],[2037]]</f>
        <v>3181.9419732948472</v>
      </c>
      <c r="O259">
        <f>scenario_indirect_prod_4506_iotable_2020_xlsx_3[[#This Row],[2038]]+scenario_indirect_prod_1610_iotable_2020_xlsx_3[[#This Row],[2038]]</f>
        <v>3181.9419732948472</v>
      </c>
      <c r="P259">
        <f>scenario_indirect_prod_4506_iotable_2020_xlsx_3[[#This Row],[2039]]+scenario_indirect_prod_1610_iotable_2020_xlsx_3[[#This Row],[2039]]</f>
        <v>3181.9419732948472</v>
      </c>
      <c r="Q259">
        <f>scenario_indirect_prod_4506_iotable_2020_xlsx_3[[#This Row],[2040]]+scenario_indirect_prod_1610_iotable_2020_xlsx_3[[#This Row],[2040]]</f>
        <v>3236.5848989007509</v>
      </c>
      <c r="R259">
        <f>scenario_indirect_prod_4506_iotable_2020_xlsx_3[[#This Row],[2041]]+scenario_indirect_prod_1610_iotable_2020_xlsx_3[[#This Row],[2041]]</f>
        <v>3236.5848989007509</v>
      </c>
      <c r="S259">
        <f>scenario_indirect_prod_4506_iotable_2020_xlsx_3[[#This Row],[2042]]+scenario_indirect_prod_1610_iotable_2020_xlsx_3[[#This Row],[2042]]</f>
        <v>3301.2295946305376</v>
      </c>
      <c r="T259">
        <f>scenario_indirect_prod_4506_iotable_2020_xlsx_3[[#This Row],[2043]]+scenario_indirect_prod_1610_iotable_2020_xlsx_3[[#This Row],[2043]]</f>
        <v>3301.2295946305376</v>
      </c>
      <c r="U259">
        <f>scenario_indirect_prod_4506_iotable_2020_xlsx_3[[#This Row],[2044]]+scenario_indirect_prod_1610_iotable_2020_xlsx_3[[#This Row],[2044]]</f>
        <v>3349.59373976798</v>
      </c>
      <c r="V259">
        <f>scenario_indirect_prod_4506_iotable_2020_xlsx_3[[#This Row],[2045]]+scenario_indirect_prod_1610_iotable_2020_xlsx_3[[#This Row],[2045]]</f>
        <v>3349.59373976798</v>
      </c>
      <c r="W259">
        <f>scenario_indirect_prod_4506_iotable_2020_xlsx_3[[#This Row],[2046]]+scenario_indirect_prod_1610_iotable_2020_xlsx_3[[#This Row],[2046]]</f>
        <v>3394.9352385018146</v>
      </c>
      <c r="X259">
        <f>scenario_indirect_prod_4506_iotable_2020_xlsx_3[[#This Row],[2047]]+scenario_indirect_prod_1610_iotable_2020_xlsx_3[[#This Row],[2047]]</f>
        <v>3394.9352385018146</v>
      </c>
      <c r="Y259">
        <f>scenario_indirect_prod_4506_iotable_2020_xlsx_3[[#This Row],[2048]]+scenario_indirect_prod_1610_iotable_2020_xlsx_3[[#This Row],[2048]]</f>
        <v>3394.9352385018146</v>
      </c>
      <c r="Z259">
        <f>scenario_indirect_prod_4506_iotable_2020_xlsx_3[[#This Row],[2049]]+scenario_indirect_prod_1610_iotable_2020_xlsx_3[[#This Row],[2049]]</f>
        <v>3394.9352385018146</v>
      </c>
      <c r="AA259">
        <f>scenario_indirect_prod_4506_iotable_2020_xlsx_3[[#This Row],[2050]]+scenario_indirect_prod_1610_iotable_2020_xlsx_3[[#This Row],[2050]]</f>
        <v>3394.9352385018146</v>
      </c>
    </row>
    <row r="260" spans="1:27" x14ac:dyDescent="0.2">
      <c r="A260" t="s">
        <v>853</v>
      </c>
      <c r="B260" t="s">
        <v>854</v>
      </c>
      <c r="C260">
        <f>scenario_indirect_prod_4506_iotable_2020_xlsx_3[[#This Row],[2026]]+scenario_indirect_prod_1610_iotable_2020_xlsx_3[[#This Row],[2026]]</f>
        <v>671.23181516063823</v>
      </c>
      <c r="D260">
        <f>scenario_indirect_prod_4506_iotable_2020_xlsx_3[[#This Row],[2027]]+scenario_indirect_prod_1610_iotable_2020_xlsx_3[[#This Row],[2027]]</f>
        <v>637.59889696752748</v>
      </c>
      <c r="E260">
        <f>scenario_indirect_prod_4506_iotable_2020_xlsx_3[[#This Row],[2028]]+scenario_indirect_prod_1610_iotable_2020_xlsx_3[[#This Row],[2028]]</f>
        <v>672.54322272335935</v>
      </c>
      <c r="F260">
        <f>scenario_indirect_prod_4506_iotable_2020_xlsx_3[[#This Row],[2029]]+scenario_indirect_prod_1610_iotable_2020_xlsx_3[[#This Row],[2029]]</f>
        <v>683.96547290079297</v>
      </c>
      <c r="G260">
        <f>scenario_indirect_prod_4506_iotable_2020_xlsx_3[[#This Row],[2030]]+scenario_indirect_prod_1610_iotable_2020_xlsx_3[[#This Row],[2030]]</f>
        <v>538.04062554454833</v>
      </c>
      <c r="H260">
        <f>scenario_indirect_prod_4506_iotable_2020_xlsx_3[[#This Row],[2031]]+scenario_indirect_prod_1610_iotable_2020_xlsx_3[[#This Row],[2031]]</f>
        <v>585.18749657770286</v>
      </c>
      <c r="I260">
        <f>scenario_indirect_prod_4506_iotable_2020_xlsx_3[[#This Row],[2032]]+scenario_indirect_prod_1610_iotable_2020_xlsx_3[[#This Row],[2032]]</f>
        <v>651.03229762041178</v>
      </c>
      <c r="J260">
        <f>scenario_indirect_prod_4506_iotable_2020_xlsx_3[[#This Row],[2033]]+scenario_indirect_prod_1610_iotable_2020_xlsx_3[[#This Row],[2033]]</f>
        <v>689.26963278693427</v>
      </c>
      <c r="K260">
        <f>scenario_indirect_prod_4506_iotable_2020_xlsx_3[[#This Row],[2034]]+scenario_indirect_prod_1610_iotable_2020_xlsx_3[[#This Row],[2034]]</f>
        <v>750.54165318232924</v>
      </c>
      <c r="L260">
        <f>scenario_indirect_prod_4506_iotable_2020_xlsx_3[[#This Row],[2035]]+scenario_indirect_prod_1610_iotable_2020_xlsx_3[[#This Row],[2035]]</f>
        <v>821.1322053119161</v>
      </c>
      <c r="M260">
        <f>scenario_indirect_prod_4506_iotable_2020_xlsx_3[[#This Row],[2036]]+scenario_indirect_prod_1610_iotable_2020_xlsx_3[[#This Row],[2036]]</f>
        <v>822.08603804698032</v>
      </c>
      <c r="N260">
        <f>scenario_indirect_prod_4506_iotable_2020_xlsx_3[[#This Row],[2037]]+scenario_indirect_prod_1610_iotable_2020_xlsx_3[[#This Row],[2037]]</f>
        <v>825.39560071461665</v>
      </c>
      <c r="O260">
        <f>scenario_indirect_prod_4506_iotable_2020_xlsx_3[[#This Row],[2038]]+scenario_indirect_prod_1610_iotable_2020_xlsx_3[[#This Row],[2038]]</f>
        <v>825.39560071461665</v>
      </c>
      <c r="P260">
        <f>scenario_indirect_prod_4506_iotable_2020_xlsx_3[[#This Row],[2039]]+scenario_indirect_prod_1610_iotable_2020_xlsx_3[[#This Row],[2039]]</f>
        <v>825.39560071461665</v>
      </c>
      <c r="Q260">
        <f>scenario_indirect_prod_4506_iotable_2020_xlsx_3[[#This Row],[2040]]+scenario_indirect_prod_1610_iotable_2020_xlsx_3[[#This Row],[2040]]</f>
        <v>827.87696869581282</v>
      </c>
      <c r="R260">
        <f>scenario_indirect_prod_4506_iotable_2020_xlsx_3[[#This Row],[2041]]+scenario_indirect_prod_1610_iotable_2020_xlsx_3[[#This Row],[2041]]</f>
        <v>827.87696869581282</v>
      </c>
      <c r="S260">
        <f>scenario_indirect_prod_4506_iotable_2020_xlsx_3[[#This Row],[2042]]+scenario_indirect_prod_1610_iotable_2020_xlsx_3[[#This Row],[2042]]</f>
        <v>831.95482790593383</v>
      </c>
      <c r="T260">
        <f>scenario_indirect_prod_4506_iotable_2020_xlsx_3[[#This Row],[2043]]+scenario_indirect_prod_1610_iotable_2020_xlsx_3[[#This Row],[2043]]</f>
        <v>831.95482790593383</v>
      </c>
      <c r="U260">
        <f>scenario_indirect_prod_4506_iotable_2020_xlsx_3[[#This Row],[2044]]+scenario_indirect_prod_1610_iotable_2020_xlsx_3[[#This Row],[2044]]</f>
        <v>831.77997282025626</v>
      </c>
      <c r="V260">
        <f>scenario_indirect_prod_4506_iotable_2020_xlsx_3[[#This Row],[2045]]+scenario_indirect_prod_1610_iotable_2020_xlsx_3[[#This Row],[2045]]</f>
        <v>831.77997282025626</v>
      </c>
      <c r="W260">
        <f>scenario_indirect_prod_4506_iotable_2020_xlsx_3[[#This Row],[2046]]+scenario_indirect_prod_1610_iotable_2020_xlsx_3[[#This Row],[2046]]</f>
        <v>832.9170863600616</v>
      </c>
      <c r="X260">
        <f>scenario_indirect_prod_4506_iotable_2020_xlsx_3[[#This Row],[2047]]+scenario_indirect_prod_1610_iotable_2020_xlsx_3[[#This Row],[2047]]</f>
        <v>832.9170863600616</v>
      </c>
      <c r="Y260">
        <f>scenario_indirect_prod_4506_iotable_2020_xlsx_3[[#This Row],[2048]]+scenario_indirect_prod_1610_iotable_2020_xlsx_3[[#This Row],[2048]]</f>
        <v>832.9170863600616</v>
      </c>
      <c r="Z260">
        <f>scenario_indirect_prod_4506_iotable_2020_xlsx_3[[#This Row],[2049]]+scenario_indirect_prod_1610_iotable_2020_xlsx_3[[#This Row],[2049]]</f>
        <v>832.9170863600616</v>
      </c>
      <c r="AA260">
        <f>scenario_indirect_prod_4506_iotable_2020_xlsx_3[[#This Row],[2050]]+scenario_indirect_prod_1610_iotable_2020_xlsx_3[[#This Row],[2050]]</f>
        <v>832.9170863600616</v>
      </c>
    </row>
    <row r="261" spans="1:27" x14ac:dyDescent="0.2">
      <c r="A261" t="s">
        <v>785</v>
      </c>
      <c r="B261" t="s">
        <v>786</v>
      </c>
      <c r="C261">
        <f>scenario_indirect_prod_4506_iotable_2020_xlsx_3[[#This Row],[2026]]+scenario_indirect_prod_1610_iotable_2020_xlsx_3[[#This Row],[2026]]</f>
        <v>1386.7198437248649</v>
      </c>
      <c r="D261">
        <f>scenario_indirect_prod_4506_iotable_2020_xlsx_3[[#This Row],[2027]]+scenario_indirect_prod_1610_iotable_2020_xlsx_3[[#This Row],[2027]]</f>
        <v>1292.6697222025073</v>
      </c>
      <c r="E261">
        <f>scenario_indirect_prod_4506_iotable_2020_xlsx_3[[#This Row],[2028]]+scenario_indirect_prod_1610_iotable_2020_xlsx_3[[#This Row],[2028]]</f>
        <v>1366.3225061916869</v>
      </c>
      <c r="F261">
        <f>scenario_indirect_prod_4506_iotable_2020_xlsx_3[[#This Row],[2029]]+scenario_indirect_prod_1610_iotable_2020_xlsx_3[[#This Row],[2029]]</f>
        <v>1381.1328214845048</v>
      </c>
      <c r="G261">
        <f>scenario_indirect_prod_4506_iotable_2020_xlsx_3[[#This Row],[2030]]+scenario_indirect_prod_1610_iotable_2020_xlsx_3[[#This Row],[2030]]</f>
        <v>995.03469190183614</v>
      </c>
      <c r="H261">
        <f>scenario_indirect_prod_4506_iotable_2020_xlsx_3[[#This Row],[2031]]+scenario_indirect_prod_1610_iotable_2020_xlsx_3[[#This Row],[2031]]</f>
        <v>1094.4070000766797</v>
      </c>
      <c r="I261">
        <f>scenario_indirect_prod_4506_iotable_2020_xlsx_3[[#This Row],[2032]]+scenario_indirect_prod_1610_iotable_2020_xlsx_3[[#This Row],[2032]]</f>
        <v>1233.1892716790958</v>
      </c>
      <c r="J261">
        <f>scenario_indirect_prod_4506_iotable_2020_xlsx_3[[#This Row],[2033]]+scenario_indirect_prod_1610_iotable_2020_xlsx_3[[#This Row],[2033]]</f>
        <v>1269.9748824481981</v>
      </c>
      <c r="K261">
        <f>scenario_indirect_prod_4506_iotable_2020_xlsx_3[[#This Row],[2034]]+scenario_indirect_prod_1610_iotable_2020_xlsx_3[[#This Row],[2034]]</f>
        <v>1399.1190220231192</v>
      </c>
      <c r="L261">
        <f>scenario_indirect_prod_4506_iotable_2020_xlsx_3[[#This Row],[2035]]+scenario_indirect_prod_1610_iotable_2020_xlsx_3[[#This Row],[2035]]</f>
        <v>1492.4484139279184</v>
      </c>
      <c r="M261">
        <f>scenario_indirect_prod_4506_iotable_2020_xlsx_3[[#This Row],[2036]]+scenario_indirect_prod_1610_iotable_2020_xlsx_3[[#This Row],[2036]]</f>
        <v>1458.0588702291452</v>
      </c>
      <c r="N261">
        <f>scenario_indirect_prod_4506_iotable_2020_xlsx_3[[#This Row],[2037]]+scenario_indirect_prod_1610_iotable_2020_xlsx_3[[#This Row],[2037]]</f>
        <v>1433.2134441652415</v>
      </c>
      <c r="O261">
        <f>scenario_indirect_prod_4506_iotable_2020_xlsx_3[[#This Row],[2038]]+scenario_indirect_prod_1610_iotable_2020_xlsx_3[[#This Row],[2038]]</f>
        <v>1433.2134441652415</v>
      </c>
      <c r="P261">
        <f>scenario_indirect_prod_4506_iotable_2020_xlsx_3[[#This Row],[2039]]+scenario_indirect_prod_1610_iotable_2020_xlsx_3[[#This Row],[2039]]</f>
        <v>1433.2134441652415</v>
      </c>
      <c r="Q261">
        <f>scenario_indirect_prod_4506_iotable_2020_xlsx_3[[#This Row],[2040]]+scenario_indirect_prod_1610_iotable_2020_xlsx_3[[#This Row],[2040]]</f>
        <v>1410.5075486674227</v>
      </c>
      <c r="R261">
        <f>scenario_indirect_prod_4506_iotable_2020_xlsx_3[[#This Row],[2041]]+scenario_indirect_prod_1610_iotable_2020_xlsx_3[[#This Row],[2041]]</f>
        <v>1410.5075486674227</v>
      </c>
      <c r="S261">
        <f>scenario_indirect_prod_4506_iotable_2020_xlsx_3[[#This Row],[2042]]+scenario_indirect_prod_1610_iotable_2020_xlsx_3[[#This Row],[2042]]</f>
        <v>1388.2681738141277</v>
      </c>
      <c r="T261">
        <f>scenario_indirect_prod_4506_iotable_2020_xlsx_3[[#This Row],[2043]]+scenario_indirect_prod_1610_iotable_2020_xlsx_3[[#This Row],[2043]]</f>
        <v>1388.2681738141277</v>
      </c>
      <c r="U261">
        <f>scenario_indirect_prod_4506_iotable_2020_xlsx_3[[#This Row],[2044]]+scenario_indirect_prod_1610_iotable_2020_xlsx_3[[#This Row],[2044]]</f>
        <v>1358.5761565240837</v>
      </c>
      <c r="V261">
        <f>scenario_indirect_prod_4506_iotable_2020_xlsx_3[[#This Row],[2045]]+scenario_indirect_prod_1610_iotable_2020_xlsx_3[[#This Row],[2045]]</f>
        <v>1358.5761565240837</v>
      </c>
      <c r="W261">
        <f>scenario_indirect_prod_4506_iotable_2020_xlsx_3[[#This Row],[2046]]+scenario_indirect_prod_1610_iotable_2020_xlsx_3[[#This Row],[2046]]</f>
        <v>1336.0047571327559</v>
      </c>
      <c r="X261">
        <f>scenario_indirect_prod_4506_iotable_2020_xlsx_3[[#This Row],[2047]]+scenario_indirect_prod_1610_iotable_2020_xlsx_3[[#This Row],[2047]]</f>
        <v>1336.0047571327559</v>
      </c>
      <c r="Y261">
        <f>scenario_indirect_prod_4506_iotable_2020_xlsx_3[[#This Row],[2048]]+scenario_indirect_prod_1610_iotable_2020_xlsx_3[[#This Row],[2048]]</f>
        <v>1336.0047571327559</v>
      </c>
      <c r="Z261">
        <f>scenario_indirect_prod_4506_iotable_2020_xlsx_3[[#This Row],[2049]]+scenario_indirect_prod_1610_iotable_2020_xlsx_3[[#This Row],[2049]]</f>
        <v>1336.0047571327559</v>
      </c>
      <c r="AA261">
        <f>scenario_indirect_prod_4506_iotable_2020_xlsx_3[[#This Row],[2050]]+scenario_indirect_prod_1610_iotable_2020_xlsx_3[[#This Row],[2050]]</f>
        <v>1336.0047571327559</v>
      </c>
    </row>
    <row r="262" spans="1:27" x14ac:dyDescent="0.2">
      <c r="A262" t="s">
        <v>908</v>
      </c>
      <c r="B262" t="s">
        <v>909</v>
      </c>
      <c r="C262">
        <f>scenario_indirect_prod_4506_iotable_2020_xlsx_3[[#This Row],[2026]]+scenario_indirect_prod_1610_iotable_2020_xlsx_3[[#This Row],[2026]]</f>
        <v>144.48831282106309</v>
      </c>
      <c r="D262">
        <f>scenario_indirect_prod_4506_iotable_2020_xlsx_3[[#This Row],[2027]]+scenario_indirect_prod_1610_iotable_2020_xlsx_3[[#This Row],[2027]]</f>
        <v>136.73355411882028</v>
      </c>
      <c r="E262">
        <f>scenario_indirect_prod_4506_iotable_2020_xlsx_3[[#This Row],[2028]]+scenario_indirect_prod_1610_iotable_2020_xlsx_3[[#This Row],[2028]]</f>
        <v>144.28622411114492</v>
      </c>
      <c r="F262">
        <f>scenario_indirect_prod_4506_iotable_2020_xlsx_3[[#This Row],[2029]]+scenario_indirect_prod_1610_iotable_2020_xlsx_3[[#This Row],[2029]]</f>
        <v>146.56075340456178</v>
      </c>
      <c r="G262">
        <f>scenario_indirect_prod_4506_iotable_2020_xlsx_3[[#This Row],[2030]]+scenario_indirect_prod_1610_iotable_2020_xlsx_3[[#This Row],[2030]]</f>
        <v>113.37517240671176</v>
      </c>
      <c r="H262">
        <f>scenario_indirect_prod_4506_iotable_2020_xlsx_3[[#This Row],[2031]]+scenario_indirect_prod_1610_iotable_2020_xlsx_3[[#This Row],[2031]]</f>
        <v>123.5652318908235</v>
      </c>
      <c r="I262">
        <f>scenario_indirect_prod_4506_iotable_2020_xlsx_3[[#This Row],[2032]]+scenario_indirect_prod_1610_iotable_2020_xlsx_3[[#This Row],[2032]]</f>
        <v>137.79655678347382</v>
      </c>
      <c r="J262">
        <f>scenario_indirect_prod_4506_iotable_2020_xlsx_3[[#This Row],[2033]]+scenario_indirect_prod_1610_iotable_2020_xlsx_3[[#This Row],[2033]]</f>
        <v>145.1426212637557</v>
      </c>
      <c r="K262">
        <f>scenario_indirect_prod_4506_iotable_2020_xlsx_3[[#This Row],[2034]]+scenario_indirect_prod_1610_iotable_2020_xlsx_3[[#This Row],[2034]]</f>
        <v>158.38561107111155</v>
      </c>
      <c r="L262">
        <f>scenario_indirect_prod_4506_iotable_2020_xlsx_3[[#This Row],[2035]]+scenario_indirect_prod_1610_iotable_2020_xlsx_3[[#This Row],[2035]]</f>
        <v>172.48014952723256</v>
      </c>
      <c r="M262">
        <f>scenario_indirect_prod_4506_iotable_2020_xlsx_3[[#This Row],[2036]]+scenario_indirect_prod_1610_iotable_2020_xlsx_3[[#This Row],[2036]]</f>
        <v>171.92325926518185</v>
      </c>
      <c r="N262">
        <f>scenario_indirect_prod_4506_iotable_2020_xlsx_3[[#This Row],[2037]]+scenario_indirect_prod_1610_iotable_2020_xlsx_3[[#This Row],[2037]]</f>
        <v>171.9715100217374</v>
      </c>
      <c r="O262">
        <f>scenario_indirect_prod_4506_iotable_2020_xlsx_3[[#This Row],[2038]]+scenario_indirect_prod_1610_iotable_2020_xlsx_3[[#This Row],[2038]]</f>
        <v>171.9715100217374</v>
      </c>
      <c r="P262">
        <f>scenario_indirect_prod_4506_iotable_2020_xlsx_3[[#This Row],[2039]]+scenario_indirect_prod_1610_iotable_2020_xlsx_3[[#This Row],[2039]]</f>
        <v>171.9715100217374</v>
      </c>
      <c r="Q262">
        <f>scenario_indirect_prod_4506_iotable_2020_xlsx_3[[#This Row],[2040]]+scenario_indirect_prod_1610_iotable_2020_xlsx_3[[#This Row],[2040]]</f>
        <v>171.92220281394316</v>
      </c>
      <c r="R262">
        <f>scenario_indirect_prod_4506_iotable_2020_xlsx_3[[#This Row],[2041]]+scenario_indirect_prod_1610_iotable_2020_xlsx_3[[#This Row],[2041]]</f>
        <v>171.92220281394316</v>
      </c>
      <c r="S262">
        <f>scenario_indirect_prod_4506_iotable_2020_xlsx_3[[#This Row],[2042]]+scenario_indirect_prod_1610_iotable_2020_xlsx_3[[#This Row],[2042]]</f>
        <v>172.15719286860065</v>
      </c>
      <c r="T262">
        <f>scenario_indirect_prod_4506_iotable_2020_xlsx_3[[#This Row],[2043]]+scenario_indirect_prod_1610_iotable_2020_xlsx_3[[#This Row],[2043]]</f>
        <v>172.15719286860065</v>
      </c>
      <c r="U262">
        <f>scenario_indirect_prod_4506_iotable_2020_xlsx_3[[#This Row],[2044]]+scenario_indirect_prod_1610_iotable_2020_xlsx_3[[#This Row],[2044]]</f>
        <v>171.50469750945831</v>
      </c>
      <c r="V262">
        <f>scenario_indirect_prod_4506_iotable_2020_xlsx_3[[#This Row],[2045]]+scenario_indirect_prod_1610_iotable_2020_xlsx_3[[#This Row],[2045]]</f>
        <v>171.50469750945831</v>
      </c>
      <c r="W262">
        <f>scenario_indirect_prod_4506_iotable_2020_xlsx_3[[#This Row],[2046]]+scenario_indirect_prod_1610_iotable_2020_xlsx_3[[#This Row],[2046]]</f>
        <v>171.22706432889896</v>
      </c>
      <c r="X262">
        <f>scenario_indirect_prod_4506_iotable_2020_xlsx_3[[#This Row],[2047]]+scenario_indirect_prod_1610_iotable_2020_xlsx_3[[#This Row],[2047]]</f>
        <v>171.22706432889896</v>
      </c>
      <c r="Y262">
        <f>scenario_indirect_prod_4506_iotable_2020_xlsx_3[[#This Row],[2048]]+scenario_indirect_prod_1610_iotable_2020_xlsx_3[[#This Row],[2048]]</f>
        <v>171.22706432889896</v>
      </c>
      <c r="Z262">
        <f>scenario_indirect_prod_4506_iotable_2020_xlsx_3[[#This Row],[2049]]+scenario_indirect_prod_1610_iotable_2020_xlsx_3[[#This Row],[2049]]</f>
        <v>171.22706432889896</v>
      </c>
      <c r="AA262">
        <f>scenario_indirect_prod_4506_iotable_2020_xlsx_3[[#This Row],[2050]]+scenario_indirect_prod_1610_iotable_2020_xlsx_3[[#This Row],[2050]]</f>
        <v>171.22706432889896</v>
      </c>
    </row>
    <row r="263" spans="1:27" x14ac:dyDescent="0.2">
      <c r="A263" t="s">
        <v>881</v>
      </c>
      <c r="B263" t="s">
        <v>882</v>
      </c>
      <c r="C263">
        <f>scenario_indirect_prod_4506_iotable_2020_xlsx_3[[#This Row],[2026]]+scenario_indirect_prod_1610_iotable_2020_xlsx_3[[#This Row],[2026]]</f>
        <v>141.73112780061348</v>
      </c>
      <c r="D263">
        <f>scenario_indirect_prod_4506_iotable_2020_xlsx_3[[#This Row],[2027]]+scenario_indirect_prod_1610_iotable_2020_xlsx_3[[#This Row],[2027]]</f>
        <v>-58.175169844007598</v>
      </c>
      <c r="E263">
        <f>scenario_indirect_prod_4506_iotable_2020_xlsx_3[[#This Row],[2028]]+scenario_indirect_prod_1610_iotable_2020_xlsx_3[[#This Row],[2028]]</f>
        <v>-39.337081133455911</v>
      </c>
      <c r="F263">
        <f>scenario_indirect_prod_4506_iotable_2020_xlsx_3[[#This Row],[2029]]+scenario_indirect_prod_1610_iotable_2020_xlsx_3[[#This Row],[2029]]</f>
        <v>-105.88955282143172</v>
      </c>
      <c r="G263">
        <f>scenario_indirect_prod_4506_iotable_2020_xlsx_3[[#This Row],[2030]]+scenario_indirect_prod_1610_iotable_2020_xlsx_3[[#This Row],[2030]]</f>
        <v>-800.87197972088313</v>
      </c>
      <c r="H263">
        <f>scenario_indirect_prod_4506_iotable_2020_xlsx_3[[#This Row],[2031]]+scenario_indirect_prod_1610_iotable_2020_xlsx_3[[#This Row],[2031]]</f>
        <v>-775.45563758987942</v>
      </c>
      <c r="I263">
        <f>scenario_indirect_prod_4506_iotable_2020_xlsx_3[[#This Row],[2032]]+scenario_indirect_prod_1610_iotable_2020_xlsx_3[[#This Row],[2032]]</f>
        <v>-739.95945397946446</v>
      </c>
      <c r="J263">
        <f>scenario_indirect_prod_4506_iotable_2020_xlsx_3[[#This Row],[2033]]+scenario_indirect_prod_1610_iotable_2020_xlsx_3[[#This Row],[2033]]</f>
        <v>-1063.1589099975672</v>
      </c>
      <c r="K263">
        <f>scenario_indirect_prod_4506_iotable_2020_xlsx_3[[#This Row],[2034]]+scenario_indirect_prod_1610_iotable_2020_xlsx_3[[#This Row],[2034]]</f>
        <v>-1030.1278604432475</v>
      </c>
      <c r="L263">
        <f>scenario_indirect_prod_4506_iotable_2020_xlsx_3[[#This Row],[2035]]+scenario_indirect_prod_1610_iotable_2020_xlsx_3[[#This Row],[2035]]</f>
        <v>-1427.2992359492828</v>
      </c>
      <c r="M263">
        <f>scenario_indirect_prod_4506_iotable_2020_xlsx_3[[#This Row],[2036]]+scenario_indirect_prod_1610_iotable_2020_xlsx_3[[#This Row],[2036]]</f>
        <v>-1712.4587749021721</v>
      </c>
      <c r="N263">
        <f>scenario_indirect_prod_4506_iotable_2020_xlsx_3[[#This Row],[2037]]+scenario_indirect_prod_1610_iotable_2020_xlsx_3[[#This Row],[2037]]</f>
        <v>-1960.412265777738</v>
      </c>
      <c r="O263">
        <f>scenario_indirect_prod_4506_iotable_2020_xlsx_3[[#This Row],[2038]]+scenario_indirect_prod_1610_iotable_2020_xlsx_3[[#This Row],[2038]]</f>
        <v>-1960.412265777738</v>
      </c>
      <c r="P263">
        <f>scenario_indirect_prod_4506_iotable_2020_xlsx_3[[#This Row],[2039]]+scenario_indirect_prod_1610_iotable_2020_xlsx_3[[#This Row],[2039]]</f>
        <v>-1960.412265777738</v>
      </c>
      <c r="Q263">
        <f>scenario_indirect_prod_4506_iotable_2020_xlsx_3[[#This Row],[2040]]+scenario_indirect_prod_1610_iotable_2020_xlsx_3[[#This Row],[2040]]</f>
        <v>-2178.3209793183851</v>
      </c>
      <c r="R263">
        <f>scenario_indirect_prod_4506_iotable_2020_xlsx_3[[#This Row],[2041]]+scenario_indirect_prod_1610_iotable_2020_xlsx_3[[#This Row],[2041]]</f>
        <v>-2178.3209793183851</v>
      </c>
      <c r="S263">
        <f>scenario_indirect_prod_4506_iotable_2020_xlsx_3[[#This Row],[2042]]+scenario_indirect_prod_1610_iotable_2020_xlsx_3[[#This Row],[2042]]</f>
        <v>-2418.1164913106231</v>
      </c>
      <c r="T263">
        <f>scenario_indirect_prod_4506_iotable_2020_xlsx_3[[#This Row],[2043]]+scenario_indirect_prod_1610_iotable_2020_xlsx_3[[#This Row],[2043]]</f>
        <v>-2418.1164913106231</v>
      </c>
      <c r="U263">
        <f>scenario_indirect_prod_4506_iotable_2020_xlsx_3[[#This Row],[2044]]+scenario_indirect_prod_1610_iotable_2020_xlsx_3[[#This Row],[2044]]</f>
        <v>-2648.3469207310909</v>
      </c>
      <c r="V263">
        <f>scenario_indirect_prod_4506_iotable_2020_xlsx_3[[#This Row],[2045]]+scenario_indirect_prod_1610_iotable_2020_xlsx_3[[#This Row],[2045]]</f>
        <v>-2648.3469207310909</v>
      </c>
      <c r="W263">
        <f>scenario_indirect_prod_4506_iotable_2020_xlsx_3[[#This Row],[2046]]+scenario_indirect_prod_1610_iotable_2020_xlsx_3[[#This Row],[2046]]</f>
        <v>-2843.6884074498053</v>
      </c>
      <c r="X263">
        <f>scenario_indirect_prod_4506_iotable_2020_xlsx_3[[#This Row],[2047]]+scenario_indirect_prod_1610_iotable_2020_xlsx_3[[#This Row],[2047]]</f>
        <v>-2843.6884074498053</v>
      </c>
      <c r="Y263">
        <f>scenario_indirect_prod_4506_iotable_2020_xlsx_3[[#This Row],[2048]]+scenario_indirect_prod_1610_iotable_2020_xlsx_3[[#This Row],[2048]]</f>
        <v>-2843.6884074498053</v>
      </c>
      <c r="Z263">
        <f>scenario_indirect_prod_4506_iotable_2020_xlsx_3[[#This Row],[2049]]+scenario_indirect_prod_1610_iotable_2020_xlsx_3[[#This Row],[2049]]</f>
        <v>-2843.6884074498053</v>
      </c>
      <c r="AA263">
        <f>scenario_indirect_prod_4506_iotable_2020_xlsx_3[[#This Row],[2050]]+scenario_indirect_prod_1610_iotable_2020_xlsx_3[[#This Row],[2050]]</f>
        <v>-2843.6884074498053</v>
      </c>
    </row>
    <row r="264" spans="1:27" x14ac:dyDescent="0.2">
      <c r="A264" t="s">
        <v>918</v>
      </c>
      <c r="B264" t="s">
        <v>919</v>
      </c>
      <c r="C264">
        <f>scenario_indirect_prod_4506_iotable_2020_xlsx_3[[#This Row],[2026]]+scenario_indirect_prod_1610_iotable_2020_xlsx_3[[#This Row],[2026]]</f>
        <v>85.08228494861774</v>
      </c>
      <c r="D264">
        <f>scenario_indirect_prod_4506_iotable_2020_xlsx_3[[#This Row],[2027]]+scenario_indirect_prod_1610_iotable_2020_xlsx_3[[#This Row],[2027]]</f>
        <v>86.327218036320318</v>
      </c>
      <c r="E264">
        <f>scenario_indirect_prod_4506_iotable_2020_xlsx_3[[#This Row],[2028]]+scenario_indirect_prod_1610_iotable_2020_xlsx_3[[#This Row],[2028]]</f>
        <v>90.42922192922677</v>
      </c>
      <c r="F264">
        <f>scenario_indirect_prod_4506_iotable_2020_xlsx_3[[#This Row],[2029]]+scenario_indirect_prod_1610_iotable_2020_xlsx_3[[#This Row],[2029]]</f>
        <v>93.847241963682762</v>
      </c>
      <c r="G264">
        <f>scenario_indirect_prod_4506_iotable_2020_xlsx_3[[#This Row],[2030]]+scenario_indirect_prod_1610_iotable_2020_xlsx_3[[#This Row],[2030]]</f>
        <v>94.324642933223146</v>
      </c>
      <c r="H264">
        <f>scenario_indirect_prod_4506_iotable_2020_xlsx_3[[#This Row],[2031]]+scenario_indirect_prod_1610_iotable_2020_xlsx_3[[#This Row],[2031]]</f>
        <v>99.859065027032784</v>
      </c>
      <c r="I264">
        <f>scenario_indirect_prod_4506_iotable_2020_xlsx_3[[#This Row],[2032]]+scenario_indirect_prod_1610_iotable_2020_xlsx_3[[#This Row],[2032]]</f>
        <v>107.58837799452553</v>
      </c>
      <c r="J264">
        <f>scenario_indirect_prod_4506_iotable_2020_xlsx_3[[#This Row],[2033]]+scenario_indirect_prod_1610_iotable_2020_xlsx_3[[#This Row],[2033]]</f>
        <v>121.89906013717911</v>
      </c>
      <c r="K264">
        <f>scenario_indirect_prod_4506_iotable_2020_xlsx_3[[#This Row],[2034]]+scenario_indirect_prod_1610_iotable_2020_xlsx_3[[#This Row],[2034]]</f>
        <v>129.09158884539741</v>
      </c>
      <c r="L264">
        <f>scenario_indirect_prod_4506_iotable_2020_xlsx_3[[#This Row],[2035]]+scenario_indirect_prod_1610_iotable_2020_xlsx_3[[#This Row],[2035]]</f>
        <v>149.81162531517592</v>
      </c>
      <c r="M264">
        <f>scenario_indirect_prod_4506_iotable_2020_xlsx_3[[#This Row],[2036]]+scenario_indirect_prod_1610_iotable_2020_xlsx_3[[#This Row],[2036]]</f>
        <v>158.08478584438404</v>
      </c>
      <c r="N264">
        <f>scenario_indirect_prod_4506_iotable_2020_xlsx_3[[#This Row],[2037]]+scenario_indirect_prod_1610_iotable_2020_xlsx_3[[#This Row],[2037]]</f>
        <v>165.60784726228684</v>
      </c>
      <c r="O264">
        <f>scenario_indirect_prod_4506_iotable_2020_xlsx_3[[#This Row],[2038]]+scenario_indirect_prod_1610_iotable_2020_xlsx_3[[#This Row],[2038]]</f>
        <v>165.60784726228684</v>
      </c>
      <c r="P264">
        <f>scenario_indirect_prod_4506_iotable_2020_xlsx_3[[#This Row],[2039]]+scenario_indirect_prod_1610_iotable_2020_xlsx_3[[#This Row],[2039]]</f>
        <v>165.60784726228684</v>
      </c>
      <c r="Q264">
        <f>scenario_indirect_prod_4506_iotable_2020_xlsx_3[[#This Row],[2040]]+scenario_indirect_prod_1610_iotable_2020_xlsx_3[[#This Row],[2040]]</f>
        <v>172.16260854522335</v>
      </c>
      <c r="R264">
        <f>scenario_indirect_prod_4506_iotable_2020_xlsx_3[[#This Row],[2041]]+scenario_indirect_prod_1610_iotable_2020_xlsx_3[[#This Row],[2041]]</f>
        <v>172.16260854522335</v>
      </c>
      <c r="S264">
        <f>scenario_indirect_prod_4506_iotable_2020_xlsx_3[[#This Row],[2042]]+scenario_indirect_prod_1610_iotable_2020_xlsx_3[[#This Row],[2042]]</f>
        <v>179.55463123421822</v>
      </c>
      <c r="T264">
        <f>scenario_indirect_prod_4506_iotable_2020_xlsx_3[[#This Row],[2043]]+scenario_indirect_prod_1610_iotable_2020_xlsx_3[[#This Row],[2043]]</f>
        <v>179.55463123421822</v>
      </c>
      <c r="U264">
        <f>scenario_indirect_prod_4506_iotable_2020_xlsx_3[[#This Row],[2044]]+scenario_indirect_prod_1610_iotable_2020_xlsx_3[[#This Row],[2044]]</f>
        <v>186.10868852434811</v>
      </c>
      <c r="V264">
        <f>scenario_indirect_prod_4506_iotable_2020_xlsx_3[[#This Row],[2045]]+scenario_indirect_prod_1610_iotable_2020_xlsx_3[[#This Row],[2045]]</f>
        <v>186.10868852434811</v>
      </c>
      <c r="W264">
        <f>scenario_indirect_prod_4506_iotable_2020_xlsx_3[[#This Row],[2046]]+scenario_indirect_prod_1610_iotable_2020_xlsx_3[[#This Row],[2046]]</f>
        <v>191.84024369613417</v>
      </c>
      <c r="X264">
        <f>scenario_indirect_prod_4506_iotable_2020_xlsx_3[[#This Row],[2047]]+scenario_indirect_prod_1610_iotable_2020_xlsx_3[[#This Row],[2047]]</f>
        <v>191.84024369613417</v>
      </c>
      <c r="Y264">
        <f>scenario_indirect_prod_4506_iotable_2020_xlsx_3[[#This Row],[2048]]+scenario_indirect_prod_1610_iotable_2020_xlsx_3[[#This Row],[2048]]</f>
        <v>191.84024369613417</v>
      </c>
      <c r="Z264">
        <f>scenario_indirect_prod_4506_iotable_2020_xlsx_3[[#This Row],[2049]]+scenario_indirect_prod_1610_iotable_2020_xlsx_3[[#This Row],[2049]]</f>
        <v>191.84024369613417</v>
      </c>
      <c r="AA264">
        <f>scenario_indirect_prod_4506_iotable_2020_xlsx_3[[#This Row],[2050]]+scenario_indirect_prod_1610_iotable_2020_xlsx_3[[#This Row],[2050]]</f>
        <v>191.84024369613417</v>
      </c>
    </row>
    <row r="265" spans="1:27" x14ac:dyDescent="0.2">
      <c r="A265" t="s">
        <v>615</v>
      </c>
      <c r="B265" t="s">
        <v>616</v>
      </c>
      <c r="C265">
        <f>scenario_indirect_prod_4506_iotable_2020_xlsx_3[[#This Row],[2026]]+scenario_indirect_prod_1610_iotable_2020_xlsx_3[[#This Row],[2026]]</f>
        <v>5763.3006072806074</v>
      </c>
      <c r="D265">
        <f>scenario_indirect_prod_4506_iotable_2020_xlsx_3[[#This Row],[2027]]+scenario_indirect_prod_1610_iotable_2020_xlsx_3[[#This Row],[2027]]</f>
        <v>5745.1909868489993</v>
      </c>
      <c r="E265">
        <f>scenario_indirect_prod_4506_iotable_2020_xlsx_3[[#This Row],[2028]]+scenario_indirect_prod_1610_iotable_2020_xlsx_3[[#This Row],[2028]]</f>
        <v>6029.1409420464188</v>
      </c>
      <c r="F265">
        <f>scenario_indirect_prod_4506_iotable_2020_xlsx_3[[#This Row],[2029]]+scenario_indirect_prod_1610_iotable_2020_xlsx_3[[#This Row],[2029]]</f>
        <v>6224.029310759468</v>
      </c>
      <c r="G265">
        <f>scenario_indirect_prod_4506_iotable_2020_xlsx_3[[#This Row],[2030]]+scenario_indirect_prod_1610_iotable_2020_xlsx_3[[#This Row],[2030]]</f>
        <v>5903.4878701177895</v>
      </c>
      <c r="H265">
        <f>scenario_indirect_prod_4506_iotable_2020_xlsx_3[[#This Row],[2031]]+scenario_indirect_prod_1610_iotable_2020_xlsx_3[[#This Row],[2031]]</f>
        <v>6286.5930417872842</v>
      </c>
      <c r="I265">
        <f>scenario_indirect_prod_4506_iotable_2020_xlsx_3[[#This Row],[2032]]+scenario_indirect_prod_1610_iotable_2020_xlsx_3[[#This Row],[2032]]</f>
        <v>6821.6335069174456</v>
      </c>
      <c r="J265">
        <f>scenario_indirect_prod_4506_iotable_2020_xlsx_3[[#This Row],[2033]]+scenario_indirect_prod_1610_iotable_2020_xlsx_3[[#This Row],[2033]]</f>
        <v>7615.0014872752963</v>
      </c>
      <c r="K265">
        <f>scenario_indirect_prod_4506_iotable_2020_xlsx_3[[#This Row],[2034]]+scenario_indirect_prod_1610_iotable_2020_xlsx_3[[#This Row],[2034]]</f>
        <v>8112.8845360911455</v>
      </c>
      <c r="L265">
        <f>scenario_indirect_prod_4506_iotable_2020_xlsx_3[[#This Row],[2035]]+scenario_indirect_prod_1610_iotable_2020_xlsx_3[[#This Row],[2035]]</f>
        <v>9297.4775878544588</v>
      </c>
      <c r="M265">
        <f>scenario_indirect_prod_4506_iotable_2020_xlsx_3[[#This Row],[2036]]+scenario_indirect_prod_1610_iotable_2020_xlsx_3[[#This Row],[2036]]</f>
        <v>9706.2698034075966</v>
      </c>
      <c r="N265">
        <f>scenario_indirect_prod_4506_iotable_2020_xlsx_3[[#This Row],[2037]]+scenario_indirect_prod_1610_iotable_2020_xlsx_3[[#This Row],[2037]]</f>
        <v>10083.755459108535</v>
      </c>
      <c r="O265">
        <f>scenario_indirect_prod_4506_iotable_2020_xlsx_3[[#This Row],[2038]]+scenario_indirect_prod_1610_iotable_2020_xlsx_3[[#This Row],[2038]]</f>
        <v>10083.755459108535</v>
      </c>
      <c r="P265">
        <f>scenario_indirect_prod_4506_iotable_2020_xlsx_3[[#This Row],[2039]]+scenario_indirect_prod_1610_iotable_2020_xlsx_3[[#This Row],[2039]]</f>
        <v>10083.755459108535</v>
      </c>
      <c r="Q265">
        <f>scenario_indirect_prod_4506_iotable_2020_xlsx_3[[#This Row],[2040]]+scenario_indirect_prod_1610_iotable_2020_xlsx_3[[#This Row],[2040]]</f>
        <v>10411.706407793379</v>
      </c>
      <c r="R265">
        <f>scenario_indirect_prod_4506_iotable_2020_xlsx_3[[#This Row],[2041]]+scenario_indirect_prod_1610_iotable_2020_xlsx_3[[#This Row],[2041]]</f>
        <v>10411.706407793379</v>
      </c>
      <c r="S265">
        <f>scenario_indirect_prod_4506_iotable_2020_xlsx_3[[#This Row],[2042]]+scenario_indirect_prod_1610_iotable_2020_xlsx_3[[#This Row],[2042]]</f>
        <v>10784.563981808984</v>
      </c>
      <c r="T265">
        <f>scenario_indirect_prod_4506_iotable_2020_xlsx_3[[#This Row],[2043]]+scenario_indirect_prod_1610_iotable_2020_xlsx_3[[#This Row],[2043]]</f>
        <v>10784.563981808984</v>
      </c>
      <c r="U265">
        <f>scenario_indirect_prod_4506_iotable_2020_xlsx_3[[#This Row],[2044]]+scenario_indirect_prod_1610_iotable_2020_xlsx_3[[#This Row],[2044]]</f>
        <v>11106.218597461357</v>
      </c>
      <c r="V265">
        <f>scenario_indirect_prod_4506_iotable_2020_xlsx_3[[#This Row],[2045]]+scenario_indirect_prod_1610_iotable_2020_xlsx_3[[#This Row],[2045]]</f>
        <v>11106.218597461357</v>
      </c>
      <c r="W265">
        <f>scenario_indirect_prod_4506_iotable_2020_xlsx_3[[#This Row],[2046]]+scenario_indirect_prod_1610_iotable_2020_xlsx_3[[#This Row],[2046]]</f>
        <v>11390.548218017126</v>
      </c>
      <c r="X265">
        <f>scenario_indirect_prod_4506_iotable_2020_xlsx_3[[#This Row],[2047]]+scenario_indirect_prod_1610_iotable_2020_xlsx_3[[#This Row],[2047]]</f>
        <v>11390.548218017126</v>
      </c>
      <c r="Y265">
        <f>scenario_indirect_prod_4506_iotable_2020_xlsx_3[[#This Row],[2048]]+scenario_indirect_prod_1610_iotable_2020_xlsx_3[[#This Row],[2048]]</f>
        <v>11390.548218017126</v>
      </c>
      <c r="Z265">
        <f>scenario_indirect_prod_4506_iotable_2020_xlsx_3[[#This Row],[2049]]+scenario_indirect_prod_1610_iotable_2020_xlsx_3[[#This Row],[2049]]</f>
        <v>11390.548218017126</v>
      </c>
      <c r="AA265">
        <f>scenario_indirect_prod_4506_iotable_2020_xlsx_3[[#This Row],[2050]]+scenario_indirect_prod_1610_iotable_2020_xlsx_3[[#This Row],[2050]]</f>
        <v>11390.548218017126</v>
      </c>
    </row>
    <row r="266" spans="1:27" x14ac:dyDescent="0.2">
      <c r="A266" t="s">
        <v>704</v>
      </c>
      <c r="B266" t="s">
        <v>705</v>
      </c>
      <c r="C266">
        <f>scenario_indirect_prod_4506_iotable_2020_xlsx_3[[#This Row],[2026]]+scenario_indirect_prod_1610_iotable_2020_xlsx_3[[#This Row],[2026]]</f>
        <v>2919.3850131414242</v>
      </c>
      <c r="D266">
        <f>scenario_indirect_prod_4506_iotable_2020_xlsx_3[[#This Row],[2027]]+scenario_indirect_prod_1610_iotable_2020_xlsx_3[[#This Row],[2027]]</f>
        <v>2912.4516415212588</v>
      </c>
      <c r="E266">
        <f>scenario_indirect_prod_4506_iotable_2020_xlsx_3[[#This Row],[2028]]+scenario_indirect_prod_1610_iotable_2020_xlsx_3[[#This Row],[2028]]</f>
        <v>3056.1526192144383</v>
      </c>
      <c r="F266">
        <f>scenario_indirect_prod_4506_iotable_2020_xlsx_3[[#This Row],[2029]]+scenario_indirect_prod_1610_iotable_2020_xlsx_3[[#This Row],[2029]]</f>
        <v>3155.674047106163</v>
      </c>
      <c r="G266">
        <f>scenario_indirect_prod_4506_iotable_2020_xlsx_3[[#This Row],[2030]]+scenario_indirect_prod_1610_iotable_2020_xlsx_3[[#This Row],[2030]]</f>
        <v>3001.0209570613879</v>
      </c>
      <c r="H266">
        <f>scenario_indirect_prod_4506_iotable_2020_xlsx_3[[#This Row],[2031]]+scenario_indirect_prod_1610_iotable_2020_xlsx_3[[#This Row],[2031]]</f>
        <v>3194.9022615678246</v>
      </c>
      <c r="I266">
        <f>scenario_indirect_prod_4506_iotable_2020_xlsx_3[[#This Row],[2032]]+scenario_indirect_prod_1610_iotable_2020_xlsx_3[[#This Row],[2032]]</f>
        <v>3465.6747569928089</v>
      </c>
      <c r="J266">
        <f>scenario_indirect_prod_4506_iotable_2020_xlsx_3[[#This Row],[2033]]+scenario_indirect_prod_1610_iotable_2020_xlsx_3[[#This Row],[2033]]</f>
        <v>3871.4019967815993</v>
      </c>
      <c r="K266">
        <f>scenario_indirect_prod_4506_iotable_2020_xlsx_3[[#This Row],[2034]]+scenario_indirect_prod_1610_iotable_2020_xlsx_3[[#This Row],[2034]]</f>
        <v>4123.3699213475866</v>
      </c>
      <c r="L266">
        <f>scenario_indirect_prod_4506_iotable_2020_xlsx_3[[#This Row],[2035]]+scenario_indirect_prod_1610_iotable_2020_xlsx_3[[#This Row],[2035]]</f>
        <v>4728.2099841091749</v>
      </c>
      <c r="M266">
        <f>scenario_indirect_prod_4506_iotable_2020_xlsx_3[[#This Row],[2036]]+scenario_indirect_prod_1610_iotable_2020_xlsx_3[[#This Row],[2036]]</f>
        <v>4938.5979541590323</v>
      </c>
      <c r="N266">
        <f>scenario_indirect_prod_4506_iotable_2020_xlsx_3[[#This Row],[2037]]+scenario_indirect_prod_1610_iotable_2020_xlsx_3[[#This Row],[2037]]</f>
        <v>5132.7011854480534</v>
      </c>
      <c r="O266">
        <f>scenario_indirect_prod_4506_iotable_2020_xlsx_3[[#This Row],[2038]]+scenario_indirect_prod_1610_iotable_2020_xlsx_3[[#This Row],[2038]]</f>
        <v>5132.7011854480534</v>
      </c>
      <c r="P266">
        <f>scenario_indirect_prod_4506_iotable_2020_xlsx_3[[#This Row],[2039]]+scenario_indirect_prod_1610_iotable_2020_xlsx_3[[#This Row],[2039]]</f>
        <v>5132.7011854480534</v>
      </c>
      <c r="Q266">
        <f>scenario_indirect_prod_4506_iotable_2020_xlsx_3[[#This Row],[2040]]+scenario_indirect_prod_1610_iotable_2020_xlsx_3[[#This Row],[2040]]</f>
        <v>5301.361646352937</v>
      </c>
      <c r="R266">
        <f>scenario_indirect_prod_4506_iotable_2020_xlsx_3[[#This Row],[2041]]+scenario_indirect_prod_1610_iotable_2020_xlsx_3[[#This Row],[2041]]</f>
        <v>5301.361646352937</v>
      </c>
      <c r="S266">
        <f>scenario_indirect_prod_4506_iotable_2020_xlsx_3[[#This Row],[2042]]+scenario_indirect_prod_1610_iotable_2020_xlsx_3[[#This Row],[2042]]</f>
        <v>5493.027639978186</v>
      </c>
      <c r="T266">
        <f>scenario_indirect_prod_4506_iotable_2020_xlsx_3[[#This Row],[2043]]+scenario_indirect_prod_1610_iotable_2020_xlsx_3[[#This Row],[2043]]</f>
        <v>5493.027639978186</v>
      </c>
      <c r="U266">
        <f>scenario_indirect_prod_4506_iotable_2020_xlsx_3[[#This Row],[2044]]+scenario_indirect_prod_1610_iotable_2020_xlsx_3[[#This Row],[2044]]</f>
        <v>5658.6353475596788</v>
      </c>
      <c r="V266">
        <f>scenario_indirect_prod_4506_iotable_2020_xlsx_3[[#This Row],[2045]]+scenario_indirect_prod_1610_iotable_2020_xlsx_3[[#This Row],[2045]]</f>
        <v>5658.6353475596788</v>
      </c>
      <c r="W266">
        <f>scenario_indirect_prod_4506_iotable_2020_xlsx_3[[#This Row],[2046]]+scenario_indirect_prod_1610_iotable_2020_xlsx_3[[#This Row],[2046]]</f>
        <v>5804.9340532583101</v>
      </c>
      <c r="X266">
        <f>scenario_indirect_prod_4506_iotable_2020_xlsx_3[[#This Row],[2047]]+scenario_indirect_prod_1610_iotable_2020_xlsx_3[[#This Row],[2047]]</f>
        <v>5804.9340532583101</v>
      </c>
      <c r="Y266">
        <f>scenario_indirect_prod_4506_iotable_2020_xlsx_3[[#This Row],[2048]]+scenario_indirect_prod_1610_iotable_2020_xlsx_3[[#This Row],[2048]]</f>
        <v>5804.9340532583101</v>
      </c>
      <c r="Z266">
        <f>scenario_indirect_prod_4506_iotable_2020_xlsx_3[[#This Row],[2049]]+scenario_indirect_prod_1610_iotable_2020_xlsx_3[[#This Row],[2049]]</f>
        <v>5804.9340532583101</v>
      </c>
      <c r="AA266">
        <f>scenario_indirect_prod_4506_iotable_2020_xlsx_3[[#This Row],[2050]]+scenario_indirect_prod_1610_iotable_2020_xlsx_3[[#This Row],[2050]]</f>
        <v>5804.9340532583101</v>
      </c>
    </row>
    <row r="267" spans="1:27" x14ac:dyDescent="0.2">
      <c r="A267" t="s">
        <v>357</v>
      </c>
      <c r="B267" t="s">
        <v>358</v>
      </c>
      <c r="C267">
        <f>scenario_indirect_prod_4506_iotable_2020_xlsx_3[[#This Row],[2026]]+scenario_indirect_prod_1610_iotable_2020_xlsx_3[[#This Row],[2026]]</f>
        <v>119768.47914160782</v>
      </c>
      <c r="D267">
        <f>scenario_indirect_prod_4506_iotable_2020_xlsx_3[[#This Row],[2027]]+scenario_indirect_prod_1610_iotable_2020_xlsx_3[[#This Row],[2027]]</f>
        <v>106453.48814039267</v>
      </c>
      <c r="E267">
        <f>scenario_indirect_prod_4506_iotable_2020_xlsx_3[[#This Row],[2028]]+scenario_indirect_prod_1610_iotable_2020_xlsx_3[[#This Row],[2028]]</f>
        <v>113123.34115954356</v>
      </c>
      <c r="F267">
        <f>scenario_indirect_prod_4506_iotable_2020_xlsx_3[[#This Row],[2029]]+scenario_indirect_prod_1610_iotable_2020_xlsx_3[[#This Row],[2029]]</f>
        <v>112545.33645367195</v>
      </c>
      <c r="G267">
        <f>scenario_indirect_prod_4506_iotable_2020_xlsx_3[[#This Row],[2030]]+scenario_indirect_prod_1610_iotable_2020_xlsx_3[[#This Row],[2030]]</f>
        <v>61313.246872758435</v>
      </c>
      <c r="H267">
        <f>scenario_indirect_prod_4506_iotable_2020_xlsx_3[[#This Row],[2031]]+scenario_indirect_prod_1610_iotable_2020_xlsx_3[[#This Row],[2031]]</f>
        <v>70312.210032078263</v>
      </c>
      <c r="I267">
        <f>scenario_indirect_prod_4506_iotable_2020_xlsx_3[[#This Row],[2032]]+scenario_indirect_prod_1610_iotable_2020_xlsx_3[[#This Row],[2032]]</f>
        <v>82880.062910361594</v>
      </c>
      <c r="J267">
        <f>scenario_indirect_prod_4506_iotable_2020_xlsx_3[[#This Row],[2033]]+scenario_indirect_prod_1610_iotable_2020_xlsx_3[[#This Row],[2033]]</f>
        <v>77136.284536065185</v>
      </c>
      <c r="K267">
        <f>scenario_indirect_prod_4506_iotable_2020_xlsx_3[[#This Row],[2034]]+scenario_indirect_prod_1610_iotable_2020_xlsx_3[[#This Row],[2034]]</f>
        <v>88831.326903723239</v>
      </c>
      <c r="L267">
        <f>scenario_indirect_prod_4506_iotable_2020_xlsx_3[[#This Row],[2035]]+scenario_indirect_prod_1610_iotable_2020_xlsx_3[[#This Row],[2035]]</f>
        <v>85795.173226467217</v>
      </c>
      <c r="M267">
        <f>scenario_indirect_prod_4506_iotable_2020_xlsx_3[[#This Row],[2036]]+scenario_indirect_prod_1610_iotable_2020_xlsx_3[[#This Row],[2036]]</f>
        <v>75140.503305138671</v>
      </c>
      <c r="N267">
        <f>scenario_indirect_prod_4506_iotable_2020_xlsx_3[[#This Row],[2037]]+scenario_indirect_prod_1610_iotable_2020_xlsx_3[[#This Row],[2037]]</f>
        <v>66298.671228086983</v>
      </c>
      <c r="O267">
        <f>scenario_indirect_prod_4506_iotable_2020_xlsx_3[[#This Row],[2038]]+scenario_indirect_prod_1610_iotable_2020_xlsx_3[[#This Row],[2038]]</f>
        <v>66298.671228086983</v>
      </c>
      <c r="P267">
        <f>scenario_indirect_prod_4506_iotable_2020_xlsx_3[[#This Row],[2039]]+scenario_indirect_prod_1610_iotable_2020_xlsx_3[[#This Row],[2039]]</f>
        <v>66298.671228086983</v>
      </c>
      <c r="Q267">
        <f>scenario_indirect_prod_4506_iotable_2020_xlsx_3[[#This Row],[2040]]+scenario_indirect_prod_1610_iotable_2020_xlsx_3[[#This Row],[2040]]</f>
        <v>58455.413908396906</v>
      </c>
      <c r="R267">
        <f>scenario_indirect_prod_4506_iotable_2020_xlsx_3[[#This Row],[2041]]+scenario_indirect_prod_1610_iotable_2020_xlsx_3[[#This Row],[2041]]</f>
        <v>58455.413908396906</v>
      </c>
      <c r="S267">
        <f>scenario_indirect_prod_4506_iotable_2020_xlsx_3[[#This Row],[2042]]+scenario_indirect_prod_1610_iotable_2020_xlsx_3[[#This Row],[2042]]</f>
        <v>50053.980000987067</v>
      </c>
      <c r="T267">
        <f>scenario_indirect_prod_4506_iotable_2020_xlsx_3[[#This Row],[2043]]+scenario_indirect_prod_1610_iotable_2020_xlsx_3[[#This Row],[2043]]</f>
        <v>50053.980000987067</v>
      </c>
      <c r="U267">
        <f>scenario_indirect_prod_4506_iotable_2020_xlsx_3[[#This Row],[2044]]+scenario_indirect_prod_1610_iotable_2020_xlsx_3[[#This Row],[2044]]</f>
        <v>41290.635084491689</v>
      </c>
      <c r="V267">
        <f>scenario_indirect_prod_4506_iotable_2020_xlsx_3[[#This Row],[2045]]+scenario_indirect_prod_1610_iotable_2020_xlsx_3[[#This Row],[2045]]</f>
        <v>41290.635084491689</v>
      </c>
      <c r="W267">
        <f>scenario_indirect_prod_4506_iotable_2020_xlsx_3[[#This Row],[2046]]+scenario_indirect_prod_1610_iotable_2020_xlsx_3[[#This Row],[2046]]</f>
        <v>34074.35214657156</v>
      </c>
      <c r="X267">
        <f>scenario_indirect_prod_4506_iotable_2020_xlsx_3[[#This Row],[2047]]+scenario_indirect_prod_1610_iotable_2020_xlsx_3[[#This Row],[2047]]</f>
        <v>34074.35214657156</v>
      </c>
      <c r="Y267">
        <f>scenario_indirect_prod_4506_iotable_2020_xlsx_3[[#This Row],[2048]]+scenario_indirect_prod_1610_iotable_2020_xlsx_3[[#This Row],[2048]]</f>
        <v>34074.35214657156</v>
      </c>
      <c r="Z267">
        <f>scenario_indirect_prod_4506_iotable_2020_xlsx_3[[#This Row],[2049]]+scenario_indirect_prod_1610_iotable_2020_xlsx_3[[#This Row],[2049]]</f>
        <v>34074.35214657156</v>
      </c>
      <c r="AA267">
        <f>scenario_indirect_prod_4506_iotable_2020_xlsx_3[[#This Row],[2050]]+scenario_indirect_prod_1610_iotable_2020_xlsx_3[[#This Row],[2050]]</f>
        <v>34074.35214657156</v>
      </c>
    </row>
    <row r="268" spans="1:27" x14ac:dyDescent="0.2">
      <c r="A268" t="s">
        <v>390</v>
      </c>
      <c r="B268" t="s">
        <v>391</v>
      </c>
      <c r="C268">
        <f>scenario_indirect_prod_4506_iotable_2020_xlsx_3[[#This Row],[2026]]+scenario_indirect_prod_1610_iotable_2020_xlsx_3[[#This Row],[2026]]</f>
        <v>53151.347969322138</v>
      </c>
      <c r="D268">
        <f>scenario_indirect_prod_4506_iotable_2020_xlsx_3[[#This Row],[2027]]+scenario_indirect_prod_1610_iotable_2020_xlsx_3[[#This Row],[2027]]</f>
        <v>45579.637362128211</v>
      </c>
      <c r="E268">
        <f>scenario_indirect_prod_4506_iotable_2020_xlsx_3[[#This Row],[2028]]+scenario_indirect_prod_1610_iotable_2020_xlsx_3[[#This Row],[2028]]</f>
        <v>48638.438361003078</v>
      </c>
      <c r="F268">
        <f>scenario_indirect_prod_4506_iotable_2020_xlsx_3[[#This Row],[2029]]+scenario_indirect_prod_1610_iotable_2020_xlsx_3[[#This Row],[2029]]</f>
        <v>47787.187608927685</v>
      </c>
      <c r="G268">
        <f>scenario_indirect_prod_4506_iotable_2020_xlsx_3[[#This Row],[2030]]+scenario_indirect_prod_1610_iotable_2020_xlsx_3[[#This Row],[2030]]</f>
        <v>19323.459174633434</v>
      </c>
      <c r="H268">
        <f>scenario_indirect_prod_4506_iotable_2020_xlsx_3[[#This Row],[2031]]+scenario_indirect_prod_1610_iotable_2020_xlsx_3[[#This Row],[2031]]</f>
        <v>23450.392320166167</v>
      </c>
      <c r="I268">
        <f>scenario_indirect_prod_4506_iotable_2020_xlsx_3[[#This Row],[2032]]+scenario_indirect_prod_1610_iotable_2020_xlsx_3[[#This Row],[2032]]</f>
        <v>29214.021717609663</v>
      </c>
      <c r="J268">
        <f>scenario_indirect_prod_4506_iotable_2020_xlsx_3[[#This Row],[2033]]+scenario_indirect_prod_1610_iotable_2020_xlsx_3[[#This Row],[2033]]</f>
        <v>23808.154808912703</v>
      </c>
      <c r="K268">
        <f>scenario_indirect_prod_4506_iotable_2020_xlsx_3[[#This Row],[2034]]+scenario_indirect_prod_1610_iotable_2020_xlsx_3[[#This Row],[2034]]</f>
        <v>29171.512468123969</v>
      </c>
      <c r="L268">
        <f>scenario_indirect_prod_4506_iotable_2020_xlsx_3[[#This Row],[2035]]+scenario_indirect_prod_1610_iotable_2020_xlsx_3[[#This Row],[2035]]</f>
        <v>24270.406195020187</v>
      </c>
      <c r="M268">
        <f>scenario_indirect_prod_4506_iotable_2020_xlsx_3[[#This Row],[2036]]+scenario_indirect_prod_1610_iotable_2020_xlsx_3[[#This Row],[2036]]</f>
        <v>17081.107445724687</v>
      </c>
      <c r="N268">
        <f>scenario_indirect_prod_4506_iotable_2020_xlsx_3[[#This Row],[2037]]+scenario_indirect_prod_1610_iotable_2020_xlsx_3[[#This Row],[2037]]</f>
        <v>11012.889082787238</v>
      </c>
      <c r="O268">
        <f>scenario_indirect_prod_4506_iotable_2020_xlsx_3[[#This Row],[2038]]+scenario_indirect_prod_1610_iotable_2020_xlsx_3[[#This Row],[2038]]</f>
        <v>11012.889082787238</v>
      </c>
      <c r="P268">
        <f>scenario_indirect_prod_4506_iotable_2020_xlsx_3[[#This Row],[2039]]+scenario_indirect_prod_1610_iotable_2020_xlsx_3[[#This Row],[2039]]</f>
        <v>11012.889082787238</v>
      </c>
      <c r="Q268">
        <f>scenario_indirect_prod_4506_iotable_2020_xlsx_3[[#This Row],[2040]]+scenario_indirect_prod_1610_iotable_2020_xlsx_3[[#This Row],[2040]]</f>
        <v>5648.4337201174349</v>
      </c>
      <c r="R268">
        <f>scenario_indirect_prod_4506_iotable_2020_xlsx_3[[#This Row],[2041]]+scenario_indirect_prod_1610_iotable_2020_xlsx_3[[#This Row],[2041]]</f>
        <v>5648.4337201174349</v>
      </c>
      <c r="S268">
        <f>scenario_indirect_prod_4506_iotable_2020_xlsx_3[[#This Row],[2042]]+scenario_indirect_prod_1610_iotable_2020_xlsx_3[[#This Row],[2042]]</f>
        <v>-155.38832642984926</v>
      </c>
      <c r="T268">
        <f>scenario_indirect_prod_4506_iotable_2020_xlsx_3[[#This Row],[2043]]+scenario_indirect_prod_1610_iotable_2020_xlsx_3[[#This Row],[2043]]</f>
        <v>-155.38832642984926</v>
      </c>
      <c r="U268">
        <f>scenario_indirect_prod_4506_iotable_2020_xlsx_3[[#This Row],[2044]]+scenario_indirect_prod_1610_iotable_2020_xlsx_3[[#This Row],[2044]]</f>
        <v>-6029.5884128574689</v>
      </c>
      <c r="V268">
        <f>scenario_indirect_prod_4506_iotable_2020_xlsx_3[[#This Row],[2045]]+scenario_indirect_prod_1610_iotable_2020_xlsx_3[[#This Row],[2045]]</f>
        <v>-6029.5884128574689</v>
      </c>
      <c r="W268">
        <f>scenario_indirect_prod_4506_iotable_2020_xlsx_3[[#This Row],[2046]]+scenario_indirect_prod_1610_iotable_2020_xlsx_3[[#This Row],[2046]]</f>
        <v>-10918.737083597371</v>
      </c>
      <c r="X268">
        <f>scenario_indirect_prod_4506_iotable_2020_xlsx_3[[#This Row],[2047]]+scenario_indirect_prod_1610_iotable_2020_xlsx_3[[#This Row],[2047]]</f>
        <v>-10918.737083597371</v>
      </c>
      <c r="Y268">
        <f>scenario_indirect_prod_4506_iotable_2020_xlsx_3[[#This Row],[2048]]+scenario_indirect_prod_1610_iotable_2020_xlsx_3[[#This Row],[2048]]</f>
        <v>-10918.737083597371</v>
      </c>
      <c r="Z268">
        <f>scenario_indirect_prod_4506_iotable_2020_xlsx_3[[#This Row],[2049]]+scenario_indirect_prod_1610_iotable_2020_xlsx_3[[#This Row],[2049]]</f>
        <v>-10918.737083597371</v>
      </c>
      <c r="AA268">
        <f>scenario_indirect_prod_4506_iotable_2020_xlsx_3[[#This Row],[2050]]+scenario_indirect_prod_1610_iotable_2020_xlsx_3[[#This Row],[2050]]</f>
        <v>-10918.737083597371</v>
      </c>
    </row>
    <row r="269" spans="1:27" x14ac:dyDescent="0.2">
      <c r="A269" t="s">
        <v>696</v>
      </c>
      <c r="B269" t="s">
        <v>697</v>
      </c>
      <c r="C269">
        <f>scenario_indirect_prod_4506_iotable_2020_xlsx_3[[#This Row],[2026]]+scenario_indirect_prod_1610_iotable_2020_xlsx_3[[#This Row],[2026]]</f>
        <v>2649.2271686165391</v>
      </c>
      <c r="D269">
        <f>scenario_indirect_prod_4506_iotable_2020_xlsx_3[[#This Row],[2027]]+scenario_indirect_prod_1610_iotable_2020_xlsx_3[[#This Row],[2027]]</f>
        <v>2337.7716455569453</v>
      </c>
      <c r="E269">
        <f>scenario_indirect_prod_4506_iotable_2020_xlsx_3[[#This Row],[2028]]+scenario_indirect_prod_1610_iotable_2020_xlsx_3[[#This Row],[2028]]</f>
        <v>2486.3123926219405</v>
      </c>
      <c r="F269">
        <f>scenario_indirect_prod_4506_iotable_2020_xlsx_3[[#This Row],[2029]]+scenario_indirect_prod_1610_iotable_2020_xlsx_3[[#This Row],[2029]]</f>
        <v>2467.4701790656891</v>
      </c>
      <c r="G269">
        <f>scenario_indirect_prod_4506_iotable_2020_xlsx_3[[#This Row],[2030]]+scenario_indirect_prod_1610_iotable_2020_xlsx_3[[#This Row],[2030]]</f>
        <v>1275.9056505676399</v>
      </c>
      <c r="H269">
        <f>scenario_indirect_prod_4506_iotable_2020_xlsx_3[[#This Row],[2031]]+scenario_indirect_prod_1610_iotable_2020_xlsx_3[[#This Row],[2031]]</f>
        <v>1476.3167700717245</v>
      </c>
      <c r="I269">
        <f>scenario_indirect_prod_4506_iotable_2020_xlsx_3[[#This Row],[2032]]+scenario_indirect_prod_1610_iotable_2020_xlsx_3[[#This Row],[2032]]</f>
        <v>1756.2087332353753</v>
      </c>
      <c r="J269">
        <f>scenario_indirect_prod_4506_iotable_2020_xlsx_3[[#This Row],[2033]]+scenario_indirect_prod_1610_iotable_2020_xlsx_3[[#This Row],[2033]]</f>
        <v>1600.0637445441253</v>
      </c>
      <c r="K269">
        <f>scenario_indirect_prod_4506_iotable_2020_xlsx_3[[#This Row],[2034]]+scenario_indirect_prod_1610_iotable_2020_xlsx_3[[#This Row],[2034]]</f>
        <v>1860.5178093129844</v>
      </c>
      <c r="L269">
        <f>scenario_indirect_prod_4506_iotable_2020_xlsx_3[[#This Row],[2035]]+scenario_indirect_prod_1610_iotable_2020_xlsx_3[[#This Row],[2035]]</f>
        <v>1757.167514660372</v>
      </c>
      <c r="M269">
        <f>scenario_indirect_prod_4506_iotable_2020_xlsx_3[[#This Row],[2036]]+scenario_indirect_prod_1610_iotable_2020_xlsx_3[[#This Row],[2036]]</f>
        <v>1496.4281128015891</v>
      </c>
      <c r="N269">
        <f>scenario_indirect_prod_4506_iotable_2020_xlsx_3[[#This Row],[2037]]+scenario_indirect_prod_1610_iotable_2020_xlsx_3[[#This Row],[2037]]</f>
        <v>1279.0119506069404</v>
      </c>
      <c r="O269">
        <f>scenario_indirect_prod_4506_iotable_2020_xlsx_3[[#This Row],[2038]]+scenario_indirect_prod_1610_iotable_2020_xlsx_3[[#This Row],[2038]]</f>
        <v>1279.0119506069404</v>
      </c>
      <c r="P269">
        <f>scenario_indirect_prod_4506_iotable_2020_xlsx_3[[#This Row],[2039]]+scenario_indirect_prod_1610_iotable_2020_xlsx_3[[#This Row],[2039]]</f>
        <v>1279.0119506069404</v>
      </c>
      <c r="Q269">
        <f>scenario_indirect_prod_4506_iotable_2020_xlsx_3[[#This Row],[2040]]+scenario_indirect_prod_1610_iotable_2020_xlsx_3[[#This Row],[2040]]</f>
        <v>1086.3379647061447</v>
      </c>
      <c r="R269">
        <f>scenario_indirect_prod_4506_iotable_2020_xlsx_3[[#This Row],[2041]]+scenario_indirect_prod_1610_iotable_2020_xlsx_3[[#This Row],[2041]]</f>
        <v>1086.3379647061447</v>
      </c>
      <c r="S269">
        <f>scenario_indirect_prod_4506_iotable_2020_xlsx_3[[#This Row],[2042]]+scenario_indirect_prod_1610_iotable_2020_xlsx_3[[#This Row],[2042]]</f>
        <v>879.36547160424561</v>
      </c>
      <c r="T269">
        <f>scenario_indirect_prod_4506_iotable_2020_xlsx_3[[#This Row],[2043]]+scenario_indirect_prod_1610_iotable_2020_xlsx_3[[#This Row],[2043]]</f>
        <v>879.36547160424561</v>
      </c>
      <c r="U269">
        <f>scenario_indirect_prod_4506_iotable_2020_xlsx_3[[#This Row],[2044]]+scenario_indirect_prod_1610_iotable_2020_xlsx_3[[#This Row],[2044]]</f>
        <v>665.30661176289141</v>
      </c>
      <c r="V269">
        <f>scenario_indirect_prod_4506_iotable_2020_xlsx_3[[#This Row],[2045]]+scenario_indirect_prod_1610_iotable_2020_xlsx_3[[#This Row],[2045]]</f>
        <v>665.30661176289141</v>
      </c>
      <c r="W269">
        <f>scenario_indirect_prod_4506_iotable_2020_xlsx_3[[#This Row],[2046]]+scenario_indirect_prod_1610_iotable_2020_xlsx_3[[#This Row],[2046]]</f>
        <v>488.50799360316523</v>
      </c>
      <c r="X269">
        <f>scenario_indirect_prod_4506_iotable_2020_xlsx_3[[#This Row],[2047]]+scenario_indirect_prod_1610_iotable_2020_xlsx_3[[#This Row],[2047]]</f>
        <v>488.50799360316523</v>
      </c>
      <c r="Y269">
        <f>scenario_indirect_prod_4506_iotable_2020_xlsx_3[[#This Row],[2048]]+scenario_indirect_prod_1610_iotable_2020_xlsx_3[[#This Row],[2048]]</f>
        <v>488.50799360316523</v>
      </c>
      <c r="Z269">
        <f>scenario_indirect_prod_4506_iotable_2020_xlsx_3[[#This Row],[2049]]+scenario_indirect_prod_1610_iotable_2020_xlsx_3[[#This Row],[2049]]</f>
        <v>488.50799360316523</v>
      </c>
      <c r="AA269">
        <f>scenario_indirect_prod_4506_iotable_2020_xlsx_3[[#This Row],[2050]]+scenario_indirect_prod_1610_iotable_2020_xlsx_3[[#This Row],[2050]]</f>
        <v>488.50799360316523</v>
      </c>
    </row>
    <row r="270" spans="1:27" x14ac:dyDescent="0.2">
      <c r="A270" t="s">
        <v>355</v>
      </c>
      <c r="B270" t="s">
        <v>356</v>
      </c>
      <c r="C270">
        <f>scenario_indirect_prod_4506_iotable_2020_xlsx_3[[#This Row],[2026]]+scenario_indirect_prod_1610_iotable_2020_xlsx_3[[#This Row],[2026]]</f>
        <v>130774.06222471333</v>
      </c>
      <c r="D270">
        <f>scenario_indirect_prod_4506_iotable_2020_xlsx_3[[#This Row],[2027]]+scenario_indirect_prod_1610_iotable_2020_xlsx_3[[#This Row],[2027]]</f>
        <v>115532.0549976498</v>
      </c>
      <c r="E270">
        <f>scenario_indirect_prod_4506_iotable_2020_xlsx_3[[#This Row],[2028]]+scenario_indirect_prod_1610_iotable_2020_xlsx_3[[#This Row],[2028]]</f>
        <v>122856.61706309985</v>
      </c>
      <c r="F270">
        <f>scenario_indirect_prod_4506_iotable_2020_xlsx_3[[#This Row],[2029]]+scenario_indirect_prod_1610_iotable_2020_xlsx_3[[#This Row],[2029]]</f>
        <v>121973.86605411538</v>
      </c>
      <c r="G270">
        <f>scenario_indirect_prod_4506_iotable_2020_xlsx_3[[#This Row],[2030]]+scenario_indirect_prod_1610_iotable_2020_xlsx_3[[#This Row],[2030]]</f>
        <v>63610.646497480746</v>
      </c>
      <c r="H270">
        <f>scenario_indirect_prod_4506_iotable_2020_xlsx_3[[#This Row],[2031]]+scenario_indirect_prod_1610_iotable_2020_xlsx_3[[#This Row],[2031]]</f>
        <v>73492.942853319721</v>
      </c>
      <c r="I270">
        <f>scenario_indirect_prod_4506_iotable_2020_xlsx_3[[#This Row],[2032]]+scenario_indirect_prod_1610_iotable_2020_xlsx_3[[#This Row],[2032]]</f>
        <v>87294.449149203632</v>
      </c>
      <c r="J270">
        <f>scenario_indirect_prod_4506_iotable_2020_xlsx_3[[#This Row],[2033]]+scenario_indirect_prod_1610_iotable_2020_xlsx_3[[#This Row],[2033]]</f>
        <v>79814.140094271628</v>
      </c>
      <c r="K270">
        <f>scenario_indirect_prod_4506_iotable_2020_xlsx_3[[#This Row],[2034]]+scenario_indirect_prod_1610_iotable_2020_xlsx_3[[#This Row],[2034]]</f>
        <v>92657.16128739604</v>
      </c>
      <c r="L270">
        <f>scenario_indirect_prod_4506_iotable_2020_xlsx_3[[#This Row],[2035]]+scenario_indirect_prod_1610_iotable_2020_xlsx_3[[#This Row],[2035]]</f>
        <v>87838.451048168528</v>
      </c>
      <c r="M270">
        <f>scenario_indirect_prod_4506_iotable_2020_xlsx_3[[#This Row],[2036]]+scenario_indirect_prod_1610_iotable_2020_xlsx_3[[#This Row],[2036]]</f>
        <v>75163.508795605274</v>
      </c>
      <c r="N270">
        <f>scenario_indirect_prod_4506_iotable_2020_xlsx_3[[#This Row],[2037]]+scenario_indirect_prod_1610_iotable_2020_xlsx_3[[#This Row],[2037]]</f>
        <v>64601.927408586023</v>
      </c>
      <c r="O270">
        <f>scenario_indirect_prod_4506_iotable_2020_xlsx_3[[#This Row],[2038]]+scenario_indirect_prod_1610_iotable_2020_xlsx_3[[#This Row],[2038]]</f>
        <v>64601.927408586023</v>
      </c>
      <c r="P270">
        <f>scenario_indirect_prod_4506_iotable_2020_xlsx_3[[#This Row],[2039]]+scenario_indirect_prod_1610_iotable_2020_xlsx_3[[#This Row],[2039]]</f>
        <v>64601.927408586023</v>
      </c>
      <c r="Q270">
        <f>scenario_indirect_prod_4506_iotable_2020_xlsx_3[[#This Row],[2040]]+scenario_indirect_prod_1610_iotable_2020_xlsx_3[[#This Row],[2040]]</f>
        <v>55240.944124875008</v>
      </c>
      <c r="R270">
        <f>scenario_indirect_prod_4506_iotable_2020_xlsx_3[[#This Row],[2041]]+scenario_indirect_prod_1610_iotable_2020_xlsx_3[[#This Row],[2041]]</f>
        <v>55240.944124875008</v>
      </c>
      <c r="S270">
        <f>scenario_indirect_prod_4506_iotable_2020_xlsx_3[[#This Row],[2042]]+scenario_indirect_prod_1610_iotable_2020_xlsx_3[[#This Row],[2042]]</f>
        <v>45189.40377667849</v>
      </c>
      <c r="T270">
        <f>scenario_indirect_prod_4506_iotable_2020_xlsx_3[[#This Row],[2043]]+scenario_indirect_prod_1610_iotable_2020_xlsx_3[[#This Row],[2043]]</f>
        <v>45189.40377667849</v>
      </c>
      <c r="U270">
        <f>scenario_indirect_prod_4506_iotable_2020_xlsx_3[[#This Row],[2044]]+scenario_indirect_prod_1610_iotable_2020_xlsx_3[[#This Row],[2044]]</f>
        <v>34780.87324217608</v>
      </c>
      <c r="V270">
        <f>scenario_indirect_prod_4506_iotable_2020_xlsx_3[[#This Row],[2045]]+scenario_indirect_prod_1610_iotable_2020_xlsx_3[[#This Row],[2045]]</f>
        <v>34780.87324217608</v>
      </c>
      <c r="W270">
        <f>scenario_indirect_prod_4506_iotable_2020_xlsx_3[[#This Row],[2046]]+scenario_indirect_prod_1610_iotable_2020_xlsx_3[[#This Row],[2046]]</f>
        <v>26187.855057439534</v>
      </c>
      <c r="X270">
        <f>scenario_indirect_prod_4506_iotable_2020_xlsx_3[[#This Row],[2047]]+scenario_indirect_prod_1610_iotable_2020_xlsx_3[[#This Row],[2047]]</f>
        <v>26187.855057439534</v>
      </c>
      <c r="Y270">
        <f>scenario_indirect_prod_4506_iotable_2020_xlsx_3[[#This Row],[2048]]+scenario_indirect_prod_1610_iotable_2020_xlsx_3[[#This Row],[2048]]</f>
        <v>26187.855057439534</v>
      </c>
      <c r="Z270">
        <f>scenario_indirect_prod_4506_iotable_2020_xlsx_3[[#This Row],[2049]]+scenario_indirect_prod_1610_iotable_2020_xlsx_3[[#This Row],[2049]]</f>
        <v>26187.855057439534</v>
      </c>
      <c r="AA270">
        <f>scenario_indirect_prod_4506_iotable_2020_xlsx_3[[#This Row],[2050]]+scenario_indirect_prod_1610_iotable_2020_xlsx_3[[#This Row],[2050]]</f>
        <v>26187.855057439534</v>
      </c>
    </row>
    <row r="271" spans="1:27" x14ac:dyDescent="0.2">
      <c r="A271" t="s">
        <v>410</v>
      </c>
      <c r="B271" t="s">
        <v>411</v>
      </c>
      <c r="C271">
        <f>scenario_indirect_prod_4506_iotable_2020_xlsx_3[[#This Row],[2026]]+scenario_indirect_prod_1610_iotable_2020_xlsx_3[[#This Row],[2026]]</f>
        <v>38723.450788293063</v>
      </c>
      <c r="D271">
        <f>scenario_indirect_prod_4506_iotable_2020_xlsx_3[[#This Row],[2027]]+scenario_indirect_prod_1610_iotable_2020_xlsx_3[[#This Row],[2027]]</f>
        <v>34176.610140545454</v>
      </c>
      <c r="E271">
        <f>scenario_indirect_prod_4506_iotable_2020_xlsx_3[[#This Row],[2028]]+scenario_indirect_prod_1610_iotable_2020_xlsx_3[[#This Row],[2028]]</f>
        <v>36347.476314254622</v>
      </c>
      <c r="F271">
        <f>scenario_indirect_prod_4506_iotable_2020_xlsx_3[[#This Row],[2029]]+scenario_indirect_prod_1610_iotable_2020_xlsx_3[[#This Row],[2029]]</f>
        <v>36074.08962669305</v>
      </c>
      <c r="G271">
        <f>scenario_indirect_prod_4506_iotable_2020_xlsx_3[[#This Row],[2030]]+scenario_indirect_prod_1610_iotable_2020_xlsx_3[[#This Row],[2030]]</f>
        <v>18676.656040642119</v>
      </c>
      <c r="H271">
        <f>scenario_indirect_prod_4506_iotable_2020_xlsx_3[[#This Row],[2031]]+scenario_indirect_prod_1610_iotable_2020_xlsx_3[[#This Row],[2031]]</f>
        <v>21605.587857419901</v>
      </c>
      <c r="I271">
        <f>scenario_indirect_prod_4506_iotable_2020_xlsx_3[[#This Row],[2032]]+scenario_indirect_prod_1610_iotable_2020_xlsx_3[[#This Row],[2032]]</f>
        <v>25696.101787979045</v>
      </c>
      <c r="J271">
        <f>scenario_indirect_prod_4506_iotable_2020_xlsx_3[[#This Row],[2033]]+scenario_indirect_prod_1610_iotable_2020_xlsx_3[[#This Row],[2033]]</f>
        <v>23423.488942078518</v>
      </c>
      <c r="K271">
        <f>scenario_indirect_prod_4506_iotable_2020_xlsx_3[[#This Row],[2034]]+scenario_indirect_prod_1610_iotable_2020_xlsx_3[[#This Row],[2034]]</f>
        <v>27229.925426233094</v>
      </c>
      <c r="L271">
        <f>scenario_indirect_prod_4506_iotable_2020_xlsx_3[[#This Row],[2035]]+scenario_indirect_prod_1610_iotable_2020_xlsx_3[[#This Row],[2035]]</f>
        <v>25731.382494645237</v>
      </c>
      <c r="M271">
        <f>scenario_indirect_prod_4506_iotable_2020_xlsx_3[[#This Row],[2036]]+scenario_indirect_prod_1610_iotable_2020_xlsx_3[[#This Row],[2036]]</f>
        <v>21928.575077541405</v>
      </c>
      <c r="N271">
        <f>scenario_indirect_prod_4506_iotable_2020_xlsx_3[[#This Row],[2037]]+scenario_indirect_prod_1610_iotable_2020_xlsx_3[[#This Row],[2037]]</f>
        <v>18757.939139821174</v>
      </c>
      <c r="O271">
        <f>scenario_indirect_prod_4506_iotable_2020_xlsx_3[[#This Row],[2038]]+scenario_indirect_prod_1610_iotable_2020_xlsx_3[[#This Row],[2038]]</f>
        <v>18757.939139821174</v>
      </c>
      <c r="P271">
        <f>scenario_indirect_prod_4506_iotable_2020_xlsx_3[[#This Row],[2039]]+scenario_indirect_prod_1610_iotable_2020_xlsx_3[[#This Row],[2039]]</f>
        <v>18757.939139821174</v>
      </c>
      <c r="Q271">
        <f>scenario_indirect_prod_4506_iotable_2020_xlsx_3[[#This Row],[2040]]+scenario_indirect_prod_1610_iotable_2020_xlsx_3[[#This Row],[2040]]</f>
        <v>15948.068200631562</v>
      </c>
      <c r="R271">
        <f>scenario_indirect_prod_4506_iotable_2020_xlsx_3[[#This Row],[2041]]+scenario_indirect_prod_1610_iotable_2020_xlsx_3[[#This Row],[2041]]</f>
        <v>15948.068200631562</v>
      </c>
      <c r="S271">
        <f>scenario_indirect_prod_4506_iotable_2020_xlsx_3[[#This Row],[2042]]+scenario_indirect_prod_1610_iotable_2020_xlsx_3[[#This Row],[2042]]</f>
        <v>12929.85107711202</v>
      </c>
      <c r="T271">
        <f>scenario_indirect_prod_4506_iotable_2020_xlsx_3[[#This Row],[2043]]+scenario_indirect_prod_1610_iotable_2020_xlsx_3[[#This Row],[2043]]</f>
        <v>12929.85107711202</v>
      </c>
      <c r="U271">
        <f>scenario_indirect_prod_4506_iotable_2020_xlsx_3[[#This Row],[2044]]+scenario_indirect_prod_1610_iotable_2020_xlsx_3[[#This Row],[2044]]</f>
        <v>9807.7456900429388</v>
      </c>
      <c r="V271">
        <f>scenario_indirect_prod_4506_iotable_2020_xlsx_3[[#This Row],[2045]]+scenario_indirect_prod_1610_iotable_2020_xlsx_3[[#This Row],[2045]]</f>
        <v>9807.7456900429388</v>
      </c>
      <c r="W271">
        <f>scenario_indirect_prod_4506_iotable_2020_xlsx_3[[#This Row],[2046]]+scenario_indirect_prod_1610_iotable_2020_xlsx_3[[#This Row],[2046]]</f>
        <v>7229.2512845274177</v>
      </c>
      <c r="X271">
        <f>scenario_indirect_prod_4506_iotable_2020_xlsx_3[[#This Row],[2047]]+scenario_indirect_prod_1610_iotable_2020_xlsx_3[[#This Row],[2047]]</f>
        <v>7229.2512845274177</v>
      </c>
      <c r="Y271">
        <f>scenario_indirect_prod_4506_iotable_2020_xlsx_3[[#This Row],[2048]]+scenario_indirect_prod_1610_iotable_2020_xlsx_3[[#This Row],[2048]]</f>
        <v>7229.2512845274177</v>
      </c>
      <c r="Z271">
        <f>scenario_indirect_prod_4506_iotable_2020_xlsx_3[[#This Row],[2049]]+scenario_indirect_prod_1610_iotable_2020_xlsx_3[[#This Row],[2049]]</f>
        <v>7229.2512845274177</v>
      </c>
      <c r="AA271">
        <f>scenario_indirect_prod_4506_iotable_2020_xlsx_3[[#This Row],[2050]]+scenario_indirect_prod_1610_iotable_2020_xlsx_3[[#This Row],[2050]]</f>
        <v>7229.2512845274177</v>
      </c>
    </row>
    <row r="272" spans="1:27" x14ac:dyDescent="0.2">
      <c r="A272" t="s">
        <v>669</v>
      </c>
      <c r="B272" t="s">
        <v>670</v>
      </c>
      <c r="C272">
        <f>scenario_indirect_prod_4506_iotable_2020_xlsx_3[[#This Row],[2026]]+scenario_indirect_prod_1610_iotable_2020_xlsx_3[[#This Row],[2026]]</f>
        <v>-14749.199624408135</v>
      </c>
      <c r="D272">
        <f>scenario_indirect_prod_4506_iotable_2020_xlsx_3[[#This Row],[2027]]+scenario_indirect_prod_1610_iotable_2020_xlsx_3[[#This Row],[2027]]</f>
        <v>-29768.381938705777</v>
      </c>
      <c r="E272">
        <f>scenario_indirect_prod_4506_iotable_2020_xlsx_3[[#This Row],[2028]]+scenario_indirect_prod_1610_iotable_2020_xlsx_3[[#This Row],[2028]]</f>
        <v>-29599.618001737908</v>
      </c>
      <c r="F272">
        <f>scenario_indirect_prod_4506_iotable_2020_xlsx_3[[#This Row],[2029]]+scenario_indirect_prod_1610_iotable_2020_xlsx_3[[#This Row],[2029]]</f>
        <v>-35487.155475271538</v>
      </c>
      <c r="G272">
        <f>scenario_indirect_prod_4506_iotable_2020_xlsx_3[[#This Row],[2030]]+scenario_indirect_prod_1610_iotable_2020_xlsx_3[[#This Row],[2030]]</f>
        <v>-86564.312436580003</v>
      </c>
      <c r="H272">
        <f>scenario_indirect_prod_4506_iotable_2020_xlsx_3[[#This Row],[2031]]+scenario_indirect_prod_1610_iotable_2020_xlsx_3[[#This Row],[2031]]</f>
        <v>-86336.616196942545</v>
      </c>
      <c r="I272">
        <f>scenario_indirect_prod_4506_iotable_2020_xlsx_3[[#This Row],[2032]]+scenario_indirect_prod_1610_iotable_2020_xlsx_3[[#This Row],[2032]]</f>
        <v>-86018.61813538376</v>
      </c>
      <c r="J272">
        <f>scenario_indirect_prod_4506_iotable_2020_xlsx_3[[#This Row],[2033]]+scenario_indirect_prod_1610_iotable_2020_xlsx_3[[#This Row],[2033]]</f>
        <v>-113934.27293259092</v>
      </c>
      <c r="K272">
        <f>scenario_indirect_prod_4506_iotable_2020_xlsx_3[[#This Row],[2034]]+scenario_indirect_prod_1610_iotable_2020_xlsx_3[[#This Row],[2034]]</f>
        <v>-113638.35915648447</v>
      </c>
      <c r="L272">
        <f>scenario_indirect_prod_4506_iotable_2020_xlsx_3[[#This Row],[2035]]+scenario_indirect_prod_1610_iotable_2020_xlsx_3[[#This Row],[2035]]</f>
        <v>-148869.09646701461</v>
      </c>
      <c r="M272">
        <f>scenario_indirect_prod_4506_iotable_2020_xlsx_3[[#This Row],[2036]]+scenario_indirect_prod_1610_iotable_2020_xlsx_3[[#This Row],[2036]]</f>
        <v>-172213.02405220532</v>
      </c>
      <c r="N272">
        <f>scenario_indirect_prod_4506_iotable_2020_xlsx_3[[#This Row],[2037]]+scenario_indirect_prod_1610_iotable_2020_xlsx_3[[#This Row],[2037]]</f>
        <v>-192608.4643358282</v>
      </c>
      <c r="O272">
        <f>scenario_indirect_prod_4506_iotable_2020_xlsx_3[[#This Row],[2038]]+scenario_indirect_prod_1610_iotable_2020_xlsx_3[[#This Row],[2038]]</f>
        <v>-192608.4643358282</v>
      </c>
      <c r="P272">
        <f>scenario_indirect_prod_4506_iotable_2020_xlsx_3[[#This Row],[2039]]+scenario_indirect_prod_1610_iotable_2020_xlsx_3[[#This Row],[2039]]</f>
        <v>-192608.4643358282</v>
      </c>
      <c r="Q272">
        <f>scenario_indirect_prod_4506_iotable_2020_xlsx_3[[#This Row],[2040]]+scenario_indirect_prod_1610_iotable_2020_xlsx_3[[#This Row],[2040]]</f>
        <v>-210515.80995491415</v>
      </c>
      <c r="R272">
        <f>scenario_indirect_prod_4506_iotable_2020_xlsx_3[[#This Row],[2041]]+scenario_indirect_prod_1610_iotable_2020_xlsx_3[[#This Row],[2041]]</f>
        <v>-210515.80995491415</v>
      </c>
      <c r="S272">
        <f>scenario_indirect_prod_4506_iotable_2020_xlsx_3[[#This Row],[2042]]+scenario_indirect_prod_1610_iotable_2020_xlsx_3[[#This Row],[2042]]</f>
        <v>-230274.62768596207</v>
      </c>
      <c r="T272">
        <f>scenario_indirect_prod_4506_iotable_2020_xlsx_3[[#This Row],[2043]]+scenario_indirect_prod_1610_iotable_2020_xlsx_3[[#This Row],[2043]]</f>
        <v>-230274.62768596207</v>
      </c>
      <c r="U272">
        <f>scenario_indirect_prod_4506_iotable_2020_xlsx_3[[#This Row],[2044]]+scenario_indirect_prod_1610_iotable_2020_xlsx_3[[#This Row],[2044]]</f>
        <v>-249084.8389570704</v>
      </c>
      <c r="V272">
        <f>scenario_indirect_prod_4506_iotable_2020_xlsx_3[[#This Row],[2045]]+scenario_indirect_prod_1610_iotable_2020_xlsx_3[[#This Row],[2045]]</f>
        <v>-249084.8389570704</v>
      </c>
      <c r="W272">
        <f>scenario_indirect_prod_4506_iotable_2020_xlsx_3[[#This Row],[2046]]+scenario_indirect_prod_1610_iotable_2020_xlsx_3[[#This Row],[2046]]</f>
        <v>-265094.99555496313</v>
      </c>
      <c r="X272">
        <f>scenario_indirect_prod_4506_iotable_2020_xlsx_3[[#This Row],[2047]]+scenario_indirect_prod_1610_iotable_2020_xlsx_3[[#This Row],[2047]]</f>
        <v>-265094.99555496313</v>
      </c>
      <c r="Y272">
        <f>scenario_indirect_prod_4506_iotable_2020_xlsx_3[[#This Row],[2048]]+scenario_indirect_prod_1610_iotable_2020_xlsx_3[[#This Row],[2048]]</f>
        <v>-265094.99555496313</v>
      </c>
      <c r="Z272">
        <f>scenario_indirect_prod_4506_iotable_2020_xlsx_3[[#This Row],[2049]]+scenario_indirect_prod_1610_iotable_2020_xlsx_3[[#This Row],[2049]]</f>
        <v>-265094.99555496313</v>
      </c>
      <c r="AA272">
        <f>scenario_indirect_prod_4506_iotable_2020_xlsx_3[[#This Row],[2050]]+scenario_indirect_prod_1610_iotable_2020_xlsx_3[[#This Row],[2050]]</f>
        <v>-265094.99555496313</v>
      </c>
    </row>
    <row r="273" spans="1:27" x14ac:dyDescent="0.2">
      <c r="A273" t="s">
        <v>643</v>
      </c>
      <c r="B273" t="s">
        <v>644</v>
      </c>
      <c r="C273">
        <f>scenario_indirect_prod_4506_iotable_2020_xlsx_3[[#This Row],[2026]]+scenario_indirect_prod_1610_iotable_2020_xlsx_3[[#This Row],[2026]]</f>
        <v>4114.7343929975032</v>
      </c>
      <c r="D273">
        <f>scenario_indirect_prod_4506_iotable_2020_xlsx_3[[#This Row],[2027]]+scenario_indirect_prod_1610_iotable_2020_xlsx_3[[#This Row],[2027]]</f>
        <v>3646.036830067495</v>
      </c>
      <c r="E273">
        <f>scenario_indirect_prod_4506_iotable_2020_xlsx_3[[#This Row],[2028]]+scenario_indirect_prod_1610_iotable_2020_xlsx_3[[#This Row],[2028]]</f>
        <v>3875.8532772966269</v>
      </c>
      <c r="F273">
        <f>scenario_indirect_prod_4506_iotable_2020_xlsx_3[[#This Row],[2029]]+scenario_indirect_prod_1610_iotable_2020_xlsx_3[[#This Row],[2029]]</f>
        <v>3851.9710475742968</v>
      </c>
      <c r="G273">
        <f>scenario_indirect_prod_4506_iotable_2020_xlsx_3[[#This Row],[2030]]+scenario_indirect_prod_1610_iotable_2020_xlsx_3[[#This Row],[2030]]</f>
        <v>2053.0967918725137</v>
      </c>
      <c r="H273">
        <f>scenario_indirect_prod_4506_iotable_2020_xlsx_3[[#This Row],[2031]]+scenario_indirect_prod_1610_iotable_2020_xlsx_3[[#This Row],[2031]]</f>
        <v>2363.1650551584726</v>
      </c>
      <c r="I273">
        <f>scenario_indirect_prod_4506_iotable_2020_xlsx_3[[#This Row],[2032]]+scenario_indirect_prod_1610_iotable_2020_xlsx_3[[#This Row],[2032]]</f>
        <v>2796.2029781070632</v>
      </c>
      <c r="J273">
        <f>scenario_indirect_prod_4506_iotable_2020_xlsx_3[[#This Row],[2033]]+scenario_indirect_prod_1610_iotable_2020_xlsx_3[[#This Row],[2033]]</f>
        <v>2579.5395880493734</v>
      </c>
      <c r="K273">
        <f>scenario_indirect_prod_4506_iotable_2020_xlsx_3[[#This Row],[2034]]+scenario_indirect_prod_1610_iotable_2020_xlsx_3[[#This Row],[2034]]</f>
        <v>2982.5039531429111</v>
      </c>
      <c r="L273">
        <f>scenario_indirect_prod_4506_iotable_2020_xlsx_3[[#This Row],[2035]]+scenario_indirect_prod_1610_iotable_2020_xlsx_3[[#This Row],[2035]]</f>
        <v>2854.1476795540948</v>
      </c>
      <c r="M273">
        <f>scenario_indirect_prod_4506_iotable_2020_xlsx_3[[#This Row],[2036]]+scenario_indirect_prod_1610_iotable_2020_xlsx_3[[#This Row],[2036]]</f>
        <v>2471.4462330074657</v>
      </c>
      <c r="N273">
        <f>scenario_indirect_prod_4506_iotable_2020_xlsx_3[[#This Row],[2037]]+scenario_indirect_prod_1610_iotable_2020_xlsx_3[[#This Row],[2037]]</f>
        <v>2153.1683210930059</v>
      </c>
      <c r="O273">
        <f>scenario_indirect_prod_4506_iotable_2020_xlsx_3[[#This Row],[2038]]+scenario_indirect_prod_1610_iotable_2020_xlsx_3[[#This Row],[2038]]</f>
        <v>2153.1683210930059</v>
      </c>
      <c r="P273">
        <f>scenario_indirect_prod_4506_iotable_2020_xlsx_3[[#This Row],[2039]]+scenario_indirect_prod_1610_iotable_2020_xlsx_3[[#This Row],[2039]]</f>
        <v>2153.1683210930059</v>
      </c>
      <c r="Q273">
        <f>scenario_indirect_prod_4506_iotable_2020_xlsx_3[[#This Row],[2040]]+scenario_indirect_prod_1610_iotable_2020_xlsx_3[[#This Row],[2040]]</f>
        <v>1870.9606667706757</v>
      </c>
      <c r="R273">
        <f>scenario_indirect_prod_4506_iotable_2020_xlsx_3[[#This Row],[2041]]+scenario_indirect_prod_1610_iotable_2020_xlsx_3[[#This Row],[2041]]</f>
        <v>1870.9606667706757</v>
      </c>
      <c r="S273">
        <f>scenario_indirect_prod_4506_iotable_2020_xlsx_3[[#This Row],[2042]]+scenario_indirect_prod_1610_iotable_2020_xlsx_3[[#This Row],[2042]]</f>
        <v>1568.2795555055927</v>
      </c>
      <c r="T273">
        <f>scenario_indirect_prod_4506_iotable_2020_xlsx_3[[#This Row],[2043]]+scenario_indirect_prod_1610_iotable_2020_xlsx_3[[#This Row],[2043]]</f>
        <v>1568.2795555055927</v>
      </c>
      <c r="U273">
        <f>scenario_indirect_prod_4506_iotable_2020_xlsx_3[[#This Row],[2044]]+scenario_indirect_prod_1610_iotable_2020_xlsx_3[[#This Row],[2044]]</f>
        <v>1253.7753020098462</v>
      </c>
      <c r="V273">
        <f>scenario_indirect_prod_4506_iotable_2020_xlsx_3[[#This Row],[2045]]+scenario_indirect_prod_1610_iotable_2020_xlsx_3[[#This Row],[2045]]</f>
        <v>1253.7753020098462</v>
      </c>
      <c r="W273">
        <f>scenario_indirect_prod_4506_iotable_2020_xlsx_3[[#This Row],[2046]]+scenario_indirect_prod_1610_iotable_2020_xlsx_3[[#This Row],[2046]]</f>
        <v>994.44130234407203</v>
      </c>
      <c r="X273">
        <f>scenario_indirect_prod_4506_iotable_2020_xlsx_3[[#This Row],[2047]]+scenario_indirect_prod_1610_iotable_2020_xlsx_3[[#This Row],[2047]]</f>
        <v>994.44130234407203</v>
      </c>
      <c r="Y273">
        <f>scenario_indirect_prod_4506_iotable_2020_xlsx_3[[#This Row],[2048]]+scenario_indirect_prod_1610_iotable_2020_xlsx_3[[#This Row],[2048]]</f>
        <v>994.44130234407203</v>
      </c>
      <c r="Z273">
        <f>scenario_indirect_prod_4506_iotable_2020_xlsx_3[[#This Row],[2049]]+scenario_indirect_prod_1610_iotable_2020_xlsx_3[[#This Row],[2049]]</f>
        <v>994.44130234407203</v>
      </c>
      <c r="AA273">
        <f>scenario_indirect_prod_4506_iotable_2020_xlsx_3[[#This Row],[2050]]+scenario_indirect_prod_1610_iotable_2020_xlsx_3[[#This Row],[2050]]</f>
        <v>994.44130234407203</v>
      </c>
    </row>
    <row r="274" spans="1:27" x14ac:dyDescent="0.2">
      <c r="A274" t="s">
        <v>334</v>
      </c>
      <c r="B274" t="s">
        <v>335</v>
      </c>
      <c r="C274">
        <f>scenario_indirect_prod_4506_iotable_2020_xlsx_3[[#This Row],[2026]]+scenario_indirect_prod_1610_iotable_2020_xlsx_3[[#This Row],[2026]]</f>
        <v>14827948.862146942</v>
      </c>
      <c r="D274">
        <f>scenario_indirect_prod_4506_iotable_2020_xlsx_3[[#This Row],[2027]]+scenario_indirect_prod_1610_iotable_2020_xlsx_3[[#This Row],[2027]]</f>
        <v>16180398.871404087</v>
      </c>
      <c r="E274">
        <f>scenario_indirect_prod_4506_iotable_2020_xlsx_3[[#This Row],[2028]]+scenario_indirect_prod_1610_iotable_2020_xlsx_3[[#This Row],[2028]]</f>
        <v>16827797.962769672</v>
      </c>
      <c r="F274">
        <f>scenario_indirect_prod_4506_iotable_2020_xlsx_3[[#This Row],[2029]]+scenario_indirect_prod_1610_iotable_2020_xlsx_3[[#This Row],[2029]]</f>
        <v>17829634.632113978</v>
      </c>
      <c r="G274">
        <f>scenario_indirect_prod_4506_iotable_2020_xlsx_3[[#This Row],[2030]]+scenario_indirect_prod_1610_iotable_2020_xlsx_3[[#This Row],[2030]]</f>
        <v>21824337.410560589</v>
      </c>
      <c r="H274">
        <f>scenario_indirect_prod_4506_iotable_2020_xlsx_3[[#This Row],[2031]]+scenario_indirect_prod_1610_iotable_2020_xlsx_3[[#This Row],[2031]]</f>
        <v>22697808.018660702</v>
      </c>
      <c r="I274">
        <f>scenario_indirect_prod_4506_iotable_2020_xlsx_3[[#This Row],[2032]]+scenario_indirect_prod_1610_iotable_2020_xlsx_3[[#This Row],[2032]]</f>
        <v>23917687.453852933</v>
      </c>
      <c r="J274">
        <f>scenario_indirect_prod_4506_iotable_2020_xlsx_3[[#This Row],[2033]]+scenario_indirect_prod_1610_iotable_2020_xlsx_3[[#This Row],[2033]]</f>
        <v>28362690.91306594</v>
      </c>
      <c r="K274">
        <f>scenario_indirect_prod_4506_iotable_2020_xlsx_3[[#This Row],[2034]]+scenario_indirect_prod_1610_iotable_2020_xlsx_3[[#This Row],[2034]]</f>
        <v>29497852.329751514</v>
      </c>
      <c r="L274">
        <f>scenario_indirect_prod_4506_iotable_2020_xlsx_3[[#This Row],[2035]]+scenario_indirect_prod_1610_iotable_2020_xlsx_3[[#This Row],[2035]]</f>
        <v>35535739.181362443</v>
      </c>
      <c r="M274">
        <f>scenario_indirect_prod_4506_iotable_2020_xlsx_3[[#This Row],[2036]]+scenario_indirect_prod_1610_iotable_2020_xlsx_3[[#This Row],[2036]]</f>
        <v>38658145.027985334</v>
      </c>
      <c r="N274">
        <f>scenario_indirect_prod_4506_iotable_2020_xlsx_3[[#This Row],[2037]]+scenario_indirect_prod_1610_iotable_2020_xlsx_3[[#This Row],[2037]]</f>
        <v>41433636.8925578</v>
      </c>
      <c r="O274">
        <f>scenario_indirect_prod_4506_iotable_2020_xlsx_3[[#This Row],[2038]]+scenario_indirect_prod_1610_iotable_2020_xlsx_3[[#This Row],[2038]]</f>
        <v>41433636.8925578</v>
      </c>
      <c r="P274">
        <f>scenario_indirect_prod_4506_iotable_2020_xlsx_3[[#This Row],[2039]]+scenario_indirect_prod_1610_iotable_2020_xlsx_3[[#This Row],[2039]]</f>
        <v>41433636.8925578</v>
      </c>
      <c r="Q274">
        <f>scenario_indirect_prod_4506_iotable_2020_xlsx_3[[#This Row],[2040]]+scenario_indirect_prod_1610_iotable_2020_xlsx_3[[#This Row],[2040]]</f>
        <v>43862402.800177969</v>
      </c>
      <c r="R274">
        <f>scenario_indirect_prod_4506_iotable_2020_xlsx_3[[#This Row],[2041]]+scenario_indirect_prod_1610_iotable_2020_xlsx_3[[#This Row],[2041]]</f>
        <v>43862402.800177969</v>
      </c>
      <c r="S274">
        <f>scenario_indirect_prod_4506_iotable_2020_xlsx_3[[#This Row],[2042]]+scenario_indirect_prod_1610_iotable_2020_xlsx_3[[#This Row],[2042]]</f>
        <v>46567968.092678972</v>
      </c>
      <c r="T274">
        <f>scenario_indirect_prod_4506_iotable_2020_xlsx_3[[#This Row],[2043]]+scenario_indirect_prod_1610_iotable_2020_xlsx_3[[#This Row],[2043]]</f>
        <v>46567968.092678972</v>
      </c>
      <c r="U274">
        <f>scenario_indirect_prod_4506_iotable_2020_xlsx_3[[#This Row],[2044]]+scenario_indirect_prod_1610_iotable_2020_xlsx_3[[#This Row],[2044]]</f>
        <v>49065874.574966863</v>
      </c>
      <c r="V274">
        <f>scenario_indirect_prod_4506_iotable_2020_xlsx_3[[#This Row],[2045]]+scenario_indirect_prod_1610_iotable_2020_xlsx_3[[#This Row],[2045]]</f>
        <v>49065874.574966863</v>
      </c>
      <c r="W274">
        <f>scenario_indirect_prod_4506_iotable_2020_xlsx_3[[#This Row],[2046]]+scenario_indirect_prod_1610_iotable_2020_xlsx_3[[#This Row],[2046]]</f>
        <v>51216597.035984598</v>
      </c>
      <c r="X274">
        <f>scenario_indirect_prod_4506_iotable_2020_xlsx_3[[#This Row],[2047]]+scenario_indirect_prod_1610_iotable_2020_xlsx_3[[#This Row],[2047]]</f>
        <v>51216597.035984598</v>
      </c>
      <c r="Y274">
        <f>scenario_indirect_prod_4506_iotable_2020_xlsx_3[[#This Row],[2048]]+scenario_indirect_prod_1610_iotable_2020_xlsx_3[[#This Row],[2048]]</f>
        <v>51216597.035984598</v>
      </c>
      <c r="Z274">
        <f>scenario_indirect_prod_4506_iotable_2020_xlsx_3[[#This Row],[2049]]+scenario_indirect_prod_1610_iotable_2020_xlsx_3[[#This Row],[2049]]</f>
        <v>51216597.035984598</v>
      </c>
      <c r="AA274">
        <f>scenario_indirect_prod_4506_iotable_2020_xlsx_3[[#This Row],[2050]]+scenario_indirect_prod_1610_iotable_2020_xlsx_3[[#This Row],[2050]]</f>
        <v>51216597.035984598</v>
      </c>
    </row>
    <row r="275" spans="1:27" x14ac:dyDescent="0.2">
      <c r="A275" t="s">
        <v>398</v>
      </c>
      <c r="B275" t="s">
        <v>15</v>
      </c>
      <c r="C275">
        <f>scenario_indirect_prod_4506_iotable_2020_xlsx_3[[#This Row],[2026]]+scenario_indirect_prod_1610_iotable_2020_xlsx_3[[#This Row],[2026]]</f>
        <v>55910.792898240477</v>
      </c>
      <c r="D275">
        <f>scenario_indirect_prod_4506_iotable_2020_xlsx_3[[#This Row],[2027]]+scenario_indirect_prod_1610_iotable_2020_xlsx_3[[#This Row],[2027]]</f>
        <v>52499.984379127156</v>
      </c>
      <c r="E275">
        <f>scenario_indirect_prod_4506_iotable_2020_xlsx_3[[#This Row],[2028]]+scenario_indirect_prod_1610_iotable_2020_xlsx_3[[#This Row],[2028]]</f>
        <v>55446.916128543955</v>
      </c>
      <c r="F275">
        <f>scenario_indirect_prod_4506_iotable_2020_xlsx_3[[#This Row],[2029]]+scenario_indirect_prod_1610_iotable_2020_xlsx_3[[#This Row],[2029]]</f>
        <v>56180.39129274986</v>
      </c>
      <c r="G275">
        <f>scenario_indirect_prod_4506_iotable_2020_xlsx_3[[#This Row],[2030]]+scenario_indirect_prod_1610_iotable_2020_xlsx_3[[#This Row],[2030]]</f>
        <v>41926.462650763126</v>
      </c>
      <c r="H275">
        <f>scenario_indirect_prod_4506_iotable_2020_xlsx_3[[#This Row],[2031]]+scenario_indirect_prod_1610_iotable_2020_xlsx_3[[#This Row],[2031]]</f>
        <v>45902.46184743027</v>
      </c>
      <c r="I275">
        <f>scenario_indirect_prod_4506_iotable_2020_xlsx_3[[#This Row],[2032]]+scenario_indirect_prod_1610_iotable_2020_xlsx_3[[#This Row],[2032]]</f>
        <v>51455.298553527187</v>
      </c>
      <c r="J275">
        <f>scenario_indirect_prod_4506_iotable_2020_xlsx_3[[#This Row],[2033]]+scenario_indirect_prod_1610_iotable_2020_xlsx_3[[#This Row],[2033]]</f>
        <v>53593.37310393744</v>
      </c>
      <c r="K275">
        <f>scenario_indirect_prod_4506_iotable_2020_xlsx_3[[#This Row],[2034]]+scenario_indirect_prod_1610_iotable_2020_xlsx_3[[#This Row],[2034]]</f>
        <v>58760.577173512866</v>
      </c>
      <c r="L275">
        <f>scenario_indirect_prod_4506_iotable_2020_xlsx_3[[#This Row],[2035]]+scenario_indirect_prod_1610_iotable_2020_xlsx_3[[#This Row],[2035]]</f>
        <v>63338.173230124783</v>
      </c>
      <c r="M275">
        <f>scenario_indirect_prod_4506_iotable_2020_xlsx_3[[#This Row],[2036]]+scenario_indirect_prod_1610_iotable_2020_xlsx_3[[#This Row],[2036]]</f>
        <v>62515.786998999523</v>
      </c>
      <c r="N275">
        <f>scenario_indirect_prod_4506_iotable_2020_xlsx_3[[#This Row],[2037]]+scenario_indirect_prod_1610_iotable_2020_xlsx_3[[#This Row],[2037]]</f>
        <v>62005.634805698253</v>
      </c>
      <c r="O275">
        <f>scenario_indirect_prod_4506_iotable_2020_xlsx_3[[#This Row],[2038]]+scenario_indirect_prod_1610_iotable_2020_xlsx_3[[#This Row],[2038]]</f>
        <v>62005.634805698253</v>
      </c>
      <c r="P275">
        <f>scenario_indirect_prod_4506_iotable_2020_xlsx_3[[#This Row],[2039]]+scenario_indirect_prod_1610_iotable_2020_xlsx_3[[#This Row],[2039]]</f>
        <v>62005.634805698253</v>
      </c>
      <c r="Q275">
        <f>scenario_indirect_prod_4506_iotable_2020_xlsx_3[[#This Row],[2040]]+scenario_indirect_prod_1610_iotable_2020_xlsx_3[[#This Row],[2040]]</f>
        <v>61522.001727067865</v>
      </c>
      <c r="R275">
        <f>scenario_indirect_prod_4506_iotable_2020_xlsx_3[[#This Row],[2041]]+scenario_indirect_prod_1610_iotable_2020_xlsx_3[[#This Row],[2041]]</f>
        <v>61522.001727067865</v>
      </c>
      <c r="S275">
        <f>scenario_indirect_prod_4506_iotable_2020_xlsx_3[[#This Row],[2042]]+scenario_indirect_prod_1610_iotable_2020_xlsx_3[[#This Row],[2042]]</f>
        <v>61101.114676469704</v>
      </c>
      <c r="T275">
        <f>scenario_indirect_prod_4506_iotable_2020_xlsx_3[[#This Row],[2043]]+scenario_indirect_prod_1610_iotable_2020_xlsx_3[[#This Row],[2043]]</f>
        <v>61101.114676469704</v>
      </c>
      <c r="U275">
        <f>scenario_indirect_prod_4506_iotable_2020_xlsx_3[[#This Row],[2044]]+scenario_indirect_prod_1610_iotable_2020_xlsx_3[[#This Row],[2044]]</f>
        <v>60359.061118681042</v>
      </c>
      <c r="V275">
        <f>scenario_indirect_prod_4506_iotable_2020_xlsx_3[[#This Row],[2045]]+scenario_indirect_prod_1610_iotable_2020_xlsx_3[[#This Row],[2045]]</f>
        <v>60359.061118681042</v>
      </c>
      <c r="W275">
        <f>scenario_indirect_prod_4506_iotable_2020_xlsx_3[[#This Row],[2046]]+scenario_indirect_prod_1610_iotable_2020_xlsx_3[[#This Row],[2046]]</f>
        <v>59835.67434060041</v>
      </c>
      <c r="X275">
        <f>scenario_indirect_prod_4506_iotable_2020_xlsx_3[[#This Row],[2047]]+scenario_indirect_prod_1610_iotable_2020_xlsx_3[[#This Row],[2047]]</f>
        <v>59835.67434060041</v>
      </c>
      <c r="Y275">
        <f>scenario_indirect_prod_4506_iotable_2020_xlsx_3[[#This Row],[2048]]+scenario_indirect_prod_1610_iotable_2020_xlsx_3[[#This Row],[2048]]</f>
        <v>59835.67434060041</v>
      </c>
      <c r="Z275">
        <f>scenario_indirect_prod_4506_iotable_2020_xlsx_3[[#This Row],[2049]]+scenario_indirect_prod_1610_iotable_2020_xlsx_3[[#This Row],[2049]]</f>
        <v>59835.67434060041</v>
      </c>
      <c r="AA275">
        <f>scenario_indirect_prod_4506_iotable_2020_xlsx_3[[#This Row],[2050]]+scenario_indirect_prod_1610_iotable_2020_xlsx_3[[#This Row],[2050]]</f>
        <v>59835.67434060041</v>
      </c>
    </row>
    <row r="276" spans="1:27" x14ac:dyDescent="0.2">
      <c r="A276" t="s">
        <v>566</v>
      </c>
      <c r="B276" t="s">
        <v>249</v>
      </c>
      <c r="C276">
        <f>scenario_indirect_prod_4506_iotable_2020_xlsx_3[[#This Row],[2026]]+scenario_indirect_prod_1610_iotable_2020_xlsx_3[[#This Row],[2026]]</f>
        <v>8224.1430318242928</v>
      </c>
      <c r="D276">
        <f>scenario_indirect_prod_4506_iotable_2020_xlsx_3[[#This Row],[2027]]+scenario_indirect_prod_1610_iotable_2020_xlsx_3[[#This Row],[2027]]</f>
        <v>8391.5418609952485</v>
      </c>
      <c r="E276">
        <f>scenario_indirect_prod_4506_iotable_2020_xlsx_3[[#This Row],[2028]]+scenario_indirect_prod_1610_iotable_2020_xlsx_3[[#This Row],[2028]]</f>
        <v>8785.2486649466464</v>
      </c>
      <c r="F276">
        <f>scenario_indirect_prod_4506_iotable_2020_xlsx_3[[#This Row],[2029]]+scenario_indirect_prod_1610_iotable_2020_xlsx_3[[#This Row],[2029]]</f>
        <v>9132.471777717672</v>
      </c>
      <c r="G276">
        <f>scenario_indirect_prod_4506_iotable_2020_xlsx_3[[#This Row],[2030]]+scenario_indirect_prod_1610_iotable_2020_xlsx_3[[#This Row],[2030]]</f>
        <v>9340.7372295939731</v>
      </c>
      <c r="H276">
        <f>scenario_indirect_prod_4506_iotable_2020_xlsx_3[[#This Row],[2031]]+scenario_indirect_prod_1610_iotable_2020_xlsx_3[[#This Row],[2031]]</f>
        <v>9871.9262999017374</v>
      </c>
      <c r="I276">
        <f>scenario_indirect_prod_4506_iotable_2020_xlsx_3[[#This Row],[2032]]+scenario_indirect_prod_1610_iotable_2020_xlsx_3[[#This Row],[2032]]</f>
        <v>10613.779107607268</v>
      </c>
      <c r="J276">
        <f>scenario_indirect_prod_4506_iotable_2020_xlsx_3[[#This Row],[2033]]+scenario_indirect_prod_1610_iotable_2020_xlsx_3[[#This Row],[2033]]</f>
        <v>12077.926196854956</v>
      </c>
      <c r="K276">
        <f>scenario_indirect_prod_4506_iotable_2020_xlsx_3[[#This Row],[2034]]+scenario_indirect_prod_1610_iotable_2020_xlsx_3[[#This Row],[2034]]</f>
        <v>12768.258913247109</v>
      </c>
      <c r="L276">
        <f>scenario_indirect_prod_4506_iotable_2020_xlsx_3[[#This Row],[2035]]+scenario_indirect_prod_1610_iotable_2020_xlsx_3[[#This Row],[2035]]</f>
        <v>14871.664457332821</v>
      </c>
      <c r="M276">
        <f>scenario_indirect_prod_4506_iotable_2020_xlsx_3[[#This Row],[2036]]+scenario_indirect_prod_1610_iotable_2020_xlsx_3[[#This Row],[2036]]</f>
        <v>15741.011476616944</v>
      </c>
      <c r="N276">
        <f>scenario_indirect_prod_4506_iotable_2020_xlsx_3[[#This Row],[2037]]+scenario_indirect_prod_1610_iotable_2020_xlsx_3[[#This Row],[2037]]</f>
        <v>16528.892804229588</v>
      </c>
      <c r="O276">
        <f>scenario_indirect_prod_4506_iotable_2020_xlsx_3[[#This Row],[2038]]+scenario_indirect_prod_1610_iotable_2020_xlsx_3[[#This Row],[2038]]</f>
        <v>16528.892804229588</v>
      </c>
      <c r="P276">
        <f>scenario_indirect_prod_4506_iotable_2020_xlsx_3[[#This Row],[2039]]+scenario_indirect_prod_1610_iotable_2020_xlsx_3[[#This Row],[2039]]</f>
        <v>16528.892804229588</v>
      </c>
      <c r="Q276">
        <f>scenario_indirect_prod_4506_iotable_2020_xlsx_3[[#This Row],[2040]]+scenario_indirect_prod_1610_iotable_2020_xlsx_3[[#This Row],[2040]]</f>
        <v>17215.800815798291</v>
      </c>
      <c r="R276">
        <f>scenario_indirect_prod_4506_iotable_2020_xlsx_3[[#This Row],[2041]]+scenario_indirect_prod_1610_iotable_2020_xlsx_3[[#This Row],[2041]]</f>
        <v>17215.800815798291</v>
      </c>
      <c r="S276">
        <f>scenario_indirect_prod_4506_iotable_2020_xlsx_3[[#This Row],[2042]]+scenario_indirect_prod_1610_iotable_2020_xlsx_3[[#This Row],[2042]]</f>
        <v>17989.064094348298</v>
      </c>
      <c r="T276">
        <f>scenario_indirect_prod_4506_iotable_2020_xlsx_3[[#This Row],[2043]]+scenario_indirect_prod_1610_iotable_2020_xlsx_3[[#This Row],[2043]]</f>
        <v>17989.064094348298</v>
      </c>
      <c r="U276">
        <f>scenario_indirect_prod_4506_iotable_2020_xlsx_3[[#This Row],[2044]]+scenario_indirect_prod_1610_iotable_2020_xlsx_3[[#This Row],[2044]]</f>
        <v>18678.774799949621</v>
      </c>
      <c r="V276">
        <f>scenario_indirect_prod_4506_iotable_2020_xlsx_3[[#This Row],[2045]]+scenario_indirect_prod_1610_iotable_2020_xlsx_3[[#This Row],[2045]]</f>
        <v>18678.774799949621</v>
      </c>
      <c r="W276">
        <f>scenario_indirect_prod_4506_iotable_2020_xlsx_3[[#This Row],[2046]]+scenario_indirect_prod_1610_iotable_2020_xlsx_3[[#This Row],[2046]]</f>
        <v>19280.533056643075</v>
      </c>
      <c r="X276">
        <f>scenario_indirect_prod_4506_iotable_2020_xlsx_3[[#This Row],[2047]]+scenario_indirect_prod_1610_iotable_2020_xlsx_3[[#This Row],[2047]]</f>
        <v>19280.533056643075</v>
      </c>
      <c r="Y276">
        <f>scenario_indirect_prod_4506_iotable_2020_xlsx_3[[#This Row],[2048]]+scenario_indirect_prod_1610_iotable_2020_xlsx_3[[#This Row],[2048]]</f>
        <v>19280.533056643075</v>
      </c>
      <c r="Z276">
        <f>scenario_indirect_prod_4506_iotable_2020_xlsx_3[[#This Row],[2049]]+scenario_indirect_prod_1610_iotable_2020_xlsx_3[[#This Row],[2049]]</f>
        <v>19280.533056643075</v>
      </c>
      <c r="AA276">
        <f>scenario_indirect_prod_4506_iotable_2020_xlsx_3[[#This Row],[2050]]+scenario_indirect_prod_1610_iotable_2020_xlsx_3[[#This Row],[2050]]</f>
        <v>19280.533056643075</v>
      </c>
    </row>
    <row r="277" spans="1:27" x14ac:dyDescent="0.2">
      <c r="A277" t="s">
        <v>561</v>
      </c>
      <c r="B277" t="s">
        <v>195</v>
      </c>
      <c r="C277">
        <f>scenario_indirect_prod_4506_iotable_2020_xlsx_3[[#This Row],[2026]]+scenario_indirect_prod_1610_iotable_2020_xlsx_3[[#This Row],[2026]]</f>
        <v>8757.0013695699436</v>
      </c>
      <c r="D277">
        <f>scenario_indirect_prod_4506_iotable_2020_xlsx_3[[#This Row],[2027]]+scenario_indirect_prod_1610_iotable_2020_xlsx_3[[#This Row],[2027]]</f>
        <v>8844.2157514040209</v>
      </c>
      <c r="E277">
        <f>scenario_indirect_prod_4506_iotable_2020_xlsx_3[[#This Row],[2028]]+scenario_indirect_prod_1610_iotable_2020_xlsx_3[[#This Row],[2028]]</f>
        <v>9268.8420950348427</v>
      </c>
      <c r="F277">
        <f>scenario_indirect_prod_4506_iotable_2020_xlsx_3[[#This Row],[2029]]+scenario_indirect_prod_1610_iotable_2020_xlsx_3[[#This Row],[2029]]</f>
        <v>9606.0017658598845</v>
      </c>
      <c r="G277">
        <f>scenario_indirect_prod_4506_iotable_2020_xlsx_3[[#This Row],[2030]]+scenario_indirect_prod_1610_iotable_2020_xlsx_3[[#This Row],[2030]]</f>
        <v>9514.1806715289804</v>
      </c>
      <c r="H277">
        <f>scenario_indirect_prod_4506_iotable_2020_xlsx_3[[#This Row],[2031]]+scenario_indirect_prod_1610_iotable_2020_xlsx_3[[#This Row],[2031]]</f>
        <v>10087.086373024773</v>
      </c>
      <c r="I277">
        <f>scenario_indirect_prod_4506_iotable_2020_xlsx_3[[#This Row],[2032]]+scenario_indirect_prod_1610_iotable_2020_xlsx_3[[#This Row],[2032]]</f>
        <v>10887.200168587085</v>
      </c>
      <c r="J277">
        <f>scenario_indirect_prod_4506_iotable_2020_xlsx_3[[#This Row],[2033]]+scenario_indirect_prod_1610_iotable_2020_xlsx_3[[#This Row],[2033]]</f>
        <v>12289.805280849758</v>
      </c>
      <c r="K277">
        <f>scenario_indirect_prod_4506_iotable_2020_xlsx_3[[#This Row],[2034]]+scenario_indirect_prod_1610_iotable_2020_xlsx_3[[#This Row],[2034]]</f>
        <v>13034.352884061924</v>
      </c>
      <c r="L277">
        <f>scenario_indirect_prod_4506_iotable_2020_xlsx_3[[#This Row],[2035]]+scenario_indirect_prod_1610_iotable_2020_xlsx_3[[#This Row],[2035]]</f>
        <v>15079.484883472487</v>
      </c>
      <c r="M277">
        <f>scenario_indirect_prod_4506_iotable_2020_xlsx_3[[#This Row],[2036]]+scenario_indirect_prod_1610_iotable_2020_xlsx_3[[#This Row],[2036]]</f>
        <v>15870.428663722812</v>
      </c>
      <c r="N277">
        <f>scenario_indirect_prod_4506_iotable_2020_xlsx_3[[#This Row],[2037]]+scenario_indirect_prod_1610_iotable_2020_xlsx_3[[#This Row],[2037]]</f>
        <v>16591.959996115467</v>
      </c>
      <c r="O277">
        <f>scenario_indirect_prod_4506_iotable_2020_xlsx_3[[#This Row],[2038]]+scenario_indirect_prod_1610_iotable_2020_xlsx_3[[#This Row],[2038]]</f>
        <v>16591.959996115467</v>
      </c>
      <c r="P277">
        <f>scenario_indirect_prod_4506_iotable_2020_xlsx_3[[#This Row],[2039]]+scenario_indirect_prod_1610_iotable_2020_xlsx_3[[#This Row],[2039]]</f>
        <v>16591.959996115467</v>
      </c>
      <c r="Q277">
        <f>scenario_indirect_prod_4506_iotable_2020_xlsx_3[[#This Row],[2040]]+scenario_indirect_prod_1610_iotable_2020_xlsx_3[[#This Row],[2040]]</f>
        <v>17220.243619491041</v>
      </c>
      <c r="R277">
        <f>scenario_indirect_prod_4506_iotable_2020_xlsx_3[[#This Row],[2041]]+scenario_indirect_prod_1610_iotable_2020_xlsx_3[[#This Row],[2041]]</f>
        <v>17220.243619491041</v>
      </c>
      <c r="S277">
        <f>scenario_indirect_prod_4506_iotable_2020_xlsx_3[[#This Row],[2042]]+scenario_indirect_prod_1610_iotable_2020_xlsx_3[[#This Row],[2042]]</f>
        <v>17929.984874720234</v>
      </c>
      <c r="T277">
        <f>scenario_indirect_prod_4506_iotable_2020_xlsx_3[[#This Row],[2043]]+scenario_indirect_prod_1610_iotable_2020_xlsx_3[[#This Row],[2043]]</f>
        <v>17929.984874720234</v>
      </c>
      <c r="U277">
        <f>scenario_indirect_prod_4506_iotable_2020_xlsx_3[[#This Row],[2044]]+scenario_indirect_prod_1610_iotable_2020_xlsx_3[[#This Row],[2044]]</f>
        <v>18555.700031009132</v>
      </c>
      <c r="V277">
        <f>scenario_indirect_prod_4506_iotable_2020_xlsx_3[[#This Row],[2045]]+scenario_indirect_prod_1610_iotable_2020_xlsx_3[[#This Row],[2045]]</f>
        <v>18555.700031009132</v>
      </c>
      <c r="W277">
        <f>scenario_indirect_prod_4506_iotable_2020_xlsx_3[[#This Row],[2046]]+scenario_indirect_prod_1610_iotable_2020_xlsx_3[[#This Row],[2046]]</f>
        <v>19104.105752569834</v>
      </c>
      <c r="X277">
        <f>scenario_indirect_prod_4506_iotable_2020_xlsx_3[[#This Row],[2047]]+scenario_indirect_prod_1610_iotable_2020_xlsx_3[[#This Row],[2047]]</f>
        <v>19104.105752569834</v>
      </c>
      <c r="Y277">
        <f>scenario_indirect_prod_4506_iotable_2020_xlsx_3[[#This Row],[2048]]+scenario_indirect_prod_1610_iotable_2020_xlsx_3[[#This Row],[2048]]</f>
        <v>19104.105752569834</v>
      </c>
      <c r="Z277">
        <f>scenario_indirect_prod_4506_iotable_2020_xlsx_3[[#This Row],[2049]]+scenario_indirect_prod_1610_iotable_2020_xlsx_3[[#This Row],[2049]]</f>
        <v>19104.105752569834</v>
      </c>
      <c r="AA277">
        <f>scenario_indirect_prod_4506_iotable_2020_xlsx_3[[#This Row],[2050]]+scenario_indirect_prod_1610_iotable_2020_xlsx_3[[#This Row],[2050]]</f>
        <v>19104.105752569834</v>
      </c>
    </row>
    <row r="278" spans="1:27" x14ac:dyDescent="0.2">
      <c r="A278" t="s">
        <v>593</v>
      </c>
      <c r="B278" t="s">
        <v>594</v>
      </c>
      <c r="C278">
        <f>scenario_indirect_prod_4506_iotable_2020_xlsx_3[[#This Row],[2026]]+scenario_indirect_prod_1610_iotable_2020_xlsx_3[[#This Row],[2026]]</f>
        <v>7407.7344619029273</v>
      </c>
      <c r="D278">
        <f>scenario_indirect_prod_4506_iotable_2020_xlsx_3[[#This Row],[2027]]+scenario_indirect_prod_1610_iotable_2020_xlsx_3[[#This Row],[2027]]</f>
        <v>7916.6141035886776</v>
      </c>
      <c r="E278">
        <f>scenario_indirect_prod_4506_iotable_2020_xlsx_3[[#This Row],[2028]]+scenario_indirect_prod_1610_iotable_2020_xlsx_3[[#This Row],[2028]]</f>
        <v>8249.9537429730317</v>
      </c>
      <c r="F278">
        <f>scenario_indirect_prod_4506_iotable_2020_xlsx_3[[#This Row],[2029]]+scenario_indirect_prod_1610_iotable_2020_xlsx_3[[#This Row],[2029]]</f>
        <v>8690.796309304229</v>
      </c>
      <c r="G278">
        <f>scenario_indirect_prod_4506_iotable_2020_xlsx_3[[#This Row],[2030]]+scenario_indirect_prod_1610_iotable_2020_xlsx_3[[#This Row],[2030]]</f>
        <v>10111.958751011909</v>
      </c>
      <c r="H278">
        <f>scenario_indirect_prod_4506_iotable_2020_xlsx_3[[#This Row],[2031]]+scenario_indirect_prod_1610_iotable_2020_xlsx_3[[#This Row],[2031]]</f>
        <v>10561.700465821492</v>
      </c>
      <c r="I278">
        <f>scenario_indirect_prod_4506_iotable_2020_xlsx_3[[#This Row],[2032]]+scenario_indirect_prod_1610_iotable_2020_xlsx_3[[#This Row],[2032]]</f>
        <v>11189.804793496154</v>
      </c>
      <c r="J278">
        <f>scenario_indirect_prod_4506_iotable_2020_xlsx_3[[#This Row],[2033]]+scenario_indirect_prod_1610_iotable_2020_xlsx_3[[#This Row],[2033]]</f>
        <v>13123.884259345999</v>
      </c>
      <c r="K278">
        <f>scenario_indirect_prod_4506_iotable_2020_xlsx_3[[#This Row],[2034]]+scenario_indirect_prod_1610_iotable_2020_xlsx_3[[#This Row],[2034]]</f>
        <v>13708.368084435775</v>
      </c>
      <c r="L278">
        <f>scenario_indirect_prod_4506_iotable_2020_xlsx_3[[#This Row],[2035]]+scenario_indirect_prod_1610_iotable_2020_xlsx_3[[#This Row],[2035]]</f>
        <v>16368.323972734599</v>
      </c>
      <c r="M278">
        <f>scenario_indirect_prod_4506_iotable_2020_xlsx_3[[#This Row],[2036]]+scenario_indirect_prod_1610_iotable_2020_xlsx_3[[#This Row],[2036]]</f>
        <v>17681.375444364912</v>
      </c>
      <c r="N278">
        <f>scenario_indirect_prod_4506_iotable_2020_xlsx_3[[#This Row],[2037]]+scenario_indirect_prod_1610_iotable_2020_xlsx_3[[#This Row],[2037]]</f>
        <v>18852.868915598265</v>
      </c>
      <c r="O278">
        <f>scenario_indirect_prod_4506_iotable_2020_xlsx_3[[#This Row],[2038]]+scenario_indirect_prod_1610_iotable_2020_xlsx_3[[#This Row],[2038]]</f>
        <v>18852.868915598265</v>
      </c>
      <c r="P278">
        <f>scenario_indirect_prod_4506_iotable_2020_xlsx_3[[#This Row],[2039]]+scenario_indirect_prod_1610_iotable_2020_xlsx_3[[#This Row],[2039]]</f>
        <v>18852.868915598265</v>
      </c>
      <c r="Q278">
        <f>scenario_indirect_prod_4506_iotable_2020_xlsx_3[[#This Row],[2040]]+scenario_indirect_prod_1610_iotable_2020_xlsx_3[[#This Row],[2040]]</f>
        <v>19877.285344240867</v>
      </c>
      <c r="R278">
        <f>scenario_indirect_prod_4506_iotable_2020_xlsx_3[[#This Row],[2041]]+scenario_indirect_prod_1610_iotable_2020_xlsx_3[[#This Row],[2041]]</f>
        <v>19877.285344240867</v>
      </c>
      <c r="S278">
        <f>scenario_indirect_prod_4506_iotable_2020_xlsx_3[[#This Row],[2042]]+scenario_indirect_prod_1610_iotable_2020_xlsx_3[[#This Row],[2042]]</f>
        <v>21020.761289199276</v>
      </c>
      <c r="T278">
        <f>scenario_indirect_prod_4506_iotable_2020_xlsx_3[[#This Row],[2043]]+scenario_indirect_prod_1610_iotable_2020_xlsx_3[[#This Row],[2043]]</f>
        <v>21020.761289199276</v>
      </c>
      <c r="U278">
        <f>scenario_indirect_prod_4506_iotable_2020_xlsx_3[[#This Row],[2044]]+scenario_indirect_prod_1610_iotable_2020_xlsx_3[[#This Row],[2044]]</f>
        <v>22069.545761521309</v>
      </c>
      <c r="V278">
        <f>scenario_indirect_prod_4506_iotable_2020_xlsx_3[[#This Row],[2045]]+scenario_indirect_prod_1610_iotable_2020_xlsx_3[[#This Row],[2045]]</f>
        <v>22069.545761521309</v>
      </c>
      <c r="W278">
        <f>scenario_indirect_prod_4506_iotable_2020_xlsx_3[[#This Row],[2046]]+scenario_indirect_prod_1610_iotable_2020_xlsx_3[[#This Row],[2046]]</f>
        <v>22974.823667714878</v>
      </c>
      <c r="X278">
        <f>scenario_indirect_prod_4506_iotable_2020_xlsx_3[[#This Row],[2047]]+scenario_indirect_prod_1610_iotable_2020_xlsx_3[[#This Row],[2047]]</f>
        <v>22974.823667714878</v>
      </c>
      <c r="Y278">
        <f>scenario_indirect_prod_4506_iotable_2020_xlsx_3[[#This Row],[2048]]+scenario_indirect_prod_1610_iotable_2020_xlsx_3[[#This Row],[2048]]</f>
        <v>22974.823667714878</v>
      </c>
      <c r="Z278">
        <f>scenario_indirect_prod_4506_iotable_2020_xlsx_3[[#This Row],[2049]]+scenario_indirect_prod_1610_iotable_2020_xlsx_3[[#This Row],[2049]]</f>
        <v>22974.823667714878</v>
      </c>
      <c r="AA278">
        <f>scenario_indirect_prod_4506_iotable_2020_xlsx_3[[#This Row],[2050]]+scenario_indirect_prod_1610_iotable_2020_xlsx_3[[#This Row],[2050]]</f>
        <v>22974.823667714878</v>
      </c>
    </row>
    <row r="279" spans="1:27" x14ac:dyDescent="0.2">
      <c r="A279" t="s">
        <v>557</v>
      </c>
      <c r="B279" t="s">
        <v>558</v>
      </c>
      <c r="C279">
        <f>scenario_indirect_prod_4506_iotable_2020_xlsx_3[[#This Row],[2026]]+scenario_indirect_prod_1610_iotable_2020_xlsx_3[[#This Row],[2026]]</f>
        <v>8635.3471593218201</v>
      </c>
      <c r="D279">
        <f>scenario_indirect_prod_4506_iotable_2020_xlsx_3[[#This Row],[2027]]+scenario_indirect_prod_1610_iotable_2020_xlsx_3[[#This Row],[2027]]</f>
        <v>8460.0712779512542</v>
      </c>
      <c r="E279">
        <f>scenario_indirect_prod_4506_iotable_2020_xlsx_3[[#This Row],[2028]]+scenario_indirect_prod_1610_iotable_2020_xlsx_3[[#This Row],[2028]]</f>
        <v>8894.3280141316773</v>
      </c>
      <c r="F279">
        <f>scenario_indirect_prod_4506_iotable_2020_xlsx_3[[#This Row],[2029]]+scenario_indirect_prod_1610_iotable_2020_xlsx_3[[#This Row],[2029]]</f>
        <v>9133.3470468126106</v>
      </c>
      <c r="G279">
        <f>scenario_indirect_prod_4506_iotable_2020_xlsx_3[[#This Row],[2030]]+scenario_indirect_prod_1610_iotable_2020_xlsx_3[[#This Row],[2030]]</f>
        <v>8142.7532668419544</v>
      </c>
      <c r="H279">
        <f>scenario_indirect_prod_4506_iotable_2020_xlsx_3[[#This Row],[2031]]+scenario_indirect_prod_1610_iotable_2020_xlsx_3[[#This Row],[2031]]</f>
        <v>8728.6522903067307</v>
      </c>
      <c r="I279">
        <f>scenario_indirect_prod_4506_iotable_2020_xlsx_3[[#This Row],[2032]]+scenario_indirect_prod_1610_iotable_2020_xlsx_3[[#This Row],[2032]]</f>
        <v>9546.9124162868138</v>
      </c>
      <c r="J279">
        <f>scenario_indirect_prod_4506_iotable_2020_xlsx_3[[#This Row],[2033]]+scenario_indirect_prod_1610_iotable_2020_xlsx_3[[#This Row],[2033]]</f>
        <v>10481.108247276972</v>
      </c>
      <c r="K279">
        <f>scenario_indirect_prod_4506_iotable_2020_xlsx_3[[#This Row],[2034]]+scenario_indirect_prod_1610_iotable_2020_xlsx_3[[#This Row],[2034]]</f>
        <v>11242.541957058709</v>
      </c>
      <c r="L279">
        <f>scenario_indirect_prod_4506_iotable_2020_xlsx_3[[#This Row],[2035]]+scenario_indirect_prod_1610_iotable_2020_xlsx_3[[#This Row],[2035]]</f>
        <v>12700.838172390155</v>
      </c>
      <c r="M279">
        <f>scenario_indirect_prod_4506_iotable_2020_xlsx_3[[#This Row],[2036]]+scenario_indirect_prod_1610_iotable_2020_xlsx_3[[#This Row],[2036]]</f>
        <v>13094.087995481015</v>
      </c>
      <c r="N279">
        <f>scenario_indirect_prod_4506_iotable_2020_xlsx_3[[#This Row],[2037]]+scenario_indirect_prod_1610_iotable_2020_xlsx_3[[#This Row],[2037]]</f>
        <v>13468.635254591813</v>
      </c>
      <c r="O279">
        <f>scenario_indirect_prod_4506_iotable_2020_xlsx_3[[#This Row],[2038]]+scenario_indirect_prod_1610_iotable_2020_xlsx_3[[#This Row],[2038]]</f>
        <v>13468.635254591813</v>
      </c>
      <c r="P279">
        <f>scenario_indirect_prod_4506_iotable_2020_xlsx_3[[#This Row],[2039]]+scenario_indirect_prod_1610_iotable_2020_xlsx_3[[#This Row],[2039]]</f>
        <v>13468.635254591813</v>
      </c>
      <c r="Q279">
        <f>scenario_indirect_prod_4506_iotable_2020_xlsx_3[[#This Row],[2040]]+scenario_indirect_prod_1610_iotable_2020_xlsx_3[[#This Row],[2040]]</f>
        <v>13792.182288843831</v>
      </c>
      <c r="R279">
        <f>scenario_indirect_prod_4506_iotable_2020_xlsx_3[[#This Row],[2041]]+scenario_indirect_prod_1610_iotable_2020_xlsx_3[[#This Row],[2041]]</f>
        <v>13792.182288843831</v>
      </c>
      <c r="S279">
        <f>scenario_indirect_prod_4506_iotable_2020_xlsx_3[[#This Row],[2042]]+scenario_indirect_prod_1610_iotable_2020_xlsx_3[[#This Row],[2042]]</f>
        <v>14165.938680187737</v>
      </c>
      <c r="T279">
        <f>scenario_indirect_prod_4506_iotable_2020_xlsx_3[[#This Row],[2043]]+scenario_indirect_prod_1610_iotable_2020_xlsx_3[[#This Row],[2043]]</f>
        <v>14165.938680187737</v>
      </c>
      <c r="U279">
        <f>scenario_indirect_prod_4506_iotable_2020_xlsx_3[[#This Row],[2044]]+scenario_indirect_prod_1610_iotable_2020_xlsx_3[[#This Row],[2044]]</f>
        <v>14471.015246761945</v>
      </c>
      <c r="V279">
        <f>scenario_indirect_prod_4506_iotable_2020_xlsx_3[[#This Row],[2045]]+scenario_indirect_prod_1610_iotable_2020_xlsx_3[[#This Row],[2045]]</f>
        <v>14471.015246761945</v>
      </c>
      <c r="W279">
        <f>scenario_indirect_prod_4506_iotable_2020_xlsx_3[[#This Row],[2046]]+scenario_indirect_prod_1610_iotable_2020_xlsx_3[[#This Row],[2046]]</f>
        <v>14746.760613266069</v>
      </c>
      <c r="X279">
        <f>scenario_indirect_prod_4506_iotable_2020_xlsx_3[[#This Row],[2047]]+scenario_indirect_prod_1610_iotable_2020_xlsx_3[[#This Row],[2047]]</f>
        <v>14746.760613266069</v>
      </c>
      <c r="Y279">
        <f>scenario_indirect_prod_4506_iotable_2020_xlsx_3[[#This Row],[2048]]+scenario_indirect_prod_1610_iotable_2020_xlsx_3[[#This Row],[2048]]</f>
        <v>14746.760613266069</v>
      </c>
      <c r="Z279">
        <f>scenario_indirect_prod_4506_iotable_2020_xlsx_3[[#This Row],[2049]]+scenario_indirect_prod_1610_iotable_2020_xlsx_3[[#This Row],[2049]]</f>
        <v>14746.760613266069</v>
      </c>
      <c r="AA279">
        <f>scenario_indirect_prod_4506_iotable_2020_xlsx_3[[#This Row],[2050]]+scenario_indirect_prod_1610_iotable_2020_xlsx_3[[#This Row],[2050]]</f>
        <v>14746.760613266069</v>
      </c>
    </row>
    <row r="280" spans="1:27" x14ac:dyDescent="0.2">
      <c r="A280" t="s">
        <v>1017</v>
      </c>
      <c r="B280" t="s">
        <v>1018</v>
      </c>
      <c r="C280">
        <f>scenario_indirect_prod_4506_iotable_2020_xlsx_3[[#This Row],[2026]]+scenario_indirect_prod_1610_iotable_2020_xlsx_3[[#This Row],[2026]]</f>
        <v>0</v>
      </c>
      <c r="D280">
        <f>scenario_indirect_prod_4506_iotable_2020_xlsx_3[[#This Row],[2027]]+scenario_indirect_prod_1610_iotable_2020_xlsx_3[[#This Row],[2027]]</f>
        <v>0</v>
      </c>
      <c r="E280">
        <f>scenario_indirect_prod_4506_iotable_2020_xlsx_3[[#This Row],[2028]]+scenario_indirect_prod_1610_iotable_2020_xlsx_3[[#This Row],[2028]]</f>
        <v>0</v>
      </c>
      <c r="F280">
        <f>scenario_indirect_prod_4506_iotable_2020_xlsx_3[[#This Row],[2029]]+scenario_indirect_prod_1610_iotable_2020_xlsx_3[[#This Row],[2029]]</f>
        <v>0</v>
      </c>
      <c r="G280">
        <f>scenario_indirect_prod_4506_iotable_2020_xlsx_3[[#This Row],[2030]]+scenario_indirect_prod_1610_iotable_2020_xlsx_3[[#This Row],[2030]]</f>
        <v>0</v>
      </c>
      <c r="H280">
        <f>scenario_indirect_prod_4506_iotable_2020_xlsx_3[[#This Row],[2031]]+scenario_indirect_prod_1610_iotable_2020_xlsx_3[[#This Row],[2031]]</f>
        <v>0</v>
      </c>
      <c r="I280">
        <f>scenario_indirect_prod_4506_iotable_2020_xlsx_3[[#This Row],[2032]]+scenario_indirect_prod_1610_iotable_2020_xlsx_3[[#This Row],[2032]]</f>
        <v>0</v>
      </c>
      <c r="J280">
        <f>scenario_indirect_prod_4506_iotable_2020_xlsx_3[[#This Row],[2033]]+scenario_indirect_prod_1610_iotable_2020_xlsx_3[[#This Row],[2033]]</f>
        <v>0</v>
      </c>
      <c r="K280">
        <f>scenario_indirect_prod_4506_iotable_2020_xlsx_3[[#This Row],[2034]]+scenario_indirect_prod_1610_iotable_2020_xlsx_3[[#This Row],[2034]]</f>
        <v>0</v>
      </c>
      <c r="L280">
        <f>scenario_indirect_prod_4506_iotable_2020_xlsx_3[[#This Row],[2035]]+scenario_indirect_prod_1610_iotable_2020_xlsx_3[[#This Row],[2035]]</f>
        <v>0</v>
      </c>
      <c r="M280">
        <f>scenario_indirect_prod_4506_iotable_2020_xlsx_3[[#This Row],[2036]]+scenario_indirect_prod_1610_iotable_2020_xlsx_3[[#This Row],[2036]]</f>
        <v>0</v>
      </c>
      <c r="N280">
        <f>scenario_indirect_prod_4506_iotable_2020_xlsx_3[[#This Row],[2037]]+scenario_indirect_prod_1610_iotable_2020_xlsx_3[[#This Row],[2037]]</f>
        <v>0</v>
      </c>
      <c r="O280">
        <f>scenario_indirect_prod_4506_iotable_2020_xlsx_3[[#This Row],[2038]]+scenario_indirect_prod_1610_iotable_2020_xlsx_3[[#This Row],[2038]]</f>
        <v>0</v>
      </c>
      <c r="P280">
        <f>scenario_indirect_prod_4506_iotable_2020_xlsx_3[[#This Row],[2039]]+scenario_indirect_prod_1610_iotable_2020_xlsx_3[[#This Row],[2039]]</f>
        <v>0</v>
      </c>
      <c r="Q280">
        <f>scenario_indirect_prod_4506_iotable_2020_xlsx_3[[#This Row],[2040]]+scenario_indirect_prod_1610_iotable_2020_xlsx_3[[#This Row],[2040]]</f>
        <v>0</v>
      </c>
      <c r="R280">
        <f>scenario_indirect_prod_4506_iotable_2020_xlsx_3[[#This Row],[2041]]+scenario_indirect_prod_1610_iotable_2020_xlsx_3[[#This Row],[2041]]</f>
        <v>0</v>
      </c>
      <c r="S280">
        <f>scenario_indirect_prod_4506_iotable_2020_xlsx_3[[#This Row],[2042]]+scenario_indirect_prod_1610_iotable_2020_xlsx_3[[#This Row],[2042]]</f>
        <v>0</v>
      </c>
      <c r="T280">
        <f>scenario_indirect_prod_4506_iotable_2020_xlsx_3[[#This Row],[2043]]+scenario_indirect_prod_1610_iotable_2020_xlsx_3[[#This Row],[2043]]</f>
        <v>0</v>
      </c>
      <c r="U280">
        <f>scenario_indirect_prod_4506_iotable_2020_xlsx_3[[#This Row],[2044]]+scenario_indirect_prod_1610_iotable_2020_xlsx_3[[#This Row],[2044]]</f>
        <v>0</v>
      </c>
      <c r="V280">
        <f>scenario_indirect_prod_4506_iotable_2020_xlsx_3[[#This Row],[2045]]+scenario_indirect_prod_1610_iotable_2020_xlsx_3[[#This Row],[2045]]</f>
        <v>0</v>
      </c>
      <c r="W280">
        <f>scenario_indirect_prod_4506_iotable_2020_xlsx_3[[#This Row],[2046]]+scenario_indirect_prod_1610_iotable_2020_xlsx_3[[#This Row],[2046]]</f>
        <v>0</v>
      </c>
      <c r="X280">
        <f>scenario_indirect_prod_4506_iotable_2020_xlsx_3[[#This Row],[2047]]+scenario_indirect_prod_1610_iotable_2020_xlsx_3[[#This Row],[2047]]</f>
        <v>0</v>
      </c>
      <c r="Y280">
        <f>scenario_indirect_prod_4506_iotable_2020_xlsx_3[[#This Row],[2048]]+scenario_indirect_prod_1610_iotable_2020_xlsx_3[[#This Row],[2048]]</f>
        <v>0</v>
      </c>
      <c r="Z280">
        <f>scenario_indirect_prod_4506_iotable_2020_xlsx_3[[#This Row],[2049]]+scenario_indirect_prod_1610_iotable_2020_xlsx_3[[#This Row],[2049]]</f>
        <v>0</v>
      </c>
      <c r="AA280">
        <f>scenario_indirect_prod_4506_iotable_2020_xlsx_3[[#This Row],[2050]]+scenario_indirect_prod_1610_iotable_2020_xlsx_3[[#This Row],[2050]]</f>
        <v>0</v>
      </c>
    </row>
    <row r="281" spans="1:27" x14ac:dyDescent="0.2">
      <c r="A281" t="s">
        <v>442</v>
      </c>
      <c r="B281" t="s">
        <v>443</v>
      </c>
      <c r="C281">
        <f>scenario_indirect_prod_4506_iotable_2020_xlsx_3[[#This Row],[2026]]+scenario_indirect_prod_1610_iotable_2020_xlsx_3[[#This Row],[2026]]</f>
        <v>28961.250757929036</v>
      </c>
      <c r="D281">
        <f>scenario_indirect_prod_4506_iotable_2020_xlsx_3[[#This Row],[2027]]+scenario_indirect_prod_1610_iotable_2020_xlsx_3[[#This Row],[2027]]</f>
        <v>29931.724017761469</v>
      </c>
      <c r="E281">
        <f>scenario_indirect_prod_4506_iotable_2020_xlsx_3[[#This Row],[2028]]+scenario_indirect_prod_1610_iotable_2020_xlsx_3[[#This Row],[2028]]</f>
        <v>31295.515264675196</v>
      </c>
      <c r="F281">
        <f>scenario_indirect_prod_4506_iotable_2020_xlsx_3[[#This Row],[2029]]+scenario_indirect_prod_1610_iotable_2020_xlsx_3[[#This Row],[2029]]</f>
        <v>32654.531135797617</v>
      </c>
      <c r="G281">
        <f>scenario_indirect_prod_4506_iotable_2020_xlsx_3[[#This Row],[2030]]+scenario_indirect_prod_1610_iotable_2020_xlsx_3[[#This Row],[2030]]</f>
        <v>34700.328514088935</v>
      </c>
      <c r="H281">
        <f>scenario_indirect_prod_4506_iotable_2020_xlsx_3[[#This Row],[2031]]+scenario_indirect_prod_1610_iotable_2020_xlsx_3[[#This Row],[2031]]</f>
        <v>36540.355146271286</v>
      </c>
      <c r="I281">
        <f>scenario_indirect_prod_4506_iotable_2020_xlsx_3[[#This Row],[2032]]+scenario_indirect_prod_1610_iotable_2020_xlsx_3[[#This Row],[2032]]</f>
        <v>39110.116083834524</v>
      </c>
      <c r="J281">
        <f>scenario_indirect_prod_4506_iotable_2020_xlsx_3[[#This Row],[2033]]+scenario_indirect_prod_1610_iotable_2020_xlsx_3[[#This Row],[2033]]</f>
        <v>44920.689767780321</v>
      </c>
      <c r="K281">
        <f>scenario_indirect_prod_4506_iotable_2020_xlsx_3[[#This Row],[2034]]+scenario_indirect_prod_1610_iotable_2020_xlsx_3[[#This Row],[2034]]</f>
        <v>47311.986302726706</v>
      </c>
      <c r="L281">
        <f>scenario_indirect_prod_4506_iotable_2020_xlsx_3[[#This Row],[2035]]+scenario_indirect_prod_1610_iotable_2020_xlsx_3[[#This Row],[2035]]</f>
        <v>55533.369661207158</v>
      </c>
      <c r="M281">
        <f>scenario_indirect_prod_4506_iotable_2020_xlsx_3[[#This Row],[2036]]+scenario_indirect_prod_1610_iotable_2020_xlsx_3[[#This Row],[2036]]</f>
        <v>59158.637627048796</v>
      </c>
      <c r="N281">
        <f>scenario_indirect_prod_4506_iotable_2020_xlsx_3[[#This Row],[2037]]+scenario_indirect_prod_1610_iotable_2020_xlsx_3[[#This Row],[2037]]</f>
        <v>62424.489031799269</v>
      </c>
      <c r="O281">
        <f>scenario_indirect_prod_4506_iotable_2020_xlsx_3[[#This Row],[2038]]+scenario_indirect_prod_1610_iotable_2020_xlsx_3[[#This Row],[2038]]</f>
        <v>62424.489031799269</v>
      </c>
      <c r="P281">
        <f>scenario_indirect_prod_4506_iotable_2020_xlsx_3[[#This Row],[2039]]+scenario_indirect_prod_1610_iotable_2020_xlsx_3[[#This Row],[2039]]</f>
        <v>62424.489031799269</v>
      </c>
      <c r="Q281">
        <f>scenario_indirect_prod_4506_iotable_2020_xlsx_3[[#This Row],[2040]]+scenario_indirect_prod_1610_iotable_2020_xlsx_3[[#This Row],[2040]]</f>
        <v>65275.050089724034</v>
      </c>
      <c r="R281">
        <f>scenario_indirect_prod_4506_iotable_2020_xlsx_3[[#This Row],[2041]]+scenario_indirect_prod_1610_iotable_2020_xlsx_3[[#This Row],[2041]]</f>
        <v>65275.050089724034</v>
      </c>
      <c r="S281">
        <f>scenario_indirect_prod_4506_iotable_2020_xlsx_3[[#This Row],[2042]]+scenario_indirect_prod_1610_iotable_2020_xlsx_3[[#This Row],[2042]]</f>
        <v>68473.624648331257</v>
      </c>
      <c r="T281">
        <f>scenario_indirect_prod_4506_iotable_2020_xlsx_3[[#This Row],[2043]]+scenario_indirect_prod_1610_iotable_2020_xlsx_3[[#This Row],[2043]]</f>
        <v>68473.624648331257</v>
      </c>
      <c r="U281">
        <f>scenario_indirect_prod_4506_iotable_2020_xlsx_3[[#This Row],[2044]]+scenario_indirect_prod_1610_iotable_2020_xlsx_3[[#This Row],[2044]]</f>
        <v>71357.29466979664</v>
      </c>
      <c r="V281">
        <f>scenario_indirect_prod_4506_iotable_2020_xlsx_3[[#This Row],[2045]]+scenario_indirect_prod_1610_iotable_2020_xlsx_3[[#This Row],[2045]]</f>
        <v>71357.29466979664</v>
      </c>
      <c r="W281">
        <f>scenario_indirect_prod_4506_iotable_2020_xlsx_3[[#This Row],[2046]]+scenario_indirect_prod_1610_iotable_2020_xlsx_3[[#This Row],[2046]]</f>
        <v>73862.848150795879</v>
      </c>
      <c r="X281">
        <f>scenario_indirect_prod_4506_iotable_2020_xlsx_3[[#This Row],[2047]]+scenario_indirect_prod_1610_iotable_2020_xlsx_3[[#This Row],[2047]]</f>
        <v>73862.848150795879</v>
      </c>
      <c r="Y281">
        <f>scenario_indirect_prod_4506_iotable_2020_xlsx_3[[#This Row],[2048]]+scenario_indirect_prod_1610_iotable_2020_xlsx_3[[#This Row],[2048]]</f>
        <v>73862.848150795879</v>
      </c>
      <c r="Z281">
        <f>scenario_indirect_prod_4506_iotable_2020_xlsx_3[[#This Row],[2049]]+scenario_indirect_prod_1610_iotable_2020_xlsx_3[[#This Row],[2049]]</f>
        <v>73862.848150795879</v>
      </c>
      <c r="AA281">
        <f>scenario_indirect_prod_4506_iotable_2020_xlsx_3[[#This Row],[2050]]+scenario_indirect_prod_1610_iotable_2020_xlsx_3[[#This Row],[2050]]</f>
        <v>73862.848150795879</v>
      </c>
    </row>
    <row r="282" spans="1:27" x14ac:dyDescent="0.2">
      <c r="A282" t="s">
        <v>339</v>
      </c>
      <c r="B282" t="s">
        <v>35</v>
      </c>
      <c r="C282">
        <f>scenario_indirect_prod_4506_iotable_2020_xlsx_3[[#This Row],[2026]]+scenario_indirect_prod_1610_iotable_2020_xlsx_3[[#This Row],[2026]]</f>
        <v>791932.06084685284</v>
      </c>
      <c r="D282">
        <f>scenario_indirect_prod_4506_iotable_2020_xlsx_3[[#This Row],[2027]]+scenario_indirect_prod_1610_iotable_2020_xlsx_3[[#This Row],[2027]]</f>
        <v>862773.21050529636</v>
      </c>
      <c r="E282">
        <f>scenario_indirect_prod_4506_iotable_2020_xlsx_3[[#This Row],[2028]]+scenario_indirect_prod_1610_iotable_2020_xlsx_3[[#This Row],[2028]]</f>
        <v>897432.19467308896</v>
      </c>
      <c r="F282">
        <f>scenario_indirect_prod_4506_iotable_2020_xlsx_3[[#This Row],[2029]]+scenario_indirect_prod_1610_iotable_2020_xlsx_3[[#This Row],[2029]]</f>
        <v>950440.95335518231</v>
      </c>
      <c r="G282">
        <f>scenario_indirect_prod_4506_iotable_2020_xlsx_3[[#This Row],[2030]]+scenario_indirect_prod_1610_iotable_2020_xlsx_3[[#This Row],[2030]]</f>
        <v>1159000.0237602245</v>
      </c>
      <c r="H282">
        <f>scenario_indirect_prod_4506_iotable_2020_xlsx_3[[#This Row],[2031]]+scenario_indirect_prod_1610_iotable_2020_xlsx_3[[#This Row],[2031]]</f>
        <v>1205761.9120312082</v>
      </c>
      <c r="I282">
        <f>scenario_indirect_prod_4506_iotable_2020_xlsx_3[[#This Row],[2032]]+scenario_indirect_prod_1610_iotable_2020_xlsx_3[[#This Row],[2032]]</f>
        <v>1271069.0503865632</v>
      </c>
      <c r="J282">
        <f>scenario_indirect_prod_4506_iotable_2020_xlsx_3[[#This Row],[2033]]+scenario_indirect_prod_1610_iotable_2020_xlsx_3[[#This Row],[2033]]</f>
        <v>1506078.8024705194</v>
      </c>
      <c r="K282">
        <f>scenario_indirect_prod_4506_iotable_2020_xlsx_3[[#This Row],[2034]]+scenario_indirect_prod_1610_iotable_2020_xlsx_3[[#This Row],[2034]]</f>
        <v>1566850.4997026017</v>
      </c>
      <c r="L282">
        <f>scenario_indirect_prod_4506_iotable_2020_xlsx_3[[#This Row],[2035]]+scenario_indirect_prod_1610_iotable_2020_xlsx_3[[#This Row],[2035]]</f>
        <v>1886350.2843005068</v>
      </c>
      <c r="M282">
        <f>scenario_indirect_prod_4506_iotable_2020_xlsx_3[[#This Row],[2036]]+scenario_indirect_prod_1610_iotable_2020_xlsx_3[[#This Row],[2036]]</f>
        <v>2051053.7960512531</v>
      </c>
      <c r="N282">
        <f>scenario_indirect_prod_4506_iotable_2020_xlsx_3[[#This Row],[2037]]+scenario_indirect_prod_1610_iotable_2020_xlsx_3[[#This Row],[2037]]</f>
        <v>2197494.0613611131</v>
      </c>
      <c r="O282">
        <f>scenario_indirect_prod_4506_iotable_2020_xlsx_3[[#This Row],[2038]]+scenario_indirect_prod_1610_iotable_2020_xlsx_3[[#This Row],[2038]]</f>
        <v>2197494.0613611131</v>
      </c>
      <c r="P282">
        <f>scenario_indirect_prod_4506_iotable_2020_xlsx_3[[#This Row],[2039]]+scenario_indirect_prod_1610_iotable_2020_xlsx_3[[#This Row],[2039]]</f>
        <v>2197494.0613611131</v>
      </c>
      <c r="Q282">
        <f>scenario_indirect_prod_4506_iotable_2020_xlsx_3[[#This Row],[2040]]+scenario_indirect_prod_1610_iotable_2020_xlsx_3[[#This Row],[2040]]</f>
        <v>2325634.3210060126</v>
      </c>
      <c r="R282">
        <f>scenario_indirect_prod_4506_iotable_2020_xlsx_3[[#This Row],[2041]]+scenario_indirect_prod_1610_iotable_2020_xlsx_3[[#This Row],[2041]]</f>
        <v>2325634.3210060126</v>
      </c>
      <c r="S282">
        <f>scenario_indirect_prod_4506_iotable_2020_xlsx_3[[#This Row],[2042]]+scenario_indirect_prod_1610_iotable_2020_xlsx_3[[#This Row],[2042]]</f>
        <v>2468397.6121310052</v>
      </c>
      <c r="T282">
        <f>scenario_indirect_prod_4506_iotable_2020_xlsx_3[[#This Row],[2043]]+scenario_indirect_prod_1610_iotable_2020_xlsx_3[[#This Row],[2043]]</f>
        <v>2468397.6121310052</v>
      </c>
      <c r="U282">
        <f>scenario_indirect_prod_4506_iotable_2020_xlsx_3[[#This Row],[2044]]+scenario_indirect_prod_1610_iotable_2020_xlsx_3[[#This Row],[2044]]</f>
        <v>2600145.7118711583</v>
      </c>
      <c r="V282">
        <f>scenario_indirect_prod_4506_iotable_2020_xlsx_3[[#This Row],[2045]]+scenario_indirect_prod_1610_iotable_2020_xlsx_3[[#This Row],[2045]]</f>
        <v>2600145.7118711583</v>
      </c>
      <c r="W282">
        <f>scenario_indirect_prod_4506_iotable_2020_xlsx_3[[#This Row],[2046]]+scenario_indirect_prod_1610_iotable_2020_xlsx_3[[#This Row],[2046]]</f>
        <v>2713601.0205093273</v>
      </c>
      <c r="X282">
        <f>scenario_indirect_prod_4506_iotable_2020_xlsx_3[[#This Row],[2047]]+scenario_indirect_prod_1610_iotable_2020_xlsx_3[[#This Row],[2047]]</f>
        <v>2713601.0205093273</v>
      </c>
      <c r="Y282">
        <f>scenario_indirect_prod_4506_iotable_2020_xlsx_3[[#This Row],[2048]]+scenario_indirect_prod_1610_iotable_2020_xlsx_3[[#This Row],[2048]]</f>
        <v>2713601.0205093273</v>
      </c>
      <c r="Z282">
        <f>scenario_indirect_prod_4506_iotable_2020_xlsx_3[[#This Row],[2049]]+scenario_indirect_prod_1610_iotable_2020_xlsx_3[[#This Row],[2049]]</f>
        <v>2713601.0205093273</v>
      </c>
      <c r="AA282">
        <f>scenario_indirect_prod_4506_iotable_2020_xlsx_3[[#This Row],[2050]]+scenario_indirect_prod_1610_iotable_2020_xlsx_3[[#This Row],[2050]]</f>
        <v>2713601.0205093273</v>
      </c>
    </row>
    <row r="283" spans="1:27" x14ac:dyDescent="0.2">
      <c r="A283" t="s">
        <v>1019</v>
      </c>
      <c r="B283" t="s">
        <v>323</v>
      </c>
      <c r="C283">
        <f>scenario_indirect_prod_4506_iotable_2020_xlsx_3[[#This Row],[2026]]+scenario_indirect_prod_1610_iotable_2020_xlsx_3[[#This Row],[2026]]</f>
        <v>0</v>
      </c>
      <c r="D283">
        <f>scenario_indirect_prod_4506_iotable_2020_xlsx_3[[#This Row],[2027]]+scenario_indirect_prod_1610_iotable_2020_xlsx_3[[#This Row],[2027]]</f>
        <v>0</v>
      </c>
      <c r="E283">
        <f>scenario_indirect_prod_4506_iotable_2020_xlsx_3[[#This Row],[2028]]+scenario_indirect_prod_1610_iotable_2020_xlsx_3[[#This Row],[2028]]</f>
        <v>0</v>
      </c>
      <c r="F283">
        <f>scenario_indirect_prod_4506_iotable_2020_xlsx_3[[#This Row],[2029]]+scenario_indirect_prod_1610_iotable_2020_xlsx_3[[#This Row],[2029]]</f>
        <v>0</v>
      </c>
      <c r="G283">
        <f>scenario_indirect_prod_4506_iotable_2020_xlsx_3[[#This Row],[2030]]+scenario_indirect_prod_1610_iotable_2020_xlsx_3[[#This Row],[2030]]</f>
        <v>0</v>
      </c>
      <c r="H283">
        <f>scenario_indirect_prod_4506_iotable_2020_xlsx_3[[#This Row],[2031]]+scenario_indirect_prod_1610_iotable_2020_xlsx_3[[#This Row],[2031]]</f>
        <v>0</v>
      </c>
      <c r="I283">
        <f>scenario_indirect_prod_4506_iotable_2020_xlsx_3[[#This Row],[2032]]+scenario_indirect_prod_1610_iotable_2020_xlsx_3[[#This Row],[2032]]</f>
        <v>0</v>
      </c>
      <c r="J283">
        <f>scenario_indirect_prod_4506_iotable_2020_xlsx_3[[#This Row],[2033]]+scenario_indirect_prod_1610_iotable_2020_xlsx_3[[#This Row],[2033]]</f>
        <v>0</v>
      </c>
      <c r="K283">
        <f>scenario_indirect_prod_4506_iotable_2020_xlsx_3[[#This Row],[2034]]+scenario_indirect_prod_1610_iotable_2020_xlsx_3[[#This Row],[2034]]</f>
        <v>0</v>
      </c>
      <c r="L283">
        <f>scenario_indirect_prod_4506_iotable_2020_xlsx_3[[#This Row],[2035]]+scenario_indirect_prod_1610_iotable_2020_xlsx_3[[#This Row],[2035]]</f>
        <v>0</v>
      </c>
      <c r="M283">
        <f>scenario_indirect_prod_4506_iotable_2020_xlsx_3[[#This Row],[2036]]+scenario_indirect_prod_1610_iotable_2020_xlsx_3[[#This Row],[2036]]</f>
        <v>0</v>
      </c>
      <c r="N283">
        <f>scenario_indirect_prod_4506_iotable_2020_xlsx_3[[#This Row],[2037]]+scenario_indirect_prod_1610_iotable_2020_xlsx_3[[#This Row],[2037]]</f>
        <v>0</v>
      </c>
      <c r="O283">
        <f>scenario_indirect_prod_4506_iotable_2020_xlsx_3[[#This Row],[2038]]+scenario_indirect_prod_1610_iotable_2020_xlsx_3[[#This Row],[2038]]</f>
        <v>0</v>
      </c>
      <c r="P283">
        <f>scenario_indirect_prod_4506_iotable_2020_xlsx_3[[#This Row],[2039]]+scenario_indirect_prod_1610_iotable_2020_xlsx_3[[#This Row],[2039]]</f>
        <v>0</v>
      </c>
      <c r="Q283">
        <f>scenario_indirect_prod_4506_iotable_2020_xlsx_3[[#This Row],[2040]]+scenario_indirect_prod_1610_iotable_2020_xlsx_3[[#This Row],[2040]]</f>
        <v>0</v>
      </c>
      <c r="R283">
        <f>scenario_indirect_prod_4506_iotable_2020_xlsx_3[[#This Row],[2041]]+scenario_indirect_prod_1610_iotable_2020_xlsx_3[[#This Row],[2041]]</f>
        <v>0</v>
      </c>
      <c r="S283">
        <f>scenario_indirect_prod_4506_iotable_2020_xlsx_3[[#This Row],[2042]]+scenario_indirect_prod_1610_iotable_2020_xlsx_3[[#This Row],[2042]]</f>
        <v>0</v>
      </c>
      <c r="T283">
        <f>scenario_indirect_prod_4506_iotable_2020_xlsx_3[[#This Row],[2043]]+scenario_indirect_prod_1610_iotable_2020_xlsx_3[[#This Row],[2043]]</f>
        <v>0</v>
      </c>
      <c r="U283">
        <f>scenario_indirect_prod_4506_iotable_2020_xlsx_3[[#This Row],[2044]]+scenario_indirect_prod_1610_iotable_2020_xlsx_3[[#This Row],[2044]]</f>
        <v>0</v>
      </c>
      <c r="V283">
        <f>scenario_indirect_prod_4506_iotable_2020_xlsx_3[[#This Row],[2045]]+scenario_indirect_prod_1610_iotable_2020_xlsx_3[[#This Row],[2045]]</f>
        <v>0</v>
      </c>
      <c r="W283">
        <f>scenario_indirect_prod_4506_iotable_2020_xlsx_3[[#This Row],[2046]]+scenario_indirect_prod_1610_iotable_2020_xlsx_3[[#This Row],[2046]]</f>
        <v>0</v>
      </c>
      <c r="X283">
        <f>scenario_indirect_prod_4506_iotable_2020_xlsx_3[[#This Row],[2047]]+scenario_indirect_prod_1610_iotable_2020_xlsx_3[[#This Row],[2047]]</f>
        <v>0</v>
      </c>
      <c r="Y283">
        <f>scenario_indirect_prod_4506_iotable_2020_xlsx_3[[#This Row],[2048]]+scenario_indirect_prod_1610_iotable_2020_xlsx_3[[#This Row],[2048]]</f>
        <v>0</v>
      </c>
      <c r="Z283">
        <f>scenario_indirect_prod_4506_iotable_2020_xlsx_3[[#This Row],[2049]]+scenario_indirect_prod_1610_iotable_2020_xlsx_3[[#This Row],[2049]]</f>
        <v>0</v>
      </c>
      <c r="AA283">
        <f>scenario_indirect_prod_4506_iotable_2020_xlsx_3[[#This Row],[2050]]+scenario_indirect_prod_1610_iotable_2020_xlsx_3[[#This Row],[2050]]</f>
        <v>0</v>
      </c>
    </row>
    <row r="284" spans="1:27" x14ac:dyDescent="0.2">
      <c r="A284" t="s">
        <v>1020</v>
      </c>
      <c r="B284" t="s">
        <v>331</v>
      </c>
      <c r="C284">
        <f>scenario_indirect_prod_4506_iotable_2020_xlsx_3[[#This Row],[2026]]+scenario_indirect_prod_1610_iotable_2020_xlsx_3[[#This Row],[2026]]</f>
        <v>0</v>
      </c>
      <c r="D284">
        <f>scenario_indirect_prod_4506_iotable_2020_xlsx_3[[#This Row],[2027]]+scenario_indirect_prod_1610_iotable_2020_xlsx_3[[#This Row],[2027]]</f>
        <v>0</v>
      </c>
      <c r="E284">
        <f>scenario_indirect_prod_4506_iotable_2020_xlsx_3[[#This Row],[2028]]+scenario_indirect_prod_1610_iotable_2020_xlsx_3[[#This Row],[2028]]</f>
        <v>0</v>
      </c>
      <c r="F284">
        <f>scenario_indirect_prod_4506_iotable_2020_xlsx_3[[#This Row],[2029]]+scenario_indirect_prod_1610_iotable_2020_xlsx_3[[#This Row],[2029]]</f>
        <v>0</v>
      </c>
      <c r="G284">
        <f>scenario_indirect_prod_4506_iotable_2020_xlsx_3[[#This Row],[2030]]+scenario_indirect_prod_1610_iotable_2020_xlsx_3[[#This Row],[2030]]</f>
        <v>0</v>
      </c>
      <c r="H284">
        <f>scenario_indirect_prod_4506_iotable_2020_xlsx_3[[#This Row],[2031]]+scenario_indirect_prod_1610_iotable_2020_xlsx_3[[#This Row],[2031]]</f>
        <v>0</v>
      </c>
      <c r="I284">
        <f>scenario_indirect_prod_4506_iotable_2020_xlsx_3[[#This Row],[2032]]+scenario_indirect_prod_1610_iotable_2020_xlsx_3[[#This Row],[2032]]</f>
        <v>0</v>
      </c>
      <c r="J284">
        <f>scenario_indirect_prod_4506_iotable_2020_xlsx_3[[#This Row],[2033]]+scenario_indirect_prod_1610_iotable_2020_xlsx_3[[#This Row],[2033]]</f>
        <v>0</v>
      </c>
      <c r="K284">
        <f>scenario_indirect_prod_4506_iotable_2020_xlsx_3[[#This Row],[2034]]+scenario_indirect_prod_1610_iotable_2020_xlsx_3[[#This Row],[2034]]</f>
        <v>0</v>
      </c>
      <c r="L284">
        <f>scenario_indirect_prod_4506_iotable_2020_xlsx_3[[#This Row],[2035]]+scenario_indirect_prod_1610_iotable_2020_xlsx_3[[#This Row],[2035]]</f>
        <v>0</v>
      </c>
      <c r="M284">
        <f>scenario_indirect_prod_4506_iotable_2020_xlsx_3[[#This Row],[2036]]+scenario_indirect_prod_1610_iotable_2020_xlsx_3[[#This Row],[2036]]</f>
        <v>0</v>
      </c>
      <c r="N284">
        <f>scenario_indirect_prod_4506_iotable_2020_xlsx_3[[#This Row],[2037]]+scenario_indirect_prod_1610_iotable_2020_xlsx_3[[#This Row],[2037]]</f>
        <v>0</v>
      </c>
      <c r="O284">
        <f>scenario_indirect_prod_4506_iotable_2020_xlsx_3[[#This Row],[2038]]+scenario_indirect_prod_1610_iotable_2020_xlsx_3[[#This Row],[2038]]</f>
        <v>0</v>
      </c>
      <c r="P284">
        <f>scenario_indirect_prod_4506_iotable_2020_xlsx_3[[#This Row],[2039]]+scenario_indirect_prod_1610_iotable_2020_xlsx_3[[#This Row],[2039]]</f>
        <v>0</v>
      </c>
      <c r="Q284">
        <f>scenario_indirect_prod_4506_iotable_2020_xlsx_3[[#This Row],[2040]]+scenario_indirect_prod_1610_iotable_2020_xlsx_3[[#This Row],[2040]]</f>
        <v>0</v>
      </c>
      <c r="R284">
        <f>scenario_indirect_prod_4506_iotable_2020_xlsx_3[[#This Row],[2041]]+scenario_indirect_prod_1610_iotable_2020_xlsx_3[[#This Row],[2041]]</f>
        <v>0</v>
      </c>
      <c r="S284">
        <f>scenario_indirect_prod_4506_iotable_2020_xlsx_3[[#This Row],[2042]]+scenario_indirect_prod_1610_iotable_2020_xlsx_3[[#This Row],[2042]]</f>
        <v>0</v>
      </c>
      <c r="T284">
        <f>scenario_indirect_prod_4506_iotable_2020_xlsx_3[[#This Row],[2043]]+scenario_indirect_prod_1610_iotable_2020_xlsx_3[[#This Row],[2043]]</f>
        <v>0</v>
      </c>
      <c r="U284">
        <f>scenario_indirect_prod_4506_iotable_2020_xlsx_3[[#This Row],[2044]]+scenario_indirect_prod_1610_iotable_2020_xlsx_3[[#This Row],[2044]]</f>
        <v>0</v>
      </c>
      <c r="V284">
        <f>scenario_indirect_prod_4506_iotable_2020_xlsx_3[[#This Row],[2045]]+scenario_indirect_prod_1610_iotable_2020_xlsx_3[[#This Row],[2045]]</f>
        <v>0</v>
      </c>
      <c r="W284">
        <f>scenario_indirect_prod_4506_iotable_2020_xlsx_3[[#This Row],[2046]]+scenario_indirect_prod_1610_iotable_2020_xlsx_3[[#This Row],[2046]]</f>
        <v>0</v>
      </c>
      <c r="X284">
        <f>scenario_indirect_prod_4506_iotable_2020_xlsx_3[[#This Row],[2047]]+scenario_indirect_prod_1610_iotable_2020_xlsx_3[[#This Row],[2047]]</f>
        <v>0</v>
      </c>
      <c r="Y284">
        <f>scenario_indirect_prod_4506_iotable_2020_xlsx_3[[#This Row],[2048]]+scenario_indirect_prod_1610_iotable_2020_xlsx_3[[#This Row],[2048]]</f>
        <v>0</v>
      </c>
      <c r="Z284">
        <f>scenario_indirect_prod_4506_iotable_2020_xlsx_3[[#This Row],[2049]]+scenario_indirect_prod_1610_iotable_2020_xlsx_3[[#This Row],[2049]]</f>
        <v>0</v>
      </c>
      <c r="AA284">
        <f>scenario_indirect_prod_4506_iotable_2020_xlsx_3[[#This Row],[2050]]+scenario_indirect_prod_1610_iotable_2020_xlsx_3[[#This Row],[2050]]</f>
        <v>0</v>
      </c>
    </row>
    <row r="285" spans="1:27" x14ac:dyDescent="0.2">
      <c r="A285" t="s">
        <v>412</v>
      </c>
      <c r="B285" t="s">
        <v>27</v>
      </c>
      <c r="C285">
        <f>scenario_indirect_prod_4506_iotable_2020_xlsx_3[[#This Row],[2026]]+scenario_indirect_prod_1610_iotable_2020_xlsx_3[[#This Row],[2026]]</f>
        <v>35282.659294300225</v>
      </c>
      <c r="D285">
        <f>scenario_indirect_prod_4506_iotable_2020_xlsx_3[[#This Row],[2027]]+scenario_indirect_prod_1610_iotable_2020_xlsx_3[[#This Row],[2027]]</f>
        <v>28979.330700448765</v>
      </c>
      <c r="E285">
        <f>scenario_indirect_prod_4506_iotable_2020_xlsx_3[[#This Row],[2028]]+scenario_indirect_prod_1610_iotable_2020_xlsx_3[[#This Row],[2028]]</f>
        <v>31085.715252961694</v>
      </c>
      <c r="F285">
        <f>scenario_indirect_prod_4506_iotable_2020_xlsx_3[[#This Row],[2029]]+scenario_indirect_prod_1610_iotable_2020_xlsx_3[[#This Row],[2029]]</f>
        <v>30063.831519283711</v>
      </c>
      <c r="G285">
        <f>scenario_indirect_prod_4506_iotable_2020_xlsx_3[[#This Row],[2030]]+scenario_indirect_prod_1610_iotable_2020_xlsx_3[[#This Row],[2030]]</f>
        <v>6769.8028540523374</v>
      </c>
      <c r="H285">
        <f>scenario_indirect_prod_4506_iotable_2020_xlsx_3[[#This Row],[2031]]+scenario_indirect_prod_1610_iotable_2020_xlsx_3[[#This Row],[2031]]</f>
        <v>9611.7360920110441</v>
      </c>
      <c r="I285">
        <f>scenario_indirect_prod_4506_iotable_2020_xlsx_3[[#This Row],[2032]]+scenario_indirect_prod_1610_iotable_2020_xlsx_3[[#This Row],[2032]]</f>
        <v>13580.748765163058</v>
      </c>
      <c r="J285">
        <f>scenario_indirect_prod_4506_iotable_2020_xlsx_3[[#This Row],[2033]]+scenario_indirect_prod_1610_iotable_2020_xlsx_3[[#This Row],[2033]]</f>
        <v>7797.9409073605639</v>
      </c>
      <c r="K285">
        <f>scenario_indirect_prod_4506_iotable_2020_xlsx_3[[#This Row],[2034]]+scenario_indirect_prod_1610_iotable_2020_xlsx_3[[#This Row],[2034]]</f>
        <v>11491.314136648798</v>
      </c>
      <c r="L285">
        <f>scenario_indirect_prod_4506_iotable_2020_xlsx_3[[#This Row],[2035]]+scenario_indirect_prod_1610_iotable_2020_xlsx_3[[#This Row],[2035]]</f>
        <v>5508.3428783300333</v>
      </c>
      <c r="M285">
        <f>scenario_indirect_prod_4506_iotable_2020_xlsx_3[[#This Row],[2036]]+scenario_indirect_prod_1610_iotable_2020_xlsx_3[[#This Row],[2036]]</f>
        <v>-1154.2160193834279</v>
      </c>
      <c r="N285">
        <f>scenario_indirect_prod_4506_iotable_2020_xlsx_3[[#This Row],[2037]]+scenario_indirect_prod_1610_iotable_2020_xlsx_3[[#This Row],[2037]]</f>
        <v>-6829.4316332458693</v>
      </c>
      <c r="O285">
        <f>scenario_indirect_prod_4506_iotable_2020_xlsx_3[[#This Row],[2038]]+scenario_indirect_prod_1610_iotable_2020_xlsx_3[[#This Row],[2038]]</f>
        <v>-6829.4316332458693</v>
      </c>
      <c r="P285">
        <f>scenario_indirect_prod_4506_iotable_2020_xlsx_3[[#This Row],[2039]]+scenario_indirect_prod_1610_iotable_2020_xlsx_3[[#This Row],[2039]]</f>
        <v>-6829.4316332458693</v>
      </c>
      <c r="Q285">
        <f>scenario_indirect_prod_4506_iotable_2020_xlsx_3[[#This Row],[2040]]+scenario_indirect_prod_1610_iotable_2020_xlsx_3[[#This Row],[2040]]</f>
        <v>-11837.307685029402</v>
      </c>
      <c r="R285">
        <f>scenario_indirect_prod_4506_iotable_2020_xlsx_3[[#This Row],[2041]]+scenario_indirect_prod_1610_iotable_2020_xlsx_3[[#This Row],[2041]]</f>
        <v>-11837.307685029402</v>
      </c>
      <c r="S285">
        <f>scenario_indirect_prod_4506_iotable_2020_xlsx_3[[#This Row],[2042]]+scenario_indirect_prod_1610_iotable_2020_xlsx_3[[#This Row],[2042]]</f>
        <v>-17284.050214989402</v>
      </c>
      <c r="T285">
        <f>scenario_indirect_prod_4506_iotable_2020_xlsx_3[[#This Row],[2043]]+scenario_indirect_prod_1610_iotable_2020_xlsx_3[[#This Row],[2043]]</f>
        <v>-17284.050214989402</v>
      </c>
      <c r="U285">
        <f>scenario_indirect_prod_4506_iotable_2020_xlsx_3[[#This Row],[2044]]+scenario_indirect_prod_1610_iotable_2020_xlsx_3[[#This Row],[2044]]</f>
        <v>-22708.204837794328</v>
      </c>
      <c r="V285">
        <f>scenario_indirect_prod_4506_iotable_2020_xlsx_3[[#This Row],[2045]]+scenario_indirect_prod_1610_iotable_2020_xlsx_3[[#This Row],[2045]]</f>
        <v>-22708.204837794328</v>
      </c>
      <c r="W285">
        <f>scenario_indirect_prod_4506_iotable_2020_xlsx_3[[#This Row],[2046]]+scenario_indirect_prod_1610_iotable_2020_xlsx_3[[#This Row],[2046]]</f>
        <v>-27249.202612537018</v>
      </c>
      <c r="X285">
        <f>scenario_indirect_prod_4506_iotable_2020_xlsx_3[[#This Row],[2047]]+scenario_indirect_prod_1610_iotable_2020_xlsx_3[[#This Row],[2047]]</f>
        <v>-27249.202612537018</v>
      </c>
      <c r="Y285">
        <f>scenario_indirect_prod_4506_iotable_2020_xlsx_3[[#This Row],[2048]]+scenario_indirect_prod_1610_iotable_2020_xlsx_3[[#This Row],[2048]]</f>
        <v>-27249.202612537018</v>
      </c>
      <c r="Z285">
        <f>scenario_indirect_prod_4506_iotable_2020_xlsx_3[[#This Row],[2049]]+scenario_indirect_prod_1610_iotable_2020_xlsx_3[[#This Row],[2049]]</f>
        <v>-27249.202612537018</v>
      </c>
      <c r="AA285">
        <f>scenario_indirect_prod_4506_iotable_2020_xlsx_3[[#This Row],[2050]]+scenario_indirect_prod_1610_iotable_2020_xlsx_3[[#This Row],[2050]]</f>
        <v>-27249.202612537018</v>
      </c>
    </row>
    <row r="286" spans="1:27" x14ac:dyDescent="0.2">
      <c r="A286" t="s">
        <v>1021</v>
      </c>
      <c r="B286" t="s">
        <v>1022</v>
      </c>
      <c r="C286">
        <f>scenario_indirect_prod_4506_iotable_2020_xlsx_3[[#This Row],[2026]]+scenario_indirect_prod_1610_iotable_2020_xlsx_3[[#This Row],[2026]]</f>
        <v>0</v>
      </c>
      <c r="D286">
        <f>scenario_indirect_prod_4506_iotable_2020_xlsx_3[[#This Row],[2027]]+scenario_indirect_prod_1610_iotable_2020_xlsx_3[[#This Row],[2027]]</f>
        <v>0</v>
      </c>
      <c r="E286">
        <f>scenario_indirect_prod_4506_iotable_2020_xlsx_3[[#This Row],[2028]]+scenario_indirect_prod_1610_iotable_2020_xlsx_3[[#This Row],[2028]]</f>
        <v>0</v>
      </c>
      <c r="F286">
        <f>scenario_indirect_prod_4506_iotable_2020_xlsx_3[[#This Row],[2029]]+scenario_indirect_prod_1610_iotable_2020_xlsx_3[[#This Row],[2029]]</f>
        <v>0</v>
      </c>
      <c r="G286">
        <f>scenario_indirect_prod_4506_iotable_2020_xlsx_3[[#This Row],[2030]]+scenario_indirect_prod_1610_iotable_2020_xlsx_3[[#This Row],[2030]]</f>
        <v>0</v>
      </c>
      <c r="H286">
        <f>scenario_indirect_prod_4506_iotable_2020_xlsx_3[[#This Row],[2031]]+scenario_indirect_prod_1610_iotable_2020_xlsx_3[[#This Row],[2031]]</f>
        <v>0</v>
      </c>
      <c r="I286">
        <f>scenario_indirect_prod_4506_iotable_2020_xlsx_3[[#This Row],[2032]]+scenario_indirect_prod_1610_iotable_2020_xlsx_3[[#This Row],[2032]]</f>
        <v>0</v>
      </c>
      <c r="J286">
        <f>scenario_indirect_prod_4506_iotable_2020_xlsx_3[[#This Row],[2033]]+scenario_indirect_prod_1610_iotable_2020_xlsx_3[[#This Row],[2033]]</f>
        <v>0</v>
      </c>
      <c r="K286">
        <f>scenario_indirect_prod_4506_iotable_2020_xlsx_3[[#This Row],[2034]]+scenario_indirect_prod_1610_iotable_2020_xlsx_3[[#This Row],[2034]]</f>
        <v>0</v>
      </c>
      <c r="L286">
        <f>scenario_indirect_prod_4506_iotable_2020_xlsx_3[[#This Row],[2035]]+scenario_indirect_prod_1610_iotable_2020_xlsx_3[[#This Row],[2035]]</f>
        <v>0</v>
      </c>
      <c r="M286">
        <f>scenario_indirect_prod_4506_iotable_2020_xlsx_3[[#This Row],[2036]]+scenario_indirect_prod_1610_iotable_2020_xlsx_3[[#This Row],[2036]]</f>
        <v>0</v>
      </c>
      <c r="N286">
        <f>scenario_indirect_prod_4506_iotable_2020_xlsx_3[[#This Row],[2037]]+scenario_indirect_prod_1610_iotable_2020_xlsx_3[[#This Row],[2037]]</f>
        <v>0</v>
      </c>
      <c r="O286">
        <f>scenario_indirect_prod_4506_iotable_2020_xlsx_3[[#This Row],[2038]]+scenario_indirect_prod_1610_iotable_2020_xlsx_3[[#This Row],[2038]]</f>
        <v>0</v>
      </c>
      <c r="P286">
        <f>scenario_indirect_prod_4506_iotable_2020_xlsx_3[[#This Row],[2039]]+scenario_indirect_prod_1610_iotable_2020_xlsx_3[[#This Row],[2039]]</f>
        <v>0</v>
      </c>
      <c r="Q286">
        <f>scenario_indirect_prod_4506_iotable_2020_xlsx_3[[#This Row],[2040]]+scenario_indirect_prod_1610_iotable_2020_xlsx_3[[#This Row],[2040]]</f>
        <v>0</v>
      </c>
      <c r="R286">
        <f>scenario_indirect_prod_4506_iotable_2020_xlsx_3[[#This Row],[2041]]+scenario_indirect_prod_1610_iotable_2020_xlsx_3[[#This Row],[2041]]</f>
        <v>0</v>
      </c>
      <c r="S286">
        <f>scenario_indirect_prod_4506_iotable_2020_xlsx_3[[#This Row],[2042]]+scenario_indirect_prod_1610_iotable_2020_xlsx_3[[#This Row],[2042]]</f>
        <v>0</v>
      </c>
      <c r="T286">
        <f>scenario_indirect_prod_4506_iotable_2020_xlsx_3[[#This Row],[2043]]+scenario_indirect_prod_1610_iotable_2020_xlsx_3[[#This Row],[2043]]</f>
        <v>0</v>
      </c>
      <c r="U286">
        <f>scenario_indirect_prod_4506_iotable_2020_xlsx_3[[#This Row],[2044]]+scenario_indirect_prod_1610_iotable_2020_xlsx_3[[#This Row],[2044]]</f>
        <v>0</v>
      </c>
      <c r="V286">
        <f>scenario_indirect_prod_4506_iotable_2020_xlsx_3[[#This Row],[2045]]+scenario_indirect_prod_1610_iotable_2020_xlsx_3[[#This Row],[2045]]</f>
        <v>0</v>
      </c>
      <c r="W286">
        <f>scenario_indirect_prod_4506_iotable_2020_xlsx_3[[#This Row],[2046]]+scenario_indirect_prod_1610_iotable_2020_xlsx_3[[#This Row],[2046]]</f>
        <v>0</v>
      </c>
      <c r="X286">
        <f>scenario_indirect_prod_4506_iotable_2020_xlsx_3[[#This Row],[2047]]+scenario_indirect_prod_1610_iotable_2020_xlsx_3[[#This Row],[2047]]</f>
        <v>0</v>
      </c>
      <c r="Y286">
        <f>scenario_indirect_prod_4506_iotable_2020_xlsx_3[[#This Row],[2048]]+scenario_indirect_prod_1610_iotable_2020_xlsx_3[[#This Row],[2048]]</f>
        <v>0</v>
      </c>
      <c r="Z286">
        <f>scenario_indirect_prod_4506_iotable_2020_xlsx_3[[#This Row],[2049]]+scenario_indirect_prod_1610_iotable_2020_xlsx_3[[#This Row],[2049]]</f>
        <v>0</v>
      </c>
      <c r="AA286">
        <f>scenario_indirect_prod_4506_iotable_2020_xlsx_3[[#This Row],[2050]]+scenario_indirect_prod_1610_iotable_2020_xlsx_3[[#This Row],[2050]]</f>
        <v>0</v>
      </c>
    </row>
    <row r="287" spans="1:27" x14ac:dyDescent="0.2">
      <c r="A287" t="s">
        <v>1023</v>
      </c>
      <c r="B287" t="s">
        <v>1024</v>
      </c>
      <c r="C287">
        <f>scenario_indirect_prod_4506_iotable_2020_xlsx_3[[#This Row],[2026]]+scenario_indirect_prod_1610_iotable_2020_xlsx_3[[#This Row],[2026]]</f>
        <v>0</v>
      </c>
      <c r="D287">
        <f>scenario_indirect_prod_4506_iotable_2020_xlsx_3[[#This Row],[2027]]+scenario_indirect_prod_1610_iotable_2020_xlsx_3[[#This Row],[2027]]</f>
        <v>0</v>
      </c>
      <c r="E287">
        <f>scenario_indirect_prod_4506_iotable_2020_xlsx_3[[#This Row],[2028]]+scenario_indirect_prod_1610_iotable_2020_xlsx_3[[#This Row],[2028]]</f>
        <v>0</v>
      </c>
      <c r="F287">
        <f>scenario_indirect_prod_4506_iotable_2020_xlsx_3[[#This Row],[2029]]+scenario_indirect_prod_1610_iotable_2020_xlsx_3[[#This Row],[2029]]</f>
        <v>0</v>
      </c>
      <c r="G287">
        <f>scenario_indirect_prod_4506_iotable_2020_xlsx_3[[#This Row],[2030]]+scenario_indirect_prod_1610_iotable_2020_xlsx_3[[#This Row],[2030]]</f>
        <v>0</v>
      </c>
      <c r="H287">
        <f>scenario_indirect_prod_4506_iotable_2020_xlsx_3[[#This Row],[2031]]+scenario_indirect_prod_1610_iotable_2020_xlsx_3[[#This Row],[2031]]</f>
        <v>0</v>
      </c>
      <c r="I287">
        <f>scenario_indirect_prod_4506_iotable_2020_xlsx_3[[#This Row],[2032]]+scenario_indirect_prod_1610_iotable_2020_xlsx_3[[#This Row],[2032]]</f>
        <v>0</v>
      </c>
      <c r="J287">
        <f>scenario_indirect_prod_4506_iotable_2020_xlsx_3[[#This Row],[2033]]+scenario_indirect_prod_1610_iotable_2020_xlsx_3[[#This Row],[2033]]</f>
        <v>0</v>
      </c>
      <c r="K287">
        <f>scenario_indirect_prod_4506_iotable_2020_xlsx_3[[#This Row],[2034]]+scenario_indirect_prod_1610_iotable_2020_xlsx_3[[#This Row],[2034]]</f>
        <v>0</v>
      </c>
      <c r="L287">
        <f>scenario_indirect_prod_4506_iotable_2020_xlsx_3[[#This Row],[2035]]+scenario_indirect_prod_1610_iotable_2020_xlsx_3[[#This Row],[2035]]</f>
        <v>0</v>
      </c>
      <c r="M287">
        <f>scenario_indirect_prod_4506_iotable_2020_xlsx_3[[#This Row],[2036]]+scenario_indirect_prod_1610_iotable_2020_xlsx_3[[#This Row],[2036]]</f>
        <v>0</v>
      </c>
      <c r="N287">
        <f>scenario_indirect_prod_4506_iotable_2020_xlsx_3[[#This Row],[2037]]+scenario_indirect_prod_1610_iotable_2020_xlsx_3[[#This Row],[2037]]</f>
        <v>0</v>
      </c>
      <c r="O287">
        <f>scenario_indirect_prod_4506_iotable_2020_xlsx_3[[#This Row],[2038]]+scenario_indirect_prod_1610_iotable_2020_xlsx_3[[#This Row],[2038]]</f>
        <v>0</v>
      </c>
      <c r="P287">
        <f>scenario_indirect_prod_4506_iotable_2020_xlsx_3[[#This Row],[2039]]+scenario_indirect_prod_1610_iotable_2020_xlsx_3[[#This Row],[2039]]</f>
        <v>0</v>
      </c>
      <c r="Q287">
        <f>scenario_indirect_prod_4506_iotable_2020_xlsx_3[[#This Row],[2040]]+scenario_indirect_prod_1610_iotable_2020_xlsx_3[[#This Row],[2040]]</f>
        <v>0</v>
      </c>
      <c r="R287">
        <f>scenario_indirect_prod_4506_iotable_2020_xlsx_3[[#This Row],[2041]]+scenario_indirect_prod_1610_iotable_2020_xlsx_3[[#This Row],[2041]]</f>
        <v>0</v>
      </c>
      <c r="S287">
        <f>scenario_indirect_prod_4506_iotable_2020_xlsx_3[[#This Row],[2042]]+scenario_indirect_prod_1610_iotable_2020_xlsx_3[[#This Row],[2042]]</f>
        <v>0</v>
      </c>
      <c r="T287">
        <f>scenario_indirect_prod_4506_iotable_2020_xlsx_3[[#This Row],[2043]]+scenario_indirect_prod_1610_iotable_2020_xlsx_3[[#This Row],[2043]]</f>
        <v>0</v>
      </c>
      <c r="U287">
        <f>scenario_indirect_prod_4506_iotable_2020_xlsx_3[[#This Row],[2044]]+scenario_indirect_prod_1610_iotable_2020_xlsx_3[[#This Row],[2044]]</f>
        <v>0</v>
      </c>
      <c r="V287">
        <f>scenario_indirect_prod_4506_iotable_2020_xlsx_3[[#This Row],[2045]]+scenario_indirect_prod_1610_iotable_2020_xlsx_3[[#This Row],[2045]]</f>
        <v>0</v>
      </c>
      <c r="W287">
        <f>scenario_indirect_prod_4506_iotable_2020_xlsx_3[[#This Row],[2046]]+scenario_indirect_prod_1610_iotable_2020_xlsx_3[[#This Row],[2046]]</f>
        <v>0</v>
      </c>
      <c r="X287">
        <f>scenario_indirect_prod_4506_iotable_2020_xlsx_3[[#This Row],[2047]]+scenario_indirect_prod_1610_iotable_2020_xlsx_3[[#This Row],[2047]]</f>
        <v>0</v>
      </c>
      <c r="Y287">
        <f>scenario_indirect_prod_4506_iotable_2020_xlsx_3[[#This Row],[2048]]+scenario_indirect_prod_1610_iotable_2020_xlsx_3[[#This Row],[2048]]</f>
        <v>0</v>
      </c>
      <c r="Z287">
        <f>scenario_indirect_prod_4506_iotable_2020_xlsx_3[[#This Row],[2049]]+scenario_indirect_prod_1610_iotable_2020_xlsx_3[[#This Row],[2049]]</f>
        <v>0</v>
      </c>
      <c r="AA287">
        <f>scenario_indirect_prod_4506_iotable_2020_xlsx_3[[#This Row],[2050]]+scenario_indirect_prod_1610_iotable_2020_xlsx_3[[#This Row],[2050]]</f>
        <v>0</v>
      </c>
    </row>
    <row r="288" spans="1:27" x14ac:dyDescent="0.2">
      <c r="A288" t="s">
        <v>990</v>
      </c>
      <c r="B288" t="s">
        <v>991</v>
      </c>
      <c r="C288">
        <f>scenario_indirect_prod_4506_iotable_2020_xlsx_3[[#This Row],[2026]]+scenario_indirect_prod_1610_iotable_2020_xlsx_3[[#This Row],[2026]]</f>
        <v>0</v>
      </c>
      <c r="D288">
        <f>scenario_indirect_prod_4506_iotable_2020_xlsx_3[[#This Row],[2027]]+scenario_indirect_prod_1610_iotable_2020_xlsx_3[[#This Row],[2027]]</f>
        <v>0</v>
      </c>
      <c r="E288">
        <f>scenario_indirect_prod_4506_iotable_2020_xlsx_3[[#This Row],[2028]]+scenario_indirect_prod_1610_iotable_2020_xlsx_3[[#This Row],[2028]]</f>
        <v>0</v>
      </c>
      <c r="F288">
        <f>scenario_indirect_prod_4506_iotable_2020_xlsx_3[[#This Row],[2029]]+scenario_indirect_prod_1610_iotable_2020_xlsx_3[[#This Row],[2029]]</f>
        <v>0</v>
      </c>
      <c r="G288">
        <f>scenario_indirect_prod_4506_iotable_2020_xlsx_3[[#This Row],[2030]]+scenario_indirect_prod_1610_iotable_2020_xlsx_3[[#This Row],[2030]]</f>
        <v>0</v>
      </c>
      <c r="H288">
        <f>scenario_indirect_prod_4506_iotable_2020_xlsx_3[[#This Row],[2031]]+scenario_indirect_prod_1610_iotable_2020_xlsx_3[[#This Row],[2031]]</f>
        <v>0</v>
      </c>
      <c r="I288">
        <f>scenario_indirect_prod_4506_iotable_2020_xlsx_3[[#This Row],[2032]]+scenario_indirect_prod_1610_iotable_2020_xlsx_3[[#This Row],[2032]]</f>
        <v>0</v>
      </c>
      <c r="J288">
        <f>scenario_indirect_prod_4506_iotable_2020_xlsx_3[[#This Row],[2033]]+scenario_indirect_prod_1610_iotable_2020_xlsx_3[[#This Row],[2033]]</f>
        <v>0</v>
      </c>
      <c r="K288">
        <f>scenario_indirect_prod_4506_iotable_2020_xlsx_3[[#This Row],[2034]]+scenario_indirect_prod_1610_iotable_2020_xlsx_3[[#This Row],[2034]]</f>
        <v>0</v>
      </c>
      <c r="L288">
        <f>scenario_indirect_prod_4506_iotable_2020_xlsx_3[[#This Row],[2035]]+scenario_indirect_prod_1610_iotable_2020_xlsx_3[[#This Row],[2035]]</f>
        <v>0</v>
      </c>
      <c r="M288">
        <f>scenario_indirect_prod_4506_iotable_2020_xlsx_3[[#This Row],[2036]]+scenario_indirect_prod_1610_iotable_2020_xlsx_3[[#This Row],[2036]]</f>
        <v>0</v>
      </c>
      <c r="N288">
        <f>scenario_indirect_prod_4506_iotable_2020_xlsx_3[[#This Row],[2037]]+scenario_indirect_prod_1610_iotable_2020_xlsx_3[[#This Row],[2037]]</f>
        <v>0</v>
      </c>
      <c r="O288">
        <f>scenario_indirect_prod_4506_iotable_2020_xlsx_3[[#This Row],[2038]]+scenario_indirect_prod_1610_iotable_2020_xlsx_3[[#This Row],[2038]]</f>
        <v>0</v>
      </c>
      <c r="P288">
        <f>scenario_indirect_prod_4506_iotable_2020_xlsx_3[[#This Row],[2039]]+scenario_indirect_prod_1610_iotable_2020_xlsx_3[[#This Row],[2039]]</f>
        <v>0</v>
      </c>
      <c r="Q288">
        <f>scenario_indirect_prod_4506_iotable_2020_xlsx_3[[#This Row],[2040]]+scenario_indirect_prod_1610_iotable_2020_xlsx_3[[#This Row],[2040]]</f>
        <v>0</v>
      </c>
      <c r="R288">
        <f>scenario_indirect_prod_4506_iotable_2020_xlsx_3[[#This Row],[2041]]+scenario_indirect_prod_1610_iotable_2020_xlsx_3[[#This Row],[2041]]</f>
        <v>0</v>
      </c>
      <c r="S288">
        <f>scenario_indirect_prod_4506_iotable_2020_xlsx_3[[#This Row],[2042]]+scenario_indirect_prod_1610_iotable_2020_xlsx_3[[#This Row],[2042]]</f>
        <v>0</v>
      </c>
      <c r="T288">
        <f>scenario_indirect_prod_4506_iotable_2020_xlsx_3[[#This Row],[2043]]+scenario_indirect_prod_1610_iotable_2020_xlsx_3[[#This Row],[2043]]</f>
        <v>0</v>
      </c>
      <c r="U288">
        <f>scenario_indirect_prod_4506_iotable_2020_xlsx_3[[#This Row],[2044]]+scenario_indirect_prod_1610_iotable_2020_xlsx_3[[#This Row],[2044]]</f>
        <v>0</v>
      </c>
      <c r="V288">
        <f>scenario_indirect_prod_4506_iotable_2020_xlsx_3[[#This Row],[2045]]+scenario_indirect_prod_1610_iotable_2020_xlsx_3[[#This Row],[2045]]</f>
        <v>0</v>
      </c>
      <c r="W288">
        <f>scenario_indirect_prod_4506_iotable_2020_xlsx_3[[#This Row],[2046]]+scenario_indirect_prod_1610_iotable_2020_xlsx_3[[#This Row],[2046]]</f>
        <v>0</v>
      </c>
      <c r="X288">
        <f>scenario_indirect_prod_4506_iotable_2020_xlsx_3[[#This Row],[2047]]+scenario_indirect_prod_1610_iotable_2020_xlsx_3[[#This Row],[2047]]</f>
        <v>0</v>
      </c>
      <c r="Y288">
        <f>scenario_indirect_prod_4506_iotable_2020_xlsx_3[[#This Row],[2048]]+scenario_indirect_prod_1610_iotable_2020_xlsx_3[[#This Row],[2048]]</f>
        <v>0</v>
      </c>
      <c r="Z288">
        <f>scenario_indirect_prod_4506_iotable_2020_xlsx_3[[#This Row],[2049]]+scenario_indirect_prod_1610_iotable_2020_xlsx_3[[#This Row],[2049]]</f>
        <v>0</v>
      </c>
      <c r="AA288">
        <f>scenario_indirect_prod_4506_iotable_2020_xlsx_3[[#This Row],[2050]]+scenario_indirect_prod_1610_iotable_2020_xlsx_3[[#This Row],[2050]]</f>
        <v>0</v>
      </c>
    </row>
    <row r="289" spans="1:27" x14ac:dyDescent="0.2">
      <c r="A289" t="s">
        <v>1011</v>
      </c>
      <c r="B289" t="s">
        <v>1012</v>
      </c>
      <c r="C289">
        <f>scenario_indirect_prod_4506_iotable_2020_xlsx_3[[#This Row],[2026]]+scenario_indirect_prod_1610_iotable_2020_xlsx_3[[#This Row],[2026]]</f>
        <v>0</v>
      </c>
      <c r="D289">
        <f>scenario_indirect_prod_4506_iotable_2020_xlsx_3[[#This Row],[2027]]+scenario_indirect_prod_1610_iotable_2020_xlsx_3[[#This Row],[2027]]</f>
        <v>0</v>
      </c>
      <c r="E289">
        <f>scenario_indirect_prod_4506_iotable_2020_xlsx_3[[#This Row],[2028]]+scenario_indirect_prod_1610_iotable_2020_xlsx_3[[#This Row],[2028]]</f>
        <v>0</v>
      </c>
      <c r="F289">
        <f>scenario_indirect_prod_4506_iotable_2020_xlsx_3[[#This Row],[2029]]+scenario_indirect_prod_1610_iotable_2020_xlsx_3[[#This Row],[2029]]</f>
        <v>0</v>
      </c>
      <c r="G289">
        <f>scenario_indirect_prod_4506_iotable_2020_xlsx_3[[#This Row],[2030]]+scenario_indirect_prod_1610_iotable_2020_xlsx_3[[#This Row],[2030]]</f>
        <v>0</v>
      </c>
      <c r="H289">
        <f>scenario_indirect_prod_4506_iotable_2020_xlsx_3[[#This Row],[2031]]+scenario_indirect_prod_1610_iotable_2020_xlsx_3[[#This Row],[2031]]</f>
        <v>0</v>
      </c>
      <c r="I289">
        <f>scenario_indirect_prod_4506_iotable_2020_xlsx_3[[#This Row],[2032]]+scenario_indirect_prod_1610_iotable_2020_xlsx_3[[#This Row],[2032]]</f>
        <v>0</v>
      </c>
      <c r="J289">
        <f>scenario_indirect_prod_4506_iotable_2020_xlsx_3[[#This Row],[2033]]+scenario_indirect_prod_1610_iotable_2020_xlsx_3[[#This Row],[2033]]</f>
        <v>0</v>
      </c>
      <c r="K289">
        <f>scenario_indirect_prod_4506_iotable_2020_xlsx_3[[#This Row],[2034]]+scenario_indirect_prod_1610_iotable_2020_xlsx_3[[#This Row],[2034]]</f>
        <v>0</v>
      </c>
      <c r="L289">
        <f>scenario_indirect_prod_4506_iotable_2020_xlsx_3[[#This Row],[2035]]+scenario_indirect_prod_1610_iotable_2020_xlsx_3[[#This Row],[2035]]</f>
        <v>0</v>
      </c>
      <c r="M289">
        <f>scenario_indirect_prod_4506_iotable_2020_xlsx_3[[#This Row],[2036]]+scenario_indirect_prod_1610_iotable_2020_xlsx_3[[#This Row],[2036]]</f>
        <v>0</v>
      </c>
      <c r="N289">
        <f>scenario_indirect_prod_4506_iotable_2020_xlsx_3[[#This Row],[2037]]+scenario_indirect_prod_1610_iotable_2020_xlsx_3[[#This Row],[2037]]</f>
        <v>0</v>
      </c>
      <c r="O289">
        <f>scenario_indirect_prod_4506_iotable_2020_xlsx_3[[#This Row],[2038]]+scenario_indirect_prod_1610_iotable_2020_xlsx_3[[#This Row],[2038]]</f>
        <v>0</v>
      </c>
      <c r="P289">
        <f>scenario_indirect_prod_4506_iotable_2020_xlsx_3[[#This Row],[2039]]+scenario_indirect_prod_1610_iotable_2020_xlsx_3[[#This Row],[2039]]</f>
        <v>0</v>
      </c>
      <c r="Q289">
        <f>scenario_indirect_prod_4506_iotable_2020_xlsx_3[[#This Row],[2040]]+scenario_indirect_prod_1610_iotable_2020_xlsx_3[[#This Row],[2040]]</f>
        <v>0</v>
      </c>
      <c r="R289">
        <f>scenario_indirect_prod_4506_iotable_2020_xlsx_3[[#This Row],[2041]]+scenario_indirect_prod_1610_iotable_2020_xlsx_3[[#This Row],[2041]]</f>
        <v>0</v>
      </c>
      <c r="S289">
        <f>scenario_indirect_prod_4506_iotable_2020_xlsx_3[[#This Row],[2042]]+scenario_indirect_prod_1610_iotable_2020_xlsx_3[[#This Row],[2042]]</f>
        <v>0</v>
      </c>
      <c r="T289">
        <f>scenario_indirect_prod_4506_iotable_2020_xlsx_3[[#This Row],[2043]]+scenario_indirect_prod_1610_iotable_2020_xlsx_3[[#This Row],[2043]]</f>
        <v>0</v>
      </c>
      <c r="U289">
        <f>scenario_indirect_prod_4506_iotable_2020_xlsx_3[[#This Row],[2044]]+scenario_indirect_prod_1610_iotable_2020_xlsx_3[[#This Row],[2044]]</f>
        <v>0</v>
      </c>
      <c r="V289">
        <f>scenario_indirect_prod_4506_iotable_2020_xlsx_3[[#This Row],[2045]]+scenario_indirect_prod_1610_iotable_2020_xlsx_3[[#This Row],[2045]]</f>
        <v>0</v>
      </c>
      <c r="W289">
        <f>scenario_indirect_prod_4506_iotable_2020_xlsx_3[[#This Row],[2046]]+scenario_indirect_prod_1610_iotable_2020_xlsx_3[[#This Row],[2046]]</f>
        <v>0</v>
      </c>
      <c r="X289">
        <f>scenario_indirect_prod_4506_iotable_2020_xlsx_3[[#This Row],[2047]]+scenario_indirect_prod_1610_iotable_2020_xlsx_3[[#This Row],[2047]]</f>
        <v>0</v>
      </c>
      <c r="Y289">
        <f>scenario_indirect_prod_4506_iotable_2020_xlsx_3[[#This Row],[2048]]+scenario_indirect_prod_1610_iotable_2020_xlsx_3[[#This Row],[2048]]</f>
        <v>0</v>
      </c>
      <c r="Z289">
        <f>scenario_indirect_prod_4506_iotable_2020_xlsx_3[[#This Row],[2049]]+scenario_indirect_prod_1610_iotable_2020_xlsx_3[[#This Row],[2049]]</f>
        <v>0</v>
      </c>
      <c r="AA289">
        <f>scenario_indirect_prod_4506_iotable_2020_xlsx_3[[#This Row],[2050]]+scenario_indirect_prod_1610_iotable_2020_xlsx_3[[#This Row],[2050]]</f>
        <v>0</v>
      </c>
    </row>
    <row r="290" spans="1:27" x14ac:dyDescent="0.2">
      <c r="A290" t="s">
        <v>992</v>
      </c>
      <c r="B290" t="s">
        <v>993</v>
      </c>
      <c r="C290">
        <f>scenario_indirect_prod_4506_iotable_2020_xlsx_3[[#This Row],[2026]]+scenario_indirect_prod_1610_iotable_2020_xlsx_3[[#This Row],[2026]]</f>
        <v>0</v>
      </c>
      <c r="D290">
        <f>scenario_indirect_prod_4506_iotable_2020_xlsx_3[[#This Row],[2027]]+scenario_indirect_prod_1610_iotable_2020_xlsx_3[[#This Row],[2027]]</f>
        <v>0</v>
      </c>
      <c r="E290">
        <f>scenario_indirect_prod_4506_iotable_2020_xlsx_3[[#This Row],[2028]]+scenario_indirect_prod_1610_iotable_2020_xlsx_3[[#This Row],[2028]]</f>
        <v>0</v>
      </c>
      <c r="F290">
        <f>scenario_indirect_prod_4506_iotable_2020_xlsx_3[[#This Row],[2029]]+scenario_indirect_prod_1610_iotable_2020_xlsx_3[[#This Row],[2029]]</f>
        <v>0</v>
      </c>
      <c r="G290">
        <f>scenario_indirect_prod_4506_iotable_2020_xlsx_3[[#This Row],[2030]]+scenario_indirect_prod_1610_iotable_2020_xlsx_3[[#This Row],[2030]]</f>
        <v>0</v>
      </c>
      <c r="H290">
        <f>scenario_indirect_prod_4506_iotable_2020_xlsx_3[[#This Row],[2031]]+scenario_indirect_prod_1610_iotable_2020_xlsx_3[[#This Row],[2031]]</f>
        <v>0</v>
      </c>
      <c r="I290">
        <f>scenario_indirect_prod_4506_iotable_2020_xlsx_3[[#This Row],[2032]]+scenario_indirect_prod_1610_iotable_2020_xlsx_3[[#This Row],[2032]]</f>
        <v>0</v>
      </c>
      <c r="J290">
        <f>scenario_indirect_prod_4506_iotable_2020_xlsx_3[[#This Row],[2033]]+scenario_indirect_prod_1610_iotable_2020_xlsx_3[[#This Row],[2033]]</f>
        <v>0</v>
      </c>
      <c r="K290">
        <f>scenario_indirect_prod_4506_iotable_2020_xlsx_3[[#This Row],[2034]]+scenario_indirect_prod_1610_iotable_2020_xlsx_3[[#This Row],[2034]]</f>
        <v>0</v>
      </c>
      <c r="L290">
        <f>scenario_indirect_prod_4506_iotable_2020_xlsx_3[[#This Row],[2035]]+scenario_indirect_prod_1610_iotable_2020_xlsx_3[[#This Row],[2035]]</f>
        <v>0</v>
      </c>
      <c r="M290">
        <f>scenario_indirect_prod_4506_iotable_2020_xlsx_3[[#This Row],[2036]]+scenario_indirect_prod_1610_iotable_2020_xlsx_3[[#This Row],[2036]]</f>
        <v>0</v>
      </c>
      <c r="N290">
        <f>scenario_indirect_prod_4506_iotable_2020_xlsx_3[[#This Row],[2037]]+scenario_indirect_prod_1610_iotable_2020_xlsx_3[[#This Row],[2037]]</f>
        <v>0</v>
      </c>
      <c r="O290">
        <f>scenario_indirect_prod_4506_iotable_2020_xlsx_3[[#This Row],[2038]]+scenario_indirect_prod_1610_iotable_2020_xlsx_3[[#This Row],[2038]]</f>
        <v>0</v>
      </c>
      <c r="P290">
        <f>scenario_indirect_prod_4506_iotable_2020_xlsx_3[[#This Row],[2039]]+scenario_indirect_prod_1610_iotable_2020_xlsx_3[[#This Row],[2039]]</f>
        <v>0</v>
      </c>
      <c r="Q290">
        <f>scenario_indirect_prod_4506_iotable_2020_xlsx_3[[#This Row],[2040]]+scenario_indirect_prod_1610_iotable_2020_xlsx_3[[#This Row],[2040]]</f>
        <v>0</v>
      </c>
      <c r="R290">
        <f>scenario_indirect_prod_4506_iotable_2020_xlsx_3[[#This Row],[2041]]+scenario_indirect_prod_1610_iotable_2020_xlsx_3[[#This Row],[2041]]</f>
        <v>0</v>
      </c>
      <c r="S290">
        <f>scenario_indirect_prod_4506_iotable_2020_xlsx_3[[#This Row],[2042]]+scenario_indirect_prod_1610_iotable_2020_xlsx_3[[#This Row],[2042]]</f>
        <v>0</v>
      </c>
      <c r="T290">
        <f>scenario_indirect_prod_4506_iotable_2020_xlsx_3[[#This Row],[2043]]+scenario_indirect_prod_1610_iotable_2020_xlsx_3[[#This Row],[2043]]</f>
        <v>0</v>
      </c>
      <c r="U290">
        <f>scenario_indirect_prod_4506_iotable_2020_xlsx_3[[#This Row],[2044]]+scenario_indirect_prod_1610_iotable_2020_xlsx_3[[#This Row],[2044]]</f>
        <v>0</v>
      </c>
      <c r="V290">
        <f>scenario_indirect_prod_4506_iotable_2020_xlsx_3[[#This Row],[2045]]+scenario_indirect_prod_1610_iotable_2020_xlsx_3[[#This Row],[2045]]</f>
        <v>0</v>
      </c>
      <c r="W290">
        <f>scenario_indirect_prod_4506_iotable_2020_xlsx_3[[#This Row],[2046]]+scenario_indirect_prod_1610_iotable_2020_xlsx_3[[#This Row],[2046]]</f>
        <v>0</v>
      </c>
      <c r="X290">
        <f>scenario_indirect_prod_4506_iotable_2020_xlsx_3[[#This Row],[2047]]+scenario_indirect_prod_1610_iotable_2020_xlsx_3[[#This Row],[2047]]</f>
        <v>0</v>
      </c>
      <c r="Y290">
        <f>scenario_indirect_prod_4506_iotable_2020_xlsx_3[[#This Row],[2048]]+scenario_indirect_prod_1610_iotable_2020_xlsx_3[[#This Row],[2048]]</f>
        <v>0</v>
      </c>
      <c r="Z290">
        <f>scenario_indirect_prod_4506_iotable_2020_xlsx_3[[#This Row],[2049]]+scenario_indirect_prod_1610_iotable_2020_xlsx_3[[#This Row],[2049]]</f>
        <v>0</v>
      </c>
      <c r="AA290">
        <f>scenario_indirect_prod_4506_iotable_2020_xlsx_3[[#This Row],[2050]]+scenario_indirect_prod_1610_iotable_2020_xlsx_3[[#This Row],[2050]]</f>
        <v>0</v>
      </c>
    </row>
    <row r="291" spans="1:27" x14ac:dyDescent="0.2">
      <c r="A291" t="s">
        <v>974</v>
      </c>
      <c r="B291" t="s">
        <v>975</v>
      </c>
      <c r="C291">
        <f>scenario_indirect_prod_4506_iotable_2020_xlsx_3[[#This Row],[2026]]+scenario_indirect_prod_1610_iotable_2020_xlsx_3[[#This Row],[2026]]</f>
        <v>0</v>
      </c>
      <c r="D291">
        <f>scenario_indirect_prod_4506_iotable_2020_xlsx_3[[#This Row],[2027]]+scenario_indirect_prod_1610_iotable_2020_xlsx_3[[#This Row],[2027]]</f>
        <v>0</v>
      </c>
      <c r="E291">
        <f>scenario_indirect_prod_4506_iotable_2020_xlsx_3[[#This Row],[2028]]+scenario_indirect_prod_1610_iotable_2020_xlsx_3[[#This Row],[2028]]</f>
        <v>0</v>
      </c>
      <c r="F291">
        <f>scenario_indirect_prod_4506_iotable_2020_xlsx_3[[#This Row],[2029]]+scenario_indirect_prod_1610_iotable_2020_xlsx_3[[#This Row],[2029]]</f>
        <v>0</v>
      </c>
      <c r="G291">
        <f>scenario_indirect_prod_4506_iotable_2020_xlsx_3[[#This Row],[2030]]+scenario_indirect_prod_1610_iotable_2020_xlsx_3[[#This Row],[2030]]</f>
        <v>0</v>
      </c>
      <c r="H291">
        <f>scenario_indirect_prod_4506_iotable_2020_xlsx_3[[#This Row],[2031]]+scenario_indirect_prod_1610_iotable_2020_xlsx_3[[#This Row],[2031]]</f>
        <v>0</v>
      </c>
      <c r="I291">
        <f>scenario_indirect_prod_4506_iotable_2020_xlsx_3[[#This Row],[2032]]+scenario_indirect_prod_1610_iotable_2020_xlsx_3[[#This Row],[2032]]</f>
        <v>0</v>
      </c>
      <c r="J291">
        <f>scenario_indirect_prod_4506_iotable_2020_xlsx_3[[#This Row],[2033]]+scenario_indirect_prod_1610_iotable_2020_xlsx_3[[#This Row],[2033]]</f>
        <v>0</v>
      </c>
      <c r="K291">
        <f>scenario_indirect_prod_4506_iotable_2020_xlsx_3[[#This Row],[2034]]+scenario_indirect_prod_1610_iotable_2020_xlsx_3[[#This Row],[2034]]</f>
        <v>0</v>
      </c>
      <c r="L291">
        <f>scenario_indirect_prod_4506_iotable_2020_xlsx_3[[#This Row],[2035]]+scenario_indirect_prod_1610_iotable_2020_xlsx_3[[#This Row],[2035]]</f>
        <v>0</v>
      </c>
      <c r="M291">
        <f>scenario_indirect_prod_4506_iotable_2020_xlsx_3[[#This Row],[2036]]+scenario_indirect_prod_1610_iotable_2020_xlsx_3[[#This Row],[2036]]</f>
        <v>0</v>
      </c>
      <c r="N291">
        <f>scenario_indirect_prod_4506_iotable_2020_xlsx_3[[#This Row],[2037]]+scenario_indirect_prod_1610_iotable_2020_xlsx_3[[#This Row],[2037]]</f>
        <v>0</v>
      </c>
      <c r="O291">
        <f>scenario_indirect_prod_4506_iotable_2020_xlsx_3[[#This Row],[2038]]+scenario_indirect_prod_1610_iotable_2020_xlsx_3[[#This Row],[2038]]</f>
        <v>0</v>
      </c>
      <c r="P291">
        <f>scenario_indirect_prod_4506_iotable_2020_xlsx_3[[#This Row],[2039]]+scenario_indirect_prod_1610_iotable_2020_xlsx_3[[#This Row],[2039]]</f>
        <v>0</v>
      </c>
      <c r="Q291">
        <f>scenario_indirect_prod_4506_iotable_2020_xlsx_3[[#This Row],[2040]]+scenario_indirect_prod_1610_iotable_2020_xlsx_3[[#This Row],[2040]]</f>
        <v>0</v>
      </c>
      <c r="R291">
        <f>scenario_indirect_prod_4506_iotable_2020_xlsx_3[[#This Row],[2041]]+scenario_indirect_prod_1610_iotable_2020_xlsx_3[[#This Row],[2041]]</f>
        <v>0</v>
      </c>
      <c r="S291">
        <f>scenario_indirect_prod_4506_iotable_2020_xlsx_3[[#This Row],[2042]]+scenario_indirect_prod_1610_iotable_2020_xlsx_3[[#This Row],[2042]]</f>
        <v>0</v>
      </c>
      <c r="T291">
        <f>scenario_indirect_prod_4506_iotable_2020_xlsx_3[[#This Row],[2043]]+scenario_indirect_prod_1610_iotable_2020_xlsx_3[[#This Row],[2043]]</f>
        <v>0</v>
      </c>
      <c r="U291">
        <f>scenario_indirect_prod_4506_iotable_2020_xlsx_3[[#This Row],[2044]]+scenario_indirect_prod_1610_iotable_2020_xlsx_3[[#This Row],[2044]]</f>
        <v>0</v>
      </c>
      <c r="V291">
        <f>scenario_indirect_prod_4506_iotable_2020_xlsx_3[[#This Row],[2045]]+scenario_indirect_prod_1610_iotable_2020_xlsx_3[[#This Row],[2045]]</f>
        <v>0</v>
      </c>
      <c r="W291">
        <f>scenario_indirect_prod_4506_iotable_2020_xlsx_3[[#This Row],[2046]]+scenario_indirect_prod_1610_iotable_2020_xlsx_3[[#This Row],[2046]]</f>
        <v>0</v>
      </c>
      <c r="X291">
        <f>scenario_indirect_prod_4506_iotable_2020_xlsx_3[[#This Row],[2047]]+scenario_indirect_prod_1610_iotable_2020_xlsx_3[[#This Row],[2047]]</f>
        <v>0</v>
      </c>
      <c r="Y291">
        <f>scenario_indirect_prod_4506_iotable_2020_xlsx_3[[#This Row],[2048]]+scenario_indirect_prod_1610_iotable_2020_xlsx_3[[#This Row],[2048]]</f>
        <v>0</v>
      </c>
      <c r="Z291">
        <f>scenario_indirect_prod_4506_iotable_2020_xlsx_3[[#This Row],[2049]]+scenario_indirect_prod_1610_iotable_2020_xlsx_3[[#This Row],[2049]]</f>
        <v>0</v>
      </c>
      <c r="AA291">
        <f>scenario_indirect_prod_4506_iotable_2020_xlsx_3[[#This Row],[2050]]+scenario_indirect_prod_1610_iotable_2020_xlsx_3[[#This Row],[2050]]</f>
        <v>0</v>
      </c>
    </row>
    <row r="292" spans="1:27" x14ac:dyDescent="0.2">
      <c r="A292" t="s">
        <v>988</v>
      </c>
      <c r="B292" t="s">
        <v>989</v>
      </c>
      <c r="C292">
        <f>scenario_indirect_prod_4506_iotable_2020_xlsx_3[[#This Row],[2026]]+scenario_indirect_prod_1610_iotable_2020_xlsx_3[[#This Row],[2026]]</f>
        <v>0</v>
      </c>
      <c r="D292">
        <f>scenario_indirect_prod_4506_iotable_2020_xlsx_3[[#This Row],[2027]]+scenario_indirect_prod_1610_iotable_2020_xlsx_3[[#This Row],[2027]]</f>
        <v>0</v>
      </c>
      <c r="E292">
        <f>scenario_indirect_prod_4506_iotable_2020_xlsx_3[[#This Row],[2028]]+scenario_indirect_prod_1610_iotable_2020_xlsx_3[[#This Row],[2028]]</f>
        <v>0</v>
      </c>
      <c r="F292">
        <f>scenario_indirect_prod_4506_iotable_2020_xlsx_3[[#This Row],[2029]]+scenario_indirect_prod_1610_iotable_2020_xlsx_3[[#This Row],[2029]]</f>
        <v>0</v>
      </c>
      <c r="G292">
        <f>scenario_indirect_prod_4506_iotable_2020_xlsx_3[[#This Row],[2030]]+scenario_indirect_prod_1610_iotable_2020_xlsx_3[[#This Row],[2030]]</f>
        <v>0</v>
      </c>
      <c r="H292">
        <f>scenario_indirect_prod_4506_iotable_2020_xlsx_3[[#This Row],[2031]]+scenario_indirect_prod_1610_iotable_2020_xlsx_3[[#This Row],[2031]]</f>
        <v>0</v>
      </c>
      <c r="I292">
        <f>scenario_indirect_prod_4506_iotable_2020_xlsx_3[[#This Row],[2032]]+scenario_indirect_prod_1610_iotable_2020_xlsx_3[[#This Row],[2032]]</f>
        <v>0</v>
      </c>
      <c r="J292">
        <f>scenario_indirect_prod_4506_iotable_2020_xlsx_3[[#This Row],[2033]]+scenario_indirect_prod_1610_iotable_2020_xlsx_3[[#This Row],[2033]]</f>
        <v>0</v>
      </c>
      <c r="K292">
        <f>scenario_indirect_prod_4506_iotable_2020_xlsx_3[[#This Row],[2034]]+scenario_indirect_prod_1610_iotable_2020_xlsx_3[[#This Row],[2034]]</f>
        <v>0</v>
      </c>
      <c r="L292">
        <f>scenario_indirect_prod_4506_iotable_2020_xlsx_3[[#This Row],[2035]]+scenario_indirect_prod_1610_iotable_2020_xlsx_3[[#This Row],[2035]]</f>
        <v>0</v>
      </c>
      <c r="M292">
        <f>scenario_indirect_prod_4506_iotable_2020_xlsx_3[[#This Row],[2036]]+scenario_indirect_prod_1610_iotable_2020_xlsx_3[[#This Row],[2036]]</f>
        <v>0</v>
      </c>
      <c r="N292">
        <f>scenario_indirect_prod_4506_iotable_2020_xlsx_3[[#This Row],[2037]]+scenario_indirect_prod_1610_iotable_2020_xlsx_3[[#This Row],[2037]]</f>
        <v>0</v>
      </c>
      <c r="O292">
        <f>scenario_indirect_prod_4506_iotable_2020_xlsx_3[[#This Row],[2038]]+scenario_indirect_prod_1610_iotable_2020_xlsx_3[[#This Row],[2038]]</f>
        <v>0</v>
      </c>
      <c r="P292">
        <f>scenario_indirect_prod_4506_iotable_2020_xlsx_3[[#This Row],[2039]]+scenario_indirect_prod_1610_iotable_2020_xlsx_3[[#This Row],[2039]]</f>
        <v>0</v>
      </c>
      <c r="Q292">
        <f>scenario_indirect_prod_4506_iotable_2020_xlsx_3[[#This Row],[2040]]+scenario_indirect_prod_1610_iotable_2020_xlsx_3[[#This Row],[2040]]</f>
        <v>0</v>
      </c>
      <c r="R292">
        <f>scenario_indirect_prod_4506_iotable_2020_xlsx_3[[#This Row],[2041]]+scenario_indirect_prod_1610_iotable_2020_xlsx_3[[#This Row],[2041]]</f>
        <v>0</v>
      </c>
      <c r="S292">
        <f>scenario_indirect_prod_4506_iotable_2020_xlsx_3[[#This Row],[2042]]+scenario_indirect_prod_1610_iotable_2020_xlsx_3[[#This Row],[2042]]</f>
        <v>0</v>
      </c>
      <c r="T292">
        <f>scenario_indirect_prod_4506_iotable_2020_xlsx_3[[#This Row],[2043]]+scenario_indirect_prod_1610_iotable_2020_xlsx_3[[#This Row],[2043]]</f>
        <v>0</v>
      </c>
      <c r="U292">
        <f>scenario_indirect_prod_4506_iotable_2020_xlsx_3[[#This Row],[2044]]+scenario_indirect_prod_1610_iotable_2020_xlsx_3[[#This Row],[2044]]</f>
        <v>0</v>
      </c>
      <c r="V292">
        <f>scenario_indirect_prod_4506_iotable_2020_xlsx_3[[#This Row],[2045]]+scenario_indirect_prod_1610_iotable_2020_xlsx_3[[#This Row],[2045]]</f>
        <v>0</v>
      </c>
      <c r="W292">
        <f>scenario_indirect_prod_4506_iotable_2020_xlsx_3[[#This Row],[2046]]+scenario_indirect_prod_1610_iotable_2020_xlsx_3[[#This Row],[2046]]</f>
        <v>0</v>
      </c>
      <c r="X292">
        <f>scenario_indirect_prod_4506_iotable_2020_xlsx_3[[#This Row],[2047]]+scenario_indirect_prod_1610_iotable_2020_xlsx_3[[#This Row],[2047]]</f>
        <v>0</v>
      </c>
      <c r="Y292">
        <f>scenario_indirect_prod_4506_iotable_2020_xlsx_3[[#This Row],[2048]]+scenario_indirect_prod_1610_iotable_2020_xlsx_3[[#This Row],[2048]]</f>
        <v>0</v>
      </c>
      <c r="Z292">
        <f>scenario_indirect_prod_4506_iotable_2020_xlsx_3[[#This Row],[2049]]+scenario_indirect_prod_1610_iotable_2020_xlsx_3[[#This Row],[2049]]</f>
        <v>0</v>
      </c>
      <c r="AA292">
        <f>scenario_indirect_prod_4506_iotable_2020_xlsx_3[[#This Row],[2050]]+scenario_indirect_prod_1610_iotable_2020_xlsx_3[[#This Row],[2050]]</f>
        <v>0</v>
      </c>
    </row>
    <row r="293" spans="1:27" x14ac:dyDescent="0.2">
      <c r="A293" t="s">
        <v>956</v>
      </c>
      <c r="B293" t="s">
        <v>957</v>
      </c>
      <c r="C293">
        <f>scenario_indirect_prod_4506_iotable_2020_xlsx_3[[#This Row],[2026]]+scenario_indirect_prod_1610_iotable_2020_xlsx_3[[#This Row],[2026]]</f>
        <v>0</v>
      </c>
      <c r="D293">
        <f>scenario_indirect_prod_4506_iotable_2020_xlsx_3[[#This Row],[2027]]+scenario_indirect_prod_1610_iotable_2020_xlsx_3[[#This Row],[2027]]</f>
        <v>0</v>
      </c>
      <c r="E293">
        <f>scenario_indirect_prod_4506_iotable_2020_xlsx_3[[#This Row],[2028]]+scenario_indirect_prod_1610_iotable_2020_xlsx_3[[#This Row],[2028]]</f>
        <v>0</v>
      </c>
      <c r="F293">
        <f>scenario_indirect_prod_4506_iotable_2020_xlsx_3[[#This Row],[2029]]+scenario_indirect_prod_1610_iotable_2020_xlsx_3[[#This Row],[2029]]</f>
        <v>0</v>
      </c>
      <c r="G293">
        <f>scenario_indirect_prod_4506_iotable_2020_xlsx_3[[#This Row],[2030]]+scenario_indirect_prod_1610_iotable_2020_xlsx_3[[#This Row],[2030]]</f>
        <v>0</v>
      </c>
      <c r="H293">
        <f>scenario_indirect_prod_4506_iotable_2020_xlsx_3[[#This Row],[2031]]+scenario_indirect_prod_1610_iotable_2020_xlsx_3[[#This Row],[2031]]</f>
        <v>0</v>
      </c>
      <c r="I293">
        <f>scenario_indirect_prod_4506_iotable_2020_xlsx_3[[#This Row],[2032]]+scenario_indirect_prod_1610_iotable_2020_xlsx_3[[#This Row],[2032]]</f>
        <v>0</v>
      </c>
      <c r="J293">
        <f>scenario_indirect_prod_4506_iotable_2020_xlsx_3[[#This Row],[2033]]+scenario_indirect_prod_1610_iotable_2020_xlsx_3[[#This Row],[2033]]</f>
        <v>0</v>
      </c>
      <c r="K293">
        <f>scenario_indirect_prod_4506_iotable_2020_xlsx_3[[#This Row],[2034]]+scenario_indirect_prod_1610_iotable_2020_xlsx_3[[#This Row],[2034]]</f>
        <v>0</v>
      </c>
      <c r="L293">
        <f>scenario_indirect_prod_4506_iotable_2020_xlsx_3[[#This Row],[2035]]+scenario_indirect_prod_1610_iotable_2020_xlsx_3[[#This Row],[2035]]</f>
        <v>0</v>
      </c>
      <c r="M293">
        <f>scenario_indirect_prod_4506_iotable_2020_xlsx_3[[#This Row],[2036]]+scenario_indirect_prod_1610_iotable_2020_xlsx_3[[#This Row],[2036]]</f>
        <v>0</v>
      </c>
      <c r="N293">
        <f>scenario_indirect_prod_4506_iotable_2020_xlsx_3[[#This Row],[2037]]+scenario_indirect_prod_1610_iotable_2020_xlsx_3[[#This Row],[2037]]</f>
        <v>0</v>
      </c>
      <c r="O293">
        <f>scenario_indirect_prod_4506_iotable_2020_xlsx_3[[#This Row],[2038]]+scenario_indirect_prod_1610_iotable_2020_xlsx_3[[#This Row],[2038]]</f>
        <v>0</v>
      </c>
      <c r="P293">
        <f>scenario_indirect_prod_4506_iotable_2020_xlsx_3[[#This Row],[2039]]+scenario_indirect_prod_1610_iotable_2020_xlsx_3[[#This Row],[2039]]</f>
        <v>0</v>
      </c>
      <c r="Q293">
        <f>scenario_indirect_prod_4506_iotable_2020_xlsx_3[[#This Row],[2040]]+scenario_indirect_prod_1610_iotable_2020_xlsx_3[[#This Row],[2040]]</f>
        <v>0</v>
      </c>
      <c r="R293">
        <f>scenario_indirect_prod_4506_iotable_2020_xlsx_3[[#This Row],[2041]]+scenario_indirect_prod_1610_iotable_2020_xlsx_3[[#This Row],[2041]]</f>
        <v>0</v>
      </c>
      <c r="S293">
        <f>scenario_indirect_prod_4506_iotable_2020_xlsx_3[[#This Row],[2042]]+scenario_indirect_prod_1610_iotable_2020_xlsx_3[[#This Row],[2042]]</f>
        <v>0</v>
      </c>
      <c r="T293">
        <f>scenario_indirect_prod_4506_iotable_2020_xlsx_3[[#This Row],[2043]]+scenario_indirect_prod_1610_iotable_2020_xlsx_3[[#This Row],[2043]]</f>
        <v>0</v>
      </c>
      <c r="U293">
        <f>scenario_indirect_prod_4506_iotable_2020_xlsx_3[[#This Row],[2044]]+scenario_indirect_prod_1610_iotable_2020_xlsx_3[[#This Row],[2044]]</f>
        <v>0</v>
      </c>
      <c r="V293">
        <f>scenario_indirect_prod_4506_iotable_2020_xlsx_3[[#This Row],[2045]]+scenario_indirect_prod_1610_iotable_2020_xlsx_3[[#This Row],[2045]]</f>
        <v>0</v>
      </c>
      <c r="W293">
        <f>scenario_indirect_prod_4506_iotable_2020_xlsx_3[[#This Row],[2046]]+scenario_indirect_prod_1610_iotable_2020_xlsx_3[[#This Row],[2046]]</f>
        <v>0</v>
      </c>
      <c r="X293">
        <f>scenario_indirect_prod_4506_iotable_2020_xlsx_3[[#This Row],[2047]]+scenario_indirect_prod_1610_iotable_2020_xlsx_3[[#This Row],[2047]]</f>
        <v>0</v>
      </c>
      <c r="Y293">
        <f>scenario_indirect_prod_4506_iotable_2020_xlsx_3[[#This Row],[2048]]+scenario_indirect_prod_1610_iotable_2020_xlsx_3[[#This Row],[2048]]</f>
        <v>0</v>
      </c>
      <c r="Z293">
        <f>scenario_indirect_prod_4506_iotable_2020_xlsx_3[[#This Row],[2049]]+scenario_indirect_prod_1610_iotable_2020_xlsx_3[[#This Row],[2049]]</f>
        <v>0</v>
      </c>
      <c r="AA293">
        <f>scenario_indirect_prod_4506_iotable_2020_xlsx_3[[#This Row],[2050]]+scenario_indirect_prod_1610_iotable_2020_xlsx_3[[#This Row],[2050]]</f>
        <v>0</v>
      </c>
    </row>
    <row r="294" spans="1:27" x14ac:dyDescent="0.2">
      <c r="A294" t="s">
        <v>958</v>
      </c>
      <c r="B294" t="s">
        <v>959</v>
      </c>
      <c r="C294">
        <f>scenario_indirect_prod_4506_iotable_2020_xlsx_3[[#This Row],[2026]]+scenario_indirect_prod_1610_iotable_2020_xlsx_3[[#This Row],[2026]]</f>
        <v>0</v>
      </c>
      <c r="D294">
        <f>scenario_indirect_prod_4506_iotable_2020_xlsx_3[[#This Row],[2027]]+scenario_indirect_prod_1610_iotable_2020_xlsx_3[[#This Row],[2027]]</f>
        <v>0</v>
      </c>
      <c r="E294">
        <f>scenario_indirect_prod_4506_iotable_2020_xlsx_3[[#This Row],[2028]]+scenario_indirect_prod_1610_iotable_2020_xlsx_3[[#This Row],[2028]]</f>
        <v>0</v>
      </c>
      <c r="F294">
        <f>scenario_indirect_prod_4506_iotable_2020_xlsx_3[[#This Row],[2029]]+scenario_indirect_prod_1610_iotable_2020_xlsx_3[[#This Row],[2029]]</f>
        <v>0</v>
      </c>
      <c r="G294">
        <f>scenario_indirect_prod_4506_iotable_2020_xlsx_3[[#This Row],[2030]]+scenario_indirect_prod_1610_iotable_2020_xlsx_3[[#This Row],[2030]]</f>
        <v>0</v>
      </c>
      <c r="H294">
        <f>scenario_indirect_prod_4506_iotable_2020_xlsx_3[[#This Row],[2031]]+scenario_indirect_prod_1610_iotable_2020_xlsx_3[[#This Row],[2031]]</f>
        <v>0</v>
      </c>
      <c r="I294">
        <f>scenario_indirect_prod_4506_iotable_2020_xlsx_3[[#This Row],[2032]]+scenario_indirect_prod_1610_iotable_2020_xlsx_3[[#This Row],[2032]]</f>
        <v>0</v>
      </c>
      <c r="J294">
        <f>scenario_indirect_prod_4506_iotable_2020_xlsx_3[[#This Row],[2033]]+scenario_indirect_prod_1610_iotable_2020_xlsx_3[[#This Row],[2033]]</f>
        <v>0</v>
      </c>
      <c r="K294">
        <f>scenario_indirect_prod_4506_iotable_2020_xlsx_3[[#This Row],[2034]]+scenario_indirect_prod_1610_iotable_2020_xlsx_3[[#This Row],[2034]]</f>
        <v>0</v>
      </c>
      <c r="L294">
        <f>scenario_indirect_prod_4506_iotable_2020_xlsx_3[[#This Row],[2035]]+scenario_indirect_prod_1610_iotable_2020_xlsx_3[[#This Row],[2035]]</f>
        <v>0</v>
      </c>
      <c r="M294">
        <f>scenario_indirect_prod_4506_iotable_2020_xlsx_3[[#This Row],[2036]]+scenario_indirect_prod_1610_iotable_2020_xlsx_3[[#This Row],[2036]]</f>
        <v>0</v>
      </c>
      <c r="N294">
        <f>scenario_indirect_prod_4506_iotable_2020_xlsx_3[[#This Row],[2037]]+scenario_indirect_prod_1610_iotable_2020_xlsx_3[[#This Row],[2037]]</f>
        <v>0</v>
      </c>
      <c r="O294">
        <f>scenario_indirect_prod_4506_iotable_2020_xlsx_3[[#This Row],[2038]]+scenario_indirect_prod_1610_iotable_2020_xlsx_3[[#This Row],[2038]]</f>
        <v>0</v>
      </c>
      <c r="P294">
        <f>scenario_indirect_prod_4506_iotable_2020_xlsx_3[[#This Row],[2039]]+scenario_indirect_prod_1610_iotable_2020_xlsx_3[[#This Row],[2039]]</f>
        <v>0</v>
      </c>
      <c r="Q294">
        <f>scenario_indirect_prod_4506_iotable_2020_xlsx_3[[#This Row],[2040]]+scenario_indirect_prod_1610_iotable_2020_xlsx_3[[#This Row],[2040]]</f>
        <v>0</v>
      </c>
      <c r="R294">
        <f>scenario_indirect_prod_4506_iotable_2020_xlsx_3[[#This Row],[2041]]+scenario_indirect_prod_1610_iotable_2020_xlsx_3[[#This Row],[2041]]</f>
        <v>0</v>
      </c>
      <c r="S294">
        <f>scenario_indirect_prod_4506_iotable_2020_xlsx_3[[#This Row],[2042]]+scenario_indirect_prod_1610_iotable_2020_xlsx_3[[#This Row],[2042]]</f>
        <v>0</v>
      </c>
      <c r="T294">
        <f>scenario_indirect_prod_4506_iotable_2020_xlsx_3[[#This Row],[2043]]+scenario_indirect_prod_1610_iotable_2020_xlsx_3[[#This Row],[2043]]</f>
        <v>0</v>
      </c>
      <c r="U294">
        <f>scenario_indirect_prod_4506_iotable_2020_xlsx_3[[#This Row],[2044]]+scenario_indirect_prod_1610_iotable_2020_xlsx_3[[#This Row],[2044]]</f>
        <v>0</v>
      </c>
      <c r="V294">
        <f>scenario_indirect_prod_4506_iotable_2020_xlsx_3[[#This Row],[2045]]+scenario_indirect_prod_1610_iotable_2020_xlsx_3[[#This Row],[2045]]</f>
        <v>0</v>
      </c>
      <c r="W294">
        <f>scenario_indirect_prod_4506_iotable_2020_xlsx_3[[#This Row],[2046]]+scenario_indirect_prod_1610_iotable_2020_xlsx_3[[#This Row],[2046]]</f>
        <v>0</v>
      </c>
      <c r="X294">
        <f>scenario_indirect_prod_4506_iotable_2020_xlsx_3[[#This Row],[2047]]+scenario_indirect_prod_1610_iotable_2020_xlsx_3[[#This Row],[2047]]</f>
        <v>0</v>
      </c>
      <c r="Y294">
        <f>scenario_indirect_prod_4506_iotable_2020_xlsx_3[[#This Row],[2048]]+scenario_indirect_prod_1610_iotable_2020_xlsx_3[[#This Row],[2048]]</f>
        <v>0</v>
      </c>
      <c r="Z294">
        <f>scenario_indirect_prod_4506_iotable_2020_xlsx_3[[#This Row],[2049]]+scenario_indirect_prod_1610_iotable_2020_xlsx_3[[#This Row],[2049]]</f>
        <v>0</v>
      </c>
      <c r="AA294">
        <f>scenario_indirect_prod_4506_iotable_2020_xlsx_3[[#This Row],[2050]]+scenario_indirect_prod_1610_iotable_2020_xlsx_3[[#This Row],[2050]]</f>
        <v>0</v>
      </c>
    </row>
    <row r="295" spans="1:27" x14ac:dyDescent="0.2">
      <c r="A295" t="s">
        <v>960</v>
      </c>
      <c r="B295" t="s">
        <v>961</v>
      </c>
      <c r="C295">
        <f>scenario_indirect_prod_4506_iotable_2020_xlsx_3[[#This Row],[2026]]+scenario_indirect_prod_1610_iotable_2020_xlsx_3[[#This Row],[2026]]</f>
        <v>0</v>
      </c>
      <c r="D295">
        <f>scenario_indirect_prod_4506_iotable_2020_xlsx_3[[#This Row],[2027]]+scenario_indirect_prod_1610_iotable_2020_xlsx_3[[#This Row],[2027]]</f>
        <v>0</v>
      </c>
      <c r="E295">
        <f>scenario_indirect_prod_4506_iotable_2020_xlsx_3[[#This Row],[2028]]+scenario_indirect_prod_1610_iotable_2020_xlsx_3[[#This Row],[2028]]</f>
        <v>0</v>
      </c>
      <c r="F295">
        <f>scenario_indirect_prod_4506_iotable_2020_xlsx_3[[#This Row],[2029]]+scenario_indirect_prod_1610_iotable_2020_xlsx_3[[#This Row],[2029]]</f>
        <v>0</v>
      </c>
      <c r="G295">
        <f>scenario_indirect_prod_4506_iotable_2020_xlsx_3[[#This Row],[2030]]+scenario_indirect_prod_1610_iotable_2020_xlsx_3[[#This Row],[2030]]</f>
        <v>0</v>
      </c>
      <c r="H295">
        <f>scenario_indirect_prod_4506_iotable_2020_xlsx_3[[#This Row],[2031]]+scenario_indirect_prod_1610_iotable_2020_xlsx_3[[#This Row],[2031]]</f>
        <v>0</v>
      </c>
      <c r="I295">
        <f>scenario_indirect_prod_4506_iotable_2020_xlsx_3[[#This Row],[2032]]+scenario_indirect_prod_1610_iotable_2020_xlsx_3[[#This Row],[2032]]</f>
        <v>0</v>
      </c>
      <c r="J295">
        <f>scenario_indirect_prod_4506_iotable_2020_xlsx_3[[#This Row],[2033]]+scenario_indirect_prod_1610_iotable_2020_xlsx_3[[#This Row],[2033]]</f>
        <v>0</v>
      </c>
      <c r="K295">
        <f>scenario_indirect_prod_4506_iotable_2020_xlsx_3[[#This Row],[2034]]+scenario_indirect_prod_1610_iotable_2020_xlsx_3[[#This Row],[2034]]</f>
        <v>0</v>
      </c>
      <c r="L295">
        <f>scenario_indirect_prod_4506_iotable_2020_xlsx_3[[#This Row],[2035]]+scenario_indirect_prod_1610_iotable_2020_xlsx_3[[#This Row],[2035]]</f>
        <v>0</v>
      </c>
      <c r="M295">
        <f>scenario_indirect_prod_4506_iotable_2020_xlsx_3[[#This Row],[2036]]+scenario_indirect_prod_1610_iotable_2020_xlsx_3[[#This Row],[2036]]</f>
        <v>0</v>
      </c>
      <c r="N295">
        <f>scenario_indirect_prod_4506_iotable_2020_xlsx_3[[#This Row],[2037]]+scenario_indirect_prod_1610_iotable_2020_xlsx_3[[#This Row],[2037]]</f>
        <v>0</v>
      </c>
      <c r="O295">
        <f>scenario_indirect_prod_4506_iotable_2020_xlsx_3[[#This Row],[2038]]+scenario_indirect_prod_1610_iotable_2020_xlsx_3[[#This Row],[2038]]</f>
        <v>0</v>
      </c>
      <c r="P295">
        <f>scenario_indirect_prod_4506_iotable_2020_xlsx_3[[#This Row],[2039]]+scenario_indirect_prod_1610_iotable_2020_xlsx_3[[#This Row],[2039]]</f>
        <v>0</v>
      </c>
      <c r="Q295">
        <f>scenario_indirect_prod_4506_iotable_2020_xlsx_3[[#This Row],[2040]]+scenario_indirect_prod_1610_iotable_2020_xlsx_3[[#This Row],[2040]]</f>
        <v>0</v>
      </c>
      <c r="R295">
        <f>scenario_indirect_prod_4506_iotable_2020_xlsx_3[[#This Row],[2041]]+scenario_indirect_prod_1610_iotable_2020_xlsx_3[[#This Row],[2041]]</f>
        <v>0</v>
      </c>
      <c r="S295">
        <f>scenario_indirect_prod_4506_iotable_2020_xlsx_3[[#This Row],[2042]]+scenario_indirect_prod_1610_iotable_2020_xlsx_3[[#This Row],[2042]]</f>
        <v>0</v>
      </c>
      <c r="T295">
        <f>scenario_indirect_prod_4506_iotable_2020_xlsx_3[[#This Row],[2043]]+scenario_indirect_prod_1610_iotable_2020_xlsx_3[[#This Row],[2043]]</f>
        <v>0</v>
      </c>
      <c r="U295">
        <f>scenario_indirect_prod_4506_iotable_2020_xlsx_3[[#This Row],[2044]]+scenario_indirect_prod_1610_iotable_2020_xlsx_3[[#This Row],[2044]]</f>
        <v>0</v>
      </c>
      <c r="V295">
        <f>scenario_indirect_prod_4506_iotable_2020_xlsx_3[[#This Row],[2045]]+scenario_indirect_prod_1610_iotable_2020_xlsx_3[[#This Row],[2045]]</f>
        <v>0</v>
      </c>
      <c r="W295">
        <f>scenario_indirect_prod_4506_iotable_2020_xlsx_3[[#This Row],[2046]]+scenario_indirect_prod_1610_iotable_2020_xlsx_3[[#This Row],[2046]]</f>
        <v>0</v>
      </c>
      <c r="X295">
        <f>scenario_indirect_prod_4506_iotable_2020_xlsx_3[[#This Row],[2047]]+scenario_indirect_prod_1610_iotable_2020_xlsx_3[[#This Row],[2047]]</f>
        <v>0</v>
      </c>
      <c r="Y295">
        <f>scenario_indirect_prod_4506_iotable_2020_xlsx_3[[#This Row],[2048]]+scenario_indirect_prod_1610_iotable_2020_xlsx_3[[#This Row],[2048]]</f>
        <v>0</v>
      </c>
      <c r="Z295">
        <f>scenario_indirect_prod_4506_iotable_2020_xlsx_3[[#This Row],[2049]]+scenario_indirect_prod_1610_iotable_2020_xlsx_3[[#This Row],[2049]]</f>
        <v>0</v>
      </c>
      <c r="AA295">
        <f>scenario_indirect_prod_4506_iotable_2020_xlsx_3[[#This Row],[2050]]+scenario_indirect_prod_1610_iotable_2020_xlsx_3[[#This Row],[2050]]</f>
        <v>0</v>
      </c>
    </row>
    <row r="296" spans="1:27" x14ac:dyDescent="0.2">
      <c r="A296" t="s">
        <v>962</v>
      </c>
      <c r="B296" t="s">
        <v>315</v>
      </c>
      <c r="C296">
        <f>scenario_indirect_prod_4506_iotable_2020_xlsx_3[[#This Row],[2026]]+scenario_indirect_prod_1610_iotable_2020_xlsx_3[[#This Row],[2026]]</f>
        <v>0</v>
      </c>
      <c r="D296">
        <f>scenario_indirect_prod_4506_iotable_2020_xlsx_3[[#This Row],[2027]]+scenario_indirect_prod_1610_iotable_2020_xlsx_3[[#This Row],[2027]]</f>
        <v>0</v>
      </c>
      <c r="E296">
        <f>scenario_indirect_prod_4506_iotable_2020_xlsx_3[[#This Row],[2028]]+scenario_indirect_prod_1610_iotable_2020_xlsx_3[[#This Row],[2028]]</f>
        <v>0</v>
      </c>
      <c r="F296">
        <f>scenario_indirect_prod_4506_iotable_2020_xlsx_3[[#This Row],[2029]]+scenario_indirect_prod_1610_iotable_2020_xlsx_3[[#This Row],[2029]]</f>
        <v>0</v>
      </c>
      <c r="G296">
        <f>scenario_indirect_prod_4506_iotable_2020_xlsx_3[[#This Row],[2030]]+scenario_indirect_prod_1610_iotable_2020_xlsx_3[[#This Row],[2030]]</f>
        <v>0</v>
      </c>
      <c r="H296">
        <f>scenario_indirect_prod_4506_iotable_2020_xlsx_3[[#This Row],[2031]]+scenario_indirect_prod_1610_iotable_2020_xlsx_3[[#This Row],[2031]]</f>
        <v>0</v>
      </c>
      <c r="I296">
        <f>scenario_indirect_prod_4506_iotable_2020_xlsx_3[[#This Row],[2032]]+scenario_indirect_prod_1610_iotable_2020_xlsx_3[[#This Row],[2032]]</f>
        <v>0</v>
      </c>
      <c r="J296">
        <f>scenario_indirect_prod_4506_iotable_2020_xlsx_3[[#This Row],[2033]]+scenario_indirect_prod_1610_iotable_2020_xlsx_3[[#This Row],[2033]]</f>
        <v>0</v>
      </c>
      <c r="K296">
        <f>scenario_indirect_prod_4506_iotable_2020_xlsx_3[[#This Row],[2034]]+scenario_indirect_prod_1610_iotable_2020_xlsx_3[[#This Row],[2034]]</f>
        <v>0</v>
      </c>
      <c r="L296">
        <f>scenario_indirect_prod_4506_iotable_2020_xlsx_3[[#This Row],[2035]]+scenario_indirect_prod_1610_iotable_2020_xlsx_3[[#This Row],[2035]]</f>
        <v>0</v>
      </c>
      <c r="M296">
        <f>scenario_indirect_prod_4506_iotable_2020_xlsx_3[[#This Row],[2036]]+scenario_indirect_prod_1610_iotable_2020_xlsx_3[[#This Row],[2036]]</f>
        <v>0</v>
      </c>
      <c r="N296">
        <f>scenario_indirect_prod_4506_iotable_2020_xlsx_3[[#This Row],[2037]]+scenario_indirect_prod_1610_iotable_2020_xlsx_3[[#This Row],[2037]]</f>
        <v>0</v>
      </c>
      <c r="O296">
        <f>scenario_indirect_prod_4506_iotable_2020_xlsx_3[[#This Row],[2038]]+scenario_indirect_prod_1610_iotable_2020_xlsx_3[[#This Row],[2038]]</f>
        <v>0</v>
      </c>
      <c r="P296">
        <f>scenario_indirect_prod_4506_iotable_2020_xlsx_3[[#This Row],[2039]]+scenario_indirect_prod_1610_iotable_2020_xlsx_3[[#This Row],[2039]]</f>
        <v>0</v>
      </c>
      <c r="Q296">
        <f>scenario_indirect_prod_4506_iotable_2020_xlsx_3[[#This Row],[2040]]+scenario_indirect_prod_1610_iotable_2020_xlsx_3[[#This Row],[2040]]</f>
        <v>0</v>
      </c>
      <c r="R296">
        <f>scenario_indirect_prod_4506_iotable_2020_xlsx_3[[#This Row],[2041]]+scenario_indirect_prod_1610_iotable_2020_xlsx_3[[#This Row],[2041]]</f>
        <v>0</v>
      </c>
      <c r="S296">
        <f>scenario_indirect_prod_4506_iotable_2020_xlsx_3[[#This Row],[2042]]+scenario_indirect_prod_1610_iotable_2020_xlsx_3[[#This Row],[2042]]</f>
        <v>0</v>
      </c>
      <c r="T296">
        <f>scenario_indirect_prod_4506_iotable_2020_xlsx_3[[#This Row],[2043]]+scenario_indirect_prod_1610_iotable_2020_xlsx_3[[#This Row],[2043]]</f>
        <v>0</v>
      </c>
      <c r="U296">
        <f>scenario_indirect_prod_4506_iotable_2020_xlsx_3[[#This Row],[2044]]+scenario_indirect_prod_1610_iotable_2020_xlsx_3[[#This Row],[2044]]</f>
        <v>0</v>
      </c>
      <c r="V296">
        <f>scenario_indirect_prod_4506_iotable_2020_xlsx_3[[#This Row],[2045]]+scenario_indirect_prod_1610_iotable_2020_xlsx_3[[#This Row],[2045]]</f>
        <v>0</v>
      </c>
      <c r="W296">
        <f>scenario_indirect_prod_4506_iotable_2020_xlsx_3[[#This Row],[2046]]+scenario_indirect_prod_1610_iotable_2020_xlsx_3[[#This Row],[2046]]</f>
        <v>0</v>
      </c>
      <c r="X296">
        <f>scenario_indirect_prod_4506_iotable_2020_xlsx_3[[#This Row],[2047]]+scenario_indirect_prod_1610_iotable_2020_xlsx_3[[#This Row],[2047]]</f>
        <v>0</v>
      </c>
      <c r="Y296">
        <f>scenario_indirect_prod_4506_iotable_2020_xlsx_3[[#This Row],[2048]]+scenario_indirect_prod_1610_iotable_2020_xlsx_3[[#This Row],[2048]]</f>
        <v>0</v>
      </c>
      <c r="Z296">
        <f>scenario_indirect_prod_4506_iotable_2020_xlsx_3[[#This Row],[2049]]+scenario_indirect_prod_1610_iotable_2020_xlsx_3[[#This Row],[2049]]</f>
        <v>0</v>
      </c>
      <c r="AA296">
        <f>scenario_indirect_prod_4506_iotable_2020_xlsx_3[[#This Row],[2050]]+scenario_indirect_prod_1610_iotable_2020_xlsx_3[[#This Row],[2050]]</f>
        <v>0</v>
      </c>
    </row>
    <row r="297" spans="1:27" x14ac:dyDescent="0.2">
      <c r="A297" t="s">
        <v>338</v>
      </c>
      <c r="B297" t="s">
        <v>7</v>
      </c>
      <c r="C297">
        <f>scenario_indirect_prod_4506_iotable_2020_xlsx_3[[#This Row],[2026]]+scenario_indirect_prod_1610_iotable_2020_xlsx_3[[#This Row],[2026]]</f>
        <v>835863.73187008093</v>
      </c>
      <c r="D297">
        <f>scenario_indirect_prod_4506_iotable_2020_xlsx_3[[#This Row],[2027]]+scenario_indirect_prod_1610_iotable_2020_xlsx_3[[#This Row],[2027]]</f>
        <v>875509.48982243403</v>
      </c>
      <c r="E297">
        <f>scenario_indirect_prod_4506_iotable_2020_xlsx_3[[#This Row],[2028]]+scenario_indirect_prod_1610_iotable_2020_xlsx_3[[#This Row],[2028]]</f>
        <v>914178.85648475715</v>
      </c>
      <c r="F297">
        <f>scenario_indirect_prod_4506_iotable_2020_xlsx_3[[#This Row],[2029]]+scenario_indirect_prod_1610_iotable_2020_xlsx_3[[#This Row],[2029]]</f>
        <v>957564.28249072505</v>
      </c>
      <c r="G297">
        <f>scenario_indirect_prod_4506_iotable_2020_xlsx_3[[#This Row],[2030]]+scenario_indirect_prod_1610_iotable_2020_xlsx_3[[#This Row],[2030]]</f>
        <v>1056694.1505732094</v>
      </c>
      <c r="H297">
        <f>scenario_indirect_prod_4506_iotable_2020_xlsx_3[[#This Row],[2031]]+scenario_indirect_prod_1610_iotable_2020_xlsx_3[[#This Row],[2031]]</f>
        <v>1108866.845382124</v>
      </c>
      <c r="I297">
        <f>scenario_indirect_prod_4506_iotable_2020_xlsx_3[[#This Row],[2032]]+scenario_indirect_prod_1610_iotable_2020_xlsx_3[[#This Row],[2032]]</f>
        <v>1181730.6565805213</v>
      </c>
      <c r="J297">
        <f>scenario_indirect_prod_4506_iotable_2020_xlsx_3[[#This Row],[2033]]+scenario_indirect_prod_1610_iotable_2020_xlsx_3[[#This Row],[2033]]</f>
        <v>1369425.8422635361</v>
      </c>
      <c r="K297">
        <f>scenario_indirect_prod_4506_iotable_2020_xlsx_3[[#This Row],[2034]]+scenario_indirect_prod_1610_iotable_2020_xlsx_3[[#This Row],[2034]]</f>
        <v>1437229.4175669013</v>
      </c>
      <c r="L297">
        <f>scenario_indirect_prod_4506_iotable_2020_xlsx_3[[#This Row],[2035]]+scenario_indirect_prod_1610_iotable_2020_xlsx_3[[#This Row],[2035]]</f>
        <v>1699380.8557020989</v>
      </c>
      <c r="M297">
        <f>scenario_indirect_prod_4506_iotable_2020_xlsx_3[[#This Row],[2036]]+scenario_indirect_prod_1610_iotable_2020_xlsx_3[[#This Row],[2036]]</f>
        <v>1821233.9622405884</v>
      </c>
      <c r="N297">
        <f>scenario_indirect_prod_4506_iotable_2020_xlsx_3[[#This Row],[2037]]+scenario_indirect_prod_1610_iotable_2020_xlsx_3[[#This Row],[2037]]</f>
        <v>1930498.2803798029</v>
      </c>
      <c r="O297">
        <f>scenario_indirect_prod_4506_iotable_2020_xlsx_3[[#This Row],[2038]]+scenario_indirect_prod_1610_iotable_2020_xlsx_3[[#This Row],[2038]]</f>
        <v>1930498.2803798029</v>
      </c>
      <c r="P297">
        <f>scenario_indirect_prod_4506_iotable_2020_xlsx_3[[#This Row],[2039]]+scenario_indirect_prod_1610_iotable_2020_xlsx_3[[#This Row],[2039]]</f>
        <v>1930498.2803798029</v>
      </c>
      <c r="Q297">
        <f>scenario_indirect_prod_4506_iotable_2020_xlsx_3[[#This Row],[2040]]+scenario_indirect_prod_1610_iotable_2020_xlsx_3[[#This Row],[2040]]</f>
        <v>2025952.846186657</v>
      </c>
      <c r="R297">
        <f>scenario_indirect_prod_4506_iotable_2020_xlsx_3[[#This Row],[2041]]+scenario_indirect_prod_1610_iotable_2020_xlsx_3[[#This Row],[2041]]</f>
        <v>2025952.846186657</v>
      </c>
      <c r="S297">
        <f>scenario_indirect_prod_4506_iotable_2020_xlsx_3[[#This Row],[2042]]+scenario_indirect_prod_1610_iotable_2020_xlsx_3[[#This Row],[2042]]</f>
        <v>2132792.8830205901</v>
      </c>
      <c r="T297">
        <f>scenario_indirect_prod_4506_iotable_2020_xlsx_3[[#This Row],[2043]]+scenario_indirect_prod_1610_iotable_2020_xlsx_3[[#This Row],[2043]]</f>
        <v>2132792.8830205901</v>
      </c>
      <c r="U297">
        <f>scenario_indirect_prod_4506_iotable_2020_xlsx_3[[#This Row],[2044]]+scenario_indirect_prod_1610_iotable_2020_xlsx_3[[#This Row],[2044]]</f>
        <v>2229912.8334519491</v>
      </c>
      <c r="V297">
        <f>scenario_indirect_prod_4506_iotable_2020_xlsx_3[[#This Row],[2045]]+scenario_indirect_prod_1610_iotable_2020_xlsx_3[[#This Row],[2045]]</f>
        <v>2229912.8334519491</v>
      </c>
      <c r="W297">
        <f>scenario_indirect_prod_4506_iotable_2020_xlsx_3[[#This Row],[2046]]+scenario_indirect_prod_1610_iotable_2020_xlsx_3[[#This Row],[2046]]</f>
        <v>2314030.8315726873</v>
      </c>
      <c r="X297">
        <f>scenario_indirect_prod_4506_iotable_2020_xlsx_3[[#This Row],[2047]]+scenario_indirect_prod_1610_iotable_2020_xlsx_3[[#This Row],[2047]]</f>
        <v>2314030.8315726873</v>
      </c>
      <c r="Y297">
        <f>scenario_indirect_prod_4506_iotable_2020_xlsx_3[[#This Row],[2048]]+scenario_indirect_prod_1610_iotable_2020_xlsx_3[[#This Row],[2048]]</f>
        <v>2314030.8315726873</v>
      </c>
      <c r="Z297">
        <f>scenario_indirect_prod_4506_iotable_2020_xlsx_3[[#This Row],[2049]]+scenario_indirect_prod_1610_iotable_2020_xlsx_3[[#This Row],[2049]]</f>
        <v>2314030.8315726873</v>
      </c>
      <c r="AA297">
        <f>scenario_indirect_prod_4506_iotable_2020_xlsx_3[[#This Row],[2050]]+scenario_indirect_prod_1610_iotable_2020_xlsx_3[[#This Row],[2050]]</f>
        <v>2314030.8315726873</v>
      </c>
    </row>
    <row r="298" spans="1:27" x14ac:dyDescent="0.2">
      <c r="A298" t="s">
        <v>605</v>
      </c>
      <c r="B298" t="s">
        <v>129</v>
      </c>
      <c r="C298">
        <f>scenario_indirect_prod_4506_iotable_2020_xlsx_3[[#This Row],[2026]]+scenario_indirect_prod_1610_iotable_2020_xlsx_3[[#This Row],[2026]]</f>
        <v>5683.6179457034232</v>
      </c>
      <c r="D298">
        <f>scenario_indirect_prod_4506_iotable_2020_xlsx_3[[#This Row],[2027]]+scenario_indirect_prod_1610_iotable_2020_xlsx_3[[#This Row],[2027]]</f>
        <v>5059.1585742152192</v>
      </c>
      <c r="E298">
        <f>scenario_indirect_prod_4506_iotable_2020_xlsx_3[[#This Row],[2028]]+scenario_indirect_prod_1610_iotable_2020_xlsx_3[[#This Row],[2028]]</f>
        <v>5375.2366461982092</v>
      </c>
      <c r="F298">
        <f>scenario_indirect_prod_4506_iotable_2020_xlsx_3[[#This Row],[2029]]+scenario_indirect_prod_1610_iotable_2020_xlsx_3[[#This Row],[2029]]</f>
        <v>5350.4557661934577</v>
      </c>
      <c r="G298">
        <f>scenario_indirect_prod_4506_iotable_2020_xlsx_3[[#This Row],[2030]]+scenario_indirect_prod_1610_iotable_2020_xlsx_3[[#This Row],[2030]]</f>
        <v>2944.7402834924887</v>
      </c>
      <c r="H298">
        <f>scenario_indirect_prod_4506_iotable_2020_xlsx_3[[#This Row],[2031]]+scenario_indirect_prod_1610_iotable_2020_xlsx_3[[#This Row],[2031]]</f>
        <v>3371.1926981224397</v>
      </c>
      <c r="I298">
        <f>scenario_indirect_prod_4506_iotable_2020_xlsx_3[[#This Row],[2032]]+scenario_indirect_prod_1610_iotable_2020_xlsx_3[[#This Row],[2032]]</f>
        <v>3966.7714455592713</v>
      </c>
      <c r="J298">
        <f>scenario_indirect_prod_4506_iotable_2020_xlsx_3[[#This Row],[2033]]+scenario_indirect_prod_1610_iotable_2020_xlsx_3[[#This Row],[2033]]</f>
        <v>3706.9217219324073</v>
      </c>
      <c r="K298">
        <f>scenario_indirect_prod_4506_iotable_2020_xlsx_3[[#This Row],[2034]]+scenario_indirect_prod_1610_iotable_2020_xlsx_3[[#This Row],[2034]]</f>
        <v>4261.1387987877752</v>
      </c>
      <c r="L298">
        <f>scenario_indirect_prod_4506_iotable_2020_xlsx_3[[#This Row],[2035]]+scenario_indirect_prod_1610_iotable_2020_xlsx_3[[#This Row],[2035]]</f>
        <v>4132.8825102420597</v>
      </c>
      <c r="M298">
        <f>scenario_indirect_prod_4506_iotable_2020_xlsx_3[[#This Row],[2036]]+scenario_indirect_prod_1610_iotable_2020_xlsx_3[[#This Row],[2036]]</f>
        <v>3638.22311322727</v>
      </c>
      <c r="N298">
        <f>scenario_indirect_prod_4506_iotable_2020_xlsx_3[[#This Row],[2037]]+scenario_indirect_prod_1610_iotable_2020_xlsx_3[[#This Row],[2037]]</f>
        <v>3228.1823288065389</v>
      </c>
      <c r="O298">
        <f>scenario_indirect_prod_4506_iotable_2020_xlsx_3[[#This Row],[2038]]+scenario_indirect_prod_1610_iotable_2020_xlsx_3[[#This Row],[2038]]</f>
        <v>3228.1823288065389</v>
      </c>
      <c r="P298">
        <f>scenario_indirect_prod_4506_iotable_2020_xlsx_3[[#This Row],[2039]]+scenario_indirect_prod_1610_iotable_2020_xlsx_3[[#This Row],[2039]]</f>
        <v>3228.1823288065389</v>
      </c>
      <c r="Q298">
        <f>scenario_indirect_prod_4506_iotable_2020_xlsx_3[[#This Row],[2040]]+scenario_indirect_prod_1610_iotable_2020_xlsx_3[[#This Row],[2040]]</f>
        <v>2864.3684587129683</v>
      </c>
      <c r="R298">
        <f>scenario_indirect_prod_4506_iotable_2020_xlsx_3[[#This Row],[2041]]+scenario_indirect_prod_1610_iotable_2020_xlsx_3[[#This Row],[2041]]</f>
        <v>2864.3684587129683</v>
      </c>
      <c r="S298">
        <f>scenario_indirect_prod_4506_iotable_2020_xlsx_3[[#This Row],[2042]]+scenario_indirect_prod_1610_iotable_2020_xlsx_3[[#This Row],[2042]]</f>
        <v>2474.9197352728224</v>
      </c>
      <c r="T298">
        <f>scenario_indirect_prod_4506_iotable_2020_xlsx_3[[#This Row],[2043]]+scenario_indirect_prod_1610_iotable_2020_xlsx_3[[#This Row],[2043]]</f>
        <v>2474.9197352728224</v>
      </c>
      <c r="U298">
        <f>scenario_indirect_prod_4506_iotable_2020_xlsx_3[[#This Row],[2044]]+scenario_indirect_prod_1610_iotable_2020_xlsx_3[[#This Row],[2044]]</f>
        <v>2067.8947101371123</v>
      </c>
      <c r="V298">
        <f>scenario_indirect_prod_4506_iotable_2020_xlsx_3[[#This Row],[2045]]+scenario_indirect_prod_1610_iotable_2020_xlsx_3[[#This Row],[2045]]</f>
        <v>2067.8947101371123</v>
      </c>
      <c r="W298">
        <f>scenario_indirect_prod_4506_iotable_2020_xlsx_3[[#This Row],[2046]]+scenario_indirect_prod_1610_iotable_2020_xlsx_3[[#This Row],[2046]]</f>
        <v>1732.9564110194042</v>
      </c>
      <c r="X298">
        <f>scenario_indirect_prod_4506_iotable_2020_xlsx_3[[#This Row],[2047]]+scenario_indirect_prod_1610_iotable_2020_xlsx_3[[#This Row],[2047]]</f>
        <v>1732.9564110194042</v>
      </c>
      <c r="Y298">
        <f>scenario_indirect_prod_4506_iotable_2020_xlsx_3[[#This Row],[2048]]+scenario_indirect_prod_1610_iotable_2020_xlsx_3[[#This Row],[2048]]</f>
        <v>1732.9564110194042</v>
      </c>
      <c r="Z298">
        <f>scenario_indirect_prod_4506_iotable_2020_xlsx_3[[#This Row],[2049]]+scenario_indirect_prod_1610_iotable_2020_xlsx_3[[#This Row],[2049]]</f>
        <v>1732.9564110194042</v>
      </c>
      <c r="AA298">
        <f>scenario_indirect_prod_4506_iotable_2020_xlsx_3[[#This Row],[2050]]+scenario_indirect_prod_1610_iotable_2020_xlsx_3[[#This Row],[2050]]</f>
        <v>1732.9564110194042</v>
      </c>
    </row>
    <row r="299" spans="1:27" x14ac:dyDescent="0.2">
      <c r="A299" t="s">
        <v>448</v>
      </c>
      <c r="B299" t="s">
        <v>449</v>
      </c>
      <c r="C299">
        <f>scenario_indirect_prod_4506_iotable_2020_xlsx_3[[#This Row],[2026]]+scenario_indirect_prod_1610_iotable_2020_xlsx_3[[#This Row],[2026]]</f>
        <v>26248.558625000664</v>
      </c>
      <c r="D299">
        <f>scenario_indirect_prod_4506_iotable_2020_xlsx_3[[#This Row],[2027]]+scenario_indirect_prod_1610_iotable_2020_xlsx_3[[#This Row],[2027]]</f>
        <v>27303.754013238362</v>
      </c>
      <c r="E299">
        <f>scenario_indirect_prod_4506_iotable_2020_xlsx_3[[#This Row],[2028]]+scenario_indirect_prod_1610_iotable_2020_xlsx_3[[#This Row],[2028]]</f>
        <v>28529.365692437616</v>
      </c>
      <c r="F299">
        <f>scenario_indirect_prod_4506_iotable_2020_xlsx_3[[#This Row],[2029]]+scenario_indirect_prod_1610_iotable_2020_xlsx_3[[#This Row],[2029]]</f>
        <v>29823.906104708298</v>
      </c>
      <c r="G299">
        <f>scenario_indirect_prod_4506_iotable_2020_xlsx_3[[#This Row],[2030]]+scenario_indirect_prod_1610_iotable_2020_xlsx_3[[#This Row],[2030]]</f>
        <v>32283.063484650127</v>
      </c>
      <c r="H299">
        <f>scenario_indirect_prod_4506_iotable_2020_xlsx_3[[#This Row],[2031]]+scenario_indirect_prod_1610_iotable_2020_xlsx_3[[#This Row],[2031]]</f>
        <v>33936.658296571535</v>
      </c>
      <c r="I299">
        <f>scenario_indirect_prod_4506_iotable_2020_xlsx_3[[#This Row],[2032]]+scenario_indirect_prod_1610_iotable_2020_xlsx_3[[#This Row],[2032]]</f>
        <v>36246.050606395322</v>
      </c>
      <c r="J299">
        <f>scenario_indirect_prod_4506_iotable_2020_xlsx_3[[#This Row],[2033]]+scenario_indirect_prod_1610_iotable_2020_xlsx_3[[#This Row],[2033]]</f>
        <v>41814.121172807012</v>
      </c>
      <c r="K299">
        <f>scenario_indirect_prod_4506_iotable_2020_xlsx_3[[#This Row],[2034]]+scenario_indirect_prod_1610_iotable_2020_xlsx_3[[#This Row],[2034]]</f>
        <v>43963.131124507061</v>
      </c>
      <c r="L299">
        <f>scenario_indirect_prod_4506_iotable_2020_xlsx_3[[#This Row],[2035]]+scenario_indirect_prod_1610_iotable_2020_xlsx_3[[#This Row],[2035]]</f>
        <v>51789.802303812918</v>
      </c>
      <c r="M299">
        <f>scenario_indirect_prod_4506_iotable_2020_xlsx_3[[#This Row],[2036]]+scenario_indirect_prod_1610_iotable_2020_xlsx_3[[#This Row],[2036]]</f>
        <v>55335.435732106896</v>
      </c>
      <c r="N299">
        <f>scenario_indirect_prod_4506_iotable_2020_xlsx_3[[#This Row],[2037]]+scenario_indirect_prod_1610_iotable_2020_xlsx_3[[#This Row],[2037]]</f>
        <v>58521.880491859665</v>
      </c>
      <c r="O299">
        <f>scenario_indirect_prod_4506_iotable_2020_xlsx_3[[#This Row],[2038]]+scenario_indirect_prod_1610_iotable_2020_xlsx_3[[#This Row],[2038]]</f>
        <v>58521.880491859665</v>
      </c>
      <c r="P299">
        <f>scenario_indirect_prod_4506_iotable_2020_xlsx_3[[#This Row],[2039]]+scenario_indirect_prod_1610_iotable_2020_xlsx_3[[#This Row],[2039]]</f>
        <v>58521.880491859665</v>
      </c>
      <c r="Q299">
        <f>scenario_indirect_prod_4506_iotable_2020_xlsx_3[[#This Row],[2040]]+scenario_indirect_prod_1610_iotable_2020_xlsx_3[[#This Row],[2040]]</f>
        <v>61304.406997557584</v>
      </c>
      <c r="R299">
        <f>scenario_indirect_prod_4506_iotable_2020_xlsx_3[[#This Row],[2041]]+scenario_indirect_prod_1610_iotable_2020_xlsx_3[[#This Row],[2041]]</f>
        <v>61304.406997557584</v>
      </c>
      <c r="S299">
        <f>scenario_indirect_prod_4506_iotable_2020_xlsx_3[[#This Row],[2042]]+scenario_indirect_prod_1610_iotable_2020_xlsx_3[[#This Row],[2042]]</f>
        <v>64422.593277560285</v>
      </c>
      <c r="T299">
        <f>scenario_indirect_prod_4506_iotable_2020_xlsx_3[[#This Row],[2043]]+scenario_indirect_prod_1610_iotable_2020_xlsx_3[[#This Row],[2043]]</f>
        <v>64422.593277560285</v>
      </c>
      <c r="U299">
        <f>scenario_indirect_prod_4506_iotable_2020_xlsx_3[[#This Row],[2044]]+scenario_indirect_prod_1610_iotable_2020_xlsx_3[[#This Row],[2044]]</f>
        <v>67245.840328126855</v>
      </c>
      <c r="V299">
        <f>scenario_indirect_prod_4506_iotable_2020_xlsx_3[[#This Row],[2045]]+scenario_indirect_prod_1610_iotable_2020_xlsx_3[[#This Row],[2045]]</f>
        <v>67245.840328126855</v>
      </c>
      <c r="W299">
        <f>scenario_indirect_prod_4506_iotable_2020_xlsx_3[[#This Row],[2046]]+scenario_indirect_prod_1610_iotable_2020_xlsx_3[[#This Row],[2046]]</f>
        <v>69694.860151885528</v>
      </c>
      <c r="X299">
        <f>scenario_indirect_prod_4506_iotable_2020_xlsx_3[[#This Row],[2047]]+scenario_indirect_prod_1610_iotable_2020_xlsx_3[[#This Row],[2047]]</f>
        <v>69694.860151885528</v>
      </c>
      <c r="Y299">
        <f>scenario_indirect_prod_4506_iotable_2020_xlsx_3[[#This Row],[2048]]+scenario_indirect_prod_1610_iotable_2020_xlsx_3[[#This Row],[2048]]</f>
        <v>69694.860151885528</v>
      </c>
      <c r="Z299">
        <f>scenario_indirect_prod_4506_iotable_2020_xlsx_3[[#This Row],[2049]]+scenario_indirect_prod_1610_iotable_2020_xlsx_3[[#This Row],[2049]]</f>
        <v>69694.860151885528</v>
      </c>
      <c r="AA299">
        <f>scenario_indirect_prod_4506_iotable_2020_xlsx_3[[#This Row],[2050]]+scenario_indirect_prod_1610_iotable_2020_xlsx_3[[#This Row],[2050]]</f>
        <v>69694.860151885528</v>
      </c>
    </row>
    <row r="300" spans="1:27" x14ac:dyDescent="0.2">
      <c r="A300" t="s">
        <v>365</v>
      </c>
      <c r="B300" t="s">
        <v>366</v>
      </c>
      <c r="C300">
        <f>scenario_indirect_prod_4506_iotable_2020_xlsx_3[[#This Row],[2026]]+scenario_indirect_prod_1610_iotable_2020_xlsx_3[[#This Row],[2026]]</f>
        <v>86767.512666284092</v>
      </c>
      <c r="D300">
        <f>scenario_indirect_prod_4506_iotable_2020_xlsx_3[[#This Row],[2027]]+scenario_indirect_prod_1610_iotable_2020_xlsx_3[[#This Row],[2027]]</f>
        <v>76728.433450370518</v>
      </c>
      <c r="E300">
        <f>scenario_indirect_prod_4506_iotable_2020_xlsx_3[[#This Row],[2028]]+scenario_indirect_prod_1610_iotable_2020_xlsx_3[[#This Row],[2028]]</f>
        <v>81583.82965560857</v>
      </c>
      <c r="F300">
        <f>scenario_indirect_prod_4506_iotable_2020_xlsx_3[[#This Row],[2029]]+scenario_indirect_prod_1610_iotable_2020_xlsx_3[[#This Row],[2029]]</f>
        <v>81024.553108836626</v>
      </c>
      <c r="G300">
        <f>scenario_indirect_prod_4506_iotable_2020_xlsx_3[[#This Row],[2030]]+scenario_indirect_prod_1610_iotable_2020_xlsx_3[[#This Row],[2030]]</f>
        <v>42555.493580335722</v>
      </c>
      <c r="H300">
        <f>scenario_indirect_prod_4506_iotable_2020_xlsx_3[[#This Row],[2031]]+scenario_indirect_prod_1610_iotable_2020_xlsx_3[[#This Row],[2031]]</f>
        <v>49106.392295702142</v>
      </c>
      <c r="I300">
        <f>scenario_indirect_prod_4506_iotable_2020_xlsx_3[[#This Row],[2032]]+scenario_indirect_prod_1610_iotable_2020_xlsx_3[[#This Row],[2032]]</f>
        <v>58255.305322420536</v>
      </c>
      <c r="J300">
        <f>scenario_indirect_prod_4506_iotable_2020_xlsx_3[[#This Row],[2033]]+scenario_indirect_prod_1610_iotable_2020_xlsx_3[[#This Row],[2033]]</f>
        <v>53419.098731644684</v>
      </c>
      <c r="K300">
        <f>scenario_indirect_prod_4506_iotable_2020_xlsx_3[[#This Row],[2034]]+scenario_indirect_prod_1610_iotable_2020_xlsx_3[[#This Row],[2034]]</f>
        <v>61932.639310272643</v>
      </c>
      <c r="L300">
        <f>scenario_indirect_prod_4506_iotable_2020_xlsx_3[[#This Row],[2035]]+scenario_indirect_prod_1610_iotable_2020_xlsx_3[[#This Row],[2035]]</f>
        <v>58893.338825638755</v>
      </c>
      <c r="M300">
        <f>scenario_indirect_prod_4506_iotable_2020_xlsx_3[[#This Row],[2036]]+scenario_indirect_prod_1610_iotable_2020_xlsx_3[[#This Row],[2036]]</f>
        <v>50592.946054130764</v>
      </c>
      <c r="N300">
        <f>scenario_indirect_prod_4506_iotable_2020_xlsx_3[[#This Row],[2037]]+scenario_indirect_prod_1610_iotable_2020_xlsx_3[[#This Row],[2037]]</f>
        <v>43680.687056776369</v>
      </c>
      <c r="O300">
        <f>scenario_indirect_prod_4506_iotable_2020_xlsx_3[[#This Row],[2038]]+scenario_indirect_prod_1610_iotable_2020_xlsx_3[[#This Row],[2038]]</f>
        <v>43680.687056776369</v>
      </c>
      <c r="P300">
        <f>scenario_indirect_prod_4506_iotable_2020_xlsx_3[[#This Row],[2039]]+scenario_indirect_prod_1610_iotable_2020_xlsx_3[[#This Row],[2039]]</f>
        <v>43680.687056776369</v>
      </c>
      <c r="Q300">
        <f>scenario_indirect_prod_4506_iotable_2020_xlsx_3[[#This Row],[2040]]+scenario_indirect_prod_1610_iotable_2020_xlsx_3[[#This Row],[2040]]</f>
        <v>37553.437309537432</v>
      </c>
      <c r="R300">
        <f>scenario_indirect_prod_4506_iotable_2020_xlsx_3[[#This Row],[2041]]+scenario_indirect_prod_1610_iotable_2020_xlsx_3[[#This Row],[2041]]</f>
        <v>37553.437309537432</v>
      </c>
      <c r="S300">
        <f>scenario_indirect_prod_4506_iotable_2020_xlsx_3[[#This Row],[2042]]+scenario_indirect_prod_1610_iotable_2020_xlsx_3[[#This Row],[2042]]</f>
        <v>30976.523020327615</v>
      </c>
      <c r="T300">
        <f>scenario_indirect_prod_4506_iotable_2020_xlsx_3[[#This Row],[2043]]+scenario_indirect_prod_1610_iotable_2020_xlsx_3[[#This Row],[2043]]</f>
        <v>30976.523020327615</v>
      </c>
      <c r="U300">
        <f>scenario_indirect_prod_4506_iotable_2020_xlsx_3[[#This Row],[2044]]+scenario_indirect_prod_1610_iotable_2020_xlsx_3[[#This Row],[2044]]</f>
        <v>24158.7401007546</v>
      </c>
      <c r="V300">
        <f>scenario_indirect_prod_4506_iotable_2020_xlsx_3[[#This Row],[2045]]+scenario_indirect_prod_1610_iotable_2020_xlsx_3[[#This Row],[2045]]</f>
        <v>24158.7401007546</v>
      </c>
      <c r="W300">
        <f>scenario_indirect_prod_4506_iotable_2020_xlsx_3[[#This Row],[2046]]+scenario_indirect_prod_1610_iotable_2020_xlsx_3[[#This Row],[2046]]</f>
        <v>18532.274208890914</v>
      </c>
      <c r="X300">
        <f>scenario_indirect_prod_4506_iotable_2020_xlsx_3[[#This Row],[2047]]+scenario_indirect_prod_1610_iotable_2020_xlsx_3[[#This Row],[2047]]</f>
        <v>18532.274208890914</v>
      </c>
      <c r="Y300">
        <f>scenario_indirect_prod_4506_iotable_2020_xlsx_3[[#This Row],[2048]]+scenario_indirect_prod_1610_iotable_2020_xlsx_3[[#This Row],[2048]]</f>
        <v>18532.274208890914</v>
      </c>
      <c r="Z300">
        <f>scenario_indirect_prod_4506_iotable_2020_xlsx_3[[#This Row],[2049]]+scenario_indirect_prod_1610_iotable_2020_xlsx_3[[#This Row],[2049]]</f>
        <v>18532.274208890914</v>
      </c>
      <c r="AA300">
        <f>scenario_indirect_prod_4506_iotable_2020_xlsx_3[[#This Row],[2050]]+scenario_indirect_prod_1610_iotable_2020_xlsx_3[[#This Row],[2050]]</f>
        <v>18532.274208890914</v>
      </c>
    </row>
    <row r="301" spans="1:27" x14ac:dyDescent="0.2">
      <c r="A301" t="s">
        <v>597</v>
      </c>
      <c r="B301" t="s">
        <v>598</v>
      </c>
      <c r="C301">
        <f>scenario_indirect_prod_4506_iotable_2020_xlsx_3[[#This Row],[2026]]+scenario_indirect_prod_1610_iotable_2020_xlsx_3[[#This Row],[2026]]</f>
        <v>5222.5196794281364</v>
      </c>
      <c r="D301">
        <f>scenario_indirect_prod_4506_iotable_2020_xlsx_3[[#This Row],[2027]]+scenario_indirect_prod_1610_iotable_2020_xlsx_3[[#This Row],[2027]]</f>
        <v>4004.6373130638449</v>
      </c>
      <c r="E301">
        <f>scenario_indirect_prod_4506_iotable_2020_xlsx_3[[#This Row],[2028]]+scenario_indirect_prod_1610_iotable_2020_xlsx_3[[#This Row],[2028]]</f>
        <v>4333.3545929737011</v>
      </c>
      <c r="F301">
        <f>scenario_indirect_prod_4506_iotable_2020_xlsx_3[[#This Row],[2029]]+scenario_indirect_prod_1610_iotable_2020_xlsx_3[[#This Row],[2029]]</f>
        <v>4080.2018198678861</v>
      </c>
      <c r="G301">
        <f>scenario_indirect_prod_4506_iotable_2020_xlsx_3[[#This Row],[2030]]+scenario_indirect_prod_1610_iotable_2020_xlsx_3[[#This Row],[2030]]</f>
        <v>-349.07294023752365</v>
      </c>
      <c r="H301">
        <f>scenario_indirect_prod_4506_iotable_2020_xlsx_3[[#This Row],[2031]]+scenario_indirect_prod_1610_iotable_2020_xlsx_3[[#This Row],[2031]]</f>
        <v>94.432288925258035</v>
      </c>
      <c r="I301">
        <f>scenario_indirect_prod_4506_iotable_2020_xlsx_3[[#This Row],[2032]]+scenario_indirect_prod_1610_iotable_2020_xlsx_3[[#This Row],[2032]]</f>
        <v>713.82680940338287</v>
      </c>
      <c r="J301">
        <f>scenario_indirect_prod_4506_iotable_2020_xlsx_3[[#This Row],[2033]]+scenario_indirect_prod_1610_iotable_2020_xlsx_3[[#This Row],[2033]]</f>
        <v>-631.59449045536167</v>
      </c>
      <c r="K301">
        <f>scenario_indirect_prod_4506_iotable_2020_xlsx_3[[#This Row],[2034]]+scenario_indirect_prod_1610_iotable_2020_xlsx_3[[#This Row],[2034]]</f>
        <v>-55.215595075072997</v>
      </c>
      <c r="L301">
        <f>scenario_indirect_prod_4506_iotable_2020_xlsx_3[[#This Row],[2035]]+scenario_indirect_prod_1610_iotable_2020_xlsx_3[[#This Row],[2035]]</f>
        <v>-1549.6511504573646</v>
      </c>
      <c r="M301">
        <f>scenario_indirect_prod_4506_iotable_2020_xlsx_3[[#This Row],[2036]]+scenario_indirect_prod_1610_iotable_2020_xlsx_3[[#This Row],[2036]]</f>
        <v>-2957.4576206698148</v>
      </c>
      <c r="N301">
        <f>scenario_indirect_prod_4506_iotable_2020_xlsx_3[[#This Row],[2037]]+scenario_indirect_prod_1610_iotable_2020_xlsx_3[[#This Row],[2037]]</f>
        <v>-4164.8814126849829</v>
      </c>
      <c r="O301">
        <f>scenario_indirect_prod_4506_iotable_2020_xlsx_3[[#This Row],[2038]]+scenario_indirect_prod_1610_iotable_2020_xlsx_3[[#This Row],[2038]]</f>
        <v>-4164.8814126849829</v>
      </c>
      <c r="P301">
        <f>scenario_indirect_prod_4506_iotable_2020_xlsx_3[[#This Row],[2039]]+scenario_indirect_prod_1610_iotable_2020_xlsx_3[[#This Row],[2039]]</f>
        <v>-4164.8814126849829</v>
      </c>
      <c r="Q301">
        <f>scenario_indirect_prod_4506_iotable_2020_xlsx_3[[#This Row],[2040]]+scenario_indirect_prod_1610_iotable_2020_xlsx_3[[#This Row],[2040]]</f>
        <v>-5228.8767127414649</v>
      </c>
      <c r="R301">
        <f>scenario_indirect_prod_4506_iotable_2020_xlsx_3[[#This Row],[2041]]+scenario_indirect_prod_1610_iotable_2020_xlsx_3[[#This Row],[2041]]</f>
        <v>-5228.8767127414649</v>
      </c>
      <c r="S301">
        <f>scenario_indirect_prod_4506_iotable_2020_xlsx_3[[#This Row],[2042]]+scenario_indirect_prod_1610_iotable_2020_xlsx_3[[#This Row],[2042]]</f>
        <v>-6390.6683939828472</v>
      </c>
      <c r="T301">
        <f>scenario_indirect_prod_4506_iotable_2020_xlsx_3[[#This Row],[2043]]+scenario_indirect_prod_1610_iotable_2020_xlsx_3[[#This Row],[2043]]</f>
        <v>-6390.6683939828472</v>
      </c>
      <c r="U301">
        <f>scenario_indirect_prod_4506_iotable_2020_xlsx_3[[#This Row],[2044]]+scenario_indirect_prod_1610_iotable_2020_xlsx_3[[#This Row],[2044]]</f>
        <v>-7533.6575696726686</v>
      </c>
      <c r="V301">
        <f>scenario_indirect_prod_4506_iotable_2020_xlsx_3[[#This Row],[2045]]+scenario_indirect_prod_1610_iotable_2020_xlsx_3[[#This Row],[2045]]</f>
        <v>-7533.6575696726686</v>
      </c>
      <c r="W301">
        <f>scenario_indirect_prod_4506_iotable_2020_xlsx_3[[#This Row],[2046]]+scenario_indirect_prod_1610_iotable_2020_xlsx_3[[#This Row],[2046]]</f>
        <v>-8494.7835620336009</v>
      </c>
      <c r="X301">
        <f>scenario_indirect_prod_4506_iotable_2020_xlsx_3[[#This Row],[2047]]+scenario_indirect_prod_1610_iotable_2020_xlsx_3[[#This Row],[2047]]</f>
        <v>-8494.7835620336009</v>
      </c>
      <c r="Y301">
        <f>scenario_indirect_prod_4506_iotable_2020_xlsx_3[[#This Row],[2048]]+scenario_indirect_prod_1610_iotable_2020_xlsx_3[[#This Row],[2048]]</f>
        <v>-8494.7835620336009</v>
      </c>
      <c r="Z301">
        <f>scenario_indirect_prod_4506_iotable_2020_xlsx_3[[#This Row],[2049]]+scenario_indirect_prod_1610_iotable_2020_xlsx_3[[#This Row],[2049]]</f>
        <v>-8494.7835620336009</v>
      </c>
      <c r="AA301">
        <f>scenario_indirect_prod_4506_iotable_2020_xlsx_3[[#This Row],[2050]]+scenario_indirect_prod_1610_iotable_2020_xlsx_3[[#This Row],[2050]]</f>
        <v>-8494.7835620336009</v>
      </c>
    </row>
    <row r="302" spans="1:27" x14ac:dyDescent="0.2">
      <c r="A302" t="s">
        <v>606</v>
      </c>
      <c r="B302" t="s">
        <v>607</v>
      </c>
      <c r="C302">
        <f>scenario_indirect_prod_4506_iotable_2020_xlsx_3[[#This Row],[2026]]+scenario_indirect_prod_1610_iotable_2020_xlsx_3[[#This Row],[2026]]</f>
        <v>6418.9870503518778</v>
      </c>
      <c r="D302">
        <f>scenario_indirect_prod_4506_iotable_2020_xlsx_3[[#This Row],[2027]]+scenario_indirect_prod_1610_iotable_2020_xlsx_3[[#This Row],[2027]]</f>
        <v>6414.2936458971162</v>
      </c>
      <c r="E302">
        <f>scenario_indirect_prod_4506_iotable_2020_xlsx_3[[#This Row],[2028]]+scenario_indirect_prod_1610_iotable_2020_xlsx_3[[#This Row],[2028]]</f>
        <v>6729.6285117598154</v>
      </c>
      <c r="F302">
        <f>scenario_indirect_prod_4506_iotable_2020_xlsx_3[[#This Row],[2029]]+scenario_indirect_prod_1610_iotable_2020_xlsx_3[[#This Row],[2029]]</f>
        <v>6952.2249859783851</v>
      </c>
      <c r="G302">
        <f>scenario_indirect_prod_4506_iotable_2020_xlsx_3[[#This Row],[2030]]+scenario_indirect_prod_1610_iotable_2020_xlsx_3[[#This Row],[2030]]</f>
        <v>6648.5290840518483</v>
      </c>
      <c r="H302">
        <f>scenario_indirect_prod_4506_iotable_2020_xlsx_3[[#This Row],[2031]]+scenario_indirect_prod_1610_iotable_2020_xlsx_3[[#This Row],[2031]]</f>
        <v>7073.9787652666746</v>
      </c>
      <c r="I302">
        <f>scenario_indirect_prod_4506_iotable_2020_xlsx_3[[#This Row],[2032]]+scenario_indirect_prod_1610_iotable_2020_xlsx_3[[#This Row],[2032]]</f>
        <v>7668.1571062550811</v>
      </c>
      <c r="J302">
        <f>scenario_indirect_prod_4506_iotable_2020_xlsx_3[[#This Row],[2033]]+scenario_indirect_prod_1610_iotable_2020_xlsx_3[[#This Row],[2033]]</f>
        <v>8578.3774580223162</v>
      </c>
      <c r="K302">
        <f>scenario_indirect_prod_4506_iotable_2020_xlsx_3[[#This Row],[2034]]+scenario_indirect_prod_1610_iotable_2020_xlsx_3[[#This Row],[2034]]</f>
        <v>9131.2913836628431</v>
      </c>
      <c r="L302">
        <f>scenario_indirect_prod_4506_iotable_2020_xlsx_3[[#This Row],[2035]]+scenario_indirect_prod_1610_iotable_2020_xlsx_3[[#This Row],[2035]]</f>
        <v>10483.732319507604</v>
      </c>
      <c r="M302">
        <f>scenario_indirect_prod_4506_iotable_2020_xlsx_3[[#This Row],[2036]]+scenario_indirect_prod_1610_iotable_2020_xlsx_3[[#This Row],[2036]]</f>
        <v>10961.938597077666</v>
      </c>
      <c r="N302">
        <f>scenario_indirect_prod_4506_iotable_2020_xlsx_3[[#This Row],[2037]]+scenario_indirect_prod_1610_iotable_2020_xlsx_3[[#This Row],[2037]]</f>
        <v>11402.329969127226</v>
      </c>
      <c r="O302">
        <f>scenario_indirect_prod_4506_iotable_2020_xlsx_3[[#This Row],[2038]]+scenario_indirect_prod_1610_iotable_2020_xlsx_3[[#This Row],[2038]]</f>
        <v>11402.329969127226</v>
      </c>
      <c r="P302">
        <f>scenario_indirect_prod_4506_iotable_2020_xlsx_3[[#This Row],[2039]]+scenario_indirect_prod_1610_iotable_2020_xlsx_3[[#This Row],[2039]]</f>
        <v>11402.329969127226</v>
      </c>
      <c r="Q302">
        <f>scenario_indirect_prod_4506_iotable_2020_xlsx_3[[#This Row],[2040]]+scenario_indirect_prod_1610_iotable_2020_xlsx_3[[#This Row],[2040]]</f>
        <v>11785.125359760123</v>
      </c>
      <c r="R302">
        <f>scenario_indirect_prod_4506_iotable_2020_xlsx_3[[#This Row],[2041]]+scenario_indirect_prod_1610_iotable_2020_xlsx_3[[#This Row],[2041]]</f>
        <v>11785.125359760123</v>
      </c>
      <c r="S302">
        <f>scenario_indirect_prod_4506_iotable_2020_xlsx_3[[#This Row],[2042]]+scenario_indirect_prod_1610_iotable_2020_xlsx_3[[#This Row],[2042]]</f>
        <v>12219.720293401295</v>
      </c>
      <c r="T302">
        <f>scenario_indirect_prod_4506_iotable_2020_xlsx_3[[#This Row],[2043]]+scenario_indirect_prod_1610_iotable_2020_xlsx_3[[#This Row],[2043]]</f>
        <v>12219.720293401295</v>
      </c>
      <c r="U302">
        <f>scenario_indirect_prod_4506_iotable_2020_xlsx_3[[#This Row],[2044]]+scenario_indirect_prod_1610_iotable_2020_xlsx_3[[#This Row],[2044]]</f>
        <v>12596.447071712537</v>
      </c>
      <c r="V302">
        <f>scenario_indirect_prod_4506_iotable_2020_xlsx_3[[#This Row],[2045]]+scenario_indirect_prod_1610_iotable_2020_xlsx_3[[#This Row],[2045]]</f>
        <v>12596.447071712537</v>
      </c>
      <c r="W302">
        <f>scenario_indirect_prod_4506_iotable_2020_xlsx_3[[#This Row],[2046]]+scenario_indirect_prod_1610_iotable_2020_xlsx_3[[#This Row],[2046]]</f>
        <v>12928.824100711476</v>
      </c>
      <c r="X302">
        <f>scenario_indirect_prod_4506_iotable_2020_xlsx_3[[#This Row],[2047]]+scenario_indirect_prod_1610_iotable_2020_xlsx_3[[#This Row],[2047]]</f>
        <v>12928.824100711476</v>
      </c>
      <c r="Y302">
        <f>scenario_indirect_prod_4506_iotable_2020_xlsx_3[[#This Row],[2048]]+scenario_indirect_prod_1610_iotable_2020_xlsx_3[[#This Row],[2048]]</f>
        <v>12928.824100711476</v>
      </c>
      <c r="Z302">
        <f>scenario_indirect_prod_4506_iotable_2020_xlsx_3[[#This Row],[2049]]+scenario_indirect_prod_1610_iotable_2020_xlsx_3[[#This Row],[2049]]</f>
        <v>12928.824100711476</v>
      </c>
      <c r="AA302">
        <f>scenario_indirect_prod_4506_iotable_2020_xlsx_3[[#This Row],[2050]]+scenario_indirect_prod_1610_iotable_2020_xlsx_3[[#This Row],[2050]]</f>
        <v>12928.824100711476</v>
      </c>
    </row>
    <row r="303" spans="1:27" x14ac:dyDescent="0.2">
      <c r="A303" t="s">
        <v>590</v>
      </c>
      <c r="B303" t="s">
        <v>207</v>
      </c>
      <c r="C303">
        <f>scenario_indirect_prod_4506_iotable_2020_xlsx_3[[#This Row],[2026]]+scenario_indirect_prod_1610_iotable_2020_xlsx_3[[#This Row],[2026]]</f>
        <v>6901.8494198158105</v>
      </c>
      <c r="D303">
        <f>scenario_indirect_prod_4506_iotable_2020_xlsx_3[[#This Row],[2027]]+scenario_indirect_prod_1610_iotable_2020_xlsx_3[[#This Row],[2027]]</f>
        <v>6961.2106202969089</v>
      </c>
      <c r="E303">
        <f>scenario_indirect_prod_4506_iotable_2020_xlsx_3[[#This Row],[2028]]+scenario_indirect_prod_1610_iotable_2020_xlsx_3[[#This Row],[2028]]</f>
        <v>7296.4381169968565</v>
      </c>
      <c r="F303">
        <f>scenario_indirect_prod_4506_iotable_2020_xlsx_3[[#This Row],[2029]]+scenario_indirect_prod_1610_iotable_2020_xlsx_3[[#This Row],[2029]]</f>
        <v>7558.817176122725</v>
      </c>
      <c r="G303">
        <f>scenario_indirect_prod_4506_iotable_2020_xlsx_3[[#This Row],[2030]]+scenario_indirect_prod_1610_iotable_2020_xlsx_3[[#This Row],[2030]]</f>
        <v>7454.1464478004746</v>
      </c>
      <c r="H303">
        <f>scenario_indirect_prod_4506_iotable_2020_xlsx_3[[#This Row],[2031]]+scenario_indirect_prod_1610_iotable_2020_xlsx_3[[#This Row],[2031]]</f>
        <v>7906.4352589829859</v>
      </c>
      <c r="I303">
        <f>scenario_indirect_prod_4506_iotable_2020_xlsx_3[[#This Row],[2032]]+scenario_indirect_prod_1610_iotable_2020_xlsx_3[[#This Row],[2032]]</f>
        <v>8538.0968334109748</v>
      </c>
      <c r="J303">
        <f>scenario_indirect_prod_4506_iotable_2020_xlsx_3[[#This Row],[2033]]+scenario_indirect_prod_1610_iotable_2020_xlsx_3[[#This Row],[2033]]</f>
        <v>9627.4516780272479</v>
      </c>
      <c r="K303">
        <f>scenario_indirect_prod_4506_iotable_2020_xlsx_3[[#This Row],[2034]]+scenario_indirect_prod_1610_iotable_2020_xlsx_3[[#This Row],[2034]]</f>
        <v>10215.245706689208</v>
      </c>
      <c r="L303">
        <f>scenario_indirect_prod_4506_iotable_2020_xlsx_3[[#This Row],[2035]]+scenario_indirect_prod_1610_iotable_2020_xlsx_3[[#This Row],[2035]]</f>
        <v>11807.079648919873</v>
      </c>
      <c r="M303">
        <f>scenario_indirect_prod_4506_iotable_2020_xlsx_3[[#This Row],[2036]]+scenario_indirect_prod_1610_iotable_2020_xlsx_3[[#This Row],[2036]]</f>
        <v>12416.585236925863</v>
      </c>
      <c r="N303">
        <f>scenario_indirect_prod_4506_iotable_2020_xlsx_3[[#This Row],[2037]]+scenario_indirect_prod_1610_iotable_2020_xlsx_3[[#This Row],[2037]]</f>
        <v>12973.168569349747</v>
      </c>
      <c r="O303">
        <f>scenario_indirect_prod_4506_iotable_2020_xlsx_3[[#This Row],[2038]]+scenario_indirect_prod_1610_iotable_2020_xlsx_3[[#This Row],[2038]]</f>
        <v>12973.168569349747</v>
      </c>
      <c r="P303">
        <f>scenario_indirect_prod_4506_iotable_2020_xlsx_3[[#This Row],[2039]]+scenario_indirect_prod_1610_iotable_2020_xlsx_3[[#This Row],[2039]]</f>
        <v>12973.168569349747</v>
      </c>
      <c r="Q303">
        <f>scenario_indirect_prod_4506_iotable_2020_xlsx_3[[#This Row],[2040]]+scenario_indirect_prod_1610_iotable_2020_xlsx_3[[#This Row],[2040]]</f>
        <v>13457.728244113045</v>
      </c>
      <c r="R303">
        <f>scenario_indirect_prod_4506_iotable_2020_xlsx_3[[#This Row],[2041]]+scenario_indirect_prod_1610_iotable_2020_xlsx_3[[#This Row],[2041]]</f>
        <v>13457.728244113045</v>
      </c>
      <c r="S303">
        <f>scenario_indirect_prod_4506_iotable_2020_xlsx_3[[#This Row],[2042]]+scenario_indirect_prod_1610_iotable_2020_xlsx_3[[#This Row],[2042]]</f>
        <v>14005.408073106391</v>
      </c>
      <c r="T303">
        <f>scenario_indirect_prod_4506_iotable_2020_xlsx_3[[#This Row],[2043]]+scenario_indirect_prod_1610_iotable_2020_xlsx_3[[#This Row],[2043]]</f>
        <v>14005.408073106391</v>
      </c>
      <c r="U303">
        <f>scenario_indirect_prod_4506_iotable_2020_xlsx_3[[#This Row],[2044]]+scenario_indirect_prod_1610_iotable_2020_xlsx_3[[#This Row],[2044]]</f>
        <v>14487.371419262929</v>
      </c>
      <c r="V303">
        <f>scenario_indirect_prod_4506_iotable_2020_xlsx_3[[#This Row],[2045]]+scenario_indirect_prod_1610_iotable_2020_xlsx_3[[#This Row],[2045]]</f>
        <v>14487.371419262929</v>
      </c>
      <c r="W303">
        <f>scenario_indirect_prod_4506_iotable_2020_xlsx_3[[#This Row],[2046]]+scenario_indirect_prod_1610_iotable_2020_xlsx_3[[#This Row],[2046]]</f>
        <v>14910.086509574347</v>
      </c>
      <c r="X303">
        <f>scenario_indirect_prod_4506_iotable_2020_xlsx_3[[#This Row],[2047]]+scenario_indirect_prod_1610_iotable_2020_xlsx_3[[#This Row],[2047]]</f>
        <v>14910.086509574347</v>
      </c>
      <c r="Y303">
        <f>scenario_indirect_prod_4506_iotable_2020_xlsx_3[[#This Row],[2048]]+scenario_indirect_prod_1610_iotable_2020_xlsx_3[[#This Row],[2048]]</f>
        <v>14910.086509574347</v>
      </c>
      <c r="Z303">
        <f>scenario_indirect_prod_4506_iotable_2020_xlsx_3[[#This Row],[2049]]+scenario_indirect_prod_1610_iotable_2020_xlsx_3[[#This Row],[2049]]</f>
        <v>14910.086509574347</v>
      </c>
      <c r="AA303">
        <f>scenario_indirect_prod_4506_iotable_2020_xlsx_3[[#This Row],[2050]]+scenario_indirect_prod_1610_iotable_2020_xlsx_3[[#This Row],[2050]]</f>
        <v>14910.086509574347</v>
      </c>
    </row>
    <row r="304" spans="1:27" x14ac:dyDescent="0.2">
      <c r="A304" t="s">
        <v>446</v>
      </c>
      <c r="B304" t="s">
        <v>447</v>
      </c>
      <c r="C304">
        <f>scenario_indirect_prod_4506_iotable_2020_xlsx_3[[#This Row],[2026]]+scenario_indirect_prod_1610_iotable_2020_xlsx_3[[#This Row],[2026]]</f>
        <v>25853.097517157061</v>
      </c>
      <c r="D304">
        <f>scenario_indirect_prod_4506_iotable_2020_xlsx_3[[#This Row],[2027]]+scenario_indirect_prod_1610_iotable_2020_xlsx_3[[#This Row],[2027]]</f>
        <v>25051.32852515698</v>
      </c>
      <c r="E304">
        <f>scenario_indirect_prod_4506_iotable_2020_xlsx_3[[#This Row],[2028]]+scenario_indirect_prod_1610_iotable_2020_xlsx_3[[#This Row],[2028]]</f>
        <v>26367.901034598457</v>
      </c>
      <c r="F304">
        <f>scenario_indirect_prod_4506_iotable_2020_xlsx_3[[#This Row],[2029]]+scenario_indirect_prod_1610_iotable_2020_xlsx_3[[#This Row],[2029]]</f>
        <v>26984.406868917758</v>
      </c>
      <c r="G304">
        <f>scenario_indirect_prod_4506_iotable_2020_xlsx_3[[#This Row],[2030]]+scenario_indirect_prod_1610_iotable_2020_xlsx_3[[#This Row],[2030]]</f>
        <v>23064.439011397371</v>
      </c>
      <c r="H304">
        <f>scenario_indirect_prod_4506_iotable_2020_xlsx_3[[#This Row],[2031]]+scenario_indirect_prod_1610_iotable_2020_xlsx_3[[#This Row],[2031]]</f>
        <v>24840.758140922269</v>
      </c>
      <c r="I304">
        <f>scenario_indirect_prod_4506_iotable_2020_xlsx_3[[#This Row],[2032]]+scenario_indirect_prod_1610_iotable_2020_xlsx_3[[#This Row],[2032]]</f>
        <v>27321.545881633108</v>
      </c>
      <c r="J304">
        <f>scenario_indirect_prod_4506_iotable_2020_xlsx_3[[#This Row],[2033]]+scenario_indirect_prod_1610_iotable_2020_xlsx_3[[#This Row],[2033]]</f>
        <v>29642.442216885942</v>
      </c>
      <c r="K304">
        <f>scenario_indirect_prod_4506_iotable_2020_xlsx_3[[#This Row],[2034]]+scenario_indirect_prod_1610_iotable_2020_xlsx_3[[#This Row],[2034]]</f>
        <v>31950.944553264588</v>
      </c>
      <c r="L304">
        <f>scenario_indirect_prod_4506_iotable_2020_xlsx_3[[#This Row],[2035]]+scenario_indirect_prod_1610_iotable_2020_xlsx_3[[#This Row],[2035]]</f>
        <v>35724.83294829986</v>
      </c>
      <c r="M304">
        <f>scenario_indirect_prod_4506_iotable_2020_xlsx_3[[#This Row],[2036]]+scenario_indirect_prod_1610_iotable_2020_xlsx_3[[#This Row],[2036]]</f>
        <v>36492.173338283974</v>
      </c>
      <c r="N304">
        <f>scenario_indirect_prod_4506_iotable_2020_xlsx_3[[#This Row],[2037]]+scenario_indirect_prod_1610_iotable_2020_xlsx_3[[#This Row],[2037]]</f>
        <v>37256.262566382466</v>
      </c>
      <c r="O304">
        <f>scenario_indirect_prod_4506_iotable_2020_xlsx_3[[#This Row],[2038]]+scenario_indirect_prod_1610_iotable_2020_xlsx_3[[#This Row],[2038]]</f>
        <v>37256.262566382466</v>
      </c>
      <c r="P304">
        <f>scenario_indirect_prod_4506_iotable_2020_xlsx_3[[#This Row],[2039]]+scenario_indirect_prod_1610_iotable_2020_xlsx_3[[#This Row],[2039]]</f>
        <v>37256.262566382466</v>
      </c>
      <c r="Q304">
        <f>scenario_indirect_prod_4506_iotable_2020_xlsx_3[[#This Row],[2040]]+scenario_indirect_prod_1610_iotable_2020_xlsx_3[[#This Row],[2040]]</f>
        <v>37911.08249399643</v>
      </c>
      <c r="R304">
        <f>scenario_indirect_prod_4506_iotable_2020_xlsx_3[[#This Row],[2041]]+scenario_indirect_prod_1610_iotable_2020_xlsx_3[[#This Row],[2041]]</f>
        <v>37911.08249399643</v>
      </c>
      <c r="S304">
        <f>scenario_indirect_prod_4506_iotable_2020_xlsx_3[[#This Row],[2042]]+scenario_indirect_prod_1610_iotable_2020_xlsx_3[[#This Row],[2042]]</f>
        <v>38684.292024794857</v>
      </c>
      <c r="T304">
        <f>scenario_indirect_prod_4506_iotable_2020_xlsx_3[[#This Row],[2043]]+scenario_indirect_prod_1610_iotable_2020_xlsx_3[[#This Row],[2043]]</f>
        <v>38684.292024794857</v>
      </c>
      <c r="U304">
        <f>scenario_indirect_prod_4506_iotable_2020_xlsx_3[[#This Row],[2044]]+scenario_indirect_prod_1610_iotable_2020_xlsx_3[[#This Row],[2044]]</f>
        <v>39266.916153660663</v>
      </c>
      <c r="V304">
        <f>scenario_indirect_prod_4506_iotable_2020_xlsx_3[[#This Row],[2045]]+scenario_indirect_prod_1610_iotable_2020_xlsx_3[[#This Row],[2045]]</f>
        <v>39266.916153660663</v>
      </c>
      <c r="W304">
        <f>scenario_indirect_prod_4506_iotable_2020_xlsx_3[[#This Row],[2046]]+scenario_indirect_prod_1610_iotable_2020_xlsx_3[[#This Row],[2046]]</f>
        <v>39811.45588109181</v>
      </c>
      <c r="X304">
        <f>scenario_indirect_prod_4506_iotable_2020_xlsx_3[[#This Row],[2047]]+scenario_indirect_prod_1610_iotable_2020_xlsx_3[[#This Row],[2047]]</f>
        <v>39811.45588109181</v>
      </c>
      <c r="Y304">
        <f>scenario_indirect_prod_4506_iotable_2020_xlsx_3[[#This Row],[2048]]+scenario_indirect_prod_1610_iotable_2020_xlsx_3[[#This Row],[2048]]</f>
        <v>39811.45588109181</v>
      </c>
      <c r="Z304">
        <f>scenario_indirect_prod_4506_iotable_2020_xlsx_3[[#This Row],[2049]]+scenario_indirect_prod_1610_iotable_2020_xlsx_3[[#This Row],[2049]]</f>
        <v>39811.45588109181</v>
      </c>
      <c r="AA304">
        <f>scenario_indirect_prod_4506_iotable_2020_xlsx_3[[#This Row],[2050]]+scenario_indirect_prod_1610_iotable_2020_xlsx_3[[#This Row],[2050]]</f>
        <v>39811.45588109181</v>
      </c>
    </row>
    <row r="305" spans="1:27" x14ac:dyDescent="0.2">
      <c r="A305" t="s">
        <v>791</v>
      </c>
      <c r="B305" t="s">
        <v>792</v>
      </c>
      <c r="C305">
        <f>scenario_indirect_prod_4506_iotable_2020_xlsx_3[[#This Row],[2026]]+scenario_indirect_prod_1610_iotable_2020_xlsx_3[[#This Row],[2026]]</f>
        <v>1040.8756824322918</v>
      </c>
      <c r="D305">
        <f>scenario_indirect_prod_4506_iotable_2020_xlsx_3[[#This Row],[2027]]+scenario_indirect_prod_1610_iotable_2020_xlsx_3[[#This Row],[2027]]</f>
        <v>811.55001297309627</v>
      </c>
      <c r="E305">
        <f>scenario_indirect_prod_4506_iotable_2020_xlsx_3[[#This Row],[2028]]+scenario_indirect_prod_1610_iotable_2020_xlsx_3[[#This Row],[2028]]</f>
        <v>876.26837465291771</v>
      </c>
      <c r="F305">
        <f>scenario_indirect_prod_4506_iotable_2020_xlsx_3[[#This Row],[2029]]+scenario_indirect_prod_1610_iotable_2020_xlsx_3[[#This Row],[2029]]</f>
        <v>830.6084199389212</v>
      </c>
      <c r="G305">
        <f>scenario_indirect_prod_4506_iotable_2020_xlsx_3[[#This Row],[2030]]+scenario_indirect_prod_1610_iotable_2020_xlsx_3[[#This Row],[2030]]</f>
        <v>-5.9930840115061983</v>
      </c>
      <c r="H305">
        <f>scenario_indirect_prod_4506_iotable_2020_xlsx_3[[#This Row],[2031]]+scenario_indirect_prod_1610_iotable_2020_xlsx_3[[#This Row],[2031]]</f>
        <v>81.324904978060204</v>
      </c>
      <c r="I305">
        <f>scenario_indirect_prod_4506_iotable_2020_xlsx_3[[#This Row],[2032]]+scenario_indirect_prod_1610_iotable_2020_xlsx_3[[#This Row],[2032]]</f>
        <v>203.27224711290501</v>
      </c>
      <c r="J305">
        <f>scenario_indirect_prod_4506_iotable_2020_xlsx_3[[#This Row],[2033]]+scenario_indirect_prod_1610_iotable_2020_xlsx_3[[#This Row],[2033]]</f>
        <v>-41.845604396494309</v>
      </c>
      <c r="K305">
        <f>scenario_indirect_prod_4506_iotable_2020_xlsx_3[[#This Row],[2034]]+scenario_indirect_prod_1610_iotable_2020_xlsx_3[[#This Row],[2034]]</f>
        <v>71.632755567018648</v>
      </c>
      <c r="L305">
        <f>scenario_indirect_prod_4506_iotable_2020_xlsx_3[[#This Row],[2035]]+scenario_indirect_prod_1610_iotable_2020_xlsx_3[[#This Row],[2035]]</f>
        <v>-197.5665891191652</v>
      </c>
      <c r="M305">
        <f>scenario_indirect_prod_4506_iotable_2020_xlsx_3[[#This Row],[2036]]+scenario_indirect_prod_1610_iotable_2020_xlsx_3[[#This Row],[2036]]</f>
        <v>-458.31017994389822</v>
      </c>
      <c r="N305">
        <f>scenario_indirect_prod_4506_iotable_2020_xlsx_3[[#This Row],[2037]]+scenario_indirect_prod_1610_iotable_2020_xlsx_3[[#This Row],[2037]]</f>
        <v>-681.66860687286589</v>
      </c>
      <c r="O305">
        <f>scenario_indirect_prod_4506_iotable_2020_xlsx_3[[#This Row],[2038]]+scenario_indirect_prod_1610_iotable_2020_xlsx_3[[#This Row],[2038]]</f>
        <v>-681.66860687286589</v>
      </c>
      <c r="P305">
        <f>scenario_indirect_prod_4506_iotable_2020_xlsx_3[[#This Row],[2039]]+scenario_indirect_prod_1610_iotable_2020_xlsx_3[[#This Row],[2039]]</f>
        <v>-681.66860687286589</v>
      </c>
      <c r="Q305">
        <f>scenario_indirect_prod_4506_iotable_2020_xlsx_3[[#This Row],[2040]]+scenario_indirect_prod_1610_iotable_2020_xlsx_3[[#This Row],[2040]]</f>
        <v>-878.54199420293025</v>
      </c>
      <c r="R305">
        <f>scenario_indirect_prod_4506_iotable_2020_xlsx_3[[#This Row],[2041]]+scenario_indirect_prod_1610_iotable_2020_xlsx_3[[#This Row],[2041]]</f>
        <v>-878.54199420293025</v>
      </c>
      <c r="S305">
        <f>scenario_indirect_prod_4506_iotable_2020_xlsx_3[[#This Row],[2042]]+scenario_indirect_prod_1610_iotable_2020_xlsx_3[[#This Row],[2042]]</f>
        <v>-1093.3616039511835</v>
      </c>
      <c r="T305">
        <f>scenario_indirect_prod_4506_iotable_2020_xlsx_3[[#This Row],[2043]]+scenario_indirect_prod_1610_iotable_2020_xlsx_3[[#This Row],[2043]]</f>
        <v>-1093.3616039511835</v>
      </c>
      <c r="U305">
        <f>scenario_indirect_prod_4506_iotable_2020_xlsx_3[[#This Row],[2044]]+scenario_indirect_prod_1610_iotable_2020_xlsx_3[[#This Row],[2044]]</f>
        <v>-1305.1612162281281</v>
      </c>
      <c r="V305">
        <f>scenario_indirect_prod_4506_iotable_2020_xlsx_3[[#This Row],[2045]]+scenario_indirect_prod_1610_iotable_2020_xlsx_3[[#This Row],[2045]]</f>
        <v>-1305.1612162281281</v>
      </c>
      <c r="W305">
        <f>scenario_indirect_prod_4506_iotable_2020_xlsx_3[[#This Row],[2046]]+scenario_indirect_prod_1610_iotable_2020_xlsx_3[[#This Row],[2046]]</f>
        <v>-1483.120923902512</v>
      </c>
      <c r="X305">
        <f>scenario_indirect_prod_4506_iotable_2020_xlsx_3[[#This Row],[2047]]+scenario_indirect_prod_1610_iotable_2020_xlsx_3[[#This Row],[2047]]</f>
        <v>-1483.120923902512</v>
      </c>
      <c r="Y305">
        <f>scenario_indirect_prod_4506_iotable_2020_xlsx_3[[#This Row],[2048]]+scenario_indirect_prod_1610_iotable_2020_xlsx_3[[#This Row],[2048]]</f>
        <v>-1483.120923902512</v>
      </c>
      <c r="Z305">
        <f>scenario_indirect_prod_4506_iotable_2020_xlsx_3[[#This Row],[2049]]+scenario_indirect_prod_1610_iotable_2020_xlsx_3[[#This Row],[2049]]</f>
        <v>-1483.120923902512</v>
      </c>
      <c r="AA305">
        <f>scenario_indirect_prod_4506_iotable_2020_xlsx_3[[#This Row],[2050]]+scenario_indirect_prod_1610_iotable_2020_xlsx_3[[#This Row],[2050]]</f>
        <v>-1483.120923902512</v>
      </c>
    </row>
    <row r="306" spans="1:27" x14ac:dyDescent="0.2">
      <c r="A306" t="s">
        <v>767</v>
      </c>
      <c r="B306" t="s">
        <v>768</v>
      </c>
      <c r="C306">
        <f>scenario_indirect_prod_4506_iotable_2020_xlsx_3[[#This Row],[2026]]+scenario_indirect_prod_1610_iotable_2020_xlsx_3[[#This Row],[2026]]</f>
        <v>1805.2119653516029</v>
      </c>
      <c r="D306">
        <f>scenario_indirect_prod_4506_iotable_2020_xlsx_3[[#This Row],[2027]]+scenario_indirect_prod_1610_iotable_2020_xlsx_3[[#This Row],[2027]]</f>
        <v>1779.9338106496762</v>
      </c>
      <c r="E306">
        <f>scenario_indirect_prod_4506_iotable_2020_xlsx_3[[#This Row],[2028]]+scenario_indirect_prod_1610_iotable_2020_xlsx_3[[#This Row],[2028]]</f>
        <v>1870.0394313387906</v>
      </c>
      <c r="F306">
        <f>scenario_indirect_prod_4506_iotable_2020_xlsx_3[[#This Row],[2029]]+scenario_indirect_prod_1610_iotable_2020_xlsx_3[[#This Row],[2029]]</f>
        <v>1924.0706294442384</v>
      </c>
      <c r="G306">
        <f>scenario_indirect_prod_4506_iotable_2020_xlsx_3[[#This Row],[2030]]+scenario_indirect_prod_1610_iotable_2020_xlsx_3[[#This Row],[2030]]</f>
        <v>1756.1313224949963</v>
      </c>
      <c r="H306">
        <f>scenario_indirect_prod_4506_iotable_2020_xlsx_3[[#This Row],[2031]]+scenario_indirect_prod_1610_iotable_2020_xlsx_3[[#This Row],[2031]]</f>
        <v>1877.701791694363</v>
      </c>
      <c r="I306">
        <f>scenario_indirect_prod_4506_iotable_2020_xlsx_3[[#This Row],[2032]]+scenario_indirect_prod_1610_iotable_2020_xlsx_3[[#This Row],[2032]]</f>
        <v>2047.4857706029941</v>
      </c>
      <c r="J306">
        <f>scenario_indirect_prod_4506_iotable_2020_xlsx_3[[#This Row],[2033]]+scenario_indirect_prod_1610_iotable_2020_xlsx_3[[#This Row],[2033]]</f>
        <v>2262.3025057970326</v>
      </c>
      <c r="K306">
        <f>scenario_indirect_prod_4506_iotable_2020_xlsx_3[[#This Row],[2034]]+scenario_indirect_prod_1610_iotable_2020_xlsx_3[[#This Row],[2034]]</f>
        <v>2420.2953503916006</v>
      </c>
      <c r="L306">
        <f>scenario_indirect_prod_4506_iotable_2020_xlsx_3[[#This Row],[2035]]+scenario_indirect_prod_1610_iotable_2020_xlsx_3[[#This Row],[2035]]</f>
        <v>2749.4370417882801</v>
      </c>
      <c r="M306">
        <f>scenario_indirect_prod_4506_iotable_2020_xlsx_3[[#This Row],[2036]]+scenario_indirect_prod_1610_iotable_2020_xlsx_3[[#This Row],[2036]]</f>
        <v>2848.4635884603945</v>
      </c>
      <c r="N306">
        <f>scenario_indirect_prod_4506_iotable_2020_xlsx_3[[#This Row],[2037]]+scenario_indirect_prod_1610_iotable_2020_xlsx_3[[#This Row],[2037]]</f>
        <v>2941.4169233952794</v>
      </c>
      <c r="O306">
        <f>scenario_indirect_prod_4506_iotable_2020_xlsx_3[[#This Row],[2038]]+scenario_indirect_prod_1610_iotable_2020_xlsx_3[[#This Row],[2038]]</f>
        <v>2941.4169233952794</v>
      </c>
      <c r="P306">
        <f>scenario_indirect_prod_4506_iotable_2020_xlsx_3[[#This Row],[2039]]+scenario_indirect_prod_1610_iotable_2020_xlsx_3[[#This Row],[2039]]</f>
        <v>2941.4169233952794</v>
      </c>
      <c r="Q306">
        <f>scenario_indirect_prod_4506_iotable_2020_xlsx_3[[#This Row],[2040]]+scenario_indirect_prod_1610_iotable_2020_xlsx_3[[#This Row],[2040]]</f>
        <v>3021.9276821870662</v>
      </c>
      <c r="R306">
        <f>scenario_indirect_prod_4506_iotable_2020_xlsx_3[[#This Row],[2041]]+scenario_indirect_prod_1610_iotable_2020_xlsx_3[[#This Row],[2041]]</f>
        <v>3021.9276821870662</v>
      </c>
      <c r="S306">
        <f>scenario_indirect_prod_4506_iotable_2020_xlsx_3[[#This Row],[2042]]+scenario_indirect_prod_1610_iotable_2020_xlsx_3[[#This Row],[2042]]</f>
        <v>3114.2444499561911</v>
      </c>
      <c r="T306">
        <f>scenario_indirect_prod_4506_iotable_2020_xlsx_3[[#This Row],[2043]]+scenario_indirect_prod_1610_iotable_2020_xlsx_3[[#This Row],[2043]]</f>
        <v>3114.2444499561911</v>
      </c>
      <c r="U306">
        <f>scenario_indirect_prod_4506_iotable_2020_xlsx_3[[#This Row],[2044]]+scenario_indirect_prod_1610_iotable_2020_xlsx_3[[#This Row],[2044]]</f>
        <v>3191.5871097292134</v>
      </c>
      <c r="V306">
        <f>scenario_indirect_prod_4506_iotable_2020_xlsx_3[[#This Row],[2045]]+scenario_indirect_prod_1610_iotable_2020_xlsx_3[[#This Row],[2045]]</f>
        <v>3191.5871097292134</v>
      </c>
      <c r="W306">
        <f>scenario_indirect_prod_4506_iotable_2020_xlsx_3[[#This Row],[2046]]+scenario_indirect_prod_1610_iotable_2020_xlsx_3[[#This Row],[2046]]</f>
        <v>3260.7582222117189</v>
      </c>
      <c r="X306">
        <f>scenario_indirect_prod_4506_iotable_2020_xlsx_3[[#This Row],[2047]]+scenario_indirect_prod_1610_iotable_2020_xlsx_3[[#This Row],[2047]]</f>
        <v>3260.7582222117189</v>
      </c>
      <c r="Y306">
        <f>scenario_indirect_prod_4506_iotable_2020_xlsx_3[[#This Row],[2048]]+scenario_indirect_prod_1610_iotable_2020_xlsx_3[[#This Row],[2048]]</f>
        <v>3260.7582222117189</v>
      </c>
      <c r="Z306">
        <f>scenario_indirect_prod_4506_iotable_2020_xlsx_3[[#This Row],[2049]]+scenario_indirect_prod_1610_iotable_2020_xlsx_3[[#This Row],[2049]]</f>
        <v>3260.7582222117189</v>
      </c>
      <c r="AA306">
        <f>scenario_indirect_prod_4506_iotable_2020_xlsx_3[[#This Row],[2050]]+scenario_indirect_prod_1610_iotable_2020_xlsx_3[[#This Row],[2050]]</f>
        <v>3260.7582222117189</v>
      </c>
    </row>
    <row r="307" spans="1:27" x14ac:dyDescent="0.2">
      <c r="A307" t="s">
        <v>550</v>
      </c>
      <c r="B307" t="s">
        <v>127</v>
      </c>
      <c r="C307">
        <f>scenario_indirect_prod_4506_iotable_2020_xlsx_3[[#This Row],[2026]]+scenario_indirect_prod_1610_iotable_2020_xlsx_3[[#This Row],[2026]]</f>
        <v>7229.9414792641883</v>
      </c>
      <c r="D307">
        <f>scenario_indirect_prod_4506_iotable_2020_xlsx_3[[#This Row],[2027]]+scenario_indirect_prod_1610_iotable_2020_xlsx_3[[#This Row],[2027]]</f>
        <v>5358.8544305038868</v>
      </c>
      <c r="E307">
        <f>scenario_indirect_prod_4506_iotable_2020_xlsx_3[[#This Row],[2028]]+scenario_indirect_prod_1610_iotable_2020_xlsx_3[[#This Row],[2028]]</f>
        <v>5824.9237000167932</v>
      </c>
      <c r="F307">
        <f>scenario_indirect_prod_4506_iotable_2020_xlsx_3[[#This Row],[2029]]+scenario_indirect_prod_1610_iotable_2020_xlsx_3[[#This Row],[2029]]</f>
        <v>5408.2642225673035</v>
      </c>
      <c r="G307">
        <f>scenario_indirect_prod_4506_iotable_2020_xlsx_3[[#This Row],[2030]]+scenario_indirect_prod_1610_iotable_2020_xlsx_3[[#This Row],[2030]]</f>
        <v>-1361.0781177137596</v>
      </c>
      <c r="H307">
        <f>scenario_indirect_prod_4506_iotable_2020_xlsx_3[[#This Row],[2031]]+scenario_indirect_prod_1610_iotable_2020_xlsx_3[[#This Row],[2031]]</f>
        <v>-732.25763636353804</v>
      </c>
      <c r="I307">
        <f>scenario_indirect_prod_4506_iotable_2020_xlsx_3[[#This Row],[2032]]+scenario_indirect_prod_1610_iotable_2020_xlsx_3[[#This Row],[2032]]</f>
        <v>145.94612517494897</v>
      </c>
      <c r="J307">
        <f>scenario_indirect_prod_4506_iotable_2020_xlsx_3[[#This Row],[2033]]+scenario_indirect_prod_1610_iotable_2020_xlsx_3[[#This Row],[2033]]</f>
        <v>-2034.6221009413966</v>
      </c>
      <c r="K307">
        <f>scenario_indirect_prod_4506_iotable_2020_xlsx_3[[#This Row],[2034]]+scenario_indirect_prod_1610_iotable_2020_xlsx_3[[#This Row],[2034]]</f>
        <v>-1217.4077129231773</v>
      </c>
      <c r="L307">
        <f>scenario_indirect_prod_4506_iotable_2020_xlsx_3[[#This Row],[2035]]+scenario_indirect_prod_1610_iotable_2020_xlsx_3[[#This Row],[2035]]</f>
        <v>-3681.8328947665468</v>
      </c>
      <c r="M307">
        <f>scenario_indirect_prod_4506_iotable_2020_xlsx_3[[#This Row],[2036]]+scenario_indirect_prod_1610_iotable_2020_xlsx_3[[#This Row],[2036]]</f>
        <v>-5904.6934950286086</v>
      </c>
      <c r="N307">
        <f>scenario_indirect_prod_4506_iotable_2020_xlsx_3[[#This Row],[2037]]+scenario_indirect_prod_1610_iotable_2020_xlsx_3[[#This Row],[2037]]</f>
        <v>-7814.9112920175685</v>
      </c>
      <c r="O307">
        <f>scenario_indirect_prod_4506_iotable_2020_xlsx_3[[#This Row],[2038]]+scenario_indirect_prod_1610_iotable_2020_xlsx_3[[#This Row],[2038]]</f>
        <v>-7814.9112920175685</v>
      </c>
      <c r="P307">
        <f>scenario_indirect_prod_4506_iotable_2020_xlsx_3[[#This Row],[2039]]+scenario_indirect_prod_1610_iotable_2020_xlsx_3[[#This Row],[2039]]</f>
        <v>-7814.9112920175685</v>
      </c>
      <c r="Q307">
        <f>scenario_indirect_prod_4506_iotable_2020_xlsx_3[[#This Row],[2040]]+scenario_indirect_prod_1610_iotable_2020_xlsx_3[[#This Row],[2040]]</f>
        <v>-9497.5613270092472</v>
      </c>
      <c r="R307">
        <f>scenario_indirect_prod_4506_iotable_2020_xlsx_3[[#This Row],[2041]]+scenario_indirect_prod_1610_iotable_2020_xlsx_3[[#This Row],[2041]]</f>
        <v>-9497.5613270092472</v>
      </c>
      <c r="S307">
        <f>scenario_indirect_prod_4506_iotable_2020_xlsx_3[[#This Row],[2042]]+scenario_indirect_prod_1610_iotable_2020_xlsx_3[[#This Row],[2042]]</f>
        <v>-11336.931733528247</v>
      </c>
      <c r="T307">
        <f>scenario_indirect_prod_4506_iotable_2020_xlsx_3[[#This Row],[2043]]+scenario_indirect_prod_1610_iotable_2020_xlsx_3[[#This Row],[2043]]</f>
        <v>-11336.931733528247</v>
      </c>
      <c r="U307">
        <f>scenario_indirect_prod_4506_iotable_2020_xlsx_3[[#This Row],[2044]]+scenario_indirect_prod_1610_iotable_2020_xlsx_3[[#This Row],[2044]]</f>
        <v>-13140.228655467683</v>
      </c>
      <c r="V307">
        <f>scenario_indirect_prod_4506_iotable_2020_xlsx_3[[#This Row],[2045]]+scenario_indirect_prod_1610_iotable_2020_xlsx_3[[#This Row],[2045]]</f>
        <v>-13140.228655467683</v>
      </c>
      <c r="W307">
        <f>scenario_indirect_prod_4506_iotable_2020_xlsx_3[[#This Row],[2046]]+scenario_indirect_prod_1610_iotable_2020_xlsx_3[[#This Row],[2046]]</f>
        <v>-14658.533438198618</v>
      </c>
      <c r="X307">
        <f>scenario_indirect_prod_4506_iotable_2020_xlsx_3[[#This Row],[2047]]+scenario_indirect_prod_1610_iotable_2020_xlsx_3[[#This Row],[2047]]</f>
        <v>-14658.533438198618</v>
      </c>
      <c r="Y307">
        <f>scenario_indirect_prod_4506_iotable_2020_xlsx_3[[#This Row],[2048]]+scenario_indirect_prod_1610_iotable_2020_xlsx_3[[#This Row],[2048]]</f>
        <v>-14658.533438198618</v>
      </c>
      <c r="Z307">
        <f>scenario_indirect_prod_4506_iotable_2020_xlsx_3[[#This Row],[2049]]+scenario_indirect_prod_1610_iotable_2020_xlsx_3[[#This Row],[2049]]</f>
        <v>-14658.533438198618</v>
      </c>
      <c r="AA307">
        <f>scenario_indirect_prod_4506_iotable_2020_xlsx_3[[#This Row],[2050]]+scenario_indirect_prod_1610_iotable_2020_xlsx_3[[#This Row],[2050]]</f>
        <v>-14658.533438198618</v>
      </c>
    </row>
    <row r="308" spans="1:27" x14ac:dyDescent="0.2">
      <c r="A308" t="s">
        <v>417</v>
      </c>
      <c r="B308" t="s">
        <v>71</v>
      </c>
      <c r="C308">
        <f>scenario_indirect_prod_4506_iotable_2020_xlsx_3[[#This Row],[2026]]+scenario_indirect_prod_1610_iotable_2020_xlsx_3[[#This Row],[2026]]</f>
        <v>35934.351393962206</v>
      </c>
      <c r="D308">
        <f>scenario_indirect_prod_4506_iotable_2020_xlsx_3[[#This Row],[2027]]+scenario_indirect_prod_1610_iotable_2020_xlsx_3[[#This Row],[2027]]</f>
        <v>34843.339075220152</v>
      </c>
      <c r="E308">
        <f>scenario_indirect_prod_4506_iotable_2020_xlsx_3[[#This Row],[2028]]+scenario_indirect_prod_1610_iotable_2020_xlsx_3[[#This Row],[2028]]</f>
        <v>36671.90991638659</v>
      </c>
      <c r="F308">
        <f>scenario_indirect_prod_4506_iotable_2020_xlsx_3[[#This Row],[2029]]+scenario_indirect_prod_1610_iotable_2020_xlsx_3[[#This Row],[2029]]</f>
        <v>37537.188824004166</v>
      </c>
      <c r="G308">
        <f>scenario_indirect_prod_4506_iotable_2020_xlsx_3[[#This Row],[2030]]+scenario_indirect_prod_1610_iotable_2020_xlsx_3[[#This Row],[2030]]</f>
        <v>32169.267018596667</v>
      </c>
      <c r="H308">
        <f>scenario_indirect_prod_4506_iotable_2020_xlsx_3[[#This Row],[2031]]+scenario_indirect_prod_1610_iotable_2020_xlsx_3[[#This Row],[2031]]</f>
        <v>34636.374102758193</v>
      </c>
      <c r="I308">
        <f>scenario_indirect_prod_4506_iotable_2020_xlsx_3[[#This Row],[2032]]+scenario_indirect_prod_1610_iotable_2020_xlsx_3[[#This Row],[2032]]</f>
        <v>38081.908695996375</v>
      </c>
      <c r="J308">
        <f>scenario_indirect_prod_4506_iotable_2020_xlsx_3[[#This Row],[2033]]+scenario_indirect_prod_1610_iotable_2020_xlsx_3[[#This Row],[2033]]</f>
        <v>41348.032037941462</v>
      </c>
      <c r="K308">
        <f>scenario_indirect_prod_4506_iotable_2020_xlsx_3[[#This Row],[2034]]+scenario_indirect_prod_1610_iotable_2020_xlsx_3[[#This Row],[2034]]</f>
        <v>44554.281620698865</v>
      </c>
      <c r="L308">
        <f>scenario_indirect_prod_4506_iotable_2020_xlsx_3[[#This Row],[2035]]+scenario_indirect_prod_1610_iotable_2020_xlsx_3[[#This Row],[2035]]</f>
        <v>49849.789625831749</v>
      </c>
      <c r="M308">
        <f>scenario_indirect_prod_4506_iotable_2020_xlsx_3[[#This Row],[2036]]+scenario_indirect_prod_1610_iotable_2020_xlsx_3[[#This Row],[2036]]</f>
        <v>50950.985018032574</v>
      </c>
      <c r="N308">
        <f>scenario_indirect_prod_4506_iotable_2020_xlsx_3[[#This Row],[2037]]+scenario_indirect_prod_1610_iotable_2020_xlsx_3[[#This Row],[2037]]</f>
        <v>52043.206002853745</v>
      </c>
      <c r="O308">
        <f>scenario_indirect_prod_4506_iotable_2020_xlsx_3[[#This Row],[2038]]+scenario_indirect_prod_1610_iotable_2020_xlsx_3[[#This Row],[2038]]</f>
        <v>52043.206002853745</v>
      </c>
      <c r="P308">
        <f>scenario_indirect_prod_4506_iotable_2020_xlsx_3[[#This Row],[2039]]+scenario_indirect_prod_1610_iotable_2020_xlsx_3[[#This Row],[2039]]</f>
        <v>52043.206002853745</v>
      </c>
      <c r="Q308">
        <f>scenario_indirect_prod_4506_iotable_2020_xlsx_3[[#This Row],[2040]]+scenario_indirect_prod_1610_iotable_2020_xlsx_3[[#This Row],[2040]]</f>
        <v>52979.880924860379</v>
      </c>
      <c r="R308">
        <f>scenario_indirect_prod_4506_iotable_2020_xlsx_3[[#This Row],[2041]]+scenario_indirect_prod_1610_iotable_2020_xlsx_3[[#This Row],[2041]]</f>
        <v>52979.880924860379</v>
      </c>
      <c r="S308">
        <f>scenario_indirect_prod_4506_iotable_2020_xlsx_3[[#This Row],[2042]]+scenario_indirect_prod_1610_iotable_2020_xlsx_3[[#This Row],[2042]]</f>
        <v>54083.808140659778</v>
      </c>
      <c r="T308">
        <f>scenario_indirect_prod_4506_iotable_2020_xlsx_3[[#This Row],[2043]]+scenario_indirect_prod_1610_iotable_2020_xlsx_3[[#This Row],[2043]]</f>
        <v>54083.808140659778</v>
      </c>
      <c r="U308">
        <f>scenario_indirect_prod_4506_iotable_2020_xlsx_3[[#This Row],[2044]]+scenario_indirect_prod_1610_iotable_2020_xlsx_3[[#This Row],[2044]]</f>
        <v>54921.562425357755</v>
      </c>
      <c r="V308">
        <f>scenario_indirect_prod_4506_iotable_2020_xlsx_3[[#This Row],[2045]]+scenario_indirect_prod_1610_iotable_2020_xlsx_3[[#This Row],[2045]]</f>
        <v>54921.562425357755</v>
      </c>
      <c r="W308">
        <f>scenario_indirect_prod_4506_iotable_2020_xlsx_3[[#This Row],[2046]]+scenario_indirect_prod_1610_iotable_2020_xlsx_3[[#This Row],[2046]]</f>
        <v>55702.180545655836</v>
      </c>
      <c r="X308">
        <f>scenario_indirect_prod_4506_iotable_2020_xlsx_3[[#This Row],[2047]]+scenario_indirect_prod_1610_iotable_2020_xlsx_3[[#This Row],[2047]]</f>
        <v>55702.180545655836</v>
      </c>
      <c r="Y308">
        <f>scenario_indirect_prod_4506_iotable_2020_xlsx_3[[#This Row],[2048]]+scenario_indirect_prod_1610_iotable_2020_xlsx_3[[#This Row],[2048]]</f>
        <v>55702.180545655836</v>
      </c>
      <c r="Z308">
        <f>scenario_indirect_prod_4506_iotable_2020_xlsx_3[[#This Row],[2049]]+scenario_indirect_prod_1610_iotable_2020_xlsx_3[[#This Row],[2049]]</f>
        <v>55702.180545655836</v>
      </c>
      <c r="AA308">
        <f>scenario_indirect_prod_4506_iotable_2020_xlsx_3[[#This Row],[2050]]+scenario_indirect_prod_1610_iotable_2020_xlsx_3[[#This Row],[2050]]</f>
        <v>55702.180545655836</v>
      </c>
    </row>
    <row r="309" spans="1:27" x14ac:dyDescent="0.2">
      <c r="A309" t="s">
        <v>409</v>
      </c>
      <c r="B309" t="s">
        <v>95</v>
      </c>
      <c r="C309">
        <f>scenario_indirect_prod_4506_iotable_2020_xlsx_3[[#This Row],[2026]]+scenario_indirect_prod_1610_iotable_2020_xlsx_3[[#This Row],[2026]]</f>
        <v>45019.383570047692</v>
      </c>
      <c r="D309">
        <f>scenario_indirect_prod_4506_iotable_2020_xlsx_3[[#This Row],[2027]]+scenario_indirect_prod_1610_iotable_2020_xlsx_3[[#This Row],[2027]]</f>
        <v>45326.032189456906</v>
      </c>
      <c r="E309">
        <f>scenario_indirect_prod_4506_iotable_2020_xlsx_3[[#This Row],[2028]]+scenario_indirect_prod_1610_iotable_2020_xlsx_3[[#This Row],[2028]]</f>
        <v>47517.441850556308</v>
      </c>
      <c r="F309">
        <f>scenario_indirect_prod_4506_iotable_2020_xlsx_3[[#This Row],[2029]]+scenario_indirect_prod_1610_iotable_2020_xlsx_3[[#This Row],[2029]]</f>
        <v>49200.075124425945</v>
      </c>
      <c r="G309">
        <f>scenario_indirect_prod_4506_iotable_2020_xlsx_3[[#This Row],[2030]]+scenario_indirect_prod_1610_iotable_2020_xlsx_3[[#This Row],[2030]]</f>
        <v>48239.842599258904</v>
      </c>
      <c r="H309">
        <f>scenario_indirect_prod_4506_iotable_2020_xlsx_3[[#This Row],[2031]]+scenario_indirect_prod_1610_iotable_2020_xlsx_3[[#This Row],[2031]]</f>
        <v>51196.491681418411</v>
      </c>
      <c r="I309">
        <f>scenario_indirect_prod_4506_iotable_2020_xlsx_3[[#This Row],[2032]]+scenario_indirect_prod_1610_iotable_2020_xlsx_3[[#This Row],[2032]]</f>
        <v>55325.715239668905</v>
      </c>
      <c r="J309">
        <f>scenario_indirect_prod_4506_iotable_2020_xlsx_3[[#This Row],[2033]]+scenario_indirect_prod_1610_iotable_2020_xlsx_3[[#This Row],[2033]]</f>
        <v>62292.955081791886</v>
      </c>
      <c r="K309">
        <f>scenario_indirect_prod_4506_iotable_2020_xlsx_3[[#This Row],[2034]]+scenario_indirect_prod_1610_iotable_2020_xlsx_3[[#This Row],[2034]]</f>
        <v>66135.412892761087</v>
      </c>
      <c r="L309">
        <f>scenario_indirect_prod_4506_iotable_2020_xlsx_3[[#This Row],[2035]]+scenario_indirect_prod_1610_iotable_2020_xlsx_3[[#This Row],[2035]]</f>
        <v>76346.464267957592</v>
      </c>
      <c r="M309">
        <f>scenario_indirect_prod_4506_iotable_2020_xlsx_3[[#This Row],[2036]]+scenario_indirect_prod_1610_iotable_2020_xlsx_3[[#This Row],[2036]]</f>
        <v>80202.925270349355</v>
      </c>
      <c r="N309">
        <f>scenario_indirect_prod_4506_iotable_2020_xlsx_3[[#This Row],[2037]]+scenario_indirect_prod_1610_iotable_2020_xlsx_3[[#This Row],[2037]]</f>
        <v>83729.521626221598</v>
      </c>
      <c r="O309">
        <f>scenario_indirect_prod_4506_iotable_2020_xlsx_3[[#This Row],[2038]]+scenario_indirect_prod_1610_iotable_2020_xlsx_3[[#This Row],[2038]]</f>
        <v>83729.521626221598</v>
      </c>
      <c r="P309">
        <f>scenario_indirect_prod_4506_iotable_2020_xlsx_3[[#This Row],[2039]]+scenario_indirect_prod_1610_iotable_2020_xlsx_3[[#This Row],[2039]]</f>
        <v>83729.521626221598</v>
      </c>
      <c r="Q309">
        <f>scenario_indirect_prod_4506_iotable_2020_xlsx_3[[#This Row],[2040]]+scenario_indirect_prod_1610_iotable_2020_xlsx_3[[#This Row],[2040]]</f>
        <v>86798.947652248229</v>
      </c>
      <c r="R309">
        <f>scenario_indirect_prod_4506_iotable_2020_xlsx_3[[#This Row],[2041]]+scenario_indirect_prod_1610_iotable_2020_xlsx_3[[#This Row],[2041]]</f>
        <v>86798.947652248229</v>
      </c>
      <c r="S309">
        <f>scenario_indirect_prod_4506_iotable_2020_xlsx_3[[#This Row],[2042]]+scenario_indirect_prod_1610_iotable_2020_xlsx_3[[#This Row],[2042]]</f>
        <v>90270.808812373813</v>
      </c>
      <c r="T309">
        <f>scenario_indirect_prod_4506_iotable_2020_xlsx_3[[#This Row],[2043]]+scenario_indirect_prod_1610_iotable_2020_xlsx_3[[#This Row],[2043]]</f>
        <v>90270.808812373813</v>
      </c>
      <c r="U309">
        <f>scenario_indirect_prod_4506_iotable_2020_xlsx_3[[#This Row],[2044]]+scenario_indirect_prod_1610_iotable_2020_xlsx_3[[#This Row],[2044]]</f>
        <v>93318.385893681931</v>
      </c>
      <c r="V309">
        <f>scenario_indirect_prod_4506_iotable_2020_xlsx_3[[#This Row],[2045]]+scenario_indirect_prod_1610_iotable_2020_xlsx_3[[#This Row],[2045]]</f>
        <v>93318.385893681931</v>
      </c>
      <c r="W309">
        <f>scenario_indirect_prod_4506_iotable_2020_xlsx_3[[#This Row],[2046]]+scenario_indirect_prod_1610_iotable_2020_xlsx_3[[#This Row],[2046]]</f>
        <v>95993.959099315703</v>
      </c>
      <c r="X309">
        <f>scenario_indirect_prod_4506_iotable_2020_xlsx_3[[#This Row],[2047]]+scenario_indirect_prod_1610_iotable_2020_xlsx_3[[#This Row],[2047]]</f>
        <v>95993.959099315703</v>
      </c>
      <c r="Y309">
        <f>scenario_indirect_prod_4506_iotable_2020_xlsx_3[[#This Row],[2048]]+scenario_indirect_prod_1610_iotable_2020_xlsx_3[[#This Row],[2048]]</f>
        <v>95993.959099315703</v>
      </c>
      <c r="Z309">
        <f>scenario_indirect_prod_4506_iotable_2020_xlsx_3[[#This Row],[2049]]+scenario_indirect_prod_1610_iotable_2020_xlsx_3[[#This Row],[2049]]</f>
        <v>95993.959099315703</v>
      </c>
      <c r="AA309">
        <f>scenario_indirect_prod_4506_iotable_2020_xlsx_3[[#This Row],[2050]]+scenario_indirect_prod_1610_iotable_2020_xlsx_3[[#This Row],[2050]]</f>
        <v>95993.959099315703</v>
      </c>
    </row>
    <row r="310" spans="1:27" x14ac:dyDescent="0.2">
      <c r="A310" t="s">
        <v>529</v>
      </c>
      <c r="B310" t="s">
        <v>135</v>
      </c>
      <c r="C310">
        <f>scenario_indirect_prod_4506_iotable_2020_xlsx_3[[#This Row],[2026]]+scenario_indirect_prod_1610_iotable_2020_xlsx_3[[#This Row],[2026]]</f>
        <v>12619.625035667232</v>
      </c>
      <c r="D310">
        <f>scenario_indirect_prod_4506_iotable_2020_xlsx_3[[#This Row],[2027]]+scenario_indirect_prod_1610_iotable_2020_xlsx_3[[#This Row],[2027]]</f>
        <v>13117.830189115561</v>
      </c>
      <c r="E310">
        <f>scenario_indirect_prod_4506_iotable_2020_xlsx_3[[#This Row],[2028]]+scenario_indirect_prod_1610_iotable_2020_xlsx_3[[#This Row],[2028]]</f>
        <v>13707.613630804944</v>
      </c>
      <c r="F310">
        <f>scenario_indirect_prod_4506_iotable_2020_xlsx_3[[#This Row],[2029]]+scenario_indirect_prod_1610_iotable_2020_xlsx_3[[#This Row],[2029]]</f>
        <v>14326.738127534329</v>
      </c>
      <c r="G310">
        <f>scenario_indirect_prod_4506_iotable_2020_xlsx_3[[#This Row],[2030]]+scenario_indirect_prod_1610_iotable_2020_xlsx_3[[#This Row],[2030]]</f>
        <v>15477.671065926173</v>
      </c>
      <c r="H310">
        <f>scenario_indirect_prod_4506_iotable_2020_xlsx_3[[#This Row],[2031]]+scenario_indirect_prod_1610_iotable_2020_xlsx_3[[#This Row],[2031]]</f>
        <v>16273.406661373418</v>
      </c>
      <c r="I310">
        <f>scenario_indirect_prod_4506_iotable_2020_xlsx_3[[#This Row],[2032]]+scenario_indirect_prod_1610_iotable_2020_xlsx_3[[#This Row],[2032]]</f>
        <v>17384.722233683191</v>
      </c>
      <c r="J310">
        <f>scenario_indirect_prod_4506_iotable_2020_xlsx_3[[#This Row],[2033]]+scenario_indirect_prod_1610_iotable_2020_xlsx_3[[#This Row],[2033]]</f>
        <v>20046.061220692704</v>
      </c>
      <c r="K310">
        <f>scenario_indirect_prod_4506_iotable_2020_xlsx_3[[#This Row],[2034]]+scenario_indirect_prod_1610_iotable_2020_xlsx_3[[#This Row],[2034]]</f>
        <v>21080.198302648765</v>
      </c>
      <c r="L310">
        <f>scenario_indirect_prod_4506_iotable_2020_xlsx_3[[#This Row],[2035]]+scenario_indirect_prod_1610_iotable_2020_xlsx_3[[#This Row],[2035]]</f>
        <v>24823.597774829763</v>
      </c>
      <c r="M310">
        <f>scenario_indirect_prod_4506_iotable_2020_xlsx_3[[#This Row],[2036]]+scenario_indirect_prod_1610_iotable_2020_xlsx_3[[#This Row],[2036]]</f>
        <v>26514.769782264746</v>
      </c>
      <c r="N310">
        <f>scenario_indirect_prod_4506_iotable_2020_xlsx_3[[#This Row],[2037]]+scenario_indirect_prod_1610_iotable_2020_xlsx_3[[#This Row],[2037]]</f>
        <v>28034.986808070316</v>
      </c>
      <c r="O310">
        <f>scenario_indirect_prod_4506_iotable_2020_xlsx_3[[#This Row],[2038]]+scenario_indirect_prod_1610_iotable_2020_xlsx_3[[#This Row],[2038]]</f>
        <v>28034.986808070316</v>
      </c>
      <c r="P310">
        <f>scenario_indirect_prod_4506_iotable_2020_xlsx_3[[#This Row],[2039]]+scenario_indirect_prod_1610_iotable_2020_xlsx_3[[#This Row],[2039]]</f>
        <v>28034.986808070316</v>
      </c>
      <c r="Q310">
        <f>scenario_indirect_prod_4506_iotable_2020_xlsx_3[[#This Row],[2040]]+scenario_indirect_prod_1610_iotable_2020_xlsx_3[[#This Row],[2040]]</f>
        <v>29362.437581584196</v>
      </c>
      <c r="R310">
        <f>scenario_indirect_prod_4506_iotable_2020_xlsx_3[[#This Row],[2041]]+scenario_indirect_prod_1610_iotable_2020_xlsx_3[[#This Row],[2041]]</f>
        <v>29362.437581584196</v>
      </c>
      <c r="S310">
        <f>scenario_indirect_prod_4506_iotable_2020_xlsx_3[[#This Row],[2042]]+scenario_indirect_prod_1610_iotable_2020_xlsx_3[[#This Row],[2042]]</f>
        <v>30850.215310328531</v>
      </c>
      <c r="T310">
        <f>scenario_indirect_prod_4506_iotable_2020_xlsx_3[[#This Row],[2043]]+scenario_indirect_prod_1610_iotable_2020_xlsx_3[[#This Row],[2043]]</f>
        <v>30850.215310328531</v>
      </c>
      <c r="U310">
        <f>scenario_indirect_prod_4506_iotable_2020_xlsx_3[[#This Row],[2044]]+scenario_indirect_prod_1610_iotable_2020_xlsx_3[[#This Row],[2044]]</f>
        <v>32196.688047032359</v>
      </c>
      <c r="V310">
        <f>scenario_indirect_prod_4506_iotable_2020_xlsx_3[[#This Row],[2045]]+scenario_indirect_prod_1610_iotable_2020_xlsx_3[[#This Row],[2045]]</f>
        <v>32196.688047032359</v>
      </c>
      <c r="W310">
        <f>scenario_indirect_prod_4506_iotable_2020_xlsx_3[[#This Row],[2046]]+scenario_indirect_prod_1610_iotable_2020_xlsx_3[[#This Row],[2046]]</f>
        <v>33364.876634777989</v>
      </c>
      <c r="X310">
        <f>scenario_indirect_prod_4506_iotable_2020_xlsx_3[[#This Row],[2047]]+scenario_indirect_prod_1610_iotable_2020_xlsx_3[[#This Row],[2047]]</f>
        <v>33364.876634777989</v>
      </c>
      <c r="Y310">
        <f>scenario_indirect_prod_4506_iotable_2020_xlsx_3[[#This Row],[2048]]+scenario_indirect_prod_1610_iotable_2020_xlsx_3[[#This Row],[2048]]</f>
        <v>33364.876634777989</v>
      </c>
      <c r="Z310">
        <f>scenario_indirect_prod_4506_iotable_2020_xlsx_3[[#This Row],[2049]]+scenario_indirect_prod_1610_iotable_2020_xlsx_3[[#This Row],[2049]]</f>
        <v>33364.876634777989</v>
      </c>
      <c r="AA310">
        <f>scenario_indirect_prod_4506_iotable_2020_xlsx_3[[#This Row],[2050]]+scenario_indirect_prod_1610_iotable_2020_xlsx_3[[#This Row],[2050]]</f>
        <v>33364.876634777989</v>
      </c>
    </row>
    <row r="311" spans="1:27" x14ac:dyDescent="0.2">
      <c r="A311" t="s">
        <v>434</v>
      </c>
      <c r="B311" t="s">
        <v>49</v>
      </c>
      <c r="C311">
        <f>scenario_indirect_prod_4506_iotable_2020_xlsx_3[[#This Row],[2026]]+scenario_indirect_prod_1610_iotable_2020_xlsx_3[[#This Row],[2026]]</f>
        <v>30715.468160608983</v>
      </c>
      <c r="D311">
        <f>scenario_indirect_prod_4506_iotable_2020_xlsx_3[[#This Row],[2027]]+scenario_indirect_prod_1610_iotable_2020_xlsx_3[[#This Row],[2027]]</f>
        <v>31850.694174864686</v>
      </c>
      <c r="E311">
        <f>scenario_indirect_prod_4506_iotable_2020_xlsx_3[[#This Row],[2028]]+scenario_indirect_prod_1610_iotable_2020_xlsx_3[[#This Row],[2028]]</f>
        <v>33290.79342934781</v>
      </c>
      <c r="F311">
        <f>scenario_indirect_prod_4506_iotable_2020_xlsx_3[[#This Row],[2029]]+scenario_indirect_prod_1610_iotable_2020_xlsx_3[[#This Row],[2029]]</f>
        <v>34770.03092035446</v>
      </c>
      <c r="G311">
        <f>scenario_indirect_prod_4506_iotable_2020_xlsx_3[[#This Row],[2030]]+scenario_indirect_prod_1610_iotable_2020_xlsx_3[[#This Row],[2030]]</f>
        <v>37304.788450706423</v>
      </c>
      <c r="H311">
        <f>scenario_indirect_prod_4506_iotable_2020_xlsx_3[[#This Row],[2031]]+scenario_indirect_prod_1610_iotable_2020_xlsx_3[[#This Row],[2031]]</f>
        <v>39247.769817709253</v>
      </c>
      <c r="I311">
        <f>scenario_indirect_prod_4506_iotable_2020_xlsx_3[[#This Row],[2032]]+scenario_indirect_prod_1610_iotable_2020_xlsx_3[[#This Row],[2032]]</f>
        <v>41961.316204489078</v>
      </c>
      <c r="J311">
        <f>scenario_indirect_prod_4506_iotable_2020_xlsx_3[[#This Row],[2033]]+scenario_indirect_prod_1610_iotable_2020_xlsx_3[[#This Row],[2033]]</f>
        <v>48305.918926132057</v>
      </c>
      <c r="K311">
        <f>scenario_indirect_prod_4506_iotable_2020_xlsx_3[[#This Row],[2034]]+scenario_indirect_prod_1610_iotable_2020_xlsx_3[[#This Row],[2034]]</f>
        <v>50831.015318279708</v>
      </c>
      <c r="L311">
        <f>scenario_indirect_prod_4506_iotable_2020_xlsx_3[[#This Row],[2035]]+scenario_indirect_prod_1610_iotable_2020_xlsx_3[[#This Row],[2035]]</f>
        <v>59776.864752588037</v>
      </c>
      <c r="M311">
        <f>scenario_indirect_prod_4506_iotable_2020_xlsx_3[[#This Row],[2036]]+scenario_indirect_prod_1610_iotable_2020_xlsx_3[[#This Row],[2036]]</f>
        <v>63778.560666537378</v>
      </c>
      <c r="N311">
        <f>scenario_indirect_prod_4506_iotable_2020_xlsx_3[[#This Row],[2037]]+scenario_indirect_prod_1610_iotable_2020_xlsx_3[[#This Row],[2037]]</f>
        <v>67378.893793190218</v>
      </c>
      <c r="O311">
        <f>scenario_indirect_prod_4506_iotable_2020_xlsx_3[[#This Row],[2038]]+scenario_indirect_prod_1610_iotable_2020_xlsx_3[[#This Row],[2038]]</f>
        <v>67378.893793190218</v>
      </c>
      <c r="P311">
        <f>scenario_indirect_prod_4506_iotable_2020_xlsx_3[[#This Row],[2039]]+scenario_indirect_prod_1610_iotable_2020_xlsx_3[[#This Row],[2039]]</f>
        <v>67378.893793190218</v>
      </c>
      <c r="Q311">
        <f>scenario_indirect_prod_4506_iotable_2020_xlsx_3[[#This Row],[2040]]+scenario_indirect_prod_1610_iotable_2020_xlsx_3[[#This Row],[2040]]</f>
        <v>70522.172504192786</v>
      </c>
      <c r="R311">
        <f>scenario_indirect_prod_4506_iotable_2020_xlsx_3[[#This Row],[2041]]+scenario_indirect_prod_1610_iotable_2020_xlsx_3[[#This Row],[2041]]</f>
        <v>70522.172504192786</v>
      </c>
      <c r="S311">
        <f>scenario_indirect_prod_4506_iotable_2020_xlsx_3[[#This Row],[2042]]+scenario_indirect_prod_1610_iotable_2020_xlsx_3[[#This Row],[2042]]</f>
        <v>74046.759090524341</v>
      </c>
      <c r="T311">
        <f>scenario_indirect_prod_4506_iotable_2020_xlsx_3[[#This Row],[2043]]+scenario_indirect_prod_1610_iotable_2020_xlsx_3[[#This Row],[2043]]</f>
        <v>74046.759090524341</v>
      </c>
      <c r="U311">
        <f>scenario_indirect_prod_4506_iotable_2020_xlsx_3[[#This Row],[2044]]+scenario_indirect_prod_1610_iotable_2020_xlsx_3[[#This Row],[2044]]</f>
        <v>77231.616258308379</v>
      </c>
      <c r="V311">
        <f>scenario_indirect_prod_4506_iotable_2020_xlsx_3[[#This Row],[2045]]+scenario_indirect_prod_1610_iotable_2020_xlsx_3[[#This Row],[2045]]</f>
        <v>77231.616258308379</v>
      </c>
      <c r="W311">
        <f>scenario_indirect_prod_4506_iotable_2020_xlsx_3[[#This Row],[2046]]+scenario_indirect_prod_1610_iotable_2020_xlsx_3[[#This Row],[2046]]</f>
        <v>79996.430383471394</v>
      </c>
      <c r="X311">
        <f>scenario_indirect_prod_4506_iotable_2020_xlsx_3[[#This Row],[2047]]+scenario_indirect_prod_1610_iotable_2020_xlsx_3[[#This Row],[2047]]</f>
        <v>79996.430383471394</v>
      </c>
      <c r="Y311">
        <f>scenario_indirect_prod_4506_iotable_2020_xlsx_3[[#This Row],[2048]]+scenario_indirect_prod_1610_iotable_2020_xlsx_3[[#This Row],[2048]]</f>
        <v>79996.430383471394</v>
      </c>
      <c r="Z311">
        <f>scenario_indirect_prod_4506_iotable_2020_xlsx_3[[#This Row],[2049]]+scenario_indirect_prod_1610_iotable_2020_xlsx_3[[#This Row],[2049]]</f>
        <v>79996.430383471394</v>
      </c>
      <c r="AA311">
        <f>scenario_indirect_prod_4506_iotable_2020_xlsx_3[[#This Row],[2050]]+scenario_indirect_prod_1610_iotable_2020_xlsx_3[[#This Row],[2050]]</f>
        <v>79996.430383471394</v>
      </c>
    </row>
    <row r="312" spans="1:27" x14ac:dyDescent="0.2">
      <c r="A312" t="s">
        <v>346</v>
      </c>
      <c r="B312" t="s">
        <v>347</v>
      </c>
      <c r="C312">
        <f>scenario_indirect_prod_4506_iotable_2020_xlsx_3[[#This Row],[2026]]+scenario_indirect_prod_1610_iotable_2020_xlsx_3[[#This Row],[2026]]</f>
        <v>171214.08396938618</v>
      </c>
      <c r="D312">
        <f>scenario_indirect_prod_4506_iotable_2020_xlsx_3[[#This Row],[2027]]+scenario_indirect_prod_1610_iotable_2020_xlsx_3[[#This Row],[2027]]</f>
        <v>170787.45219482819</v>
      </c>
      <c r="E312">
        <f>scenario_indirect_prod_4506_iotable_2020_xlsx_3[[#This Row],[2028]]+scenario_indirect_prod_1610_iotable_2020_xlsx_3[[#This Row],[2028]]</f>
        <v>179216.31748907868</v>
      </c>
      <c r="F312">
        <f>scenario_indirect_prod_4506_iotable_2020_xlsx_3[[#This Row],[2029]]+scenario_indirect_prod_1610_iotable_2020_xlsx_3[[#This Row],[2029]]</f>
        <v>185045.82501118042</v>
      </c>
      <c r="G312">
        <f>scenario_indirect_prod_4506_iotable_2020_xlsx_3[[#This Row],[2030]]+scenario_indirect_prod_1610_iotable_2020_xlsx_3[[#This Row],[2030]]</f>
        <v>175906.91318677249</v>
      </c>
      <c r="H312">
        <f>scenario_indirect_prod_4506_iotable_2020_xlsx_3[[#This Row],[2031]]+scenario_indirect_prod_1610_iotable_2020_xlsx_3[[#This Row],[2031]]</f>
        <v>187279.13503934431</v>
      </c>
      <c r="I312">
        <f>scenario_indirect_prod_4506_iotable_2020_xlsx_3[[#This Row],[2032]]+scenario_indirect_prod_1610_iotable_2020_xlsx_3[[#This Row],[2032]]</f>
        <v>203161.45488130307</v>
      </c>
      <c r="J312">
        <f>scenario_indirect_prod_4506_iotable_2020_xlsx_3[[#This Row],[2033]]+scenario_indirect_prod_1610_iotable_2020_xlsx_3[[#This Row],[2033]]</f>
        <v>226921.88929014804</v>
      </c>
      <c r="K312">
        <f>scenario_indirect_prod_4506_iotable_2020_xlsx_3[[#This Row],[2034]]+scenario_indirect_prod_1610_iotable_2020_xlsx_3[[#This Row],[2034]]</f>
        <v>241701.21597763355</v>
      </c>
      <c r="L312">
        <f>scenario_indirect_prod_4506_iotable_2020_xlsx_3[[#This Row],[2035]]+scenario_indirect_prod_1610_iotable_2020_xlsx_3[[#This Row],[2035]]</f>
        <v>277130.69694958837</v>
      </c>
      <c r="M312">
        <f>scenario_indirect_prod_4506_iotable_2020_xlsx_3[[#This Row],[2036]]+scenario_indirect_prod_1610_iotable_2020_xlsx_3[[#This Row],[2036]]</f>
        <v>289439.77276463027</v>
      </c>
      <c r="N312">
        <f>scenario_indirect_prod_4506_iotable_2020_xlsx_3[[#This Row],[2037]]+scenario_indirect_prod_1610_iotable_2020_xlsx_3[[#This Row],[2037]]</f>
        <v>300797.60183505126</v>
      </c>
      <c r="O312">
        <f>scenario_indirect_prod_4506_iotable_2020_xlsx_3[[#This Row],[2038]]+scenario_indirect_prod_1610_iotable_2020_xlsx_3[[#This Row],[2038]]</f>
        <v>300797.60183505126</v>
      </c>
      <c r="P312">
        <f>scenario_indirect_prod_4506_iotable_2020_xlsx_3[[#This Row],[2039]]+scenario_indirect_prod_1610_iotable_2020_xlsx_3[[#This Row],[2039]]</f>
        <v>300797.60183505126</v>
      </c>
      <c r="Q312">
        <f>scenario_indirect_prod_4506_iotable_2020_xlsx_3[[#This Row],[2040]]+scenario_indirect_prod_1610_iotable_2020_xlsx_3[[#This Row],[2040]]</f>
        <v>310666.41683269292</v>
      </c>
      <c r="R312">
        <f>scenario_indirect_prod_4506_iotable_2020_xlsx_3[[#This Row],[2041]]+scenario_indirect_prod_1610_iotable_2020_xlsx_3[[#This Row],[2041]]</f>
        <v>310666.41683269292</v>
      </c>
      <c r="S312">
        <f>scenario_indirect_prod_4506_iotable_2020_xlsx_3[[#This Row],[2042]]+scenario_indirect_prod_1610_iotable_2020_xlsx_3[[#This Row],[2042]]</f>
        <v>321882.13821860537</v>
      </c>
      <c r="T312">
        <f>scenario_indirect_prod_4506_iotable_2020_xlsx_3[[#This Row],[2043]]+scenario_indirect_prod_1610_iotable_2020_xlsx_3[[#This Row],[2043]]</f>
        <v>321882.13821860537</v>
      </c>
      <c r="U312">
        <f>scenario_indirect_prod_4506_iotable_2020_xlsx_3[[#This Row],[2044]]+scenario_indirect_prod_1610_iotable_2020_xlsx_3[[#This Row],[2044]]</f>
        <v>331570.69696548133</v>
      </c>
      <c r="V312">
        <f>scenario_indirect_prod_4506_iotable_2020_xlsx_3[[#This Row],[2045]]+scenario_indirect_prod_1610_iotable_2020_xlsx_3[[#This Row],[2045]]</f>
        <v>331570.69696548133</v>
      </c>
      <c r="W312">
        <f>scenario_indirect_prod_4506_iotable_2020_xlsx_3[[#This Row],[2046]]+scenario_indirect_prod_1610_iotable_2020_xlsx_3[[#This Row],[2046]]</f>
        <v>340130.42647957895</v>
      </c>
      <c r="X312">
        <f>scenario_indirect_prod_4506_iotable_2020_xlsx_3[[#This Row],[2047]]+scenario_indirect_prod_1610_iotable_2020_xlsx_3[[#This Row],[2047]]</f>
        <v>340130.42647957895</v>
      </c>
      <c r="Y312">
        <f>scenario_indirect_prod_4506_iotable_2020_xlsx_3[[#This Row],[2048]]+scenario_indirect_prod_1610_iotable_2020_xlsx_3[[#This Row],[2048]]</f>
        <v>340130.42647957895</v>
      </c>
      <c r="Z312">
        <f>scenario_indirect_prod_4506_iotable_2020_xlsx_3[[#This Row],[2049]]+scenario_indirect_prod_1610_iotable_2020_xlsx_3[[#This Row],[2049]]</f>
        <v>340130.42647957895</v>
      </c>
      <c r="AA312">
        <f>scenario_indirect_prod_4506_iotable_2020_xlsx_3[[#This Row],[2050]]+scenario_indirect_prod_1610_iotable_2020_xlsx_3[[#This Row],[2050]]</f>
        <v>340130.42647957895</v>
      </c>
    </row>
    <row r="313" spans="1:27" x14ac:dyDescent="0.2">
      <c r="A313" t="s">
        <v>581</v>
      </c>
      <c r="B313" t="s">
        <v>582</v>
      </c>
      <c r="C313">
        <f>scenario_indirect_prod_4506_iotable_2020_xlsx_3[[#This Row],[2026]]+scenario_indirect_prod_1610_iotable_2020_xlsx_3[[#This Row],[2026]]</f>
        <v>6783.8638659153212</v>
      </c>
      <c r="D313">
        <f>scenario_indirect_prod_4506_iotable_2020_xlsx_3[[#This Row],[2027]]+scenario_indirect_prod_1610_iotable_2020_xlsx_3[[#This Row],[2027]]</f>
        <v>6125.9779292250005</v>
      </c>
      <c r="E313">
        <f>scenario_indirect_prod_4506_iotable_2020_xlsx_3[[#This Row],[2028]]+scenario_indirect_prod_1610_iotable_2020_xlsx_3[[#This Row],[2028]]</f>
        <v>6498.0448780109546</v>
      </c>
      <c r="F313">
        <f>scenario_indirect_prod_4506_iotable_2020_xlsx_3[[#This Row],[2029]]+scenario_indirect_prod_1610_iotable_2020_xlsx_3[[#This Row],[2029]]</f>
        <v>6499.749534037509</v>
      </c>
      <c r="G313">
        <f>scenario_indirect_prod_4506_iotable_2020_xlsx_3[[#This Row],[2030]]+scenario_indirect_prod_1610_iotable_2020_xlsx_3[[#This Row],[2030]]</f>
        <v>3929.6030523467834</v>
      </c>
      <c r="H313">
        <f>scenario_indirect_prod_4506_iotable_2020_xlsx_3[[#This Row],[2031]]+scenario_indirect_prod_1610_iotable_2020_xlsx_3[[#This Row],[2031]]</f>
        <v>4431.5956382870936</v>
      </c>
      <c r="I313">
        <f>scenario_indirect_prod_4506_iotable_2020_xlsx_3[[#This Row],[2032]]+scenario_indirect_prod_1610_iotable_2020_xlsx_3[[#This Row],[2032]]</f>
        <v>5132.6729573505581</v>
      </c>
      <c r="J313">
        <f>scenario_indirect_prod_4506_iotable_2020_xlsx_3[[#This Row],[2033]]+scenario_indirect_prod_1610_iotable_2020_xlsx_3[[#This Row],[2033]]</f>
        <v>4972.7888212901726</v>
      </c>
      <c r="K313">
        <f>scenario_indirect_prod_4506_iotable_2020_xlsx_3[[#This Row],[2034]]+scenario_indirect_prod_1610_iotable_2020_xlsx_3[[#This Row],[2034]]</f>
        <v>5625.177819542936</v>
      </c>
      <c r="L313">
        <f>scenario_indirect_prod_4506_iotable_2020_xlsx_3[[#This Row],[2035]]+scenario_indirect_prod_1610_iotable_2020_xlsx_3[[#This Row],[2035]]</f>
        <v>5659.0141691308072</v>
      </c>
      <c r="M313">
        <f>scenario_indirect_prod_4506_iotable_2020_xlsx_3[[#This Row],[2036]]+scenario_indirect_prod_1610_iotable_2020_xlsx_3[[#This Row],[2036]]</f>
        <v>5198.0392862645458</v>
      </c>
      <c r="N313">
        <f>scenario_indirect_prod_4506_iotable_2020_xlsx_3[[#This Row],[2037]]+scenario_indirect_prod_1610_iotable_2020_xlsx_3[[#This Row],[2037]]</f>
        <v>4821.412368779158</v>
      </c>
      <c r="O313">
        <f>scenario_indirect_prod_4506_iotable_2020_xlsx_3[[#This Row],[2038]]+scenario_indirect_prod_1610_iotable_2020_xlsx_3[[#This Row],[2038]]</f>
        <v>4821.412368779158</v>
      </c>
      <c r="P313">
        <f>scenario_indirect_prod_4506_iotable_2020_xlsx_3[[#This Row],[2039]]+scenario_indirect_prod_1610_iotable_2020_xlsx_3[[#This Row],[2039]]</f>
        <v>4821.412368779158</v>
      </c>
      <c r="Q313">
        <f>scenario_indirect_prod_4506_iotable_2020_xlsx_3[[#This Row],[2040]]+scenario_indirect_prod_1610_iotable_2020_xlsx_3[[#This Row],[2040]]</f>
        <v>4486.2532244162976</v>
      </c>
      <c r="R313">
        <f>scenario_indirect_prod_4506_iotable_2020_xlsx_3[[#This Row],[2041]]+scenario_indirect_prod_1610_iotable_2020_xlsx_3[[#This Row],[2041]]</f>
        <v>4486.2532244162976</v>
      </c>
      <c r="S313">
        <f>scenario_indirect_prod_4506_iotable_2020_xlsx_3[[#This Row],[2042]]+scenario_indirect_prod_1610_iotable_2020_xlsx_3[[#This Row],[2042]]</f>
        <v>4130.577692156101</v>
      </c>
      <c r="T313">
        <f>scenario_indirect_prod_4506_iotable_2020_xlsx_3[[#This Row],[2043]]+scenario_indirect_prod_1610_iotable_2020_xlsx_3[[#This Row],[2043]]</f>
        <v>4130.577692156101</v>
      </c>
      <c r="U313">
        <f>scenario_indirect_prod_4506_iotable_2020_xlsx_3[[#This Row],[2044]]+scenario_indirect_prod_1610_iotable_2020_xlsx_3[[#This Row],[2044]]</f>
        <v>3749.1772945921148</v>
      </c>
      <c r="V313">
        <f>scenario_indirect_prod_4506_iotable_2020_xlsx_3[[#This Row],[2045]]+scenario_indirect_prod_1610_iotable_2020_xlsx_3[[#This Row],[2045]]</f>
        <v>3749.1772945921148</v>
      </c>
      <c r="W313">
        <f>scenario_indirect_prod_4506_iotable_2020_xlsx_3[[#This Row],[2046]]+scenario_indirect_prod_1610_iotable_2020_xlsx_3[[#This Row],[2046]]</f>
        <v>3438.1181124246141</v>
      </c>
      <c r="X313">
        <f>scenario_indirect_prod_4506_iotable_2020_xlsx_3[[#This Row],[2047]]+scenario_indirect_prod_1610_iotable_2020_xlsx_3[[#This Row],[2047]]</f>
        <v>3438.1181124246141</v>
      </c>
      <c r="Y313">
        <f>scenario_indirect_prod_4506_iotable_2020_xlsx_3[[#This Row],[2048]]+scenario_indirect_prod_1610_iotable_2020_xlsx_3[[#This Row],[2048]]</f>
        <v>3438.1181124246141</v>
      </c>
      <c r="Z313">
        <f>scenario_indirect_prod_4506_iotable_2020_xlsx_3[[#This Row],[2049]]+scenario_indirect_prod_1610_iotable_2020_xlsx_3[[#This Row],[2049]]</f>
        <v>3438.1181124246141</v>
      </c>
      <c r="AA313">
        <f>scenario_indirect_prod_4506_iotable_2020_xlsx_3[[#This Row],[2050]]+scenario_indirect_prod_1610_iotable_2020_xlsx_3[[#This Row],[2050]]</f>
        <v>3438.1181124246141</v>
      </c>
    </row>
    <row r="314" spans="1:27" x14ac:dyDescent="0.2">
      <c r="A314" t="s">
        <v>486</v>
      </c>
      <c r="B314" t="s">
        <v>487</v>
      </c>
      <c r="C314">
        <f>scenario_indirect_prod_4506_iotable_2020_xlsx_3[[#This Row],[2026]]+scenario_indirect_prod_1610_iotable_2020_xlsx_3[[#This Row],[2026]]</f>
        <v>16989.889350999303</v>
      </c>
      <c r="D314">
        <f>scenario_indirect_prod_4506_iotable_2020_xlsx_3[[#This Row],[2027]]+scenario_indirect_prod_1610_iotable_2020_xlsx_3[[#This Row],[2027]]</f>
        <v>15611.648009930635</v>
      </c>
      <c r="E314">
        <f>scenario_indirect_prod_4506_iotable_2020_xlsx_3[[#This Row],[2028]]+scenario_indirect_prod_1610_iotable_2020_xlsx_3[[#This Row],[2028]]</f>
        <v>16527.460954182065</v>
      </c>
      <c r="F314">
        <f>scenario_indirect_prod_4506_iotable_2020_xlsx_3[[#This Row],[2029]]+scenario_indirect_prod_1610_iotable_2020_xlsx_3[[#This Row],[2029]]</f>
        <v>16628.093682475941</v>
      </c>
      <c r="G314">
        <f>scenario_indirect_prod_4506_iotable_2020_xlsx_3[[#This Row],[2030]]+scenario_indirect_prod_1610_iotable_2020_xlsx_3[[#This Row],[2030]]</f>
        <v>11119.31676611643</v>
      </c>
      <c r="H314">
        <f>scenario_indirect_prod_4506_iotable_2020_xlsx_3[[#This Row],[2031]]+scenario_indirect_prod_1610_iotable_2020_xlsx_3[[#This Row],[2031]]</f>
        <v>12354.931242549974</v>
      </c>
      <c r="I314">
        <f>scenario_indirect_prod_4506_iotable_2020_xlsx_3[[#This Row],[2032]]+scenario_indirect_prod_1610_iotable_2020_xlsx_3[[#This Row],[2032]]</f>
        <v>14080.576817397239</v>
      </c>
      <c r="J314">
        <f>scenario_indirect_prod_4506_iotable_2020_xlsx_3[[#This Row],[2033]]+scenario_indirect_prod_1610_iotable_2020_xlsx_3[[#This Row],[2033]]</f>
        <v>14143.040713509017</v>
      </c>
      <c r="K314">
        <f>scenario_indirect_prod_4506_iotable_2020_xlsx_3[[#This Row],[2034]]+scenario_indirect_prod_1610_iotable_2020_xlsx_3[[#This Row],[2034]]</f>
        <v>15748.84389284709</v>
      </c>
      <c r="L314">
        <f>scenario_indirect_prod_4506_iotable_2020_xlsx_3[[#This Row],[2035]]+scenario_indirect_prod_1610_iotable_2020_xlsx_3[[#This Row],[2035]]</f>
        <v>16409.378370924394</v>
      </c>
      <c r="M314">
        <f>scenario_indirect_prod_4506_iotable_2020_xlsx_3[[#This Row],[2036]]+scenario_indirect_prod_1610_iotable_2020_xlsx_3[[#This Row],[2036]]</f>
        <v>15653.620572264634</v>
      </c>
      <c r="N314">
        <f>scenario_indirect_prod_4506_iotable_2020_xlsx_3[[#This Row],[2037]]+scenario_indirect_prod_1610_iotable_2020_xlsx_3[[#This Row],[2037]]</f>
        <v>15057.815741649589</v>
      </c>
      <c r="O314">
        <f>scenario_indirect_prod_4506_iotable_2020_xlsx_3[[#This Row],[2038]]+scenario_indirect_prod_1610_iotable_2020_xlsx_3[[#This Row],[2038]]</f>
        <v>15057.815741649589</v>
      </c>
      <c r="P314">
        <f>scenario_indirect_prod_4506_iotable_2020_xlsx_3[[#This Row],[2039]]+scenario_indirect_prod_1610_iotable_2020_xlsx_3[[#This Row],[2039]]</f>
        <v>15057.815741649589</v>
      </c>
      <c r="Q314">
        <f>scenario_indirect_prod_4506_iotable_2020_xlsx_3[[#This Row],[2040]]+scenario_indirect_prod_1610_iotable_2020_xlsx_3[[#This Row],[2040]]</f>
        <v>14523.639345574134</v>
      </c>
      <c r="R314">
        <f>scenario_indirect_prod_4506_iotable_2020_xlsx_3[[#This Row],[2041]]+scenario_indirect_prod_1610_iotable_2020_xlsx_3[[#This Row],[2041]]</f>
        <v>14523.639345574134</v>
      </c>
      <c r="S314">
        <f>scenario_indirect_prod_4506_iotable_2020_xlsx_3[[#This Row],[2042]]+scenario_indirect_prod_1610_iotable_2020_xlsx_3[[#This Row],[2042]]</f>
        <v>13969.133910707314</v>
      </c>
      <c r="T314">
        <f>scenario_indirect_prod_4506_iotable_2020_xlsx_3[[#This Row],[2043]]+scenario_indirect_prod_1610_iotable_2020_xlsx_3[[#This Row],[2043]]</f>
        <v>13969.133910707314</v>
      </c>
      <c r="U314">
        <f>scenario_indirect_prod_4506_iotable_2020_xlsx_3[[#This Row],[2044]]+scenario_indirect_prod_1610_iotable_2020_xlsx_3[[#This Row],[2044]]</f>
        <v>13335.58171147637</v>
      </c>
      <c r="V314">
        <f>scenario_indirect_prod_4506_iotable_2020_xlsx_3[[#This Row],[2045]]+scenario_indirect_prod_1610_iotable_2020_xlsx_3[[#This Row],[2045]]</f>
        <v>13335.58171147637</v>
      </c>
      <c r="W314">
        <f>scenario_indirect_prod_4506_iotable_2020_xlsx_3[[#This Row],[2046]]+scenario_indirect_prod_1610_iotable_2020_xlsx_3[[#This Row],[2046]]</f>
        <v>12829.832919200242</v>
      </c>
      <c r="X314">
        <f>scenario_indirect_prod_4506_iotable_2020_xlsx_3[[#This Row],[2047]]+scenario_indirect_prod_1610_iotable_2020_xlsx_3[[#This Row],[2047]]</f>
        <v>12829.832919200242</v>
      </c>
      <c r="Y314">
        <f>scenario_indirect_prod_4506_iotable_2020_xlsx_3[[#This Row],[2048]]+scenario_indirect_prod_1610_iotable_2020_xlsx_3[[#This Row],[2048]]</f>
        <v>12829.832919200242</v>
      </c>
      <c r="Z314">
        <f>scenario_indirect_prod_4506_iotable_2020_xlsx_3[[#This Row],[2049]]+scenario_indirect_prod_1610_iotable_2020_xlsx_3[[#This Row],[2049]]</f>
        <v>12829.832919200242</v>
      </c>
      <c r="AA314">
        <f>scenario_indirect_prod_4506_iotable_2020_xlsx_3[[#This Row],[2050]]+scenario_indirect_prod_1610_iotable_2020_xlsx_3[[#This Row],[2050]]</f>
        <v>12829.832919200242</v>
      </c>
    </row>
    <row r="315" spans="1:27" x14ac:dyDescent="0.2">
      <c r="A315" t="s">
        <v>692</v>
      </c>
      <c r="B315" t="s">
        <v>693</v>
      </c>
      <c r="C315">
        <f>scenario_indirect_prod_4506_iotable_2020_xlsx_3[[#This Row],[2026]]+scenario_indirect_prod_1610_iotable_2020_xlsx_3[[#This Row],[2026]]</f>
        <v>2305.3363953226185</v>
      </c>
      <c r="D315">
        <f>scenario_indirect_prod_4506_iotable_2020_xlsx_3[[#This Row],[2027]]+scenario_indirect_prod_1610_iotable_2020_xlsx_3[[#This Row],[2027]]</f>
        <v>1672.4271152132796</v>
      </c>
      <c r="E315">
        <f>scenario_indirect_prod_4506_iotable_2020_xlsx_3[[#This Row],[2028]]+scenario_indirect_prod_1610_iotable_2020_xlsx_3[[#This Row],[2028]]</f>
        <v>1823.195030742972</v>
      </c>
      <c r="F315">
        <f>scenario_indirect_prod_4506_iotable_2020_xlsx_3[[#This Row],[2029]]+scenario_indirect_prod_1610_iotable_2020_xlsx_3[[#This Row],[2029]]</f>
        <v>1677.3567303850127</v>
      </c>
      <c r="G315">
        <f>scenario_indirect_prod_4506_iotable_2020_xlsx_3[[#This Row],[2030]]+scenario_indirect_prod_1610_iotable_2020_xlsx_3[[#This Row],[2030]]</f>
        <v>-606.14219599396984</v>
      </c>
      <c r="H315">
        <f>scenario_indirect_prod_4506_iotable_2020_xlsx_3[[#This Row],[2031]]+scenario_indirect_prod_1610_iotable_2020_xlsx_3[[#This Row],[2031]]</f>
        <v>-402.72618164349933</v>
      </c>
      <c r="I315">
        <f>scenario_indirect_prod_4506_iotable_2020_xlsx_3[[#This Row],[2032]]+scenario_indirect_prod_1610_iotable_2020_xlsx_3[[#This Row],[2032]]</f>
        <v>-118.63761541841632</v>
      </c>
      <c r="J315">
        <f>scenario_indirect_prod_4506_iotable_2020_xlsx_3[[#This Row],[2033]]+scenario_indirect_prod_1610_iotable_2020_xlsx_3[[#This Row],[2033]]</f>
        <v>-876.2944433090579</v>
      </c>
      <c r="K315">
        <f>scenario_indirect_prod_4506_iotable_2020_xlsx_3[[#This Row],[2034]]+scenario_indirect_prod_1610_iotable_2020_xlsx_3[[#This Row],[2034]]</f>
        <v>-611.93522058847793</v>
      </c>
      <c r="L315">
        <f>scenario_indirect_prod_4506_iotable_2020_xlsx_3[[#This Row],[2035]]+scenario_indirect_prod_1610_iotable_2020_xlsx_3[[#This Row],[2035]]</f>
        <v>-1475.3136672224737</v>
      </c>
      <c r="M315">
        <f>scenario_indirect_prod_4506_iotable_2020_xlsx_3[[#This Row],[2036]]+scenario_indirect_prod_1610_iotable_2020_xlsx_3[[#This Row],[2036]]</f>
        <v>-2237.8128971838778</v>
      </c>
      <c r="N315">
        <f>scenario_indirect_prod_4506_iotable_2020_xlsx_3[[#This Row],[2037]]+scenario_indirect_prod_1610_iotable_2020_xlsx_3[[#This Row],[2037]]</f>
        <v>-2893.7126197164926</v>
      </c>
      <c r="O315">
        <f>scenario_indirect_prod_4506_iotable_2020_xlsx_3[[#This Row],[2038]]+scenario_indirect_prod_1610_iotable_2020_xlsx_3[[#This Row],[2038]]</f>
        <v>-2893.7126197164926</v>
      </c>
      <c r="P315">
        <f>scenario_indirect_prod_4506_iotable_2020_xlsx_3[[#This Row],[2039]]+scenario_indirect_prod_1610_iotable_2020_xlsx_3[[#This Row],[2039]]</f>
        <v>-2893.7126197164926</v>
      </c>
      <c r="Q315">
        <f>scenario_indirect_prod_4506_iotable_2020_xlsx_3[[#This Row],[2040]]+scenario_indirect_prod_1610_iotable_2020_xlsx_3[[#This Row],[2040]]</f>
        <v>-3471.3613708152643</v>
      </c>
      <c r="R315">
        <f>scenario_indirect_prod_4506_iotable_2020_xlsx_3[[#This Row],[2041]]+scenario_indirect_prod_1610_iotable_2020_xlsx_3[[#This Row],[2041]]</f>
        <v>-3471.3613708152643</v>
      </c>
      <c r="S315">
        <f>scenario_indirect_prod_4506_iotable_2020_xlsx_3[[#This Row],[2042]]+scenario_indirect_prod_1610_iotable_2020_xlsx_3[[#This Row],[2042]]</f>
        <v>-4103.1655336500025</v>
      </c>
      <c r="T315">
        <f>scenario_indirect_prod_4506_iotable_2020_xlsx_3[[#This Row],[2043]]+scenario_indirect_prod_1610_iotable_2020_xlsx_3[[#This Row],[2043]]</f>
        <v>-4103.1655336500025</v>
      </c>
      <c r="U315">
        <f>scenario_indirect_prod_4506_iotable_2020_xlsx_3[[#This Row],[2044]]+scenario_indirect_prod_1610_iotable_2020_xlsx_3[[#This Row],[2044]]</f>
        <v>-4721.4976670336164</v>
      </c>
      <c r="V315">
        <f>scenario_indirect_prod_4506_iotable_2020_xlsx_3[[#This Row],[2045]]+scenario_indirect_prod_1610_iotable_2020_xlsx_3[[#This Row],[2045]]</f>
        <v>-4721.4976670336164</v>
      </c>
      <c r="W315">
        <f>scenario_indirect_prod_4506_iotable_2020_xlsx_3[[#This Row],[2046]]+scenario_indirect_prod_1610_iotable_2020_xlsx_3[[#This Row],[2046]]</f>
        <v>-5242.4416763728095</v>
      </c>
      <c r="X315">
        <f>scenario_indirect_prod_4506_iotable_2020_xlsx_3[[#This Row],[2047]]+scenario_indirect_prod_1610_iotable_2020_xlsx_3[[#This Row],[2047]]</f>
        <v>-5242.4416763728095</v>
      </c>
      <c r="Y315">
        <f>scenario_indirect_prod_4506_iotable_2020_xlsx_3[[#This Row],[2048]]+scenario_indirect_prod_1610_iotable_2020_xlsx_3[[#This Row],[2048]]</f>
        <v>-5242.4416763728095</v>
      </c>
      <c r="Z315">
        <f>scenario_indirect_prod_4506_iotable_2020_xlsx_3[[#This Row],[2049]]+scenario_indirect_prod_1610_iotable_2020_xlsx_3[[#This Row],[2049]]</f>
        <v>-5242.4416763728095</v>
      </c>
      <c r="AA315">
        <f>scenario_indirect_prod_4506_iotable_2020_xlsx_3[[#This Row],[2050]]+scenario_indirect_prod_1610_iotable_2020_xlsx_3[[#This Row],[2050]]</f>
        <v>-5242.4416763728095</v>
      </c>
    </row>
    <row r="316" spans="1:27" x14ac:dyDescent="0.2">
      <c r="A316" t="s">
        <v>517</v>
      </c>
      <c r="B316" t="s">
        <v>518</v>
      </c>
      <c r="C316">
        <f>scenario_indirect_prod_4506_iotable_2020_xlsx_3[[#This Row],[2026]]+scenario_indirect_prod_1610_iotable_2020_xlsx_3[[#This Row],[2026]]</f>
        <v>13764.603098386813</v>
      </c>
      <c r="D316">
        <f>scenario_indirect_prod_4506_iotable_2020_xlsx_3[[#This Row],[2027]]+scenario_indirect_prod_1610_iotable_2020_xlsx_3[[#This Row],[2027]]</f>
        <v>14364.834408688701</v>
      </c>
      <c r="E316">
        <f>scenario_indirect_prod_4506_iotable_2020_xlsx_3[[#This Row],[2028]]+scenario_indirect_prod_1610_iotable_2020_xlsx_3[[#This Row],[2028]]</f>
        <v>15004.751477041395</v>
      </c>
      <c r="F316">
        <f>scenario_indirect_prod_4506_iotable_2020_xlsx_3[[#This Row],[2029]]+scenario_indirect_prod_1610_iotable_2020_xlsx_3[[#This Row],[2029]]</f>
        <v>15700.374493937425</v>
      </c>
      <c r="G316">
        <f>scenario_indirect_prod_4506_iotable_2020_xlsx_3[[#This Row],[2030]]+scenario_indirect_prod_1610_iotable_2020_xlsx_3[[#This Row],[2030]]</f>
        <v>17151.477959926306</v>
      </c>
      <c r="H316">
        <f>scenario_indirect_prod_4506_iotable_2020_xlsx_3[[#This Row],[2031]]+scenario_indirect_prod_1610_iotable_2020_xlsx_3[[#This Row],[2031]]</f>
        <v>18014.853825420112</v>
      </c>
      <c r="I316">
        <f>scenario_indirect_prod_4506_iotable_2020_xlsx_3[[#This Row],[2032]]+scenario_indirect_prod_1610_iotable_2020_xlsx_3[[#This Row],[2032]]</f>
        <v>19220.635054221897</v>
      </c>
      <c r="J316">
        <f>scenario_indirect_prod_4506_iotable_2020_xlsx_3[[#This Row],[2033]]+scenario_indirect_prod_1610_iotable_2020_xlsx_3[[#This Row],[2033]]</f>
        <v>22221.071164865229</v>
      </c>
      <c r="K316">
        <f>scenario_indirect_prod_4506_iotable_2020_xlsx_3[[#This Row],[2034]]+scenario_indirect_prod_1610_iotable_2020_xlsx_3[[#This Row],[2034]]</f>
        <v>23343.1134654503</v>
      </c>
      <c r="L316">
        <f>scenario_indirect_prod_4506_iotable_2020_xlsx_3[[#This Row],[2035]]+scenario_indirect_prod_1610_iotable_2020_xlsx_3[[#This Row],[2035]]</f>
        <v>27547.599984553675</v>
      </c>
      <c r="M316">
        <f>scenario_indirect_prod_4506_iotable_2020_xlsx_3[[#This Row],[2036]]+scenario_indirect_prod_1610_iotable_2020_xlsx_3[[#This Row],[2036]]</f>
        <v>29476.314465521064</v>
      </c>
      <c r="N316">
        <f>scenario_indirect_prod_4506_iotable_2020_xlsx_3[[#This Row],[2037]]+scenario_indirect_prod_1610_iotable_2020_xlsx_3[[#This Row],[2037]]</f>
        <v>31207.744338191958</v>
      </c>
      <c r="O316">
        <f>scenario_indirect_prod_4506_iotable_2020_xlsx_3[[#This Row],[2038]]+scenario_indirect_prod_1610_iotable_2020_xlsx_3[[#This Row],[2038]]</f>
        <v>31207.744338191958</v>
      </c>
      <c r="P316">
        <f>scenario_indirect_prod_4506_iotable_2020_xlsx_3[[#This Row],[2039]]+scenario_indirect_prod_1610_iotable_2020_xlsx_3[[#This Row],[2039]]</f>
        <v>31207.744338191958</v>
      </c>
      <c r="Q316">
        <f>scenario_indirect_prod_4506_iotable_2020_xlsx_3[[#This Row],[2040]]+scenario_indirect_prod_1610_iotable_2020_xlsx_3[[#This Row],[2040]]</f>
        <v>32720.011850290641</v>
      </c>
      <c r="R316">
        <f>scenario_indirect_prod_4506_iotable_2020_xlsx_3[[#This Row],[2041]]+scenario_indirect_prod_1610_iotable_2020_xlsx_3[[#This Row],[2041]]</f>
        <v>32720.011850290641</v>
      </c>
      <c r="S316">
        <f>scenario_indirect_prod_4506_iotable_2020_xlsx_3[[#This Row],[2042]]+scenario_indirect_prod_1610_iotable_2020_xlsx_3[[#This Row],[2042]]</f>
        <v>34413.702675585897</v>
      </c>
      <c r="T316">
        <f>scenario_indirect_prod_4506_iotable_2020_xlsx_3[[#This Row],[2043]]+scenario_indirect_prod_1610_iotable_2020_xlsx_3[[#This Row],[2043]]</f>
        <v>34413.702675585897</v>
      </c>
      <c r="U316">
        <f>scenario_indirect_prod_4506_iotable_2020_xlsx_3[[#This Row],[2044]]+scenario_indirect_prod_1610_iotable_2020_xlsx_3[[#This Row],[2044]]</f>
        <v>35950.184209524145</v>
      </c>
      <c r="V316">
        <f>scenario_indirect_prod_4506_iotable_2020_xlsx_3[[#This Row],[2045]]+scenario_indirect_prod_1610_iotable_2020_xlsx_3[[#This Row],[2045]]</f>
        <v>35950.184209524145</v>
      </c>
      <c r="W316">
        <f>scenario_indirect_prod_4506_iotable_2020_xlsx_3[[#This Row],[2046]]+scenario_indirect_prod_1610_iotable_2020_xlsx_3[[#This Row],[2046]]</f>
        <v>37282.004943271444</v>
      </c>
      <c r="X316">
        <f>scenario_indirect_prod_4506_iotable_2020_xlsx_3[[#This Row],[2047]]+scenario_indirect_prod_1610_iotable_2020_xlsx_3[[#This Row],[2047]]</f>
        <v>37282.004943271444</v>
      </c>
      <c r="Y316">
        <f>scenario_indirect_prod_4506_iotable_2020_xlsx_3[[#This Row],[2048]]+scenario_indirect_prod_1610_iotable_2020_xlsx_3[[#This Row],[2048]]</f>
        <v>37282.004943271444</v>
      </c>
      <c r="Z316">
        <f>scenario_indirect_prod_4506_iotable_2020_xlsx_3[[#This Row],[2049]]+scenario_indirect_prod_1610_iotable_2020_xlsx_3[[#This Row],[2049]]</f>
        <v>37282.004943271444</v>
      </c>
      <c r="AA316">
        <f>scenario_indirect_prod_4506_iotable_2020_xlsx_3[[#This Row],[2050]]+scenario_indirect_prod_1610_iotable_2020_xlsx_3[[#This Row],[2050]]</f>
        <v>37282.004943271444</v>
      </c>
    </row>
    <row r="317" spans="1:27" x14ac:dyDescent="0.2">
      <c r="A317" t="s">
        <v>492</v>
      </c>
      <c r="B317" t="s">
        <v>493</v>
      </c>
      <c r="C317">
        <f>scenario_indirect_prod_4506_iotable_2020_xlsx_3[[#This Row],[2026]]+scenario_indirect_prod_1610_iotable_2020_xlsx_3[[#This Row],[2026]]</f>
        <v>18141.085442627151</v>
      </c>
      <c r="D317">
        <f>scenario_indirect_prod_4506_iotable_2020_xlsx_3[[#This Row],[2027]]+scenario_indirect_prod_1610_iotable_2020_xlsx_3[[#This Row],[2027]]</f>
        <v>18041.769984627972</v>
      </c>
      <c r="E317">
        <f>scenario_indirect_prod_4506_iotable_2020_xlsx_3[[#This Row],[2028]]+scenario_indirect_prod_1610_iotable_2020_xlsx_3[[#This Row],[2028]]</f>
        <v>18938.071366538497</v>
      </c>
      <c r="F317">
        <f>scenario_indirect_prod_4506_iotable_2020_xlsx_3[[#This Row],[2029]]+scenario_indirect_prod_1610_iotable_2020_xlsx_3[[#This Row],[2029]]</f>
        <v>19536.385026356264</v>
      </c>
      <c r="G317">
        <f>scenario_indirect_prod_4506_iotable_2020_xlsx_3[[#This Row],[2030]]+scenario_indirect_prod_1610_iotable_2020_xlsx_3[[#This Row],[2030]]</f>
        <v>18381.664248600879</v>
      </c>
      <c r="H317">
        <f>scenario_indirect_prod_4506_iotable_2020_xlsx_3[[#This Row],[2031]]+scenario_indirect_prod_1610_iotable_2020_xlsx_3[[#This Row],[2031]]</f>
        <v>19590.953732537229</v>
      </c>
      <c r="I317">
        <f>scenario_indirect_prod_4506_iotable_2020_xlsx_3[[#This Row],[2032]]+scenario_indirect_prod_1610_iotable_2020_xlsx_3[[#This Row],[2032]]</f>
        <v>21279.834112676035</v>
      </c>
      <c r="J317">
        <f>scenario_indirect_prod_4506_iotable_2020_xlsx_3[[#This Row],[2033]]+scenario_indirect_prod_1610_iotable_2020_xlsx_3[[#This Row],[2033]]</f>
        <v>23704.411178377286</v>
      </c>
      <c r="K317">
        <f>scenario_indirect_prod_4506_iotable_2020_xlsx_3[[#This Row],[2034]]+scenario_indirect_prod_1610_iotable_2020_xlsx_3[[#This Row],[2034]]</f>
        <v>25276.002427170435</v>
      </c>
      <c r="L317">
        <f>scenario_indirect_prod_4506_iotable_2020_xlsx_3[[#This Row],[2035]]+scenario_indirect_prod_1610_iotable_2020_xlsx_3[[#This Row],[2035]]</f>
        <v>28914.302150211977</v>
      </c>
      <c r="M317">
        <f>scenario_indirect_prod_4506_iotable_2020_xlsx_3[[#This Row],[2036]]+scenario_indirect_prod_1610_iotable_2020_xlsx_3[[#This Row],[2036]]</f>
        <v>30138.429513475883</v>
      </c>
      <c r="N317">
        <f>scenario_indirect_prod_4506_iotable_2020_xlsx_3[[#This Row],[2037]]+scenario_indirect_prod_1610_iotable_2020_xlsx_3[[#This Row],[2037]]</f>
        <v>31272.069420822121</v>
      </c>
      <c r="O317">
        <f>scenario_indirect_prod_4506_iotable_2020_xlsx_3[[#This Row],[2038]]+scenario_indirect_prod_1610_iotable_2020_xlsx_3[[#This Row],[2038]]</f>
        <v>31272.069420822121</v>
      </c>
      <c r="P317">
        <f>scenario_indirect_prod_4506_iotable_2020_xlsx_3[[#This Row],[2039]]+scenario_indirect_prod_1610_iotable_2020_xlsx_3[[#This Row],[2039]]</f>
        <v>31272.069420822121</v>
      </c>
      <c r="Q317">
        <f>scenario_indirect_prod_4506_iotable_2020_xlsx_3[[#This Row],[2040]]+scenario_indirect_prod_1610_iotable_2020_xlsx_3[[#This Row],[2040]]</f>
        <v>32256.421269475319</v>
      </c>
      <c r="R317">
        <f>scenario_indirect_prod_4506_iotable_2020_xlsx_3[[#This Row],[2041]]+scenario_indirect_prod_1610_iotable_2020_xlsx_3[[#This Row],[2041]]</f>
        <v>32256.421269475319</v>
      </c>
      <c r="S317">
        <f>scenario_indirect_prod_4506_iotable_2020_xlsx_3[[#This Row],[2042]]+scenario_indirect_prod_1610_iotable_2020_xlsx_3[[#This Row],[2042]]</f>
        <v>33377.248118082236</v>
      </c>
      <c r="T317">
        <f>scenario_indirect_prod_4506_iotable_2020_xlsx_3[[#This Row],[2043]]+scenario_indirect_prod_1610_iotable_2020_xlsx_3[[#This Row],[2043]]</f>
        <v>33377.248118082236</v>
      </c>
      <c r="U317">
        <f>scenario_indirect_prod_4506_iotable_2020_xlsx_3[[#This Row],[2044]]+scenario_indirect_prod_1610_iotable_2020_xlsx_3[[#This Row],[2044]]</f>
        <v>34339.200080615759</v>
      </c>
      <c r="V317">
        <f>scenario_indirect_prod_4506_iotable_2020_xlsx_3[[#This Row],[2045]]+scenario_indirect_prod_1610_iotable_2020_xlsx_3[[#This Row],[2045]]</f>
        <v>34339.200080615759</v>
      </c>
      <c r="W317">
        <f>scenario_indirect_prod_4506_iotable_2020_xlsx_3[[#This Row],[2046]]+scenario_indirect_prod_1610_iotable_2020_xlsx_3[[#This Row],[2046]]</f>
        <v>35191.260282188858</v>
      </c>
      <c r="X317">
        <f>scenario_indirect_prod_4506_iotable_2020_xlsx_3[[#This Row],[2047]]+scenario_indirect_prod_1610_iotable_2020_xlsx_3[[#This Row],[2047]]</f>
        <v>35191.260282188858</v>
      </c>
      <c r="Y317">
        <f>scenario_indirect_prod_4506_iotable_2020_xlsx_3[[#This Row],[2048]]+scenario_indirect_prod_1610_iotable_2020_xlsx_3[[#This Row],[2048]]</f>
        <v>35191.260282188858</v>
      </c>
      <c r="Z317">
        <f>scenario_indirect_prod_4506_iotable_2020_xlsx_3[[#This Row],[2049]]+scenario_indirect_prod_1610_iotable_2020_xlsx_3[[#This Row],[2049]]</f>
        <v>35191.260282188858</v>
      </c>
      <c r="AA317">
        <f>scenario_indirect_prod_4506_iotable_2020_xlsx_3[[#This Row],[2050]]+scenario_indirect_prod_1610_iotable_2020_xlsx_3[[#This Row],[2050]]</f>
        <v>35191.260282188858</v>
      </c>
    </row>
    <row r="318" spans="1:27" x14ac:dyDescent="0.2">
      <c r="A318" t="s">
        <v>435</v>
      </c>
      <c r="B318" t="s">
        <v>436</v>
      </c>
      <c r="C318">
        <f>scenario_indirect_prod_4506_iotable_2020_xlsx_3[[#This Row],[2026]]+scenario_indirect_prod_1610_iotable_2020_xlsx_3[[#This Row],[2026]]</f>
        <v>27993.588153156801</v>
      </c>
      <c r="D318">
        <f>scenario_indirect_prod_4506_iotable_2020_xlsx_3[[#This Row],[2027]]+scenario_indirect_prod_1610_iotable_2020_xlsx_3[[#This Row],[2027]]</f>
        <v>27142.27464055903</v>
      </c>
      <c r="E318">
        <f>scenario_indirect_prod_4506_iotable_2020_xlsx_3[[#This Row],[2028]]+scenario_indirect_prod_1610_iotable_2020_xlsx_3[[#This Row],[2028]]</f>
        <v>28566.851175079948</v>
      </c>
      <c r="F318">
        <f>scenario_indirect_prod_4506_iotable_2020_xlsx_3[[#This Row],[2029]]+scenario_indirect_prod_1610_iotable_2020_xlsx_3[[#This Row],[2029]]</f>
        <v>29240.422793258633</v>
      </c>
      <c r="G318">
        <f>scenario_indirect_prod_4506_iotable_2020_xlsx_3[[#This Row],[2030]]+scenario_indirect_prod_1610_iotable_2020_xlsx_3[[#This Row],[2030]]</f>
        <v>25053.90499900296</v>
      </c>
      <c r="H318">
        <f>scenario_indirect_prod_4506_iotable_2020_xlsx_3[[#This Row],[2031]]+scenario_indirect_prod_1610_iotable_2020_xlsx_3[[#This Row],[2031]]</f>
        <v>26975.943118130403</v>
      </c>
      <c r="I318">
        <f>scenario_indirect_prod_4506_iotable_2020_xlsx_3[[#This Row],[2032]]+scenario_indirect_prod_1610_iotable_2020_xlsx_3[[#This Row],[2032]]</f>
        <v>29660.240395492721</v>
      </c>
      <c r="J318">
        <f>scenario_indirect_prod_4506_iotable_2020_xlsx_3[[#This Row],[2033]]+scenario_indirect_prod_1610_iotable_2020_xlsx_3[[#This Row],[2033]]</f>
        <v>32202.223602433482</v>
      </c>
      <c r="K318">
        <f>scenario_indirect_prod_4506_iotable_2020_xlsx_3[[#This Row],[2034]]+scenario_indirect_prod_1610_iotable_2020_xlsx_3[[#This Row],[2034]]</f>
        <v>34700.102173274106</v>
      </c>
      <c r="L318">
        <f>scenario_indirect_prod_4506_iotable_2020_xlsx_3[[#This Row],[2035]]+scenario_indirect_prod_1610_iotable_2020_xlsx_3[[#This Row],[2035]]</f>
        <v>38822.43345535345</v>
      </c>
      <c r="M318">
        <f>scenario_indirect_prod_4506_iotable_2020_xlsx_3[[#This Row],[2036]]+scenario_indirect_prod_1610_iotable_2020_xlsx_3[[#This Row],[2036]]</f>
        <v>39678.225570690491</v>
      </c>
      <c r="N318">
        <f>scenario_indirect_prod_4506_iotable_2020_xlsx_3[[#This Row],[2037]]+scenario_indirect_prod_1610_iotable_2020_xlsx_3[[#This Row],[2037]]</f>
        <v>40527.291620050833</v>
      </c>
      <c r="O318">
        <f>scenario_indirect_prod_4506_iotable_2020_xlsx_3[[#This Row],[2038]]+scenario_indirect_prod_1610_iotable_2020_xlsx_3[[#This Row],[2038]]</f>
        <v>40527.291620050833</v>
      </c>
      <c r="P318">
        <f>scenario_indirect_prod_4506_iotable_2020_xlsx_3[[#This Row],[2039]]+scenario_indirect_prod_1610_iotable_2020_xlsx_3[[#This Row],[2039]]</f>
        <v>40527.291620050833</v>
      </c>
      <c r="Q318">
        <f>scenario_indirect_prod_4506_iotable_2020_xlsx_3[[#This Row],[2040]]+scenario_indirect_prod_1610_iotable_2020_xlsx_3[[#This Row],[2040]]</f>
        <v>41255.402437005287</v>
      </c>
      <c r="R318">
        <f>scenario_indirect_prod_4506_iotable_2020_xlsx_3[[#This Row],[2041]]+scenario_indirect_prod_1610_iotable_2020_xlsx_3[[#This Row],[2041]]</f>
        <v>41255.402437005287</v>
      </c>
      <c r="S318">
        <f>scenario_indirect_prod_4506_iotable_2020_xlsx_3[[#This Row],[2042]]+scenario_indirect_prod_1610_iotable_2020_xlsx_3[[#This Row],[2042]]</f>
        <v>42113.645638062582</v>
      </c>
      <c r="T318">
        <f>scenario_indirect_prod_4506_iotable_2020_xlsx_3[[#This Row],[2043]]+scenario_indirect_prod_1610_iotable_2020_xlsx_3[[#This Row],[2043]]</f>
        <v>42113.645638062582</v>
      </c>
      <c r="U318">
        <f>scenario_indirect_prod_4506_iotable_2020_xlsx_3[[#This Row],[2044]]+scenario_indirect_prod_1610_iotable_2020_xlsx_3[[#This Row],[2044]]</f>
        <v>42764.610314201709</v>
      </c>
      <c r="V318">
        <f>scenario_indirect_prod_4506_iotable_2020_xlsx_3[[#This Row],[2045]]+scenario_indirect_prod_1610_iotable_2020_xlsx_3[[#This Row],[2045]]</f>
        <v>42764.610314201709</v>
      </c>
      <c r="W318">
        <f>scenario_indirect_prod_4506_iotable_2020_xlsx_3[[#This Row],[2046]]+scenario_indirect_prod_1610_iotable_2020_xlsx_3[[#This Row],[2046]]</f>
        <v>43371.314792926249</v>
      </c>
      <c r="X318">
        <f>scenario_indirect_prod_4506_iotable_2020_xlsx_3[[#This Row],[2047]]+scenario_indirect_prod_1610_iotable_2020_xlsx_3[[#This Row],[2047]]</f>
        <v>43371.314792926249</v>
      </c>
      <c r="Y318">
        <f>scenario_indirect_prod_4506_iotable_2020_xlsx_3[[#This Row],[2048]]+scenario_indirect_prod_1610_iotable_2020_xlsx_3[[#This Row],[2048]]</f>
        <v>43371.314792926249</v>
      </c>
      <c r="Z318">
        <f>scenario_indirect_prod_4506_iotable_2020_xlsx_3[[#This Row],[2049]]+scenario_indirect_prod_1610_iotable_2020_xlsx_3[[#This Row],[2049]]</f>
        <v>43371.314792926249</v>
      </c>
      <c r="AA318">
        <f>scenario_indirect_prod_4506_iotable_2020_xlsx_3[[#This Row],[2050]]+scenario_indirect_prod_1610_iotable_2020_xlsx_3[[#This Row],[2050]]</f>
        <v>43371.314792926249</v>
      </c>
    </row>
    <row r="319" spans="1:27" x14ac:dyDescent="0.2">
      <c r="A319" t="s">
        <v>627</v>
      </c>
      <c r="B319" t="s">
        <v>628</v>
      </c>
      <c r="C319">
        <f>scenario_indirect_prod_4506_iotable_2020_xlsx_3[[#This Row],[2026]]+scenario_indirect_prod_1610_iotable_2020_xlsx_3[[#This Row],[2026]]</f>
        <v>4986.3362253160703</v>
      </c>
      <c r="D319">
        <f>scenario_indirect_prod_4506_iotable_2020_xlsx_3[[#This Row],[2027]]+scenario_indirect_prod_1610_iotable_2020_xlsx_3[[#This Row],[2027]]</f>
        <v>4604.298728553782</v>
      </c>
      <c r="E319">
        <f>scenario_indirect_prod_4506_iotable_2020_xlsx_3[[#This Row],[2028]]+scenario_indirect_prod_1610_iotable_2020_xlsx_3[[#This Row],[2028]]</f>
        <v>4871.7442861676755</v>
      </c>
      <c r="F319">
        <f>scenario_indirect_prod_4506_iotable_2020_xlsx_3[[#This Row],[2029]]+scenario_indirect_prod_1610_iotable_2020_xlsx_3[[#This Row],[2029]]</f>
        <v>4909.3126922623196</v>
      </c>
      <c r="G319">
        <f>scenario_indirect_prod_4506_iotable_2020_xlsx_3[[#This Row],[2030]]+scenario_indirect_prod_1610_iotable_2020_xlsx_3[[#This Row],[2030]]</f>
        <v>3369.921562657968</v>
      </c>
      <c r="H319">
        <f>scenario_indirect_prod_4506_iotable_2020_xlsx_3[[#This Row],[2031]]+scenario_indirect_prod_1610_iotable_2020_xlsx_3[[#This Row],[2031]]</f>
        <v>3730.7590073783849</v>
      </c>
      <c r="I319">
        <f>scenario_indirect_prod_4506_iotable_2020_xlsx_3[[#This Row],[2032]]+scenario_indirect_prod_1610_iotable_2020_xlsx_3[[#This Row],[2032]]</f>
        <v>4234.700610197955</v>
      </c>
      <c r="J319">
        <f>scenario_indirect_prod_4506_iotable_2020_xlsx_3[[#This Row],[2033]]+scenario_indirect_prod_1610_iotable_2020_xlsx_3[[#This Row],[2033]]</f>
        <v>4291.6240919836173</v>
      </c>
      <c r="K319">
        <f>scenario_indirect_prod_4506_iotable_2020_xlsx_3[[#This Row],[2034]]+scenario_indirect_prod_1610_iotable_2020_xlsx_3[[#This Row],[2034]]</f>
        <v>4760.5680279827657</v>
      </c>
      <c r="L319">
        <f>scenario_indirect_prod_4506_iotable_2020_xlsx_3[[#This Row],[2035]]+scenario_indirect_prod_1610_iotable_2020_xlsx_3[[#This Row],[2035]]</f>
        <v>5002.4313446803972</v>
      </c>
      <c r="M319">
        <f>scenario_indirect_prod_4506_iotable_2020_xlsx_3[[#This Row],[2036]]+scenario_indirect_prod_1610_iotable_2020_xlsx_3[[#This Row],[2036]]</f>
        <v>4813.8677402753001</v>
      </c>
      <c r="N319">
        <f>scenario_indirect_prod_4506_iotable_2020_xlsx_3[[#This Row],[2037]]+scenario_indirect_prod_1610_iotable_2020_xlsx_3[[#This Row],[2037]]</f>
        <v>4667.9721817628597</v>
      </c>
      <c r="O319">
        <f>scenario_indirect_prod_4506_iotable_2020_xlsx_3[[#This Row],[2038]]+scenario_indirect_prod_1610_iotable_2020_xlsx_3[[#This Row],[2038]]</f>
        <v>4667.9721817628597</v>
      </c>
      <c r="P319">
        <f>scenario_indirect_prod_4506_iotable_2020_xlsx_3[[#This Row],[2039]]+scenario_indirect_prod_1610_iotable_2020_xlsx_3[[#This Row],[2039]]</f>
        <v>4667.9721817628597</v>
      </c>
      <c r="Q319">
        <f>scenario_indirect_prod_4506_iotable_2020_xlsx_3[[#This Row],[2040]]+scenario_indirect_prod_1610_iotable_2020_xlsx_3[[#This Row],[2040]]</f>
        <v>4536.6434762108929</v>
      </c>
      <c r="R319">
        <f>scenario_indirect_prod_4506_iotable_2020_xlsx_3[[#This Row],[2041]]+scenario_indirect_prod_1610_iotable_2020_xlsx_3[[#This Row],[2041]]</f>
        <v>4536.6434762108929</v>
      </c>
      <c r="S319">
        <f>scenario_indirect_prod_4506_iotable_2020_xlsx_3[[#This Row],[2042]]+scenario_indirect_prod_1610_iotable_2020_xlsx_3[[#This Row],[2042]]</f>
        <v>4401.9373632787228</v>
      </c>
      <c r="T319">
        <f>scenario_indirect_prod_4506_iotable_2020_xlsx_3[[#This Row],[2043]]+scenario_indirect_prod_1610_iotable_2020_xlsx_3[[#This Row],[2043]]</f>
        <v>4401.9373632787228</v>
      </c>
      <c r="U319">
        <f>scenario_indirect_prod_4506_iotable_2020_xlsx_3[[#This Row],[2044]]+scenario_indirect_prod_1610_iotable_2020_xlsx_3[[#This Row],[2044]]</f>
        <v>4242.8130656890589</v>
      </c>
      <c r="V319">
        <f>scenario_indirect_prod_4506_iotable_2020_xlsx_3[[#This Row],[2045]]+scenario_indirect_prod_1610_iotable_2020_xlsx_3[[#This Row],[2045]]</f>
        <v>4242.8130656890589</v>
      </c>
      <c r="W319">
        <f>scenario_indirect_prod_4506_iotable_2020_xlsx_3[[#This Row],[2046]]+scenario_indirect_prod_1610_iotable_2020_xlsx_3[[#This Row],[2046]]</f>
        <v>4117.1655419960734</v>
      </c>
      <c r="X319">
        <f>scenario_indirect_prod_4506_iotable_2020_xlsx_3[[#This Row],[2047]]+scenario_indirect_prod_1610_iotable_2020_xlsx_3[[#This Row],[2047]]</f>
        <v>4117.1655419960734</v>
      </c>
      <c r="Y319">
        <f>scenario_indirect_prod_4506_iotable_2020_xlsx_3[[#This Row],[2048]]+scenario_indirect_prod_1610_iotable_2020_xlsx_3[[#This Row],[2048]]</f>
        <v>4117.1655419960734</v>
      </c>
      <c r="Z319">
        <f>scenario_indirect_prod_4506_iotable_2020_xlsx_3[[#This Row],[2049]]+scenario_indirect_prod_1610_iotable_2020_xlsx_3[[#This Row],[2049]]</f>
        <v>4117.1655419960734</v>
      </c>
      <c r="AA319">
        <f>scenario_indirect_prod_4506_iotable_2020_xlsx_3[[#This Row],[2050]]+scenario_indirect_prod_1610_iotable_2020_xlsx_3[[#This Row],[2050]]</f>
        <v>4117.1655419960734</v>
      </c>
    </row>
    <row r="320" spans="1:27" x14ac:dyDescent="0.2">
      <c r="A320" t="s">
        <v>524</v>
      </c>
      <c r="B320" t="s">
        <v>183</v>
      </c>
      <c r="C320">
        <f>scenario_indirect_prod_4506_iotable_2020_xlsx_3[[#This Row],[2026]]+scenario_indirect_prod_1610_iotable_2020_xlsx_3[[#This Row],[2026]]</f>
        <v>12401.964472636384</v>
      </c>
      <c r="D320">
        <f>scenario_indirect_prod_4506_iotable_2020_xlsx_3[[#This Row],[2027]]+scenario_indirect_prod_1610_iotable_2020_xlsx_3[[#This Row],[2027]]</f>
        <v>12261.315764611329</v>
      </c>
      <c r="E320">
        <f>scenario_indirect_prod_4506_iotable_2020_xlsx_3[[#This Row],[2028]]+scenario_indirect_prod_1610_iotable_2020_xlsx_3[[#This Row],[2028]]</f>
        <v>12878.387028217818</v>
      </c>
      <c r="F320">
        <f>scenario_indirect_prod_4506_iotable_2020_xlsx_3[[#This Row],[2029]]+scenario_indirect_prod_1610_iotable_2020_xlsx_3[[#This Row],[2029]]</f>
        <v>13261.395025218075</v>
      </c>
      <c r="G320">
        <f>scenario_indirect_prod_4506_iotable_2020_xlsx_3[[#This Row],[2030]]+scenario_indirect_prod_1610_iotable_2020_xlsx_3[[#This Row],[2030]]</f>
        <v>12221.364812356716</v>
      </c>
      <c r="H320">
        <f>scenario_indirect_prod_4506_iotable_2020_xlsx_3[[#This Row],[2031]]+scenario_indirect_prod_1610_iotable_2020_xlsx_3[[#This Row],[2031]]</f>
        <v>13053.91712676689</v>
      </c>
      <c r="I320">
        <f>scenario_indirect_prod_4506_iotable_2020_xlsx_3[[#This Row],[2032]]+scenario_indirect_prod_1610_iotable_2020_xlsx_3[[#This Row],[2032]]</f>
        <v>14216.650523463242</v>
      </c>
      <c r="J320">
        <f>scenario_indirect_prod_4506_iotable_2020_xlsx_3[[#This Row],[2033]]+scenario_indirect_prod_1610_iotable_2020_xlsx_3[[#This Row],[2033]]</f>
        <v>15749.185089568613</v>
      </c>
      <c r="K320">
        <f>scenario_indirect_prod_4506_iotable_2020_xlsx_3[[#This Row],[2034]]+scenario_indirect_prod_1610_iotable_2020_xlsx_3[[#This Row],[2034]]</f>
        <v>16831.169137945879</v>
      </c>
      <c r="L320">
        <f>scenario_indirect_prod_4506_iotable_2020_xlsx_3[[#This Row],[2035]]+scenario_indirect_prod_1610_iotable_2020_xlsx_3[[#This Row],[2035]]</f>
        <v>19162.962333679719</v>
      </c>
      <c r="M320">
        <f>scenario_indirect_prod_4506_iotable_2020_xlsx_3[[#This Row],[2036]]+scenario_indirect_prod_1610_iotable_2020_xlsx_3[[#This Row],[2036]]</f>
        <v>19892.146464115322</v>
      </c>
      <c r="N320">
        <f>scenario_indirect_prod_4506_iotable_2020_xlsx_3[[#This Row],[2037]]+scenario_indirect_prod_1610_iotable_2020_xlsx_3[[#This Row],[2037]]</f>
        <v>20573.321385625157</v>
      </c>
      <c r="O320">
        <f>scenario_indirect_prod_4506_iotable_2020_xlsx_3[[#This Row],[2038]]+scenario_indirect_prod_1610_iotable_2020_xlsx_3[[#This Row],[2038]]</f>
        <v>20573.321385625157</v>
      </c>
      <c r="P320">
        <f>scenario_indirect_prod_4506_iotable_2020_xlsx_3[[#This Row],[2039]]+scenario_indirect_prod_1610_iotable_2020_xlsx_3[[#This Row],[2039]]</f>
        <v>20573.321385625157</v>
      </c>
      <c r="Q320">
        <f>scenario_indirect_prod_4506_iotable_2020_xlsx_3[[#This Row],[2040]]+scenario_indirect_prod_1610_iotable_2020_xlsx_3[[#This Row],[2040]]</f>
        <v>21163.840131135628</v>
      </c>
      <c r="R320">
        <f>scenario_indirect_prod_4506_iotable_2020_xlsx_3[[#This Row],[2041]]+scenario_indirect_prod_1610_iotable_2020_xlsx_3[[#This Row],[2041]]</f>
        <v>21163.840131135628</v>
      </c>
      <c r="S320">
        <f>scenario_indirect_prod_4506_iotable_2020_xlsx_3[[#This Row],[2042]]+scenario_indirect_prod_1610_iotable_2020_xlsx_3[[#This Row],[2042]]</f>
        <v>21839.272647574118</v>
      </c>
      <c r="T320">
        <f>scenario_indirect_prod_4506_iotable_2020_xlsx_3[[#This Row],[2043]]+scenario_indirect_prod_1610_iotable_2020_xlsx_3[[#This Row],[2043]]</f>
        <v>21839.272647574118</v>
      </c>
      <c r="U320">
        <f>scenario_indirect_prod_4506_iotable_2020_xlsx_3[[#This Row],[2044]]+scenario_indirect_prod_1610_iotable_2020_xlsx_3[[#This Row],[2044]]</f>
        <v>22410.040115421758</v>
      </c>
      <c r="V320">
        <f>scenario_indirect_prod_4506_iotable_2020_xlsx_3[[#This Row],[2045]]+scenario_indirect_prod_1610_iotable_2020_xlsx_3[[#This Row],[2045]]</f>
        <v>22410.040115421758</v>
      </c>
      <c r="W320">
        <f>scenario_indirect_prod_4506_iotable_2020_xlsx_3[[#This Row],[2046]]+scenario_indirect_prod_1610_iotable_2020_xlsx_3[[#This Row],[2046]]</f>
        <v>22918.741650801603</v>
      </c>
      <c r="X320">
        <f>scenario_indirect_prod_4506_iotable_2020_xlsx_3[[#This Row],[2047]]+scenario_indirect_prod_1610_iotable_2020_xlsx_3[[#This Row],[2047]]</f>
        <v>22918.741650801603</v>
      </c>
      <c r="Y320">
        <f>scenario_indirect_prod_4506_iotable_2020_xlsx_3[[#This Row],[2048]]+scenario_indirect_prod_1610_iotable_2020_xlsx_3[[#This Row],[2048]]</f>
        <v>22918.741650801603</v>
      </c>
      <c r="Z320">
        <f>scenario_indirect_prod_4506_iotable_2020_xlsx_3[[#This Row],[2049]]+scenario_indirect_prod_1610_iotable_2020_xlsx_3[[#This Row],[2049]]</f>
        <v>22918.741650801603</v>
      </c>
      <c r="AA320">
        <f>scenario_indirect_prod_4506_iotable_2020_xlsx_3[[#This Row],[2050]]+scenario_indirect_prod_1610_iotable_2020_xlsx_3[[#This Row],[2050]]</f>
        <v>22918.741650801603</v>
      </c>
    </row>
    <row r="321" spans="1:27" x14ac:dyDescent="0.2">
      <c r="A321" t="s">
        <v>617</v>
      </c>
      <c r="B321" t="s">
        <v>618</v>
      </c>
      <c r="C321">
        <f>scenario_indirect_prod_4506_iotable_2020_xlsx_3[[#This Row],[2026]]+scenario_indirect_prod_1610_iotable_2020_xlsx_3[[#This Row],[2026]]</f>
        <v>5462.2218701508291</v>
      </c>
      <c r="D321">
        <f>scenario_indirect_prod_4506_iotable_2020_xlsx_3[[#This Row],[2027]]+scenario_indirect_prod_1610_iotable_2020_xlsx_3[[#This Row],[2027]]</f>
        <v>5278.6746612994402</v>
      </c>
      <c r="E321">
        <f>scenario_indirect_prod_4506_iotable_2020_xlsx_3[[#This Row],[2028]]+scenario_indirect_prod_1610_iotable_2020_xlsx_3[[#This Row],[2028]]</f>
        <v>5557.6800804358227</v>
      </c>
      <c r="F321">
        <f>scenario_indirect_prod_4506_iotable_2020_xlsx_3[[#This Row],[2029]]+scenario_indirect_prod_1610_iotable_2020_xlsx_3[[#This Row],[2029]]</f>
        <v>5682.8735965678716</v>
      </c>
      <c r="G321">
        <f>scenario_indirect_prod_4506_iotable_2020_xlsx_3[[#This Row],[2030]]+scenario_indirect_prod_1610_iotable_2020_xlsx_3[[#This Row],[2030]]</f>
        <v>4805.9219033110003</v>
      </c>
      <c r="H321">
        <f>scenario_indirect_prod_4506_iotable_2020_xlsx_3[[#This Row],[2031]]+scenario_indirect_prod_1610_iotable_2020_xlsx_3[[#This Row],[2031]]</f>
        <v>5182.3559088055526</v>
      </c>
      <c r="I321">
        <f>scenario_indirect_prod_4506_iotable_2020_xlsx_3[[#This Row],[2032]]+scenario_indirect_prod_1610_iotable_2020_xlsx_3[[#This Row],[2032]]</f>
        <v>5708.0794966989824</v>
      </c>
      <c r="J321">
        <f>scenario_indirect_prod_4506_iotable_2020_xlsx_3[[#This Row],[2033]]+scenario_indirect_prod_1610_iotable_2020_xlsx_3[[#This Row],[2033]]</f>
        <v>6174.1242072755194</v>
      </c>
      <c r="K321">
        <f>scenario_indirect_prod_4506_iotable_2020_xlsx_3[[#This Row],[2034]]+scenario_indirect_prod_1610_iotable_2020_xlsx_3[[#This Row],[2034]]</f>
        <v>6663.3374160579824</v>
      </c>
      <c r="L321">
        <f>scenario_indirect_prod_4506_iotable_2020_xlsx_3[[#This Row],[2035]]+scenario_indirect_prod_1610_iotable_2020_xlsx_3[[#This Row],[2035]]</f>
        <v>7430.4389100823137</v>
      </c>
      <c r="M321">
        <f>scenario_indirect_prod_4506_iotable_2020_xlsx_3[[#This Row],[2036]]+scenario_indirect_prod_1610_iotable_2020_xlsx_3[[#This Row],[2036]]</f>
        <v>7571.6191025859353</v>
      </c>
      <c r="N321">
        <f>scenario_indirect_prod_4506_iotable_2020_xlsx_3[[#This Row],[2037]]+scenario_indirect_prod_1610_iotable_2020_xlsx_3[[#This Row],[2037]]</f>
        <v>7714.806469056999</v>
      </c>
      <c r="O321">
        <f>scenario_indirect_prod_4506_iotable_2020_xlsx_3[[#This Row],[2038]]+scenario_indirect_prod_1610_iotable_2020_xlsx_3[[#This Row],[2038]]</f>
        <v>7714.806469056999</v>
      </c>
      <c r="P321">
        <f>scenario_indirect_prod_4506_iotable_2020_xlsx_3[[#This Row],[2039]]+scenario_indirect_prod_1610_iotable_2020_xlsx_3[[#This Row],[2039]]</f>
        <v>7714.806469056999</v>
      </c>
      <c r="Q321">
        <f>scenario_indirect_prod_4506_iotable_2020_xlsx_3[[#This Row],[2040]]+scenario_indirect_prod_1610_iotable_2020_xlsx_3[[#This Row],[2040]]</f>
        <v>7837.1253497670314</v>
      </c>
      <c r="R321">
        <f>scenario_indirect_prod_4506_iotable_2020_xlsx_3[[#This Row],[2041]]+scenario_indirect_prod_1610_iotable_2020_xlsx_3[[#This Row],[2041]]</f>
        <v>7837.1253497670314</v>
      </c>
      <c r="S321">
        <f>scenario_indirect_prod_4506_iotable_2020_xlsx_3[[#This Row],[2042]]+scenario_indirect_prod_1610_iotable_2020_xlsx_3[[#This Row],[2042]]</f>
        <v>7982.8264613916581</v>
      </c>
      <c r="T321">
        <f>scenario_indirect_prod_4506_iotable_2020_xlsx_3[[#This Row],[2043]]+scenario_indirect_prod_1610_iotable_2020_xlsx_3[[#This Row],[2043]]</f>
        <v>7982.8264613916581</v>
      </c>
      <c r="U321">
        <f>scenario_indirect_prod_4506_iotable_2020_xlsx_3[[#This Row],[2044]]+scenario_indirect_prod_1610_iotable_2020_xlsx_3[[#This Row],[2044]]</f>
        <v>8089.0287325610516</v>
      </c>
      <c r="V321">
        <f>scenario_indirect_prod_4506_iotable_2020_xlsx_3[[#This Row],[2045]]+scenario_indirect_prod_1610_iotable_2020_xlsx_3[[#This Row],[2045]]</f>
        <v>8089.0287325610516</v>
      </c>
      <c r="W321">
        <f>scenario_indirect_prod_4506_iotable_2020_xlsx_3[[#This Row],[2046]]+scenario_indirect_prod_1610_iotable_2020_xlsx_3[[#This Row],[2046]]</f>
        <v>8189.7247589727413</v>
      </c>
      <c r="X321">
        <f>scenario_indirect_prod_4506_iotable_2020_xlsx_3[[#This Row],[2047]]+scenario_indirect_prod_1610_iotable_2020_xlsx_3[[#This Row],[2047]]</f>
        <v>8189.7247589727413</v>
      </c>
      <c r="Y321">
        <f>scenario_indirect_prod_4506_iotable_2020_xlsx_3[[#This Row],[2048]]+scenario_indirect_prod_1610_iotable_2020_xlsx_3[[#This Row],[2048]]</f>
        <v>8189.7247589727413</v>
      </c>
      <c r="Z321">
        <f>scenario_indirect_prod_4506_iotable_2020_xlsx_3[[#This Row],[2049]]+scenario_indirect_prod_1610_iotable_2020_xlsx_3[[#This Row],[2049]]</f>
        <v>8189.7247589727413</v>
      </c>
      <c r="AA321">
        <f>scenario_indirect_prod_4506_iotable_2020_xlsx_3[[#This Row],[2050]]+scenario_indirect_prod_1610_iotable_2020_xlsx_3[[#This Row],[2050]]</f>
        <v>8189.7247589727413</v>
      </c>
    </row>
    <row r="322" spans="1:27" x14ac:dyDescent="0.2">
      <c r="A322" t="s">
        <v>540</v>
      </c>
      <c r="B322" t="s">
        <v>541</v>
      </c>
      <c r="C322">
        <f>scenario_indirect_prod_4506_iotable_2020_xlsx_3[[#This Row],[2026]]+scenario_indirect_prod_1610_iotable_2020_xlsx_3[[#This Row],[2026]]</f>
        <v>11320.72835141066</v>
      </c>
      <c r="D322">
        <f>scenario_indirect_prod_4506_iotable_2020_xlsx_3[[#This Row],[2027]]+scenario_indirect_prod_1610_iotable_2020_xlsx_3[[#This Row],[2027]]</f>
        <v>11482.904375249775</v>
      </c>
      <c r="E322">
        <f>scenario_indirect_prod_4506_iotable_2020_xlsx_3[[#This Row],[2028]]+scenario_indirect_prod_1610_iotable_2020_xlsx_3[[#This Row],[2028]]</f>
        <v>12028.907810388991</v>
      </c>
      <c r="F322">
        <f>scenario_indirect_prod_4506_iotable_2020_xlsx_3[[#This Row],[2029]]+scenario_indirect_prod_1610_iotable_2020_xlsx_3[[#This Row],[2029]]</f>
        <v>12482.455467500326</v>
      </c>
      <c r="G322">
        <f>scenario_indirect_prod_4506_iotable_2020_xlsx_3[[#This Row],[2030]]+scenario_indirect_prod_1610_iotable_2020_xlsx_3[[#This Row],[2030]]</f>
        <v>12534.022957850906</v>
      </c>
      <c r="H322">
        <f>scenario_indirect_prod_4506_iotable_2020_xlsx_3[[#This Row],[2031]]+scenario_indirect_prod_1610_iotable_2020_xlsx_3[[#This Row],[2031]]</f>
        <v>13270.690585094275</v>
      </c>
      <c r="I322">
        <f>scenario_indirect_prod_4506_iotable_2020_xlsx_3[[#This Row],[2032]]+scenario_indirect_prod_1610_iotable_2020_xlsx_3[[#This Row],[2032]]</f>
        <v>14299.512483292652</v>
      </c>
      <c r="J322">
        <f>scenario_indirect_prod_4506_iotable_2020_xlsx_3[[#This Row],[2033]]+scenario_indirect_prod_1610_iotable_2020_xlsx_3[[#This Row],[2033]]</f>
        <v>16197.675713645443</v>
      </c>
      <c r="K322">
        <f>scenario_indirect_prod_4506_iotable_2020_xlsx_3[[#This Row],[2034]]+scenario_indirect_prod_1610_iotable_2020_xlsx_3[[#This Row],[2034]]</f>
        <v>17155.048130774499</v>
      </c>
      <c r="L322">
        <f>scenario_indirect_prod_4506_iotable_2020_xlsx_3[[#This Row],[2035]]+scenario_indirect_prod_1610_iotable_2020_xlsx_3[[#This Row],[2035]]</f>
        <v>19904.561613534162</v>
      </c>
      <c r="M322">
        <f>scenario_indirect_prod_4506_iotable_2020_xlsx_3[[#This Row],[2036]]+scenario_indirect_prod_1610_iotable_2020_xlsx_3[[#This Row],[2036]]</f>
        <v>21000.221286852429</v>
      </c>
      <c r="N322">
        <f>scenario_indirect_prod_4506_iotable_2020_xlsx_3[[#This Row],[2037]]+scenario_indirect_prod_1610_iotable_2020_xlsx_3[[#This Row],[2037]]</f>
        <v>21996.736276959062</v>
      </c>
      <c r="O322">
        <f>scenario_indirect_prod_4506_iotable_2020_xlsx_3[[#This Row],[2038]]+scenario_indirect_prod_1610_iotable_2020_xlsx_3[[#This Row],[2038]]</f>
        <v>21996.736276959062</v>
      </c>
      <c r="P322">
        <f>scenario_indirect_prod_4506_iotable_2020_xlsx_3[[#This Row],[2039]]+scenario_indirect_prod_1610_iotable_2020_xlsx_3[[#This Row],[2039]]</f>
        <v>21996.736276959062</v>
      </c>
      <c r="Q322">
        <f>scenario_indirect_prod_4506_iotable_2020_xlsx_3[[#This Row],[2040]]+scenario_indirect_prod_1610_iotable_2020_xlsx_3[[#This Row],[2040]]</f>
        <v>22864.95678935793</v>
      </c>
      <c r="R322">
        <f>scenario_indirect_prod_4506_iotable_2020_xlsx_3[[#This Row],[2041]]+scenario_indirect_prod_1610_iotable_2020_xlsx_3[[#This Row],[2041]]</f>
        <v>22864.95678935793</v>
      </c>
      <c r="S322">
        <f>scenario_indirect_prod_4506_iotable_2020_xlsx_3[[#This Row],[2042]]+scenario_indirect_prod_1610_iotable_2020_xlsx_3[[#This Row],[2042]]</f>
        <v>23844.180166709673</v>
      </c>
      <c r="T322">
        <f>scenario_indirect_prod_4506_iotable_2020_xlsx_3[[#This Row],[2043]]+scenario_indirect_prod_1610_iotable_2020_xlsx_3[[#This Row],[2043]]</f>
        <v>23844.180166709673</v>
      </c>
      <c r="U322">
        <f>scenario_indirect_prod_4506_iotable_2020_xlsx_3[[#This Row],[2044]]+scenario_indirect_prod_1610_iotable_2020_xlsx_3[[#This Row],[2044]]</f>
        <v>24712.095337584138</v>
      </c>
      <c r="V322">
        <f>scenario_indirect_prod_4506_iotable_2020_xlsx_3[[#This Row],[2045]]+scenario_indirect_prod_1610_iotable_2020_xlsx_3[[#This Row],[2045]]</f>
        <v>24712.095337584138</v>
      </c>
      <c r="W322">
        <f>scenario_indirect_prod_4506_iotable_2020_xlsx_3[[#This Row],[2046]]+scenario_indirect_prod_1610_iotable_2020_xlsx_3[[#This Row],[2046]]</f>
        <v>25471.194417354785</v>
      </c>
      <c r="X322">
        <f>scenario_indirect_prod_4506_iotable_2020_xlsx_3[[#This Row],[2047]]+scenario_indirect_prod_1610_iotable_2020_xlsx_3[[#This Row],[2047]]</f>
        <v>25471.194417354785</v>
      </c>
      <c r="Y322">
        <f>scenario_indirect_prod_4506_iotable_2020_xlsx_3[[#This Row],[2048]]+scenario_indirect_prod_1610_iotable_2020_xlsx_3[[#This Row],[2048]]</f>
        <v>25471.194417354785</v>
      </c>
      <c r="Z322">
        <f>scenario_indirect_prod_4506_iotable_2020_xlsx_3[[#This Row],[2049]]+scenario_indirect_prod_1610_iotable_2020_xlsx_3[[#This Row],[2049]]</f>
        <v>25471.194417354785</v>
      </c>
      <c r="AA322">
        <f>scenario_indirect_prod_4506_iotable_2020_xlsx_3[[#This Row],[2050]]+scenario_indirect_prod_1610_iotable_2020_xlsx_3[[#This Row],[2050]]</f>
        <v>25471.194417354785</v>
      </c>
    </row>
    <row r="323" spans="1:27" x14ac:dyDescent="0.2">
      <c r="A323" t="s">
        <v>423</v>
      </c>
      <c r="B323" t="s">
        <v>424</v>
      </c>
      <c r="C323">
        <f>scenario_indirect_prod_4506_iotable_2020_xlsx_3[[#This Row],[2026]]+scenario_indirect_prod_1610_iotable_2020_xlsx_3[[#This Row],[2026]]</f>
        <v>28484.810803192941</v>
      </c>
      <c r="D323">
        <f>scenario_indirect_prod_4506_iotable_2020_xlsx_3[[#This Row],[2027]]+scenario_indirect_prod_1610_iotable_2020_xlsx_3[[#This Row],[2027]]</f>
        <v>22435.323764261346</v>
      </c>
      <c r="E323">
        <f>scenario_indirect_prod_4506_iotable_2020_xlsx_3[[#This Row],[2028]]+scenario_indirect_prod_1610_iotable_2020_xlsx_3[[#This Row],[2028]]</f>
        <v>24192.969816415083</v>
      </c>
      <c r="F323">
        <f>scenario_indirect_prod_4506_iotable_2020_xlsx_3[[#This Row],[2029]]+scenario_indirect_prod_1610_iotable_2020_xlsx_3[[#This Row],[2029]]</f>
        <v>23024.370214293682</v>
      </c>
      <c r="G323">
        <f>scenario_indirect_prod_4506_iotable_2020_xlsx_3[[#This Row],[2030]]+scenario_indirect_prod_1610_iotable_2020_xlsx_3[[#This Row],[2030]]</f>
        <v>909.2692428424416</v>
      </c>
      <c r="H323">
        <f>scenario_indirect_prod_4506_iotable_2020_xlsx_3[[#This Row],[2031]]+scenario_indirect_prod_1610_iotable_2020_xlsx_3[[#This Row],[2031]]</f>
        <v>3280.6846286149012</v>
      </c>
      <c r="I323">
        <f>scenario_indirect_prod_4506_iotable_2020_xlsx_3[[#This Row],[2032]]+scenario_indirect_prod_1610_iotable_2020_xlsx_3[[#This Row],[2032]]</f>
        <v>6592.5772493575132</v>
      </c>
      <c r="J323">
        <f>scenario_indirect_prod_4506_iotable_2020_xlsx_3[[#This Row],[2033]]+scenario_indirect_prod_1610_iotable_2020_xlsx_3[[#This Row],[2033]]</f>
        <v>273.43162353761727</v>
      </c>
      <c r="K323">
        <f>scenario_indirect_prod_4506_iotable_2020_xlsx_3[[#This Row],[2034]]+scenario_indirect_prod_1610_iotable_2020_xlsx_3[[#This Row],[2034]]</f>
        <v>3355.3203830446146</v>
      </c>
      <c r="L323">
        <f>scenario_indirect_prod_4506_iotable_2020_xlsx_3[[#This Row],[2035]]+scenario_indirect_prod_1610_iotable_2020_xlsx_3[[#This Row],[2035]]</f>
        <v>-3528.0095154739829</v>
      </c>
      <c r="M323">
        <f>scenario_indirect_prod_4506_iotable_2020_xlsx_3[[#This Row],[2036]]+scenario_indirect_prod_1610_iotable_2020_xlsx_3[[#This Row],[2036]]</f>
        <v>-10328.657172268548</v>
      </c>
      <c r="N323">
        <f>scenario_indirect_prod_4506_iotable_2020_xlsx_3[[#This Row],[2037]]+scenario_indirect_prod_1610_iotable_2020_xlsx_3[[#This Row],[2037]]</f>
        <v>-16149.298014955173</v>
      </c>
      <c r="O323">
        <f>scenario_indirect_prod_4506_iotable_2020_xlsx_3[[#This Row],[2038]]+scenario_indirect_prod_1610_iotable_2020_xlsx_3[[#This Row],[2038]]</f>
        <v>-16149.298014955173</v>
      </c>
      <c r="P323">
        <f>scenario_indirect_prod_4506_iotable_2020_xlsx_3[[#This Row],[2039]]+scenario_indirect_prod_1610_iotable_2020_xlsx_3[[#This Row],[2039]]</f>
        <v>-16149.298014955173</v>
      </c>
      <c r="Q323">
        <f>scenario_indirect_prod_4506_iotable_2020_xlsx_3[[#This Row],[2040]]+scenario_indirect_prod_1610_iotable_2020_xlsx_3[[#This Row],[2040]]</f>
        <v>-21280.611230658833</v>
      </c>
      <c r="R323">
        <f>scenario_indirect_prod_4506_iotable_2020_xlsx_3[[#This Row],[2041]]+scenario_indirect_prod_1610_iotable_2020_xlsx_3[[#This Row],[2041]]</f>
        <v>-21280.611230658833</v>
      </c>
      <c r="S323">
        <f>scenario_indirect_prod_4506_iotable_2020_xlsx_3[[#This Row],[2042]]+scenario_indirect_prod_1610_iotable_2020_xlsx_3[[#This Row],[2042]]</f>
        <v>-26876.9613034473</v>
      </c>
      <c r="T323">
        <f>scenario_indirect_prod_4506_iotable_2020_xlsx_3[[#This Row],[2043]]+scenario_indirect_prod_1610_iotable_2020_xlsx_3[[#This Row],[2043]]</f>
        <v>-26876.9613034473</v>
      </c>
      <c r="U323">
        <f>scenario_indirect_prod_4506_iotable_2020_xlsx_3[[#This Row],[2044]]+scenario_indirect_prod_1610_iotable_2020_xlsx_3[[#This Row],[2044]]</f>
        <v>-32402.945457951864</v>
      </c>
      <c r="V323">
        <f>scenario_indirect_prod_4506_iotable_2020_xlsx_3[[#This Row],[2045]]+scenario_indirect_prod_1610_iotable_2020_xlsx_3[[#This Row],[2045]]</f>
        <v>-32402.945457951864</v>
      </c>
      <c r="W323">
        <f>scenario_indirect_prod_4506_iotable_2020_xlsx_3[[#This Row],[2046]]+scenario_indirect_prod_1610_iotable_2020_xlsx_3[[#This Row],[2046]]</f>
        <v>-37043.482264376566</v>
      </c>
      <c r="X323">
        <f>scenario_indirect_prod_4506_iotable_2020_xlsx_3[[#This Row],[2047]]+scenario_indirect_prod_1610_iotable_2020_xlsx_3[[#This Row],[2047]]</f>
        <v>-37043.482264376566</v>
      </c>
      <c r="Y323">
        <f>scenario_indirect_prod_4506_iotable_2020_xlsx_3[[#This Row],[2048]]+scenario_indirect_prod_1610_iotable_2020_xlsx_3[[#This Row],[2048]]</f>
        <v>-37043.482264376566</v>
      </c>
      <c r="Z323">
        <f>scenario_indirect_prod_4506_iotable_2020_xlsx_3[[#This Row],[2049]]+scenario_indirect_prod_1610_iotable_2020_xlsx_3[[#This Row],[2049]]</f>
        <v>-37043.482264376566</v>
      </c>
      <c r="AA323">
        <f>scenario_indirect_prod_4506_iotable_2020_xlsx_3[[#This Row],[2050]]+scenario_indirect_prod_1610_iotable_2020_xlsx_3[[#This Row],[2050]]</f>
        <v>-37043.482264376566</v>
      </c>
    </row>
    <row r="324" spans="1:27" x14ac:dyDescent="0.2">
      <c r="A324" t="s">
        <v>826</v>
      </c>
      <c r="B324" t="s">
        <v>827</v>
      </c>
      <c r="C324">
        <f>scenario_indirect_prod_4506_iotable_2020_xlsx_3[[#This Row],[2026]]+scenario_indirect_prod_1610_iotable_2020_xlsx_3[[#This Row],[2026]]</f>
        <v>1054.678481825322</v>
      </c>
      <c r="D324">
        <f>scenario_indirect_prod_4506_iotable_2020_xlsx_3[[#This Row],[2027]]+scenario_indirect_prod_1610_iotable_2020_xlsx_3[[#This Row],[2027]]</f>
        <v>1080.4964394259396</v>
      </c>
      <c r="E324">
        <f>scenario_indirect_prod_4506_iotable_2020_xlsx_3[[#This Row],[2028]]+scenario_indirect_prod_1610_iotable_2020_xlsx_3[[#This Row],[2028]]</f>
        <v>1130.7275150154114</v>
      </c>
      <c r="F324">
        <f>scenario_indirect_prod_4506_iotable_2020_xlsx_3[[#This Row],[2029]]+scenario_indirect_prod_1610_iotable_2020_xlsx_3[[#This Row],[2029]]</f>
        <v>1176.8121222533348</v>
      </c>
      <c r="G324">
        <f>scenario_indirect_prod_4506_iotable_2020_xlsx_3[[#This Row],[2030]]+scenario_indirect_prod_1610_iotable_2020_xlsx_3[[#This Row],[2030]]</f>
        <v>1218.506766342693</v>
      </c>
      <c r="H324">
        <f>scenario_indirect_prod_4506_iotable_2020_xlsx_3[[#This Row],[2031]]+scenario_indirect_prod_1610_iotable_2020_xlsx_3[[#This Row],[2031]]</f>
        <v>1286.2785144434056</v>
      </c>
      <c r="I324">
        <f>scenario_indirect_prod_4506_iotable_2020_xlsx_3[[#This Row],[2032]]+scenario_indirect_prod_1610_iotable_2020_xlsx_3[[#This Row],[2032]]</f>
        <v>1380.9277917383915</v>
      </c>
      <c r="J324">
        <f>scenario_indirect_prod_4506_iotable_2020_xlsx_3[[#This Row],[2033]]+scenario_indirect_prod_1610_iotable_2020_xlsx_3[[#This Row],[2033]]</f>
        <v>1576.1674152921478</v>
      </c>
      <c r="K324">
        <f>scenario_indirect_prod_4506_iotable_2020_xlsx_3[[#This Row],[2034]]+scenario_indirect_prod_1610_iotable_2020_xlsx_3[[#This Row],[2034]]</f>
        <v>1664.2435026519706</v>
      </c>
      <c r="L324">
        <f>scenario_indirect_prod_4506_iotable_2020_xlsx_3[[#This Row],[2035]]+scenario_indirect_prod_1610_iotable_2020_xlsx_3[[#This Row],[2035]]</f>
        <v>1943.2859920164067</v>
      </c>
      <c r="M324">
        <f>scenario_indirect_prod_4506_iotable_2020_xlsx_3[[#This Row],[2036]]+scenario_indirect_prod_1610_iotable_2020_xlsx_3[[#This Row],[2036]]</f>
        <v>2061.211449547387</v>
      </c>
      <c r="N324">
        <f>scenario_indirect_prod_4506_iotable_2020_xlsx_3[[#This Row],[2037]]+scenario_indirect_prod_1610_iotable_2020_xlsx_3[[#This Row],[2037]]</f>
        <v>2167.8613118208641</v>
      </c>
      <c r="O324">
        <f>scenario_indirect_prod_4506_iotable_2020_xlsx_3[[#This Row],[2038]]+scenario_indirect_prod_1610_iotable_2020_xlsx_3[[#This Row],[2038]]</f>
        <v>2167.8613118208641</v>
      </c>
      <c r="P324">
        <f>scenario_indirect_prod_4506_iotable_2020_xlsx_3[[#This Row],[2039]]+scenario_indirect_prod_1610_iotable_2020_xlsx_3[[#This Row],[2039]]</f>
        <v>2167.8613118208641</v>
      </c>
      <c r="Q324">
        <f>scenario_indirect_prod_4506_iotable_2020_xlsx_3[[#This Row],[2040]]+scenario_indirect_prod_1610_iotable_2020_xlsx_3[[#This Row],[2040]]</f>
        <v>2260.8803041880865</v>
      </c>
      <c r="R324">
        <f>scenario_indirect_prod_4506_iotable_2020_xlsx_3[[#This Row],[2041]]+scenario_indirect_prod_1610_iotable_2020_xlsx_3[[#This Row],[2041]]</f>
        <v>2260.8803041880865</v>
      </c>
      <c r="S324">
        <f>scenario_indirect_prod_4506_iotable_2020_xlsx_3[[#This Row],[2042]]+scenario_indirect_prod_1610_iotable_2020_xlsx_3[[#This Row],[2042]]</f>
        <v>2365.4751063708068</v>
      </c>
      <c r="T324">
        <f>scenario_indirect_prod_4506_iotable_2020_xlsx_3[[#This Row],[2043]]+scenario_indirect_prod_1610_iotable_2020_xlsx_3[[#This Row],[2043]]</f>
        <v>2365.4751063708068</v>
      </c>
      <c r="U324">
        <f>scenario_indirect_prod_4506_iotable_2020_xlsx_3[[#This Row],[2044]]+scenario_indirect_prod_1610_iotable_2020_xlsx_3[[#This Row],[2044]]</f>
        <v>2459.1188926413861</v>
      </c>
      <c r="V324">
        <f>scenario_indirect_prod_4506_iotable_2020_xlsx_3[[#This Row],[2045]]+scenario_indirect_prod_1610_iotable_2020_xlsx_3[[#This Row],[2045]]</f>
        <v>2459.1188926413861</v>
      </c>
      <c r="W324">
        <f>scenario_indirect_prod_4506_iotable_2020_xlsx_3[[#This Row],[2046]]+scenario_indirect_prod_1610_iotable_2020_xlsx_3[[#This Row],[2046]]</f>
        <v>2540.7025207648758</v>
      </c>
      <c r="X324">
        <f>scenario_indirect_prod_4506_iotable_2020_xlsx_3[[#This Row],[2047]]+scenario_indirect_prod_1610_iotable_2020_xlsx_3[[#This Row],[2047]]</f>
        <v>2540.7025207648758</v>
      </c>
      <c r="Y324">
        <f>scenario_indirect_prod_4506_iotable_2020_xlsx_3[[#This Row],[2048]]+scenario_indirect_prod_1610_iotable_2020_xlsx_3[[#This Row],[2048]]</f>
        <v>2540.7025207648758</v>
      </c>
      <c r="Z324">
        <f>scenario_indirect_prod_4506_iotable_2020_xlsx_3[[#This Row],[2049]]+scenario_indirect_prod_1610_iotable_2020_xlsx_3[[#This Row],[2049]]</f>
        <v>2540.7025207648758</v>
      </c>
      <c r="AA324">
        <f>scenario_indirect_prod_4506_iotable_2020_xlsx_3[[#This Row],[2050]]+scenario_indirect_prod_1610_iotable_2020_xlsx_3[[#This Row],[2050]]</f>
        <v>2540.7025207648758</v>
      </c>
    </row>
    <row r="325" spans="1:27" x14ac:dyDescent="0.2">
      <c r="A325" t="s">
        <v>474</v>
      </c>
      <c r="B325" t="s">
        <v>91</v>
      </c>
      <c r="C325">
        <f>scenario_indirect_prod_4506_iotable_2020_xlsx_3[[#This Row],[2026]]+scenario_indirect_prod_1610_iotable_2020_xlsx_3[[#This Row],[2026]]</f>
        <v>20533.035945261108</v>
      </c>
      <c r="D325">
        <f>scenario_indirect_prod_4506_iotable_2020_xlsx_3[[#This Row],[2027]]+scenario_indirect_prod_1610_iotable_2020_xlsx_3[[#This Row],[2027]]</f>
        <v>20791.749945986852</v>
      </c>
      <c r="E325">
        <f>scenario_indirect_prod_4506_iotable_2020_xlsx_3[[#This Row],[2028]]+scenario_indirect_prod_1610_iotable_2020_xlsx_3[[#This Row],[2028]]</f>
        <v>21784.172848552887</v>
      </c>
      <c r="F325">
        <f>scenario_indirect_prod_4506_iotable_2020_xlsx_3[[#This Row],[2029]]+scenario_indirect_prod_1610_iotable_2020_xlsx_3[[#This Row],[2029]]</f>
        <v>22594.12323748579</v>
      </c>
      <c r="G325">
        <f>scenario_indirect_prod_4506_iotable_2020_xlsx_3[[#This Row],[2030]]+scenario_indirect_prod_1610_iotable_2020_xlsx_3[[#This Row],[2030]]</f>
        <v>22565.592689131205</v>
      </c>
      <c r="H325">
        <f>scenario_indirect_prod_4506_iotable_2020_xlsx_3[[#This Row],[2031]]+scenario_indirect_prod_1610_iotable_2020_xlsx_3[[#This Row],[2031]]</f>
        <v>23904.569292215929</v>
      </c>
      <c r="I325">
        <f>scenario_indirect_prod_4506_iotable_2020_xlsx_3[[#This Row],[2032]]+scenario_indirect_prod_1610_iotable_2020_xlsx_3[[#This Row],[2032]]</f>
        <v>25774.569275225549</v>
      </c>
      <c r="J325">
        <f>scenario_indirect_prod_4506_iotable_2020_xlsx_3[[#This Row],[2033]]+scenario_indirect_prod_1610_iotable_2020_xlsx_3[[#This Row],[2033]]</f>
        <v>29156.49222626202</v>
      </c>
      <c r="K325">
        <f>scenario_indirect_prod_4506_iotable_2020_xlsx_3[[#This Row],[2034]]+scenario_indirect_prod_1610_iotable_2020_xlsx_3[[#This Row],[2034]]</f>
        <v>30896.624708764848</v>
      </c>
      <c r="L325">
        <f>scenario_indirect_prod_4506_iotable_2020_xlsx_3[[#This Row],[2035]]+scenario_indirect_prod_1610_iotable_2020_xlsx_3[[#This Row],[2035]]</f>
        <v>35807.839005071233</v>
      </c>
      <c r="M325">
        <f>scenario_indirect_prod_4506_iotable_2020_xlsx_3[[#This Row],[2036]]+scenario_indirect_prod_1610_iotable_2020_xlsx_3[[#This Row],[2036]]</f>
        <v>37742.65431365867</v>
      </c>
      <c r="N325">
        <f>scenario_indirect_prod_4506_iotable_2020_xlsx_3[[#This Row],[2037]]+scenario_indirect_prod_1610_iotable_2020_xlsx_3[[#This Row],[2037]]</f>
        <v>39504.391706583439</v>
      </c>
      <c r="O325">
        <f>scenario_indirect_prod_4506_iotable_2020_xlsx_3[[#This Row],[2038]]+scenario_indirect_prod_1610_iotable_2020_xlsx_3[[#This Row],[2038]]</f>
        <v>39504.391706583439</v>
      </c>
      <c r="P325">
        <f>scenario_indirect_prod_4506_iotable_2020_xlsx_3[[#This Row],[2039]]+scenario_indirect_prod_1610_iotable_2020_xlsx_3[[#This Row],[2039]]</f>
        <v>39504.391706583439</v>
      </c>
      <c r="Q325">
        <f>scenario_indirect_prod_4506_iotable_2020_xlsx_3[[#This Row],[2040]]+scenario_indirect_prod_1610_iotable_2020_xlsx_3[[#This Row],[2040]]</f>
        <v>41038.988030143133</v>
      </c>
      <c r="R325">
        <f>scenario_indirect_prod_4506_iotable_2020_xlsx_3[[#This Row],[2041]]+scenario_indirect_prod_1610_iotable_2020_xlsx_3[[#This Row],[2041]]</f>
        <v>41038.988030143133</v>
      </c>
      <c r="S325">
        <f>scenario_indirect_prod_4506_iotable_2020_xlsx_3[[#This Row],[2042]]+scenario_indirect_prod_1610_iotable_2020_xlsx_3[[#This Row],[2042]]</f>
        <v>42770.832122686712</v>
      </c>
      <c r="T325">
        <f>scenario_indirect_prod_4506_iotable_2020_xlsx_3[[#This Row],[2043]]+scenario_indirect_prod_1610_iotable_2020_xlsx_3[[#This Row],[2043]]</f>
        <v>42770.832122686712</v>
      </c>
      <c r="U325">
        <f>scenario_indirect_prod_4506_iotable_2020_xlsx_3[[#This Row],[2044]]+scenario_indirect_prod_1610_iotable_2020_xlsx_3[[#This Row],[2044]]</f>
        <v>44302.713218942976</v>
      </c>
      <c r="V325">
        <f>scenario_indirect_prod_4506_iotable_2020_xlsx_3[[#This Row],[2045]]+scenario_indirect_prod_1610_iotable_2020_xlsx_3[[#This Row],[2045]]</f>
        <v>44302.713218942976</v>
      </c>
      <c r="W325">
        <f>scenario_indirect_prod_4506_iotable_2020_xlsx_3[[#This Row],[2046]]+scenario_indirect_prod_1610_iotable_2020_xlsx_3[[#This Row],[2046]]</f>
        <v>45643.589493343199</v>
      </c>
      <c r="X325">
        <f>scenario_indirect_prod_4506_iotable_2020_xlsx_3[[#This Row],[2047]]+scenario_indirect_prod_1610_iotable_2020_xlsx_3[[#This Row],[2047]]</f>
        <v>45643.589493343199</v>
      </c>
      <c r="Y325">
        <f>scenario_indirect_prod_4506_iotable_2020_xlsx_3[[#This Row],[2048]]+scenario_indirect_prod_1610_iotable_2020_xlsx_3[[#This Row],[2048]]</f>
        <v>45643.589493343199</v>
      </c>
      <c r="Z325">
        <f>scenario_indirect_prod_4506_iotable_2020_xlsx_3[[#This Row],[2049]]+scenario_indirect_prod_1610_iotable_2020_xlsx_3[[#This Row],[2049]]</f>
        <v>45643.589493343199</v>
      </c>
      <c r="AA325">
        <f>scenario_indirect_prod_4506_iotable_2020_xlsx_3[[#This Row],[2050]]+scenario_indirect_prod_1610_iotable_2020_xlsx_3[[#This Row],[2050]]</f>
        <v>45643.589493343199</v>
      </c>
    </row>
    <row r="326" spans="1:27" x14ac:dyDescent="0.2">
      <c r="A326" t="s">
        <v>404</v>
      </c>
      <c r="B326" t="s">
        <v>99</v>
      </c>
      <c r="C326">
        <f>scenario_indirect_prod_4506_iotable_2020_xlsx_3[[#This Row],[2026]]+scenario_indirect_prod_1610_iotable_2020_xlsx_3[[#This Row],[2026]]</f>
        <v>57697.938087070834</v>
      </c>
      <c r="D326">
        <f>scenario_indirect_prod_4506_iotable_2020_xlsx_3[[#This Row],[2027]]+scenario_indirect_prod_1610_iotable_2020_xlsx_3[[#This Row],[2027]]</f>
        <v>58926.796178423021</v>
      </c>
      <c r="E326">
        <f>scenario_indirect_prod_4506_iotable_2020_xlsx_3[[#This Row],[2028]]+scenario_indirect_prod_1610_iotable_2020_xlsx_3[[#This Row],[2028]]</f>
        <v>61685.680468841107</v>
      </c>
      <c r="F326">
        <f>scenario_indirect_prod_4506_iotable_2020_xlsx_3[[#This Row],[2029]]+scenario_indirect_prod_1610_iotable_2020_xlsx_3[[#This Row],[2029]]</f>
        <v>64141.159264049857</v>
      </c>
      <c r="G326">
        <f>scenario_indirect_prod_4506_iotable_2020_xlsx_3[[#This Row],[2030]]+scenario_indirect_prod_1610_iotable_2020_xlsx_3[[#This Row],[2030]]</f>
        <v>65789.822883217479</v>
      </c>
      <c r="H326">
        <f>scenario_indirect_prod_4506_iotable_2020_xlsx_3[[#This Row],[2031]]+scenario_indirect_prod_1610_iotable_2020_xlsx_3[[#This Row],[2031]]</f>
        <v>69512.108519649599</v>
      </c>
      <c r="I326">
        <f>scenario_indirect_prod_4506_iotable_2020_xlsx_3[[#This Row],[2032]]+scenario_indirect_prod_1610_iotable_2020_xlsx_3[[#This Row],[2032]]</f>
        <v>74710.611660667171</v>
      </c>
      <c r="J326">
        <f>scenario_indirect_prod_4506_iotable_2020_xlsx_3[[#This Row],[2033]]+scenario_indirect_prod_1610_iotable_2020_xlsx_3[[#This Row],[2033]]</f>
        <v>85076.136874240125</v>
      </c>
      <c r="K326">
        <f>scenario_indirect_prod_4506_iotable_2020_xlsx_3[[#This Row],[2034]]+scenario_indirect_prod_1610_iotable_2020_xlsx_3[[#This Row],[2034]]</f>
        <v>89913.615087217826</v>
      </c>
      <c r="L326">
        <f>scenario_indirect_prod_4506_iotable_2020_xlsx_3[[#This Row],[2035]]+scenario_indirect_prod_1610_iotable_2020_xlsx_3[[#This Row],[2035]]</f>
        <v>104786.78793929305</v>
      </c>
      <c r="M326">
        <f>scenario_indirect_prod_4506_iotable_2020_xlsx_3[[#This Row],[2036]]+scenario_indirect_prod_1610_iotable_2020_xlsx_3[[#This Row],[2036]]</f>
        <v>110966.42330642961</v>
      </c>
      <c r="N326">
        <f>scenario_indirect_prod_4506_iotable_2020_xlsx_3[[#This Row],[2037]]+scenario_indirect_prod_1610_iotable_2020_xlsx_3[[#This Row],[2037]]</f>
        <v>116564.15628889541</v>
      </c>
      <c r="O326">
        <f>scenario_indirect_prod_4506_iotable_2020_xlsx_3[[#This Row],[2038]]+scenario_indirect_prod_1610_iotable_2020_xlsx_3[[#This Row],[2038]]</f>
        <v>116564.15628889541</v>
      </c>
      <c r="P326">
        <f>scenario_indirect_prod_4506_iotable_2020_xlsx_3[[#This Row],[2039]]+scenario_indirect_prod_1610_iotable_2020_xlsx_3[[#This Row],[2039]]</f>
        <v>116564.15628889541</v>
      </c>
      <c r="Q326">
        <f>scenario_indirect_prod_4506_iotable_2020_xlsx_3[[#This Row],[2040]]+scenario_indirect_prod_1610_iotable_2020_xlsx_3[[#This Row],[2040]]</f>
        <v>121444.95995824983</v>
      </c>
      <c r="R326">
        <f>scenario_indirect_prod_4506_iotable_2020_xlsx_3[[#This Row],[2041]]+scenario_indirect_prod_1610_iotable_2020_xlsx_3[[#This Row],[2041]]</f>
        <v>121444.95995824983</v>
      </c>
      <c r="S326">
        <f>scenario_indirect_prod_4506_iotable_2020_xlsx_3[[#This Row],[2042]]+scenario_indirect_prod_1610_iotable_2020_xlsx_3[[#This Row],[2042]]</f>
        <v>126937.87967468076</v>
      </c>
      <c r="T326">
        <f>scenario_indirect_prod_4506_iotable_2020_xlsx_3[[#This Row],[2043]]+scenario_indirect_prod_1610_iotable_2020_xlsx_3[[#This Row],[2043]]</f>
        <v>126937.87967468076</v>
      </c>
      <c r="U326">
        <f>scenario_indirect_prod_4506_iotable_2020_xlsx_3[[#This Row],[2044]]+scenario_indirect_prod_1610_iotable_2020_xlsx_3[[#This Row],[2044]]</f>
        <v>131841.66702847905</v>
      </c>
      <c r="V326">
        <f>scenario_indirect_prod_4506_iotable_2020_xlsx_3[[#This Row],[2045]]+scenario_indirect_prod_1610_iotable_2020_xlsx_3[[#This Row],[2045]]</f>
        <v>131841.66702847905</v>
      </c>
      <c r="W326">
        <f>scenario_indirect_prod_4506_iotable_2020_xlsx_3[[#This Row],[2046]]+scenario_indirect_prod_1610_iotable_2020_xlsx_3[[#This Row],[2046]]</f>
        <v>136118.63504317999</v>
      </c>
      <c r="X326">
        <f>scenario_indirect_prod_4506_iotable_2020_xlsx_3[[#This Row],[2047]]+scenario_indirect_prod_1610_iotable_2020_xlsx_3[[#This Row],[2047]]</f>
        <v>136118.63504317999</v>
      </c>
      <c r="Y326">
        <f>scenario_indirect_prod_4506_iotable_2020_xlsx_3[[#This Row],[2048]]+scenario_indirect_prod_1610_iotable_2020_xlsx_3[[#This Row],[2048]]</f>
        <v>136118.63504317999</v>
      </c>
      <c r="Z326">
        <f>scenario_indirect_prod_4506_iotable_2020_xlsx_3[[#This Row],[2049]]+scenario_indirect_prod_1610_iotable_2020_xlsx_3[[#This Row],[2049]]</f>
        <v>136118.63504317999</v>
      </c>
      <c r="AA326">
        <f>scenario_indirect_prod_4506_iotable_2020_xlsx_3[[#This Row],[2050]]+scenario_indirect_prod_1610_iotable_2020_xlsx_3[[#This Row],[2050]]</f>
        <v>136118.63504317999</v>
      </c>
    </row>
    <row r="327" spans="1:27" x14ac:dyDescent="0.2">
      <c r="A327" t="s">
        <v>458</v>
      </c>
      <c r="B327" t="s">
        <v>459</v>
      </c>
      <c r="C327">
        <f>scenario_indirect_prod_4506_iotable_2020_xlsx_3[[#This Row],[2026]]+scenario_indirect_prod_1610_iotable_2020_xlsx_3[[#This Row],[2026]]</f>
        <v>24251.966079482932</v>
      </c>
      <c r="D327">
        <f>scenario_indirect_prod_4506_iotable_2020_xlsx_3[[#This Row],[2027]]+scenario_indirect_prod_1610_iotable_2020_xlsx_3[[#This Row],[2027]]</f>
        <v>24829.74019869605</v>
      </c>
      <c r="E327">
        <f>scenario_indirect_prod_4506_iotable_2020_xlsx_3[[#This Row],[2028]]+scenario_indirect_prod_1610_iotable_2020_xlsx_3[[#This Row],[2028]]</f>
        <v>25985.731455150344</v>
      </c>
      <c r="F327">
        <f>scenario_indirect_prod_4506_iotable_2020_xlsx_3[[#This Row],[2029]]+scenario_indirect_prod_1610_iotable_2020_xlsx_3[[#This Row],[2029]]</f>
        <v>27039.743443815874</v>
      </c>
      <c r="G327">
        <f>scenario_indirect_prod_4506_iotable_2020_xlsx_3[[#This Row],[2030]]+scenario_indirect_prod_1610_iotable_2020_xlsx_3[[#This Row],[2030]]</f>
        <v>27943.722298950102</v>
      </c>
      <c r="H327">
        <f>scenario_indirect_prod_4506_iotable_2020_xlsx_3[[#This Row],[2031]]+scenario_indirect_prod_1610_iotable_2020_xlsx_3[[#This Row],[2031]]</f>
        <v>29503.385262955329</v>
      </c>
      <c r="I327">
        <f>scenario_indirect_prod_4506_iotable_2020_xlsx_3[[#This Row],[2032]]+scenario_indirect_prod_1610_iotable_2020_xlsx_3[[#This Row],[2032]]</f>
        <v>31681.593388079644</v>
      </c>
      <c r="J327">
        <f>scenario_indirect_prod_4506_iotable_2020_xlsx_3[[#This Row],[2033]]+scenario_indirect_prod_1610_iotable_2020_xlsx_3[[#This Row],[2033]]</f>
        <v>36143.740288399327</v>
      </c>
      <c r="K327">
        <f>scenario_indirect_prod_4506_iotable_2020_xlsx_3[[#This Row],[2034]]+scenario_indirect_prod_1610_iotable_2020_xlsx_3[[#This Row],[2034]]</f>
        <v>38170.676516537736</v>
      </c>
      <c r="L327">
        <f>scenario_indirect_prod_4506_iotable_2020_xlsx_3[[#This Row],[2035]]+scenario_indirect_prod_1610_iotable_2020_xlsx_3[[#This Row],[2035]]</f>
        <v>44553.17730449744</v>
      </c>
      <c r="M327">
        <f>scenario_indirect_prod_4506_iotable_2020_xlsx_3[[#This Row],[2036]]+scenario_indirect_prod_1610_iotable_2020_xlsx_3[[#This Row],[2036]]</f>
        <v>47241.298213509814</v>
      </c>
      <c r="N327">
        <f>scenario_indirect_prod_4506_iotable_2020_xlsx_3[[#This Row],[2037]]+scenario_indirect_prod_1610_iotable_2020_xlsx_3[[#This Row],[2037]]</f>
        <v>49673.168129597281</v>
      </c>
      <c r="O327">
        <f>scenario_indirect_prod_4506_iotable_2020_xlsx_3[[#This Row],[2038]]+scenario_indirect_prod_1610_iotable_2020_xlsx_3[[#This Row],[2038]]</f>
        <v>49673.168129597281</v>
      </c>
      <c r="P327">
        <f>scenario_indirect_prod_4506_iotable_2020_xlsx_3[[#This Row],[2039]]+scenario_indirect_prod_1610_iotable_2020_xlsx_3[[#This Row],[2039]]</f>
        <v>49673.168129597281</v>
      </c>
      <c r="Q327">
        <f>scenario_indirect_prod_4506_iotable_2020_xlsx_3[[#This Row],[2040]]+scenario_indirect_prod_1610_iotable_2020_xlsx_3[[#This Row],[2040]]</f>
        <v>51794.09317340907</v>
      </c>
      <c r="R327">
        <f>scenario_indirect_prod_4506_iotable_2020_xlsx_3[[#This Row],[2041]]+scenario_indirect_prod_1610_iotable_2020_xlsx_3[[#This Row],[2041]]</f>
        <v>51794.09317340907</v>
      </c>
      <c r="S327">
        <f>scenario_indirect_prod_4506_iotable_2020_xlsx_3[[#This Row],[2042]]+scenario_indirect_prod_1610_iotable_2020_xlsx_3[[#This Row],[2042]]</f>
        <v>54179.367115756395</v>
      </c>
      <c r="T327">
        <f>scenario_indirect_prod_4506_iotable_2020_xlsx_3[[#This Row],[2043]]+scenario_indirect_prod_1610_iotable_2020_xlsx_3[[#This Row],[2043]]</f>
        <v>54179.367115756395</v>
      </c>
      <c r="U327">
        <f>scenario_indirect_prod_4506_iotable_2020_xlsx_3[[#This Row],[2044]]+scenario_indirect_prod_1610_iotable_2020_xlsx_3[[#This Row],[2044]]</f>
        <v>56313.689145203418</v>
      </c>
      <c r="V327">
        <f>scenario_indirect_prod_4506_iotable_2020_xlsx_3[[#This Row],[2045]]+scenario_indirect_prod_1610_iotable_2020_xlsx_3[[#This Row],[2045]]</f>
        <v>56313.689145203418</v>
      </c>
      <c r="W327">
        <f>scenario_indirect_prod_4506_iotable_2020_xlsx_3[[#This Row],[2046]]+scenario_indirect_prod_1610_iotable_2020_xlsx_3[[#This Row],[2046]]</f>
        <v>58173.546511150293</v>
      </c>
      <c r="X327">
        <f>scenario_indirect_prod_4506_iotable_2020_xlsx_3[[#This Row],[2047]]+scenario_indirect_prod_1610_iotable_2020_xlsx_3[[#This Row],[2047]]</f>
        <v>58173.546511150293</v>
      </c>
      <c r="Y327">
        <f>scenario_indirect_prod_4506_iotable_2020_xlsx_3[[#This Row],[2048]]+scenario_indirect_prod_1610_iotable_2020_xlsx_3[[#This Row],[2048]]</f>
        <v>58173.546511150293</v>
      </c>
      <c r="Z327">
        <f>scenario_indirect_prod_4506_iotable_2020_xlsx_3[[#This Row],[2049]]+scenario_indirect_prod_1610_iotable_2020_xlsx_3[[#This Row],[2049]]</f>
        <v>58173.546511150293</v>
      </c>
      <c r="AA327">
        <f>scenario_indirect_prod_4506_iotable_2020_xlsx_3[[#This Row],[2050]]+scenario_indirect_prod_1610_iotable_2020_xlsx_3[[#This Row],[2050]]</f>
        <v>58173.546511150293</v>
      </c>
    </row>
    <row r="328" spans="1:27" x14ac:dyDescent="0.2">
      <c r="A328" t="s">
        <v>588</v>
      </c>
      <c r="B328" t="s">
        <v>589</v>
      </c>
      <c r="C328">
        <f>scenario_indirect_prod_4506_iotable_2020_xlsx_3[[#This Row],[2026]]+scenario_indirect_prod_1610_iotable_2020_xlsx_3[[#This Row],[2026]]</f>
        <v>6567.5576723291415</v>
      </c>
      <c r="D328">
        <f>scenario_indirect_prod_4506_iotable_2020_xlsx_3[[#This Row],[2027]]+scenario_indirect_prod_1610_iotable_2020_xlsx_3[[#This Row],[2027]]</f>
        <v>6327.4451713076969</v>
      </c>
      <c r="E328">
        <f>scenario_indirect_prod_4506_iotable_2020_xlsx_3[[#This Row],[2028]]+scenario_indirect_prod_1610_iotable_2020_xlsx_3[[#This Row],[2028]]</f>
        <v>6664.0645648942045</v>
      </c>
      <c r="F328">
        <f>scenario_indirect_prod_4506_iotable_2020_xlsx_3[[#This Row],[2029]]+scenario_indirect_prod_1610_iotable_2020_xlsx_3[[#This Row],[2029]]</f>
        <v>6807.644965070298</v>
      </c>
      <c r="G328">
        <f>scenario_indirect_prod_4506_iotable_2020_xlsx_3[[#This Row],[2030]]+scenario_indirect_prod_1610_iotable_2020_xlsx_3[[#This Row],[2030]]</f>
        <v>5686.3263871226191</v>
      </c>
      <c r="H328">
        <f>scenario_indirect_prod_4506_iotable_2020_xlsx_3[[#This Row],[2031]]+scenario_indirect_prod_1610_iotable_2020_xlsx_3[[#This Row],[2031]]</f>
        <v>6140.4931450556451</v>
      </c>
      <c r="I328">
        <f>scenario_indirect_prod_4506_iotable_2020_xlsx_3[[#This Row],[2032]]+scenario_indirect_prod_1610_iotable_2020_xlsx_3[[#This Row],[2032]]</f>
        <v>6774.7774392409974</v>
      </c>
      <c r="J328">
        <f>scenario_indirect_prod_4506_iotable_2020_xlsx_3[[#This Row],[2033]]+scenario_indirect_prod_1610_iotable_2020_xlsx_3[[#This Row],[2033]]</f>
        <v>7301.7593670023225</v>
      </c>
      <c r="K328">
        <f>scenario_indirect_prod_4506_iotable_2020_xlsx_3[[#This Row],[2034]]+scenario_indirect_prod_1610_iotable_2020_xlsx_3[[#This Row],[2034]]</f>
        <v>7891.9939731422264</v>
      </c>
      <c r="L328">
        <f>scenario_indirect_prod_4506_iotable_2020_xlsx_3[[#This Row],[2035]]+scenario_indirect_prod_1610_iotable_2020_xlsx_3[[#This Row],[2035]]</f>
        <v>8772.8146430341912</v>
      </c>
      <c r="M328">
        <f>scenario_indirect_prod_4506_iotable_2020_xlsx_3[[#This Row],[2036]]+scenario_indirect_prod_1610_iotable_2020_xlsx_3[[#This Row],[2036]]</f>
        <v>8913.8175297372363</v>
      </c>
      <c r="N328">
        <f>scenario_indirect_prod_4506_iotable_2020_xlsx_3[[#This Row],[2037]]+scenario_indirect_prod_1610_iotable_2020_xlsx_3[[#This Row],[2037]]</f>
        <v>9060.9316979392352</v>
      </c>
      <c r="O328">
        <f>scenario_indirect_prod_4506_iotable_2020_xlsx_3[[#This Row],[2038]]+scenario_indirect_prod_1610_iotable_2020_xlsx_3[[#This Row],[2038]]</f>
        <v>9060.9316979392352</v>
      </c>
      <c r="P328">
        <f>scenario_indirect_prod_4506_iotable_2020_xlsx_3[[#This Row],[2039]]+scenario_indirect_prod_1610_iotable_2020_xlsx_3[[#This Row],[2039]]</f>
        <v>9060.9316979392352</v>
      </c>
      <c r="Q328">
        <f>scenario_indirect_prod_4506_iotable_2020_xlsx_3[[#This Row],[2040]]+scenario_indirect_prod_1610_iotable_2020_xlsx_3[[#This Row],[2040]]</f>
        <v>9185.9986831542192</v>
      </c>
      <c r="R328">
        <f>scenario_indirect_prod_4506_iotable_2020_xlsx_3[[#This Row],[2041]]+scenario_indirect_prod_1610_iotable_2020_xlsx_3[[#This Row],[2041]]</f>
        <v>9185.9986831542192</v>
      </c>
      <c r="S328">
        <f>scenario_indirect_prod_4506_iotable_2020_xlsx_3[[#This Row],[2042]]+scenario_indirect_prod_1610_iotable_2020_xlsx_3[[#This Row],[2042]]</f>
        <v>9336.9407502725935</v>
      </c>
      <c r="T328">
        <f>scenario_indirect_prod_4506_iotable_2020_xlsx_3[[#This Row],[2043]]+scenario_indirect_prod_1610_iotable_2020_xlsx_3[[#This Row],[2043]]</f>
        <v>9336.9407502725935</v>
      </c>
      <c r="U328">
        <f>scenario_indirect_prod_4506_iotable_2020_xlsx_3[[#This Row],[2044]]+scenario_indirect_prod_1610_iotable_2020_xlsx_3[[#This Row],[2044]]</f>
        <v>9441.4450083898828</v>
      </c>
      <c r="V328">
        <f>scenario_indirect_prod_4506_iotable_2020_xlsx_3[[#This Row],[2045]]+scenario_indirect_prod_1610_iotable_2020_xlsx_3[[#This Row],[2045]]</f>
        <v>9441.4450083898828</v>
      </c>
      <c r="W328">
        <f>scenario_indirect_prod_4506_iotable_2020_xlsx_3[[#This Row],[2046]]+scenario_indirect_prod_1610_iotable_2020_xlsx_3[[#This Row],[2046]]</f>
        <v>9542.8154953251069</v>
      </c>
      <c r="X328">
        <f>scenario_indirect_prod_4506_iotable_2020_xlsx_3[[#This Row],[2047]]+scenario_indirect_prod_1610_iotable_2020_xlsx_3[[#This Row],[2047]]</f>
        <v>9542.8154953251069</v>
      </c>
      <c r="Y328">
        <f>scenario_indirect_prod_4506_iotable_2020_xlsx_3[[#This Row],[2048]]+scenario_indirect_prod_1610_iotable_2020_xlsx_3[[#This Row],[2048]]</f>
        <v>9542.8154953251069</v>
      </c>
      <c r="Z328">
        <f>scenario_indirect_prod_4506_iotable_2020_xlsx_3[[#This Row],[2049]]+scenario_indirect_prod_1610_iotable_2020_xlsx_3[[#This Row],[2049]]</f>
        <v>9542.8154953251069</v>
      </c>
      <c r="AA328">
        <f>scenario_indirect_prod_4506_iotable_2020_xlsx_3[[#This Row],[2050]]+scenario_indirect_prod_1610_iotable_2020_xlsx_3[[#This Row],[2050]]</f>
        <v>9542.8154953251069</v>
      </c>
    </row>
    <row r="329" spans="1:27" x14ac:dyDescent="0.2">
      <c r="A329" t="s">
        <v>888</v>
      </c>
      <c r="B329" t="s">
        <v>889</v>
      </c>
      <c r="C329">
        <f>scenario_indirect_prod_4506_iotable_2020_xlsx_3[[#This Row],[2026]]+scenario_indirect_prod_1610_iotable_2020_xlsx_3[[#This Row],[2026]]</f>
        <v>296.52397450360485</v>
      </c>
      <c r="D329">
        <f>scenario_indirect_prod_4506_iotable_2020_xlsx_3[[#This Row],[2027]]+scenario_indirect_prod_1610_iotable_2020_xlsx_3[[#This Row],[2027]]</f>
        <v>268.24166954729344</v>
      </c>
      <c r="E329">
        <f>scenario_indirect_prod_4506_iotable_2020_xlsx_3[[#This Row],[2028]]+scenario_indirect_prod_1610_iotable_2020_xlsx_3[[#This Row],[2028]]</f>
        <v>284.47661279042302</v>
      </c>
      <c r="F329">
        <f>scenario_indirect_prod_4506_iotable_2020_xlsx_3[[#This Row],[2029]]+scenario_indirect_prod_1610_iotable_2020_xlsx_3[[#This Row],[2029]]</f>
        <v>284.72067363398799</v>
      </c>
      <c r="G329">
        <f>scenario_indirect_prod_4506_iotable_2020_xlsx_3[[#This Row],[2030]]+scenario_indirect_prod_1610_iotable_2020_xlsx_3[[#This Row],[2030]]</f>
        <v>174.01195928027084</v>
      </c>
      <c r="H329">
        <f>scenario_indirect_prod_4506_iotable_2020_xlsx_3[[#This Row],[2031]]+scenario_indirect_prod_1610_iotable_2020_xlsx_3[[#This Row],[2031]]</f>
        <v>195.91613853565883</v>
      </c>
      <c r="I329">
        <f>scenario_indirect_prod_4506_iotable_2020_xlsx_3[[#This Row],[2032]]+scenario_indirect_prod_1610_iotable_2020_xlsx_3[[#This Row],[2032]]</f>
        <v>226.5072741395598</v>
      </c>
      <c r="J329">
        <f>scenario_indirect_prod_4506_iotable_2020_xlsx_3[[#This Row],[2033]]+scenario_indirect_prod_1610_iotable_2020_xlsx_3[[#This Row],[2033]]</f>
        <v>220.3331499284244</v>
      </c>
      <c r="K329">
        <f>scenario_indirect_prod_4506_iotable_2020_xlsx_3[[#This Row],[2034]]+scenario_indirect_prod_1610_iotable_2020_xlsx_3[[#This Row],[2034]]</f>
        <v>248.79979657262527</v>
      </c>
      <c r="L329">
        <f>scenario_indirect_prod_4506_iotable_2020_xlsx_3[[#This Row],[2035]]+scenario_indirect_prod_1610_iotable_2020_xlsx_3[[#This Row],[2035]]</f>
        <v>251.29188798562666</v>
      </c>
      <c r="M329">
        <f>scenario_indirect_prod_4506_iotable_2020_xlsx_3[[#This Row],[2036]]+scenario_indirect_prod_1610_iotable_2020_xlsx_3[[#This Row],[2036]]</f>
        <v>231.84415380349981</v>
      </c>
      <c r="N329">
        <f>scenario_indirect_prod_4506_iotable_2020_xlsx_3[[#This Row],[2037]]+scenario_indirect_prod_1610_iotable_2020_xlsx_3[[#This Row],[2037]]</f>
        <v>215.99303629526844</v>
      </c>
      <c r="O329">
        <f>scenario_indirect_prod_4506_iotable_2020_xlsx_3[[#This Row],[2038]]+scenario_indirect_prod_1610_iotable_2020_xlsx_3[[#This Row],[2038]]</f>
        <v>215.99303629526844</v>
      </c>
      <c r="P329">
        <f>scenario_indirect_prod_4506_iotable_2020_xlsx_3[[#This Row],[2039]]+scenario_indirect_prod_1610_iotable_2020_xlsx_3[[#This Row],[2039]]</f>
        <v>215.99303629526844</v>
      </c>
      <c r="Q329">
        <f>scenario_indirect_prod_4506_iotable_2020_xlsx_3[[#This Row],[2040]]+scenario_indirect_prod_1610_iotable_2020_xlsx_3[[#This Row],[2040]]</f>
        <v>201.88018742149268</v>
      </c>
      <c r="R329">
        <f>scenario_indirect_prod_4506_iotable_2020_xlsx_3[[#This Row],[2041]]+scenario_indirect_prod_1610_iotable_2020_xlsx_3[[#This Row],[2041]]</f>
        <v>201.88018742149268</v>
      </c>
      <c r="S329">
        <f>scenario_indirect_prod_4506_iotable_2020_xlsx_3[[#This Row],[2042]]+scenario_indirect_prod_1610_iotable_2020_xlsx_3[[#This Row],[2042]]</f>
        <v>186.92520122148994</v>
      </c>
      <c r="T329">
        <f>scenario_indirect_prod_4506_iotable_2020_xlsx_3[[#This Row],[2043]]+scenario_indirect_prod_1610_iotable_2020_xlsx_3[[#This Row],[2043]]</f>
        <v>186.92520122148994</v>
      </c>
      <c r="U329">
        <f>scenario_indirect_prod_4506_iotable_2020_xlsx_3[[#This Row],[2044]]+scenario_indirect_prod_1610_iotable_2020_xlsx_3[[#This Row],[2044]]</f>
        <v>170.82005268910234</v>
      </c>
      <c r="V329">
        <f>scenario_indirect_prod_4506_iotable_2020_xlsx_3[[#This Row],[2045]]+scenario_indirect_prod_1610_iotable_2020_xlsx_3[[#This Row],[2045]]</f>
        <v>170.82005268910234</v>
      </c>
      <c r="W329">
        <f>scenario_indirect_prod_4506_iotable_2020_xlsx_3[[#This Row],[2046]]+scenario_indirect_prod_1610_iotable_2020_xlsx_3[[#This Row],[2046]]</f>
        <v>157.70443794759672</v>
      </c>
      <c r="X329">
        <f>scenario_indirect_prod_4506_iotable_2020_xlsx_3[[#This Row],[2047]]+scenario_indirect_prod_1610_iotable_2020_xlsx_3[[#This Row],[2047]]</f>
        <v>157.70443794759672</v>
      </c>
      <c r="Y329">
        <f>scenario_indirect_prod_4506_iotable_2020_xlsx_3[[#This Row],[2048]]+scenario_indirect_prod_1610_iotable_2020_xlsx_3[[#This Row],[2048]]</f>
        <v>157.70443794759672</v>
      </c>
      <c r="Z329">
        <f>scenario_indirect_prod_4506_iotable_2020_xlsx_3[[#This Row],[2049]]+scenario_indirect_prod_1610_iotable_2020_xlsx_3[[#This Row],[2049]]</f>
        <v>157.70443794759672</v>
      </c>
      <c r="AA329">
        <f>scenario_indirect_prod_4506_iotable_2020_xlsx_3[[#This Row],[2050]]+scenario_indirect_prod_1610_iotable_2020_xlsx_3[[#This Row],[2050]]</f>
        <v>157.70443794759672</v>
      </c>
    </row>
    <row r="330" spans="1:27" x14ac:dyDescent="0.2">
      <c r="A330" t="s">
        <v>354</v>
      </c>
      <c r="B330" t="s">
        <v>29</v>
      </c>
      <c r="C330">
        <f>scenario_indirect_prod_4506_iotable_2020_xlsx_3[[#This Row],[2026]]+scenario_indirect_prod_1610_iotable_2020_xlsx_3[[#This Row],[2026]]</f>
        <v>158690.69563773662</v>
      </c>
      <c r="D330">
        <f>scenario_indirect_prod_4506_iotable_2020_xlsx_3[[#This Row],[2027]]+scenario_indirect_prod_1610_iotable_2020_xlsx_3[[#This Row],[2027]]</f>
        <v>164652.55689593972</v>
      </c>
      <c r="E330">
        <f>scenario_indirect_prod_4506_iotable_2020_xlsx_3[[#This Row],[2028]]+scenario_indirect_prod_1610_iotable_2020_xlsx_3[[#This Row],[2028]]</f>
        <v>172087.04344164839</v>
      </c>
      <c r="F330">
        <f>scenario_indirect_prod_4506_iotable_2020_xlsx_3[[#This Row],[2029]]+scenario_indirect_prod_1610_iotable_2020_xlsx_3[[#This Row],[2029]]</f>
        <v>179764.09137140765</v>
      </c>
      <c r="G330">
        <f>scenario_indirect_prod_4506_iotable_2020_xlsx_3[[#This Row],[2030]]+scenario_indirect_prod_1610_iotable_2020_xlsx_3[[#This Row],[2030]]</f>
        <v>193193.11649173897</v>
      </c>
      <c r="H330">
        <f>scenario_indirect_prod_4506_iotable_2020_xlsx_3[[#This Row],[2031]]+scenario_indirect_prod_1610_iotable_2020_xlsx_3[[#This Row],[2031]]</f>
        <v>203223.72291457868</v>
      </c>
      <c r="I330">
        <f>scenario_indirect_prod_4506_iotable_2020_xlsx_3[[#This Row],[2032]]+scenario_indirect_prod_1610_iotable_2020_xlsx_3[[#This Row],[2032]]</f>
        <v>217232.357417283</v>
      </c>
      <c r="J330">
        <f>scenario_indirect_prod_4506_iotable_2020_xlsx_3[[#This Row],[2033]]+scenario_indirect_prod_1610_iotable_2020_xlsx_3[[#This Row],[2033]]</f>
        <v>250177.81280595367</v>
      </c>
      <c r="K330">
        <f>scenario_indirect_prod_4506_iotable_2020_xlsx_3[[#This Row],[2034]]+scenario_indirect_prod_1610_iotable_2020_xlsx_3[[#This Row],[2034]]</f>
        <v>263213.57759480295</v>
      </c>
      <c r="L330">
        <f>scenario_indirect_prod_4506_iotable_2020_xlsx_3[[#This Row],[2035]]+scenario_indirect_prod_1610_iotable_2020_xlsx_3[[#This Row],[2035]]</f>
        <v>309638.85393841431</v>
      </c>
      <c r="M330">
        <f>scenario_indirect_prod_4506_iotable_2020_xlsx_3[[#This Row],[2036]]+scenario_indirect_prod_1610_iotable_2020_xlsx_3[[#This Row],[2036]]</f>
        <v>330456.70241988782</v>
      </c>
      <c r="N330">
        <f>scenario_indirect_prod_4506_iotable_2020_xlsx_3[[#This Row],[2037]]+scenario_indirect_prod_1610_iotable_2020_xlsx_3[[#This Row],[2037]]</f>
        <v>349182.50066175556</v>
      </c>
      <c r="O330">
        <f>scenario_indirect_prod_4506_iotable_2020_xlsx_3[[#This Row],[2038]]+scenario_indirect_prod_1610_iotable_2020_xlsx_3[[#This Row],[2038]]</f>
        <v>349182.50066175556</v>
      </c>
      <c r="P330">
        <f>scenario_indirect_prod_4506_iotable_2020_xlsx_3[[#This Row],[2039]]+scenario_indirect_prod_1610_iotable_2020_xlsx_3[[#This Row],[2039]]</f>
        <v>349182.50066175556</v>
      </c>
      <c r="Q330">
        <f>scenario_indirect_prod_4506_iotable_2020_xlsx_3[[#This Row],[2040]]+scenario_indirect_prod_1610_iotable_2020_xlsx_3[[#This Row],[2040]]</f>
        <v>365531.77527151938</v>
      </c>
      <c r="R330">
        <f>scenario_indirect_prod_4506_iotable_2020_xlsx_3[[#This Row],[2041]]+scenario_indirect_prod_1610_iotable_2020_xlsx_3[[#This Row],[2041]]</f>
        <v>365531.77527151938</v>
      </c>
      <c r="S330">
        <f>scenario_indirect_prod_4506_iotable_2020_xlsx_3[[#This Row],[2042]]+scenario_indirect_prod_1610_iotable_2020_xlsx_3[[#This Row],[2042]]</f>
        <v>383862.2188458218</v>
      </c>
      <c r="T330">
        <f>scenario_indirect_prod_4506_iotable_2020_xlsx_3[[#This Row],[2043]]+scenario_indirect_prod_1610_iotable_2020_xlsx_3[[#This Row],[2043]]</f>
        <v>383862.2188458218</v>
      </c>
      <c r="U330">
        <f>scenario_indirect_prod_4506_iotable_2020_xlsx_3[[#This Row],[2044]]+scenario_indirect_prod_1610_iotable_2020_xlsx_3[[#This Row],[2044]]</f>
        <v>400432.20880912541</v>
      </c>
      <c r="V330">
        <f>scenario_indirect_prod_4506_iotable_2020_xlsx_3[[#This Row],[2045]]+scenario_indirect_prod_1610_iotable_2020_xlsx_3[[#This Row],[2045]]</f>
        <v>400432.20880912541</v>
      </c>
      <c r="W330">
        <f>scenario_indirect_prod_4506_iotable_2020_xlsx_3[[#This Row],[2046]]+scenario_indirect_prod_1610_iotable_2020_xlsx_3[[#This Row],[2046]]</f>
        <v>414814.6895408553</v>
      </c>
      <c r="X330">
        <f>scenario_indirect_prod_4506_iotable_2020_xlsx_3[[#This Row],[2047]]+scenario_indirect_prod_1610_iotable_2020_xlsx_3[[#This Row],[2047]]</f>
        <v>414814.6895408553</v>
      </c>
      <c r="Y330">
        <f>scenario_indirect_prod_4506_iotable_2020_xlsx_3[[#This Row],[2048]]+scenario_indirect_prod_1610_iotable_2020_xlsx_3[[#This Row],[2048]]</f>
        <v>414814.6895408553</v>
      </c>
      <c r="Z330">
        <f>scenario_indirect_prod_4506_iotable_2020_xlsx_3[[#This Row],[2049]]+scenario_indirect_prod_1610_iotable_2020_xlsx_3[[#This Row],[2049]]</f>
        <v>414814.6895408553</v>
      </c>
      <c r="AA330">
        <f>scenario_indirect_prod_4506_iotable_2020_xlsx_3[[#This Row],[2050]]+scenario_indirect_prod_1610_iotable_2020_xlsx_3[[#This Row],[2050]]</f>
        <v>414814.6895408553</v>
      </c>
    </row>
    <row r="331" spans="1:27" x14ac:dyDescent="0.2">
      <c r="A331" t="s">
        <v>531</v>
      </c>
      <c r="B331" t="s">
        <v>532</v>
      </c>
      <c r="C331">
        <f>scenario_indirect_prod_4506_iotable_2020_xlsx_3[[#This Row],[2026]]+scenario_indirect_prod_1610_iotable_2020_xlsx_3[[#This Row],[2026]]</f>
        <v>12279.573544243729</v>
      </c>
      <c r="D331">
        <f>scenario_indirect_prod_4506_iotable_2020_xlsx_3[[#This Row],[2027]]+scenario_indirect_prod_1610_iotable_2020_xlsx_3[[#This Row],[2027]]</f>
        <v>12737.710149211331</v>
      </c>
      <c r="E331">
        <f>scenario_indirect_prod_4506_iotable_2020_xlsx_3[[#This Row],[2028]]+scenario_indirect_prod_1610_iotable_2020_xlsx_3[[#This Row],[2028]]</f>
        <v>13313.184746756784</v>
      </c>
      <c r="F331">
        <f>scenario_indirect_prod_4506_iotable_2020_xlsx_3[[#This Row],[2029]]+scenario_indirect_prod_1610_iotable_2020_xlsx_3[[#This Row],[2029]]</f>
        <v>13906.095948710525</v>
      </c>
      <c r="G331">
        <f>scenario_indirect_prod_4506_iotable_2020_xlsx_3[[#This Row],[2030]]+scenario_indirect_prod_1610_iotable_2020_xlsx_3[[#This Row],[2030]]</f>
        <v>14934.233490074694</v>
      </c>
      <c r="H331">
        <f>scenario_indirect_prod_4506_iotable_2020_xlsx_3[[#This Row],[2031]]+scenario_indirect_prod_1610_iotable_2020_xlsx_3[[#This Row],[2031]]</f>
        <v>15710.663598439402</v>
      </c>
      <c r="I331">
        <f>scenario_indirect_prod_4506_iotable_2020_xlsx_3[[#This Row],[2032]]+scenario_indirect_prod_1610_iotable_2020_xlsx_3[[#This Row],[2032]]</f>
        <v>16795.017340024748</v>
      </c>
      <c r="J331">
        <f>scenario_indirect_prod_4506_iotable_2020_xlsx_3[[#This Row],[2033]]+scenario_indirect_prod_1610_iotable_2020_xlsx_3[[#This Row],[2033]]</f>
        <v>19338.864388077061</v>
      </c>
      <c r="K331">
        <f>scenario_indirect_prod_4506_iotable_2020_xlsx_3[[#This Row],[2034]]+scenario_indirect_prod_1610_iotable_2020_xlsx_3[[#This Row],[2034]]</f>
        <v>20347.912080804461</v>
      </c>
      <c r="L331">
        <f>scenario_indirect_prod_4506_iotable_2020_xlsx_3[[#This Row],[2035]]+scenario_indirect_prod_1610_iotable_2020_xlsx_3[[#This Row],[2035]]</f>
        <v>23933.495889750113</v>
      </c>
      <c r="M331">
        <f>scenario_indirect_prod_4506_iotable_2020_xlsx_3[[#This Row],[2036]]+scenario_indirect_prod_1610_iotable_2020_xlsx_3[[#This Row],[2036]]</f>
        <v>25539.662969556681</v>
      </c>
      <c r="N331">
        <f>scenario_indirect_prod_4506_iotable_2020_xlsx_3[[#This Row],[2037]]+scenario_indirect_prod_1610_iotable_2020_xlsx_3[[#This Row],[2037]]</f>
        <v>26984.554449805415</v>
      </c>
      <c r="O331">
        <f>scenario_indirect_prod_4506_iotable_2020_xlsx_3[[#This Row],[2038]]+scenario_indirect_prod_1610_iotable_2020_xlsx_3[[#This Row],[2038]]</f>
        <v>26984.554449805415</v>
      </c>
      <c r="P331">
        <f>scenario_indirect_prod_4506_iotable_2020_xlsx_3[[#This Row],[2039]]+scenario_indirect_prod_1610_iotable_2020_xlsx_3[[#This Row],[2039]]</f>
        <v>26984.554449805415</v>
      </c>
      <c r="Q331">
        <f>scenario_indirect_prod_4506_iotable_2020_xlsx_3[[#This Row],[2040]]+scenario_indirect_prod_1610_iotable_2020_xlsx_3[[#This Row],[2040]]</f>
        <v>28246.05007537346</v>
      </c>
      <c r="R331">
        <f>scenario_indirect_prod_4506_iotable_2020_xlsx_3[[#This Row],[2041]]+scenario_indirect_prod_1610_iotable_2020_xlsx_3[[#This Row],[2041]]</f>
        <v>28246.05007537346</v>
      </c>
      <c r="S331">
        <f>scenario_indirect_prod_4506_iotable_2020_xlsx_3[[#This Row],[2042]]+scenario_indirect_prod_1610_iotable_2020_xlsx_3[[#This Row],[2042]]</f>
        <v>29660.481313451273</v>
      </c>
      <c r="T331">
        <f>scenario_indirect_prod_4506_iotable_2020_xlsx_3[[#This Row],[2043]]+scenario_indirect_prod_1610_iotable_2020_xlsx_3[[#This Row],[2043]]</f>
        <v>29660.481313451273</v>
      </c>
      <c r="U331">
        <f>scenario_indirect_prod_4506_iotable_2020_xlsx_3[[#This Row],[2044]]+scenario_indirect_prod_1610_iotable_2020_xlsx_3[[#This Row],[2044]]</f>
        <v>30938.861092731386</v>
      </c>
      <c r="V331">
        <f>scenario_indirect_prod_4506_iotable_2020_xlsx_3[[#This Row],[2045]]+scenario_indirect_prod_1610_iotable_2020_xlsx_3[[#This Row],[2045]]</f>
        <v>30938.861092731386</v>
      </c>
      <c r="W331">
        <f>scenario_indirect_prod_4506_iotable_2020_xlsx_3[[#This Row],[2046]]+scenario_indirect_prod_1610_iotable_2020_xlsx_3[[#This Row],[2046]]</f>
        <v>32048.543852477076</v>
      </c>
      <c r="X331">
        <f>scenario_indirect_prod_4506_iotable_2020_xlsx_3[[#This Row],[2047]]+scenario_indirect_prod_1610_iotable_2020_xlsx_3[[#This Row],[2047]]</f>
        <v>32048.543852477076</v>
      </c>
      <c r="Y331">
        <f>scenario_indirect_prod_4506_iotable_2020_xlsx_3[[#This Row],[2048]]+scenario_indirect_prod_1610_iotable_2020_xlsx_3[[#This Row],[2048]]</f>
        <v>32048.543852477076</v>
      </c>
      <c r="Z331">
        <f>scenario_indirect_prod_4506_iotable_2020_xlsx_3[[#This Row],[2049]]+scenario_indirect_prod_1610_iotable_2020_xlsx_3[[#This Row],[2049]]</f>
        <v>32048.543852477076</v>
      </c>
      <c r="AA331">
        <f>scenario_indirect_prod_4506_iotable_2020_xlsx_3[[#This Row],[2050]]+scenario_indirect_prod_1610_iotable_2020_xlsx_3[[#This Row],[2050]]</f>
        <v>32048.543852477076</v>
      </c>
    </row>
    <row r="332" spans="1:27" x14ac:dyDescent="0.2">
      <c r="A332" t="s">
        <v>401</v>
      </c>
      <c r="B332" t="s">
        <v>57</v>
      </c>
      <c r="C332">
        <f>scenario_indirect_prod_4506_iotable_2020_xlsx_3[[#This Row],[2026]]+scenario_indirect_prod_1610_iotable_2020_xlsx_3[[#This Row],[2026]]</f>
        <v>61178.71293350451</v>
      </c>
      <c r="D332">
        <f>scenario_indirect_prod_4506_iotable_2020_xlsx_3[[#This Row],[2027]]+scenario_indirect_prod_1610_iotable_2020_xlsx_3[[#This Row],[2027]]</f>
        <v>63814.34952198073</v>
      </c>
      <c r="E332">
        <f>scenario_indirect_prod_4506_iotable_2020_xlsx_3[[#This Row],[2028]]+scenario_indirect_prod_1610_iotable_2020_xlsx_3[[#This Row],[2028]]</f>
        <v>66660.46327256746</v>
      </c>
      <c r="F332">
        <f>scenario_indirect_prod_4506_iotable_2020_xlsx_3[[#This Row],[2029]]+scenario_indirect_prod_1610_iotable_2020_xlsx_3[[#This Row],[2029]]</f>
        <v>69740.748564957205</v>
      </c>
      <c r="G332">
        <f>scenario_indirect_prod_4506_iotable_2020_xlsx_3[[#This Row],[2030]]+scenario_indirect_prod_1610_iotable_2020_xlsx_3[[#This Row],[2030]]</f>
        <v>76079.54311843522</v>
      </c>
      <c r="H332">
        <f>scenario_indirect_prod_4506_iotable_2020_xlsx_3[[#This Row],[2031]]+scenario_indirect_prod_1610_iotable_2020_xlsx_3[[#This Row],[2031]]</f>
        <v>79919.518709385215</v>
      </c>
      <c r="I332">
        <f>scenario_indirect_prod_4506_iotable_2020_xlsx_3[[#This Row],[2032]]+scenario_indirect_prod_1610_iotable_2020_xlsx_3[[#This Row],[2032]]</f>
        <v>85282.386345228064</v>
      </c>
      <c r="J332">
        <f>scenario_indirect_prod_4506_iotable_2020_xlsx_3[[#This Row],[2033]]+scenario_indirect_prod_1610_iotable_2020_xlsx_3[[#This Row],[2033]]</f>
        <v>98562.962430662126</v>
      </c>
      <c r="K332">
        <f>scenario_indirect_prod_4506_iotable_2020_xlsx_3[[#This Row],[2034]]+scenario_indirect_prod_1610_iotable_2020_xlsx_3[[#This Row],[2034]]</f>
        <v>103553.390375733</v>
      </c>
      <c r="L332">
        <f>scenario_indirect_prod_4506_iotable_2020_xlsx_3[[#This Row],[2035]]+scenario_indirect_prod_1610_iotable_2020_xlsx_3[[#This Row],[2035]]</f>
        <v>122172.05301488025</v>
      </c>
      <c r="M332">
        <f>scenario_indirect_prod_4506_iotable_2020_xlsx_3[[#This Row],[2036]]+scenario_indirect_prod_1610_iotable_2020_xlsx_3[[#This Row],[2036]]</f>
        <v>130696.87369125319</v>
      </c>
      <c r="N332">
        <f>scenario_indirect_prod_4506_iotable_2020_xlsx_3[[#This Row],[2037]]+scenario_indirect_prod_1610_iotable_2020_xlsx_3[[#This Row],[2037]]</f>
        <v>138350.96124730993</v>
      </c>
      <c r="O332">
        <f>scenario_indirect_prod_4506_iotable_2020_xlsx_3[[#This Row],[2038]]+scenario_indirect_prod_1610_iotable_2020_xlsx_3[[#This Row],[2038]]</f>
        <v>138350.96124730993</v>
      </c>
      <c r="P332">
        <f>scenario_indirect_prod_4506_iotable_2020_xlsx_3[[#This Row],[2039]]+scenario_indirect_prod_1610_iotable_2020_xlsx_3[[#This Row],[2039]]</f>
        <v>138350.96124730993</v>
      </c>
      <c r="Q332">
        <f>scenario_indirect_prod_4506_iotable_2020_xlsx_3[[#This Row],[2040]]+scenario_indirect_prod_1610_iotable_2020_xlsx_3[[#This Row],[2040]]</f>
        <v>145035.994037425</v>
      </c>
      <c r="R332">
        <f>scenario_indirect_prod_4506_iotable_2020_xlsx_3[[#This Row],[2041]]+scenario_indirect_prod_1610_iotable_2020_xlsx_3[[#This Row],[2041]]</f>
        <v>145035.994037425</v>
      </c>
      <c r="S332">
        <f>scenario_indirect_prod_4506_iotable_2020_xlsx_3[[#This Row],[2042]]+scenario_indirect_prod_1610_iotable_2020_xlsx_3[[#This Row],[2042]]</f>
        <v>152523.67944887889</v>
      </c>
      <c r="T332">
        <f>scenario_indirect_prod_4506_iotable_2020_xlsx_3[[#This Row],[2043]]+scenario_indirect_prod_1610_iotable_2020_xlsx_3[[#This Row],[2043]]</f>
        <v>152523.67944887889</v>
      </c>
      <c r="U332">
        <f>scenario_indirect_prod_4506_iotable_2020_xlsx_3[[#This Row],[2044]]+scenario_indirect_prod_1610_iotable_2020_xlsx_3[[#This Row],[2044]]</f>
        <v>159314.37217560582</v>
      </c>
      <c r="V332">
        <f>scenario_indirect_prod_4506_iotable_2020_xlsx_3[[#This Row],[2045]]+scenario_indirect_prod_1610_iotable_2020_xlsx_3[[#This Row],[2045]]</f>
        <v>159314.37217560582</v>
      </c>
      <c r="W332">
        <f>scenario_indirect_prod_4506_iotable_2020_xlsx_3[[#This Row],[2046]]+scenario_indirect_prod_1610_iotable_2020_xlsx_3[[#This Row],[2046]]</f>
        <v>165201.19735449069</v>
      </c>
      <c r="X332">
        <f>scenario_indirect_prod_4506_iotable_2020_xlsx_3[[#This Row],[2047]]+scenario_indirect_prod_1610_iotable_2020_xlsx_3[[#This Row],[2047]]</f>
        <v>165201.19735449069</v>
      </c>
      <c r="Y332">
        <f>scenario_indirect_prod_4506_iotable_2020_xlsx_3[[#This Row],[2048]]+scenario_indirect_prod_1610_iotable_2020_xlsx_3[[#This Row],[2048]]</f>
        <v>165201.19735449069</v>
      </c>
      <c r="Z332">
        <f>scenario_indirect_prod_4506_iotable_2020_xlsx_3[[#This Row],[2049]]+scenario_indirect_prod_1610_iotable_2020_xlsx_3[[#This Row],[2049]]</f>
        <v>165201.19735449069</v>
      </c>
      <c r="AA332">
        <f>scenario_indirect_prod_4506_iotable_2020_xlsx_3[[#This Row],[2050]]+scenario_indirect_prod_1610_iotable_2020_xlsx_3[[#This Row],[2050]]</f>
        <v>165201.19735449069</v>
      </c>
    </row>
    <row r="333" spans="1:27" x14ac:dyDescent="0.2">
      <c r="A333" t="s">
        <v>963</v>
      </c>
      <c r="B333" t="s">
        <v>964</v>
      </c>
      <c r="C333">
        <f>scenario_indirect_prod_4506_iotable_2020_xlsx_3[[#This Row],[2026]]+scenario_indirect_prod_1610_iotable_2020_xlsx_3[[#This Row],[2026]]</f>
        <v>0</v>
      </c>
      <c r="D333">
        <f>scenario_indirect_prod_4506_iotable_2020_xlsx_3[[#This Row],[2027]]+scenario_indirect_prod_1610_iotable_2020_xlsx_3[[#This Row],[2027]]</f>
        <v>0</v>
      </c>
      <c r="E333">
        <f>scenario_indirect_prod_4506_iotable_2020_xlsx_3[[#This Row],[2028]]+scenario_indirect_prod_1610_iotable_2020_xlsx_3[[#This Row],[2028]]</f>
        <v>0</v>
      </c>
      <c r="F333">
        <f>scenario_indirect_prod_4506_iotable_2020_xlsx_3[[#This Row],[2029]]+scenario_indirect_prod_1610_iotable_2020_xlsx_3[[#This Row],[2029]]</f>
        <v>0</v>
      </c>
      <c r="G333">
        <f>scenario_indirect_prod_4506_iotable_2020_xlsx_3[[#This Row],[2030]]+scenario_indirect_prod_1610_iotable_2020_xlsx_3[[#This Row],[2030]]</f>
        <v>0</v>
      </c>
      <c r="H333">
        <f>scenario_indirect_prod_4506_iotable_2020_xlsx_3[[#This Row],[2031]]+scenario_indirect_prod_1610_iotable_2020_xlsx_3[[#This Row],[2031]]</f>
        <v>0</v>
      </c>
      <c r="I333">
        <f>scenario_indirect_prod_4506_iotable_2020_xlsx_3[[#This Row],[2032]]+scenario_indirect_prod_1610_iotable_2020_xlsx_3[[#This Row],[2032]]</f>
        <v>0</v>
      </c>
      <c r="J333">
        <f>scenario_indirect_prod_4506_iotable_2020_xlsx_3[[#This Row],[2033]]+scenario_indirect_prod_1610_iotable_2020_xlsx_3[[#This Row],[2033]]</f>
        <v>0</v>
      </c>
      <c r="K333">
        <f>scenario_indirect_prod_4506_iotable_2020_xlsx_3[[#This Row],[2034]]+scenario_indirect_prod_1610_iotable_2020_xlsx_3[[#This Row],[2034]]</f>
        <v>0</v>
      </c>
      <c r="L333">
        <f>scenario_indirect_prod_4506_iotable_2020_xlsx_3[[#This Row],[2035]]+scenario_indirect_prod_1610_iotable_2020_xlsx_3[[#This Row],[2035]]</f>
        <v>0</v>
      </c>
      <c r="M333">
        <f>scenario_indirect_prod_4506_iotable_2020_xlsx_3[[#This Row],[2036]]+scenario_indirect_prod_1610_iotable_2020_xlsx_3[[#This Row],[2036]]</f>
        <v>0</v>
      </c>
      <c r="N333">
        <f>scenario_indirect_prod_4506_iotable_2020_xlsx_3[[#This Row],[2037]]+scenario_indirect_prod_1610_iotable_2020_xlsx_3[[#This Row],[2037]]</f>
        <v>0</v>
      </c>
      <c r="O333">
        <f>scenario_indirect_prod_4506_iotable_2020_xlsx_3[[#This Row],[2038]]+scenario_indirect_prod_1610_iotable_2020_xlsx_3[[#This Row],[2038]]</f>
        <v>0</v>
      </c>
      <c r="P333">
        <f>scenario_indirect_prod_4506_iotable_2020_xlsx_3[[#This Row],[2039]]+scenario_indirect_prod_1610_iotable_2020_xlsx_3[[#This Row],[2039]]</f>
        <v>0</v>
      </c>
      <c r="Q333">
        <f>scenario_indirect_prod_4506_iotable_2020_xlsx_3[[#This Row],[2040]]+scenario_indirect_prod_1610_iotable_2020_xlsx_3[[#This Row],[2040]]</f>
        <v>0</v>
      </c>
      <c r="R333">
        <f>scenario_indirect_prod_4506_iotable_2020_xlsx_3[[#This Row],[2041]]+scenario_indirect_prod_1610_iotable_2020_xlsx_3[[#This Row],[2041]]</f>
        <v>0</v>
      </c>
      <c r="S333">
        <f>scenario_indirect_prod_4506_iotable_2020_xlsx_3[[#This Row],[2042]]+scenario_indirect_prod_1610_iotable_2020_xlsx_3[[#This Row],[2042]]</f>
        <v>0</v>
      </c>
      <c r="T333">
        <f>scenario_indirect_prod_4506_iotable_2020_xlsx_3[[#This Row],[2043]]+scenario_indirect_prod_1610_iotable_2020_xlsx_3[[#This Row],[2043]]</f>
        <v>0</v>
      </c>
      <c r="U333">
        <f>scenario_indirect_prod_4506_iotable_2020_xlsx_3[[#This Row],[2044]]+scenario_indirect_prod_1610_iotable_2020_xlsx_3[[#This Row],[2044]]</f>
        <v>0</v>
      </c>
      <c r="V333">
        <f>scenario_indirect_prod_4506_iotable_2020_xlsx_3[[#This Row],[2045]]+scenario_indirect_prod_1610_iotable_2020_xlsx_3[[#This Row],[2045]]</f>
        <v>0</v>
      </c>
      <c r="W333">
        <f>scenario_indirect_prod_4506_iotable_2020_xlsx_3[[#This Row],[2046]]+scenario_indirect_prod_1610_iotable_2020_xlsx_3[[#This Row],[2046]]</f>
        <v>0</v>
      </c>
      <c r="X333">
        <f>scenario_indirect_prod_4506_iotable_2020_xlsx_3[[#This Row],[2047]]+scenario_indirect_prod_1610_iotable_2020_xlsx_3[[#This Row],[2047]]</f>
        <v>0</v>
      </c>
      <c r="Y333">
        <f>scenario_indirect_prod_4506_iotable_2020_xlsx_3[[#This Row],[2048]]+scenario_indirect_prod_1610_iotable_2020_xlsx_3[[#This Row],[2048]]</f>
        <v>0</v>
      </c>
      <c r="Z333">
        <f>scenario_indirect_prod_4506_iotable_2020_xlsx_3[[#This Row],[2049]]+scenario_indirect_prod_1610_iotable_2020_xlsx_3[[#This Row],[2049]]</f>
        <v>0</v>
      </c>
      <c r="AA333">
        <f>scenario_indirect_prod_4506_iotable_2020_xlsx_3[[#This Row],[2050]]+scenario_indirect_prod_1610_iotable_2020_xlsx_3[[#This Row],[2050]]</f>
        <v>0</v>
      </c>
    </row>
    <row r="334" spans="1:27" x14ac:dyDescent="0.2">
      <c r="A334" t="s">
        <v>965</v>
      </c>
      <c r="B334" t="s">
        <v>966</v>
      </c>
      <c r="C334">
        <f>scenario_indirect_prod_4506_iotable_2020_xlsx_3[[#This Row],[2026]]+scenario_indirect_prod_1610_iotable_2020_xlsx_3[[#This Row],[2026]]</f>
        <v>0</v>
      </c>
      <c r="D334">
        <f>scenario_indirect_prod_4506_iotable_2020_xlsx_3[[#This Row],[2027]]+scenario_indirect_prod_1610_iotable_2020_xlsx_3[[#This Row],[2027]]</f>
        <v>0</v>
      </c>
      <c r="E334">
        <f>scenario_indirect_prod_4506_iotable_2020_xlsx_3[[#This Row],[2028]]+scenario_indirect_prod_1610_iotable_2020_xlsx_3[[#This Row],[2028]]</f>
        <v>0</v>
      </c>
      <c r="F334">
        <f>scenario_indirect_prod_4506_iotable_2020_xlsx_3[[#This Row],[2029]]+scenario_indirect_prod_1610_iotable_2020_xlsx_3[[#This Row],[2029]]</f>
        <v>0</v>
      </c>
      <c r="G334">
        <f>scenario_indirect_prod_4506_iotable_2020_xlsx_3[[#This Row],[2030]]+scenario_indirect_prod_1610_iotable_2020_xlsx_3[[#This Row],[2030]]</f>
        <v>0</v>
      </c>
      <c r="H334">
        <f>scenario_indirect_prod_4506_iotable_2020_xlsx_3[[#This Row],[2031]]+scenario_indirect_prod_1610_iotable_2020_xlsx_3[[#This Row],[2031]]</f>
        <v>0</v>
      </c>
      <c r="I334">
        <f>scenario_indirect_prod_4506_iotable_2020_xlsx_3[[#This Row],[2032]]+scenario_indirect_prod_1610_iotable_2020_xlsx_3[[#This Row],[2032]]</f>
        <v>0</v>
      </c>
      <c r="J334">
        <f>scenario_indirect_prod_4506_iotable_2020_xlsx_3[[#This Row],[2033]]+scenario_indirect_prod_1610_iotable_2020_xlsx_3[[#This Row],[2033]]</f>
        <v>0</v>
      </c>
      <c r="K334">
        <f>scenario_indirect_prod_4506_iotable_2020_xlsx_3[[#This Row],[2034]]+scenario_indirect_prod_1610_iotable_2020_xlsx_3[[#This Row],[2034]]</f>
        <v>0</v>
      </c>
      <c r="L334">
        <f>scenario_indirect_prod_4506_iotable_2020_xlsx_3[[#This Row],[2035]]+scenario_indirect_prod_1610_iotable_2020_xlsx_3[[#This Row],[2035]]</f>
        <v>0</v>
      </c>
      <c r="M334">
        <f>scenario_indirect_prod_4506_iotable_2020_xlsx_3[[#This Row],[2036]]+scenario_indirect_prod_1610_iotable_2020_xlsx_3[[#This Row],[2036]]</f>
        <v>0</v>
      </c>
      <c r="N334">
        <f>scenario_indirect_prod_4506_iotable_2020_xlsx_3[[#This Row],[2037]]+scenario_indirect_prod_1610_iotable_2020_xlsx_3[[#This Row],[2037]]</f>
        <v>0</v>
      </c>
      <c r="O334">
        <f>scenario_indirect_prod_4506_iotable_2020_xlsx_3[[#This Row],[2038]]+scenario_indirect_prod_1610_iotable_2020_xlsx_3[[#This Row],[2038]]</f>
        <v>0</v>
      </c>
      <c r="P334">
        <f>scenario_indirect_prod_4506_iotable_2020_xlsx_3[[#This Row],[2039]]+scenario_indirect_prod_1610_iotable_2020_xlsx_3[[#This Row],[2039]]</f>
        <v>0</v>
      </c>
      <c r="Q334">
        <f>scenario_indirect_prod_4506_iotable_2020_xlsx_3[[#This Row],[2040]]+scenario_indirect_prod_1610_iotable_2020_xlsx_3[[#This Row],[2040]]</f>
        <v>0</v>
      </c>
      <c r="R334">
        <f>scenario_indirect_prod_4506_iotable_2020_xlsx_3[[#This Row],[2041]]+scenario_indirect_prod_1610_iotable_2020_xlsx_3[[#This Row],[2041]]</f>
        <v>0</v>
      </c>
      <c r="S334">
        <f>scenario_indirect_prod_4506_iotable_2020_xlsx_3[[#This Row],[2042]]+scenario_indirect_prod_1610_iotable_2020_xlsx_3[[#This Row],[2042]]</f>
        <v>0</v>
      </c>
      <c r="T334">
        <f>scenario_indirect_prod_4506_iotable_2020_xlsx_3[[#This Row],[2043]]+scenario_indirect_prod_1610_iotable_2020_xlsx_3[[#This Row],[2043]]</f>
        <v>0</v>
      </c>
      <c r="U334">
        <f>scenario_indirect_prod_4506_iotable_2020_xlsx_3[[#This Row],[2044]]+scenario_indirect_prod_1610_iotable_2020_xlsx_3[[#This Row],[2044]]</f>
        <v>0</v>
      </c>
      <c r="V334">
        <f>scenario_indirect_prod_4506_iotable_2020_xlsx_3[[#This Row],[2045]]+scenario_indirect_prod_1610_iotable_2020_xlsx_3[[#This Row],[2045]]</f>
        <v>0</v>
      </c>
      <c r="W334">
        <f>scenario_indirect_prod_4506_iotable_2020_xlsx_3[[#This Row],[2046]]+scenario_indirect_prod_1610_iotable_2020_xlsx_3[[#This Row],[2046]]</f>
        <v>0</v>
      </c>
      <c r="X334">
        <f>scenario_indirect_prod_4506_iotable_2020_xlsx_3[[#This Row],[2047]]+scenario_indirect_prod_1610_iotable_2020_xlsx_3[[#This Row],[2047]]</f>
        <v>0</v>
      </c>
      <c r="Y334">
        <f>scenario_indirect_prod_4506_iotable_2020_xlsx_3[[#This Row],[2048]]+scenario_indirect_prod_1610_iotable_2020_xlsx_3[[#This Row],[2048]]</f>
        <v>0</v>
      </c>
      <c r="Z334">
        <f>scenario_indirect_prod_4506_iotable_2020_xlsx_3[[#This Row],[2049]]+scenario_indirect_prod_1610_iotable_2020_xlsx_3[[#This Row],[2049]]</f>
        <v>0</v>
      </c>
      <c r="AA334">
        <f>scenario_indirect_prod_4506_iotable_2020_xlsx_3[[#This Row],[2050]]+scenario_indirect_prod_1610_iotable_2020_xlsx_3[[#This Row],[2050]]</f>
        <v>0</v>
      </c>
    </row>
    <row r="335" spans="1:27" x14ac:dyDescent="0.2">
      <c r="A335" t="s">
        <v>392</v>
      </c>
      <c r="B335" t="s">
        <v>393</v>
      </c>
      <c r="C335">
        <f>scenario_indirect_prod_4506_iotable_2020_xlsx_3[[#This Row],[2026]]+scenario_indirect_prod_1610_iotable_2020_xlsx_3[[#This Row],[2026]]</f>
        <v>65717.355404323331</v>
      </c>
      <c r="D335">
        <f>scenario_indirect_prod_4506_iotable_2020_xlsx_3[[#This Row],[2027]]+scenario_indirect_prod_1610_iotable_2020_xlsx_3[[#This Row],[2027]]</f>
        <v>69139.65129212747</v>
      </c>
      <c r="E335">
        <f>scenario_indirect_prod_4506_iotable_2020_xlsx_3[[#This Row],[2028]]+scenario_indirect_prod_1610_iotable_2020_xlsx_3[[#This Row],[2028]]</f>
        <v>72161.774121296083</v>
      </c>
      <c r="F335">
        <f>scenario_indirect_prod_4506_iotable_2020_xlsx_3[[#This Row],[2029]]+scenario_indirect_prod_1610_iotable_2020_xlsx_3[[#This Row],[2029]]</f>
        <v>75682.016741540938</v>
      </c>
      <c r="G335">
        <f>scenario_indirect_prod_4506_iotable_2020_xlsx_3[[#This Row],[2030]]+scenario_indirect_prod_1610_iotable_2020_xlsx_3[[#This Row],[2030]]</f>
        <v>84527.380706530501</v>
      </c>
      <c r="H335">
        <f>scenario_indirect_prod_4506_iotable_2020_xlsx_3[[#This Row],[2031]]+scenario_indirect_prod_1610_iotable_2020_xlsx_3[[#This Row],[2031]]</f>
        <v>88604.827679430993</v>
      </c>
      <c r="I335">
        <f>scenario_indirect_prod_4506_iotable_2020_xlsx_3[[#This Row],[2032]]+scenario_indirect_prod_1610_iotable_2020_xlsx_3[[#This Row],[2032]]</f>
        <v>94299.345232971915</v>
      </c>
      <c r="J335">
        <f>scenario_indirect_prod_4506_iotable_2020_xlsx_3[[#This Row],[2033]]+scenario_indirect_prod_1610_iotable_2020_xlsx_3[[#This Row],[2033]]</f>
        <v>109580.83122795913</v>
      </c>
      <c r="K335">
        <f>scenario_indirect_prod_4506_iotable_2020_xlsx_3[[#This Row],[2034]]+scenario_indirect_prod_1610_iotable_2020_xlsx_3[[#This Row],[2034]]</f>
        <v>114879.87671305641</v>
      </c>
      <c r="L335">
        <f>scenario_indirect_prod_4506_iotable_2020_xlsx_3[[#This Row],[2035]]+scenario_indirect_prod_1610_iotable_2020_xlsx_3[[#This Row],[2035]]</f>
        <v>136143.20320116213</v>
      </c>
      <c r="M335">
        <f>scenario_indirect_prod_4506_iotable_2020_xlsx_3[[#This Row],[2036]]+scenario_indirect_prod_1610_iotable_2020_xlsx_3[[#This Row],[2036]]</f>
        <v>146175.35514188622</v>
      </c>
      <c r="N335">
        <f>scenario_indirect_prod_4506_iotable_2020_xlsx_3[[#This Row],[2037]]+scenario_indirect_prod_1610_iotable_2020_xlsx_3[[#This Row],[2037]]</f>
        <v>155159.63021997441</v>
      </c>
      <c r="O335">
        <f>scenario_indirect_prod_4506_iotable_2020_xlsx_3[[#This Row],[2038]]+scenario_indirect_prod_1610_iotable_2020_xlsx_3[[#This Row],[2038]]</f>
        <v>155159.63021997441</v>
      </c>
      <c r="P335">
        <f>scenario_indirect_prod_4506_iotable_2020_xlsx_3[[#This Row],[2039]]+scenario_indirect_prod_1610_iotable_2020_xlsx_3[[#This Row],[2039]]</f>
        <v>155159.63021997441</v>
      </c>
      <c r="Q335">
        <f>scenario_indirect_prod_4506_iotable_2020_xlsx_3[[#This Row],[2040]]+scenario_indirect_prod_1610_iotable_2020_xlsx_3[[#This Row],[2040]]</f>
        <v>163010.30756119193</v>
      </c>
      <c r="R335">
        <f>scenario_indirect_prod_4506_iotable_2020_xlsx_3[[#This Row],[2041]]+scenario_indirect_prod_1610_iotable_2020_xlsx_3[[#This Row],[2041]]</f>
        <v>163010.30756119193</v>
      </c>
      <c r="S335">
        <f>scenario_indirect_prod_4506_iotable_2020_xlsx_3[[#This Row],[2042]]+scenario_indirect_prod_1610_iotable_2020_xlsx_3[[#This Row],[2042]]</f>
        <v>171791.32107026211</v>
      </c>
      <c r="T335">
        <f>scenario_indirect_prod_4506_iotable_2020_xlsx_3[[#This Row],[2043]]+scenario_indirect_prod_1610_iotable_2020_xlsx_3[[#This Row],[2043]]</f>
        <v>171791.32107026211</v>
      </c>
      <c r="U335">
        <f>scenario_indirect_prod_4506_iotable_2020_xlsx_3[[#This Row],[2044]]+scenario_indirect_prod_1610_iotable_2020_xlsx_3[[#This Row],[2044]]</f>
        <v>179791.55513620394</v>
      </c>
      <c r="V335">
        <f>scenario_indirect_prod_4506_iotable_2020_xlsx_3[[#This Row],[2045]]+scenario_indirect_prod_1610_iotable_2020_xlsx_3[[#This Row],[2045]]</f>
        <v>179791.55513620394</v>
      </c>
      <c r="W335">
        <f>scenario_indirect_prod_4506_iotable_2020_xlsx_3[[#This Row],[2046]]+scenario_indirect_prod_1610_iotable_2020_xlsx_3[[#This Row],[2046]]</f>
        <v>186714.74821052863</v>
      </c>
      <c r="X335">
        <f>scenario_indirect_prod_4506_iotable_2020_xlsx_3[[#This Row],[2047]]+scenario_indirect_prod_1610_iotable_2020_xlsx_3[[#This Row],[2047]]</f>
        <v>186714.74821052863</v>
      </c>
      <c r="Y335">
        <f>scenario_indirect_prod_4506_iotable_2020_xlsx_3[[#This Row],[2048]]+scenario_indirect_prod_1610_iotable_2020_xlsx_3[[#This Row],[2048]]</f>
        <v>186714.74821052863</v>
      </c>
      <c r="Z335">
        <f>scenario_indirect_prod_4506_iotable_2020_xlsx_3[[#This Row],[2049]]+scenario_indirect_prod_1610_iotable_2020_xlsx_3[[#This Row],[2049]]</f>
        <v>186714.74821052863</v>
      </c>
      <c r="AA335">
        <f>scenario_indirect_prod_4506_iotable_2020_xlsx_3[[#This Row],[2050]]+scenario_indirect_prod_1610_iotable_2020_xlsx_3[[#This Row],[2050]]</f>
        <v>186714.74821052863</v>
      </c>
    </row>
    <row r="336" spans="1:27" x14ac:dyDescent="0.2">
      <c r="A336" t="s">
        <v>381</v>
      </c>
      <c r="B336" t="s">
        <v>47</v>
      </c>
      <c r="C336">
        <f>scenario_indirect_prod_4506_iotable_2020_xlsx_3[[#This Row],[2026]]+scenario_indirect_prod_1610_iotable_2020_xlsx_3[[#This Row],[2026]]</f>
        <v>79201.666786164351</v>
      </c>
      <c r="D336">
        <f>scenario_indirect_prod_4506_iotable_2020_xlsx_3[[#This Row],[2027]]+scenario_indirect_prod_1610_iotable_2020_xlsx_3[[#This Row],[2027]]</f>
        <v>82831.000246246243</v>
      </c>
      <c r="E336">
        <f>scenario_indirect_prod_4506_iotable_2020_xlsx_3[[#This Row],[2028]]+scenario_indirect_prod_1610_iotable_2020_xlsx_3[[#This Row],[2028]]</f>
        <v>86502.652820900694</v>
      </c>
      <c r="F336">
        <f>scenario_indirect_prod_4506_iotable_2020_xlsx_3[[#This Row],[2029]]+scenario_indirect_prod_1610_iotable_2020_xlsx_3[[#This Row],[2029]]</f>
        <v>90568.083813809295</v>
      </c>
      <c r="G336">
        <f>scenario_indirect_prod_4506_iotable_2020_xlsx_3[[#This Row],[2030]]+scenario_indirect_prod_1610_iotable_2020_xlsx_3[[#This Row],[2030]]</f>
        <v>99522.639365102499</v>
      </c>
      <c r="H336">
        <f>scenario_indirect_prod_4506_iotable_2020_xlsx_3[[#This Row],[2031]]+scenario_indirect_prod_1610_iotable_2020_xlsx_3[[#This Row],[2031]]</f>
        <v>104476.43162383263</v>
      </c>
      <c r="I336">
        <f>scenario_indirect_prod_4506_iotable_2020_xlsx_3[[#This Row],[2032]]+scenario_indirect_prod_1610_iotable_2020_xlsx_3[[#This Row],[2032]]</f>
        <v>111394.84335583536</v>
      </c>
      <c r="J336">
        <f>scenario_indirect_prod_4506_iotable_2020_xlsx_3[[#This Row],[2033]]+scenario_indirect_prod_1610_iotable_2020_xlsx_3[[#This Row],[2033]]</f>
        <v>128961.08968888153</v>
      </c>
      <c r="K336">
        <f>scenario_indirect_prod_4506_iotable_2020_xlsx_3[[#This Row],[2034]]+scenario_indirect_prod_1610_iotable_2020_xlsx_3[[#This Row],[2034]]</f>
        <v>135399.03251859793</v>
      </c>
      <c r="L336">
        <f>scenario_indirect_prod_4506_iotable_2020_xlsx_3[[#This Row],[2035]]+scenario_indirect_prod_1610_iotable_2020_xlsx_3[[#This Row],[2035]]</f>
        <v>159966.98862110166</v>
      </c>
      <c r="M336">
        <f>scenario_indirect_prod_4506_iotable_2020_xlsx_3[[#This Row],[2036]]+scenario_indirect_prod_1610_iotable_2020_xlsx_3[[#This Row],[2036]]</f>
        <v>171324.72318996675</v>
      </c>
      <c r="N336">
        <f>scenario_indirect_prod_4506_iotable_2020_xlsx_3[[#This Row],[2037]]+scenario_indirect_prod_1610_iotable_2020_xlsx_3[[#This Row],[2037]]</f>
        <v>181513.84781339351</v>
      </c>
      <c r="O336">
        <f>scenario_indirect_prod_4506_iotable_2020_xlsx_3[[#This Row],[2038]]+scenario_indirect_prod_1610_iotable_2020_xlsx_3[[#This Row],[2038]]</f>
        <v>181513.84781339351</v>
      </c>
      <c r="P336">
        <f>scenario_indirect_prod_4506_iotable_2020_xlsx_3[[#This Row],[2039]]+scenario_indirect_prod_1610_iotable_2020_xlsx_3[[#This Row],[2039]]</f>
        <v>181513.84781339351</v>
      </c>
      <c r="Q336">
        <f>scenario_indirect_prod_4506_iotable_2020_xlsx_3[[#This Row],[2040]]+scenario_indirect_prod_1610_iotable_2020_xlsx_3[[#This Row],[2040]]</f>
        <v>190414.38750569671</v>
      </c>
      <c r="R336">
        <f>scenario_indirect_prod_4506_iotable_2020_xlsx_3[[#This Row],[2041]]+scenario_indirect_prod_1610_iotable_2020_xlsx_3[[#This Row],[2041]]</f>
        <v>190414.38750569671</v>
      </c>
      <c r="S336">
        <f>scenario_indirect_prod_4506_iotable_2020_xlsx_3[[#This Row],[2042]]+scenario_indirect_prod_1610_iotable_2020_xlsx_3[[#This Row],[2042]]</f>
        <v>200379.07915397277</v>
      </c>
      <c r="T336">
        <f>scenario_indirect_prod_4506_iotable_2020_xlsx_3[[#This Row],[2043]]+scenario_indirect_prod_1610_iotable_2020_xlsx_3[[#This Row],[2043]]</f>
        <v>200379.07915397277</v>
      </c>
      <c r="U336">
        <f>scenario_indirect_prod_4506_iotable_2020_xlsx_3[[#This Row],[2044]]+scenario_indirect_prod_1610_iotable_2020_xlsx_3[[#This Row],[2044]]</f>
        <v>209429.65774144596</v>
      </c>
      <c r="V336">
        <f>scenario_indirect_prod_4506_iotable_2020_xlsx_3[[#This Row],[2045]]+scenario_indirect_prod_1610_iotable_2020_xlsx_3[[#This Row],[2045]]</f>
        <v>209429.65774144596</v>
      </c>
      <c r="W336">
        <f>scenario_indirect_prod_4506_iotable_2020_xlsx_3[[#This Row],[2046]]+scenario_indirect_prod_1610_iotable_2020_xlsx_3[[#This Row],[2046]]</f>
        <v>217271.09327724972</v>
      </c>
      <c r="X336">
        <f>scenario_indirect_prod_4506_iotable_2020_xlsx_3[[#This Row],[2047]]+scenario_indirect_prod_1610_iotable_2020_xlsx_3[[#This Row],[2047]]</f>
        <v>217271.09327724972</v>
      </c>
      <c r="Y336">
        <f>scenario_indirect_prod_4506_iotable_2020_xlsx_3[[#This Row],[2048]]+scenario_indirect_prod_1610_iotable_2020_xlsx_3[[#This Row],[2048]]</f>
        <v>217271.09327724972</v>
      </c>
      <c r="Z336">
        <f>scenario_indirect_prod_4506_iotable_2020_xlsx_3[[#This Row],[2049]]+scenario_indirect_prod_1610_iotable_2020_xlsx_3[[#This Row],[2049]]</f>
        <v>217271.09327724972</v>
      </c>
      <c r="AA336">
        <f>scenario_indirect_prod_4506_iotable_2020_xlsx_3[[#This Row],[2050]]+scenario_indirect_prod_1610_iotable_2020_xlsx_3[[#This Row],[2050]]</f>
        <v>217271.09327724972</v>
      </c>
    </row>
    <row r="337" spans="1:27" x14ac:dyDescent="0.2">
      <c r="A337" t="s">
        <v>967</v>
      </c>
      <c r="B337" t="s">
        <v>321</v>
      </c>
      <c r="C337">
        <f>scenario_indirect_prod_4506_iotable_2020_xlsx_3[[#This Row],[2026]]+scenario_indirect_prod_1610_iotable_2020_xlsx_3[[#This Row],[2026]]</f>
        <v>0</v>
      </c>
      <c r="D337">
        <f>scenario_indirect_prod_4506_iotable_2020_xlsx_3[[#This Row],[2027]]+scenario_indirect_prod_1610_iotable_2020_xlsx_3[[#This Row],[2027]]</f>
        <v>0</v>
      </c>
      <c r="E337">
        <f>scenario_indirect_prod_4506_iotable_2020_xlsx_3[[#This Row],[2028]]+scenario_indirect_prod_1610_iotable_2020_xlsx_3[[#This Row],[2028]]</f>
        <v>0</v>
      </c>
      <c r="F337">
        <f>scenario_indirect_prod_4506_iotable_2020_xlsx_3[[#This Row],[2029]]+scenario_indirect_prod_1610_iotable_2020_xlsx_3[[#This Row],[2029]]</f>
        <v>0</v>
      </c>
      <c r="G337">
        <f>scenario_indirect_prod_4506_iotable_2020_xlsx_3[[#This Row],[2030]]+scenario_indirect_prod_1610_iotable_2020_xlsx_3[[#This Row],[2030]]</f>
        <v>0</v>
      </c>
      <c r="H337">
        <f>scenario_indirect_prod_4506_iotable_2020_xlsx_3[[#This Row],[2031]]+scenario_indirect_prod_1610_iotable_2020_xlsx_3[[#This Row],[2031]]</f>
        <v>0</v>
      </c>
      <c r="I337">
        <f>scenario_indirect_prod_4506_iotable_2020_xlsx_3[[#This Row],[2032]]+scenario_indirect_prod_1610_iotable_2020_xlsx_3[[#This Row],[2032]]</f>
        <v>0</v>
      </c>
      <c r="J337">
        <f>scenario_indirect_prod_4506_iotable_2020_xlsx_3[[#This Row],[2033]]+scenario_indirect_prod_1610_iotable_2020_xlsx_3[[#This Row],[2033]]</f>
        <v>0</v>
      </c>
      <c r="K337">
        <f>scenario_indirect_prod_4506_iotable_2020_xlsx_3[[#This Row],[2034]]+scenario_indirect_prod_1610_iotable_2020_xlsx_3[[#This Row],[2034]]</f>
        <v>0</v>
      </c>
      <c r="L337">
        <f>scenario_indirect_prod_4506_iotable_2020_xlsx_3[[#This Row],[2035]]+scenario_indirect_prod_1610_iotable_2020_xlsx_3[[#This Row],[2035]]</f>
        <v>0</v>
      </c>
      <c r="M337">
        <f>scenario_indirect_prod_4506_iotable_2020_xlsx_3[[#This Row],[2036]]+scenario_indirect_prod_1610_iotable_2020_xlsx_3[[#This Row],[2036]]</f>
        <v>0</v>
      </c>
      <c r="N337">
        <f>scenario_indirect_prod_4506_iotable_2020_xlsx_3[[#This Row],[2037]]+scenario_indirect_prod_1610_iotable_2020_xlsx_3[[#This Row],[2037]]</f>
        <v>0</v>
      </c>
      <c r="O337">
        <f>scenario_indirect_prod_4506_iotable_2020_xlsx_3[[#This Row],[2038]]+scenario_indirect_prod_1610_iotable_2020_xlsx_3[[#This Row],[2038]]</f>
        <v>0</v>
      </c>
      <c r="P337">
        <f>scenario_indirect_prod_4506_iotable_2020_xlsx_3[[#This Row],[2039]]+scenario_indirect_prod_1610_iotable_2020_xlsx_3[[#This Row],[2039]]</f>
        <v>0</v>
      </c>
      <c r="Q337">
        <f>scenario_indirect_prod_4506_iotable_2020_xlsx_3[[#This Row],[2040]]+scenario_indirect_prod_1610_iotable_2020_xlsx_3[[#This Row],[2040]]</f>
        <v>0</v>
      </c>
      <c r="R337">
        <f>scenario_indirect_prod_4506_iotable_2020_xlsx_3[[#This Row],[2041]]+scenario_indirect_prod_1610_iotable_2020_xlsx_3[[#This Row],[2041]]</f>
        <v>0</v>
      </c>
      <c r="S337">
        <f>scenario_indirect_prod_4506_iotable_2020_xlsx_3[[#This Row],[2042]]+scenario_indirect_prod_1610_iotable_2020_xlsx_3[[#This Row],[2042]]</f>
        <v>0</v>
      </c>
      <c r="T337">
        <f>scenario_indirect_prod_4506_iotable_2020_xlsx_3[[#This Row],[2043]]+scenario_indirect_prod_1610_iotable_2020_xlsx_3[[#This Row],[2043]]</f>
        <v>0</v>
      </c>
      <c r="U337">
        <f>scenario_indirect_prod_4506_iotable_2020_xlsx_3[[#This Row],[2044]]+scenario_indirect_prod_1610_iotable_2020_xlsx_3[[#This Row],[2044]]</f>
        <v>0</v>
      </c>
      <c r="V337">
        <f>scenario_indirect_prod_4506_iotable_2020_xlsx_3[[#This Row],[2045]]+scenario_indirect_prod_1610_iotable_2020_xlsx_3[[#This Row],[2045]]</f>
        <v>0</v>
      </c>
      <c r="W337">
        <f>scenario_indirect_prod_4506_iotable_2020_xlsx_3[[#This Row],[2046]]+scenario_indirect_prod_1610_iotable_2020_xlsx_3[[#This Row],[2046]]</f>
        <v>0</v>
      </c>
      <c r="X337">
        <f>scenario_indirect_prod_4506_iotable_2020_xlsx_3[[#This Row],[2047]]+scenario_indirect_prod_1610_iotable_2020_xlsx_3[[#This Row],[2047]]</f>
        <v>0</v>
      </c>
      <c r="Y337">
        <f>scenario_indirect_prod_4506_iotable_2020_xlsx_3[[#This Row],[2048]]+scenario_indirect_prod_1610_iotable_2020_xlsx_3[[#This Row],[2048]]</f>
        <v>0</v>
      </c>
      <c r="Z337">
        <f>scenario_indirect_prod_4506_iotable_2020_xlsx_3[[#This Row],[2049]]+scenario_indirect_prod_1610_iotable_2020_xlsx_3[[#This Row],[2049]]</f>
        <v>0</v>
      </c>
      <c r="AA337">
        <f>scenario_indirect_prod_4506_iotable_2020_xlsx_3[[#This Row],[2050]]+scenario_indirect_prod_1610_iotable_2020_xlsx_3[[#This Row],[2050]]</f>
        <v>0</v>
      </c>
    </row>
    <row r="338" spans="1:27" x14ac:dyDescent="0.2">
      <c r="A338" t="s">
        <v>362</v>
      </c>
      <c r="B338" t="s">
        <v>363</v>
      </c>
      <c r="C338">
        <f>scenario_indirect_prod_4506_iotable_2020_xlsx_3[[#This Row],[2026]]+scenario_indirect_prod_1610_iotable_2020_xlsx_3[[#This Row],[2026]]</f>
        <v>123437.51981007656</v>
      </c>
      <c r="D338">
        <f>scenario_indirect_prod_4506_iotable_2020_xlsx_3[[#This Row],[2027]]+scenario_indirect_prod_1610_iotable_2020_xlsx_3[[#This Row],[2027]]</f>
        <v>125286.17406742787</v>
      </c>
      <c r="E338">
        <f>scenario_indirect_prod_4506_iotable_2020_xlsx_3[[#This Row],[2028]]+scenario_indirect_prod_1610_iotable_2020_xlsx_3[[#This Row],[2028]]</f>
        <v>131234.84187317727</v>
      </c>
      <c r="F338">
        <f>scenario_indirect_prod_4506_iotable_2020_xlsx_3[[#This Row],[2029]]+scenario_indirect_prod_1610_iotable_2020_xlsx_3[[#This Row],[2029]]</f>
        <v>136208.91398785921</v>
      </c>
      <c r="G338">
        <f>scenario_indirect_prod_4506_iotable_2020_xlsx_3[[#This Row],[2030]]+scenario_indirect_prod_1610_iotable_2020_xlsx_3[[#This Row],[2030]]</f>
        <v>137047.94265708898</v>
      </c>
      <c r="H338">
        <f>scenario_indirect_prod_4506_iotable_2020_xlsx_3[[#This Row],[2031]]+scenario_indirect_prod_1610_iotable_2020_xlsx_3[[#This Row],[2031]]</f>
        <v>145073.88300049191</v>
      </c>
      <c r="I338">
        <f>scenario_indirect_prod_4506_iotable_2020_xlsx_3[[#This Row],[2032]]+scenario_indirect_prod_1610_iotable_2020_xlsx_3[[#This Row],[2032]]</f>
        <v>156282.82292612109</v>
      </c>
      <c r="J338">
        <f>scenario_indirect_prod_4506_iotable_2020_xlsx_3[[#This Row],[2033]]+scenario_indirect_prod_1610_iotable_2020_xlsx_3[[#This Row],[2033]]</f>
        <v>177117.81257030345</v>
      </c>
      <c r="K338">
        <f>scenario_indirect_prod_4506_iotable_2020_xlsx_3[[#This Row],[2034]]+scenario_indirect_prod_1610_iotable_2020_xlsx_3[[#This Row],[2034]]</f>
        <v>187548.31558432936</v>
      </c>
      <c r="L338">
        <f>scenario_indirect_prod_4506_iotable_2020_xlsx_3[[#This Row],[2035]]+scenario_indirect_prod_1610_iotable_2020_xlsx_3[[#This Row],[2035]]</f>
        <v>217699.81996958418</v>
      </c>
      <c r="M338">
        <f>scenario_indirect_prod_4506_iotable_2020_xlsx_3[[#This Row],[2036]]+scenario_indirect_prod_1610_iotable_2020_xlsx_3[[#This Row],[2036]]</f>
        <v>229765.44200931594</v>
      </c>
      <c r="N338">
        <f>scenario_indirect_prod_4506_iotable_2020_xlsx_3[[#This Row],[2037]]+scenario_indirect_prod_1610_iotable_2020_xlsx_3[[#This Row],[2037]]</f>
        <v>240734.72669735792</v>
      </c>
      <c r="O338">
        <f>scenario_indirect_prod_4506_iotable_2020_xlsx_3[[#This Row],[2038]]+scenario_indirect_prod_1610_iotable_2020_xlsx_3[[#This Row],[2038]]</f>
        <v>240734.72669735792</v>
      </c>
      <c r="P338">
        <f>scenario_indirect_prod_4506_iotable_2020_xlsx_3[[#This Row],[2039]]+scenario_indirect_prod_1610_iotable_2020_xlsx_3[[#This Row],[2039]]</f>
        <v>240734.72669735792</v>
      </c>
      <c r="Q338">
        <f>scenario_indirect_prod_4506_iotable_2020_xlsx_3[[#This Row],[2040]]+scenario_indirect_prod_1610_iotable_2020_xlsx_3[[#This Row],[2040]]</f>
        <v>250292.53810622712</v>
      </c>
      <c r="R338">
        <f>scenario_indirect_prod_4506_iotable_2020_xlsx_3[[#This Row],[2041]]+scenario_indirect_prod_1610_iotable_2020_xlsx_3[[#This Row],[2041]]</f>
        <v>250292.53810622712</v>
      </c>
      <c r="S338">
        <f>scenario_indirect_prod_4506_iotable_2020_xlsx_3[[#This Row],[2042]]+scenario_indirect_prod_1610_iotable_2020_xlsx_3[[#This Row],[2042]]</f>
        <v>261069.94894737488</v>
      </c>
      <c r="T338">
        <f>scenario_indirect_prod_4506_iotable_2020_xlsx_3[[#This Row],[2043]]+scenario_indirect_prod_1610_iotable_2020_xlsx_3[[#This Row],[2043]]</f>
        <v>261069.94894737488</v>
      </c>
      <c r="U338">
        <f>scenario_indirect_prod_4506_iotable_2020_xlsx_3[[#This Row],[2044]]+scenario_indirect_prod_1610_iotable_2020_xlsx_3[[#This Row],[2044]]</f>
        <v>270629.33165058005</v>
      </c>
      <c r="V338">
        <f>scenario_indirect_prod_4506_iotable_2020_xlsx_3[[#This Row],[2045]]+scenario_indirect_prod_1610_iotable_2020_xlsx_3[[#This Row],[2045]]</f>
        <v>270629.33165058005</v>
      </c>
      <c r="W338">
        <f>scenario_indirect_prod_4506_iotable_2020_xlsx_3[[#This Row],[2046]]+scenario_indirect_prod_1610_iotable_2020_xlsx_3[[#This Row],[2046]]</f>
        <v>278987.79681470222</v>
      </c>
      <c r="X338">
        <f>scenario_indirect_prod_4506_iotable_2020_xlsx_3[[#This Row],[2047]]+scenario_indirect_prod_1610_iotable_2020_xlsx_3[[#This Row],[2047]]</f>
        <v>278987.79681470222</v>
      </c>
      <c r="Y338">
        <f>scenario_indirect_prod_4506_iotable_2020_xlsx_3[[#This Row],[2048]]+scenario_indirect_prod_1610_iotable_2020_xlsx_3[[#This Row],[2048]]</f>
        <v>278987.79681470222</v>
      </c>
      <c r="Z338">
        <f>scenario_indirect_prod_4506_iotable_2020_xlsx_3[[#This Row],[2049]]+scenario_indirect_prod_1610_iotable_2020_xlsx_3[[#This Row],[2049]]</f>
        <v>278987.79681470222</v>
      </c>
      <c r="AA338">
        <f>scenario_indirect_prod_4506_iotable_2020_xlsx_3[[#This Row],[2050]]+scenario_indirect_prod_1610_iotable_2020_xlsx_3[[#This Row],[2050]]</f>
        <v>278987.79681470222</v>
      </c>
    </row>
    <row r="339" spans="1:27" x14ac:dyDescent="0.2">
      <c r="A339" t="s">
        <v>954</v>
      </c>
      <c r="B339" t="s">
        <v>955</v>
      </c>
      <c r="C339">
        <f>scenario_indirect_prod_4506_iotable_2020_xlsx_3[[#This Row],[2026]]+scenario_indirect_prod_1610_iotable_2020_xlsx_3[[#This Row],[2026]]</f>
        <v>0</v>
      </c>
      <c r="D339">
        <f>scenario_indirect_prod_4506_iotable_2020_xlsx_3[[#This Row],[2027]]+scenario_indirect_prod_1610_iotable_2020_xlsx_3[[#This Row],[2027]]</f>
        <v>0</v>
      </c>
      <c r="E339">
        <f>scenario_indirect_prod_4506_iotable_2020_xlsx_3[[#This Row],[2028]]+scenario_indirect_prod_1610_iotable_2020_xlsx_3[[#This Row],[2028]]</f>
        <v>0</v>
      </c>
      <c r="F339">
        <f>scenario_indirect_prod_4506_iotable_2020_xlsx_3[[#This Row],[2029]]+scenario_indirect_prod_1610_iotable_2020_xlsx_3[[#This Row],[2029]]</f>
        <v>0</v>
      </c>
      <c r="G339">
        <f>scenario_indirect_prod_4506_iotable_2020_xlsx_3[[#This Row],[2030]]+scenario_indirect_prod_1610_iotable_2020_xlsx_3[[#This Row],[2030]]</f>
        <v>0</v>
      </c>
      <c r="H339">
        <f>scenario_indirect_prod_4506_iotable_2020_xlsx_3[[#This Row],[2031]]+scenario_indirect_prod_1610_iotable_2020_xlsx_3[[#This Row],[2031]]</f>
        <v>0</v>
      </c>
      <c r="I339">
        <f>scenario_indirect_prod_4506_iotable_2020_xlsx_3[[#This Row],[2032]]+scenario_indirect_prod_1610_iotable_2020_xlsx_3[[#This Row],[2032]]</f>
        <v>0</v>
      </c>
      <c r="J339">
        <f>scenario_indirect_prod_4506_iotable_2020_xlsx_3[[#This Row],[2033]]+scenario_indirect_prod_1610_iotable_2020_xlsx_3[[#This Row],[2033]]</f>
        <v>0</v>
      </c>
      <c r="K339">
        <f>scenario_indirect_prod_4506_iotable_2020_xlsx_3[[#This Row],[2034]]+scenario_indirect_prod_1610_iotable_2020_xlsx_3[[#This Row],[2034]]</f>
        <v>0</v>
      </c>
      <c r="L339">
        <f>scenario_indirect_prod_4506_iotable_2020_xlsx_3[[#This Row],[2035]]+scenario_indirect_prod_1610_iotable_2020_xlsx_3[[#This Row],[2035]]</f>
        <v>0</v>
      </c>
      <c r="M339">
        <f>scenario_indirect_prod_4506_iotable_2020_xlsx_3[[#This Row],[2036]]+scenario_indirect_prod_1610_iotable_2020_xlsx_3[[#This Row],[2036]]</f>
        <v>0</v>
      </c>
      <c r="N339">
        <f>scenario_indirect_prod_4506_iotable_2020_xlsx_3[[#This Row],[2037]]+scenario_indirect_prod_1610_iotable_2020_xlsx_3[[#This Row],[2037]]</f>
        <v>0</v>
      </c>
      <c r="O339">
        <f>scenario_indirect_prod_4506_iotable_2020_xlsx_3[[#This Row],[2038]]+scenario_indirect_prod_1610_iotable_2020_xlsx_3[[#This Row],[2038]]</f>
        <v>0</v>
      </c>
      <c r="P339">
        <f>scenario_indirect_prod_4506_iotable_2020_xlsx_3[[#This Row],[2039]]+scenario_indirect_prod_1610_iotable_2020_xlsx_3[[#This Row],[2039]]</f>
        <v>0</v>
      </c>
      <c r="Q339">
        <f>scenario_indirect_prod_4506_iotable_2020_xlsx_3[[#This Row],[2040]]+scenario_indirect_prod_1610_iotable_2020_xlsx_3[[#This Row],[2040]]</f>
        <v>0</v>
      </c>
      <c r="R339">
        <f>scenario_indirect_prod_4506_iotable_2020_xlsx_3[[#This Row],[2041]]+scenario_indirect_prod_1610_iotable_2020_xlsx_3[[#This Row],[2041]]</f>
        <v>0</v>
      </c>
      <c r="S339">
        <f>scenario_indirect_prod_4506_iotable_2020_xlsx_3[[#This Row],[2042]]+scenario_indirect_prod_1610_iotable_2020_xlsx_3[[#This Row],[2042]]</f>
        <v>0</v>
      </c>
      <c r="T339">
        <f>scenario_indirect_prod_4506_iotable_2020_xlsx_3[[#This Row],[2043]]+scenario_indirect_prod_1610_iotable_2020_xlsx_3[[#This Row],[2043]]</f>
        <v>0</v>
      </c>
      <c r="U339">
        <f>scenario_indirect_prod_4506_iotable_2020_xlsx_3[[#This Row],[2044]]+scenario_indirect_prod_1610_iotable_2020_xlsx_3[[#This Row],[2044]]</f>
        <v>0</v>
      </c>
      <c r="V339">
        <f>scenario_indirect_prod_4506_iotable_2020_xlsx_3[[#This Row],[2045]]+scenario_indirect_prod_1610_iotable_2020_xlsx_3[[#This Row],[2045]]</f>
        <v>0</v>
      </c>
      <c r="W339">
        <f>scenario_indirect_prod_4506_iotable_2020_xlsx_3[[#This Row],[2046]]+scenario_indirect_prod_1610_iotable_2020_xlsx_3[[#This Row],[2046]]</f>
        <v>0</v>
      </c>
      <c r="X339">
        <f>scenario_indirect_prod_4506_iotable_2020_xlsx_3[[#This Row],[2047]]+scenario_indirect_prod_1610_iotable_2020_xlsx_3[[#This Row],[2047]]</f>
        <v>0</v>
      </c>
      <c r="Y339">
        <f>scenario_indirect_prod_4506_iotable_2020_xlsx_3[[#This Row],[2048]]+scenario_indirect_prod_1610_iotable_2020_xlsx_3[[#This Row],[2048]]</f>
        <v>0</v>
      </c>
      <c r="Z339">
        <f>scenario_indirect_prod_4506_iotable_2020_xlsx_3[[#This Row],[2049]]+scenario_indirect_prod_1610_iotable_2020_xlsx_3[[#This Row],[2049]]</f>
        <v>0</v>
      </c>
      <c r="AA339">
        <f>scenario_indirect_prod_4506_iotable_2020_xlsx_3[[#This Row],[2050]]+scenario_indirect_prod_1610_iotable_2020_xlsx_3[[#This Row],[2050]]</f>
        <v>0</v>
      </c>
    </row>
    <row r="340" spans="1:27" x14ac:dyDescent="0.2">
      <c r="A340" t="s">
        <v>380</v>
      </c>
      <c r="B340" t="s">
        <v>53</v>
      </c>
      <c r="C340">
        <f>scenario_indirect_prod_4506_iotable_2020_xlsx_3[[#This Row],[2026]]+scenario_indirect_prod_1610_iotable_2020_xlsx_3[[#This Row],[2026]]</f>
        <v>82364.527656286722</v>
      </c>
      <c r="D340">
        <f>scenario_indirect_prod_4506_iotable_2020_xlsx_3[[#This Row],[2027]]+scenario_indirect_prod_1610_iotable_2020_xlsx_3[[#This Row],[2027]]</f>
        <v>86600.449210595703</v>
      </c>
      <c r="E340">
        <f>scenario_indirect_prod_4506_iotable_2020_xlsx_3[[#This Row],[2028]]+scenario_indirect_prod_1610_iotable_2020_xlsx_3[[#This Row],[2028]]</f>
        <v>90391.287663920928</v>
      </c>
      <c r="F340">
        <f>scenario_indirect_prod_4506_iotable_2020_xlsx_3[[#This Row],[2029]]+scenario_indirect_prod_1610_iotable_2020_xlsx_3[[#This Row],[2029]]</f>
        <v>94784.197411813308</v>
      </c>
      <c r="G340">
        <f>scenario_indirect_prod_4506_iotable_2020_xlsx_3[[#This Row],[2030]]+scenario_indirect_prod_1610_iotable_2020_xlsx_3[[#This Row],[2030]]</f>
        <v>105686.64206486582</v>
      </c>
      <c r="H340">
        <f>scenario_indirect_prod_4506_iotable_2020_xlsx_3[[#This Row],[2031]]+scenario_indirect_prod_1610_iotable_2020_xlsx_3[[#This Row],[2031]]</f>
        <v>110801.23986581554</v>
      </c>
      <c r="I340">
        <f>scenario_indirect_prod_4506_iotable_2020_xlsx_3[[#This Row],[2032]]+scenario_indirect_prod_1610_iotable_2020_xlsx_3[[#This Row],[2032]]</f>
        <v>117944.23084776611</v>
      </c>
      <c r="J340">
        <f>scenario_indirect_prod_4506_iotable_2020_xlsx_3[[#This Row],[2033]]+scenario_indirect_prod_1610_iotable_2020_xlsx_3[[#This Row],[2033]]</f>
        <v>137005.1762781241</v>
      </c>
      <c r="K340">
        <f>scenario_indirect_prod_4506_iotable_2020_xlsx_3[[#This Row],[2034]]+scenario_indirect_prod_1610_iotable_2020_xlsx_3[[#This Row],[2034]]</f>
        <v>143652.10180906032</v>
      </c>
      <c r="L340">
        <f>scenario_indirect_prod_4506_iotable_2020_xlsx_3[[#This Row],[2035]]+scenario_indirect_prod_1610_iotable_2020_xlsx_3[[#This Row],[2035]]</f>
        <v>170187.84141969139</v>
      </c>
      <c r="M340">
        <f>scenario_indirect_prod_4506_iotable_2020_xlsx_3[[#This Row],[2036]]+scenario_indirect_prod_1610_iotable_2020_xlsx_3[[#This Row],[2036]]</f>
        <v>182682.40971720297</v>
      </c>
      <c r="N340">
        <f>scenario_indirect_prod_4506_iotable_2020_xlsx_3[[#This Row],[2037]]+scenario_indirect_prod_1610_iotable_2020_xlsx_3[[#This Row],[2037]]</f>
        <v>193873.80499069276</v>
      </c>
      <c r="O340">
        <f>scenario_indirect_prod_4506_iotable_2020_xlsx_3[[#This Row],[2038]]+scenario_indirect_prod_1610_iotable_2020_xlsx_3[[#This Row],[2038]]</f>
        <v>193873.80499069276</v>
      </c>
      <c r="P340">
        <f>scenario_indirect_prod_4506_iotable_2020_xlsx_3[[#This Row],[2039]]+scenario_indirect_prod_1610_iotable_2020_xlsx_3[[#This Row],[2039]]</f>
        <v>193873.80499069276</v>
      </c>
      <c r="Q340">
        <f>scenario_indirect_prod_4506_iotable_2020_xlsx_3[[#This Row],[2040]]+scenario_indirect_prod_1610_iotable_2020_xlsx_3[[#This Row],[2040]]</f>
        <v>203652.79842050993</v>
      </c>
      <c r="R340">
        <f>scenario_indirect_prod_4506_iotable_2020_xlsx_3[[#This Row],[2041]]+scenario_indirect_prod_1610_iotable_2020_xlsx_3[[#This Row],[2041]]</f>
        <v>203652.79842050993</v>
      </c>
      <c r="S340">
        <f>scenario_indirect_prod_4506_iotable_2020_xlsx_3[[#This Row],[2042]]+scenario_indirect_prod_1610_iotable_2020_xlsx_3[[#This Row],[2042]]</f>
        <v>214591.65304798126</v>
      </c>
      <c r="T340">
        <f>scenario_indirect_prod_4506_iotable_2020_xlsx_3[[#This Row],[2043]]+scenario_indirect_prod_1610_iotable_2020_xlsx_3[[#This Row],[2043]]</f>
        <v>214591.65304798126</v>
      </c>
      <c r="U340">
        <f>scenario_indirect_prod_4506_iotable_2020_xlsx_3[[#This Row],[2044]]+scenario_indirect_prod_1610_iotable_2020_xlsx_3[[#This Row],[2044]]</f>
        <v>224554.83736020146</v>
      </c>
      <c r="V340">
        <f>scenario_indirect_prod_4506_iotable_2020_xlsx_3[[#This Row],[2045]]+scenario_indirect_prod_1610_iotable_2020_xlsx_3[[#This Row],[2045]]</f>
        <v>224554.83736020146</v>
      </c>
      <c r="W340">
        <f>scenario_indirect_prod_4506_iotable_2020_xlsx_3[[#This Row],[2046]]+scenario_indirect_prod_1610_iotable_2020_xlsx_3[[#This Row],[2046]]</f>
        <v>233177.71727429121</v>
      </c>
      <c r="X340">
        <f>scenario_indirect_prod_4506_iotable_2020_xlsx_3[[#This Row],[2047]]+scenario_indirect_prod_1610_iotable_2020_xlsx_3[[#This Row],[2047]]</f>
        <v>233177.71727429121</v>
      </c>
      <c r="Y340">
        <f>scenario_indirect_prod_4506_iotable_2020_xlsx_3[[#This Row],[2048]]+scenario_indirect_prod_1610_iotable_2020_xlsx_3[[#This Row],[2048]]</f>
        <v>233177.71727429121</v>
      </c>
      <c r="Z340">
        <f>scenario_indirect_prod_4506_iotable_2020_xlsx_3[[#This Row],[2049]]+scenario_indirect_prod_1610_iotable_2020_xlsx_3[[#This Row],[2049]]</f>
        <v>233177.71727429121</v>
      </c>
      <c r="AA340">
        <f>scenario_indirect_prod_4506_iotable_2020_xlsx_3[[#This Row],[2050]]+scenario_indirect_prod_1610_iotable_2020_xlsx_3[[#This Row],[2050]]</f>
        <v>233177.71727429121</v>
      </c>
    </row>
    <row r="341" spans="1:27" x14ac:dyDescent="0.2">
      <c r="A341" t="s">
        <v>970</v>
      </c>
      <c r="B341" t="s">
        <v>971</v>
      </c>
      <c r="C341">
        <f>scenario_indirect_prod_4506_iotable_2020_xlsx_3[[#This Row],[2026]]+scenario_indirect_prod_1610_iotable_2020_xlsx_3[[#This Row],[2026]]</f>
        <v>0</v>
      </c>
      <c r="D341">
        <f>scenario_indirect_prod_4506_iotable_2020_xlsx_3[[#This Row],[2027]]+scenario_indirect_prod_1610_iotable_2020_xlsx_3[[#This Row],[2027]]</f>
        <v>0</v>
      </c>
      <c r="E341">
        <f>scenario_indirect_prod_4506_iotable_2020_xlsx_3[[#This Row],[2028]]+scenario_indirect_prod_1610_iotable_2020_xlsx_3[[#This Row],[2028]]</f>
        <v>0</v>
      </c>
      <c r="F341">
        <f>scenario_indirect_prod_4506_iotable_2020_xlsx_3[[#This Row],[2029]]+scenario_indirect_prod_1610_iotable_2020_xlsx_3[[#This Row],[2029]]</f>
        <v>0</v>
      </c>
      <c r="G341">
        <f>scenario_indirect_prod_4506_iotable_2020_xlsx_3[[#This Row],[2030]]+scenario_indirect_prod_1610_iotable_2020_xlsx_3[[#This Row],[2030]]</f>
        <v>0</v>
      </c>
      <c r="H341">
        <f>scenario_indirect_prod_4506_iotable_2020_xlsx_3[[#This Row],[2031]]+scenario_indirect_prod_1610_iotable_2020_xlsx_3[[#This Row],[2031]]</f>
        <v>0</v>
      </c>
      <c r="I341">
        <f>scenario_indirect_prod_4506_iotable_2020_xlsx_3[[#This Row],[2032]]+scenario_indirect_prod_1610_iotable_2020_xlsx_3[[#This Row],[2032]]</f>
        <v>0</v>
      </c>
      <c r="J341">
        <f>scenario_indirect_prod_4506_iotable_2020_xlsx_3[[#This Row],[2033]]+scenario_indirect_prod_1610_iotable_2020_xlsx_3[[#This Row],[2033]]</f>
        <v>0</v>
      </c>
      <c r="K341">
        <f>scenario_indirect_prod_4506_iotable_2020_xlsx_3[[#This Row],[2034]]+scenario_indirect_prod_1610_iotable_2020_xlsx_3[[#This Row],[2034]]</f>
        <v>0</v>
      </c>
      <c r="L341">
        <f>scenario_indirect_prod_4506_iotable_2020_xlsx_3[[#This Row],[2035]]+scenario_indirect_prod_1610_iotable_2020_xlsx_3[[#This Row],[2035]]</f>
        <v>0</v>
      </c>
      <c r="M341">
        <f>scenario_indirect_prod_4506_iotable_2020_xlsx_3[[#This Row],[2036]]+scenario_indirect_prod_1610_iotable_2020_xlsx_3[[#This Row],[2036]]</f>
        <v>0</v>
      </c>
      <c r="N341">
        <f>scenario_indirect_prod_4506_iotable_2020_xlsx_3[[#This Row],[2037]]+scenario_indirect_prod_1610_iotable_2020_xlsx_3[[#This Row],[2037]]</f>
        <v>0</v>
      </c>
      <c r="O341">
        <f>scenario_indirect_prod_4506_iotable_2020_xlsx_3[[#This Row],[2038]]+scenario_indirect_prod_1610_iotable_2020_xlsx_3[[#This Row],[2038]]</f>
        <v>0</v>
      </c>
      <c r="P341">
        <f>scenario_indirect_prod_4506_iotable_2020_xlsx_3[[#This Row],[2039]]+scenario_indirect_prod_1610_iotable_2020_xlsx_3[[#This Row],[2039]]</f>
        <v>0</v>
      </c>
      <c r="Q341">
        <f>scenario_indirect_prod_4506_iotable_2020_xlsx_3[[#This Row],[2040]]+scenario_indirect_prod_1610_iotable_2020_xlsx_3[[#This Row],[2040]]</f>
        <v>0</v>
      </c>
      <c r="R341">
        <f>scenario_indirect_prod_4506_iotable_2020_xlsx_3[[#This Row],[2041]]+scenario_indirect_prod_1610_iotable_2020_xlsx_3[[#This Row],[2041]]</f>
        <v>0</v>
      </c>
      <c r="S341">
        <f>scenario_indirect_prod_4506_iotable_2020_xlsx_3[[#This Row],[2042]]+scenario_indirect_prod_1610_iotable_2020_xlsx_3[[#This Row],[2042]]</f>
        <v>0</v>
      </c>
      <c r="T341">
        <f>scenario_indirect_prod_4506_iotable_2020_xlsx_3[[#This Row],[2043]]+scenario_indirect_prod_1610_iotable_2020_xlsx_3[[#This Row],[2043]]</f>
        <v>0</v>
      </c>
      <c r="U341">
        <f>scenario_indirect_prod_4506_iotable_2020_xlsx_3[[#This Row],[2044]]+scenario_indirect_prod_1610_iotable_2020_xlsx_3[[#This Row],[2044]]</f>
        <v>0</v>
      </c>
      <c r="V341">
        <f>scenario_indirect_prod_4506_iotable_2020_xlsx_3[[#This Row],[2045]]+scenario_indirect_prod_1610_iotable_2020_xlsx_3[[#This Row],[2045]]</f>
        <v>0</v>
      </c>
      <c r="W341">
        <f>scenario_indirect_prod_4506_iotable_2020_xlsx_3[[#This Row],[2046]]+scenario_indirect_prod_1610_iotable_2020_xlsx_3[[#This Row],[2046]]</f>
        <v>0</v>
      </c>
      <c r="X341">
        <f>scenario_indirect_prod_4506_iotable_2020_xlsx_3[[#This Row],[2047]]+scenario_indirect_prod_1610_iotable_2020_xlsx_3[[#This Row],[2047]]</f>
        <v>0</v>
      </c>
      <c r="Y341">
        <f>scenario_indirect_prod_4506_iotable_2020_xlsx_3[[#This Row],[2048]]+scenario_indirect_prod_1610_iotable_2020_xlsx_3[[#This Row],[2048]]</f>
        <v>0</v>
      </c>
      <c r="Z341">
        <f>scenario_indirect_prod_4506_iotable_2020_xlsx_3[[#This Row],[2049]]+scenario_indirect_prod_1610_iotable_2020_xlsx_3[[#This Row],[2049]]</f>
        <v>0</v>
      </c>
      <c r="AA341">
        <f>scenario_indirect_prod_4506_iotable_2020_xlsx_3[[#This Row],[2050]]+scenario_indirect_prod_1610_iotable_2020_xlsx_3[[#This Row],[2050]]</f>
        <v>0</v>
      </c>
    </row>
    <row r="342" spans="1:27" x14ac:dyDescent="0.2">
      <c r="A342" t="s">
        <v>972</v>
      </c>
      <c r="B342" t="s">
        <v>973</v>
      </c>
      <c r="C342">
        <f>scenario_indirect_prod_4506_iotable_2020_xlsx_3[[#This Row],[2026]]+scenario_indirect_prod_1610_iotable_2020_xlsx_3[[#This Row],[2026]]</f>
        <v>0</v>
      </c>
      <c r="D342">
        <f>scenario_indirect_prod_4506_iotable_2020_xlsx_3[[#This Row],[2027]]+scenario_indirect_prod_1610_iotable_2020_xlsx_3[[#This Row],[2027]]</f>
        <v>0</v>
      </c>
      <c r="E342">
        <f>scenario_indirect_prod_4506_iotable_2020_xlsx_3[[#This Row],[2028]]+scenario_indirect_prod_1610_iotable_2020_xlsx_3[[#This Row],[2028]]</f>
        <v>0</v>
      </c>
      <c r="F342">
        <f>scenario_indirect_prod_4506_iotable_2020_xlsx_3[[#This Row],[2029]]+scenario_indirect_prod_1610_iotable_2020_xlsx_3[[#This Row],[2029]]</f>
        <v>0</v>
      </c>
      <c r="G342">
        <f>scenario_indirect_prod_4506_iotable_2020_xlsx_3[[#This Row],[2030]]+scenario_indirect_prod_1610_iotable_2020_xlsx_3[[#This Row],[2030]]</f>
        <v>0</v>
      </c>
      <c r="H342">
        <f>scenario_indirect_prod_4506_iotable_2020_xlsx_3[[#This Row],[2031]]+scenario_indirect_prod_1610_iotable_2020_xlsx_3[[#This Row],[2031]]</f>
        <v>0</v>
      </c>
      <c r="I342">
        <f>scenario_indirect_prod_4506_iotable_2020_xlsx_3[[#This Row],[2032]]+scenario_indirect_prod_1610_iotable_2020_xlsx_3[[#This Row],[2032]]</f>
        <v>0</v>
      </c>
      <c r="J342">
        <f>scenario_indirect_prod_4506_iotable_2020_xlsx_3[[#This Row],[2033]]+scenario_indirect_prod_1610_iotable_2020_xlsx_3[[#This Row],[2033]]</f>
        <v>0</v>
      </c>
      <c r="K342">
        <f>scenario_indirect_prod_4506_iotable_2020_xlsx_3[[#This Row],[2034]]+scenario_indirect_prod_1610_iotable_2020_xlsx_3[[#This Row],[2034]]</f>
        <v>0</v>
      </c>
      <c r="L342">
        <f>scenario_indirect_prod_4506_iotable_2020_xlsx_3[[#This Row],[2035]]+scenario_indirect_prod_1610_iotable_2020_xlsx_3[[#This Row],[2035]]</f>
        <v>0</v>
      </c>
      <c r="M342">
        <f>scenario_indirect_prod_4506_iotable_2020_xlsx_3[[#This Row],[2036]]+scenario_indirect_prod_1610_iotable_2020_xlsx_3[[#This Row],[2036]]</f>
        <v>0</v>
      </c>
      <c r="N342">
        <f>scenario_indirect_prod_4506_iotable_2020_xlsx_3[[#This Row],[2037]]+scenario_indirect_prod_1610_iotable_2020_xlsx_3[[#This Row],[2037]]</f>
        <v>0</v>
      </c>
      <c r="O342">
        <f>scenario_indirect_prod_4506_iotable_2020_xlsx_3[[#This Row],[2038]]+scenario_indirect_prod_1610_iotable_2020_xlsx_3[[#This Row],[2038]]</f>
        <v>0</v>
      </c>
      <c r="P342">
        <f>scenario_indirect_prod_4506_iotable_2020_xlsx_3[[#This Row],[2039]]+scenario_indirect_prod_1610_iotable_2020_xlsx_3[[#This Row],[2039]]</f>
        <v>0</v>
      </c>
      <c r="Q342">
        <f>scenario_indirect_prod_4506_iotable_2020_xlsx_3[[#This Row],[2040]]+scenario_indirect_prod_1610_iotable_2020_xlsx_3[[#This Row],[2040]]</f>
        <v>0</v>
      </c>
      <c r="R342">
        <f>scenario_indirect_prod_4506_iotable_2020_xlsx_3[[#This Row],[2041]]+scenario_indirect_prod_1610_iotable_2020_xlsx_3[[#This Row],[2041]]</f>
        <v>0</v>
      </c>
      <c r="S342">
        <f>scenario_indirect_prod_4506_iotable_2020_xlsx_3[[#This Row],[2042]]+scenario_indirect_prod_1610_iotable_2020_xlsx_3[[#This Row],[2042]]</f>
        <v>0</v>
      </c>
      <c r="T342">
        <f>scenario_indirect_prod_4506_iotable_2020_xlsx_3[[#This Row],[2043]]+scenario_indirect_prod_1610_iotable_2020_xlsx_3[[#This Row],[2043]]</f>
        <v>0</v>
      </c>
      <c r="U342">
        <f>scenario_indirect_prod_4506_iotable_2020_xlsx_3[[#This Row],[2044]]+scenario_indirect_prod_1610_iotable_2020_xlsx_3[[#This Row],[2044]]</f>
        <v>0</v>
      </c>
      <c r="V342">
        <f>scenario_indirect_prod_4506_iotable_2020_xlsx_3[[#This Row],[2045]]+scenario_indirect_prod_1610_iotable_2020_xlsx_3[[#This Row],[2045]]</f>
        <v>0</v>
      </c>
      <c r="W342">
        <f>scenario_indirect_prod_4506_iotable_2020_xlsx_3[[#This Row],[2046]]+scenario_indirect_prod_1610_iotable_2020_xlsx_3[[#This Row],[2046]]</f>
        <v>0</v>
      </c>
      <c r="X342">
        <f>scenario_indirect_prod_4506_iotable_2020_xlsx_3[[#This Row],[2047]]+scenario_indirect_prod_1610_iotable_2020_xlsx_3[[#This Row],[2047]]</f>
        <v>0</v>
      </c>
      <c r="Y342">
        <f>scenario_indirect_prod_4506_iotable_2020_xlsx_3[[#This Row],[2048]]+scenario_indirect_prod_1610_iotable_2020_xlsx_3[[#This Row],[2048]]</f>
        <v>0</v>
      </c>
      <c r="Z342">
        <f>scenario_indirect_prod_4506_iotable_2020_xlsx_3[[#This Row],[2049]]+scenario_indirect_prod_1610_iotable_2020_xlsx_3[[#This Row],[2049]]</f>
        <v>0</v>
      </c>
      <c r="AA342">
        <f>scenario_indirect_prod_4506_iotable_2020_xlsx_3[[#This Row],[2050]]+scenario_indirect_prod_1610_iotable_2020_xlsx_3[[#This Row],[2050]]</f>
        <v>0</v>
      </c>
    </row>
    <row r="343" spans="1:27" x14ac:dyDescent="0.2">
      <c r="A343" t="s">
        <v>948</v>
      </c>
      <c r="B343" t="s">
        <v>949</v>
      </c>
      <c r="C343">
        <f>scenario_indirect_prod_4506_iotable_2020_xlsx_3[[#This Row],[2026]]+scenario_indirect_prod_1610_iotable_2020_xlsx_3[[#This Row],[2026]]</f>
        <v>2.7819659141900979</v>
      </c>
      <c r="D343">
        <f>scenario_indirect_prod_4506_iotable_2020_xlsx_3[[#This Row],[2027]]+scenario_indirect_prod_1610_iotable_2020_xlsx_3[[#This Row],[2027]]</f>
        <v>2.9730750616461421</v>
      </c>
      <c r="E343">
        <f>scenario_indirect_prod_4506_iotable_2020_xlsx_3[[#This Row],[2028]]+scenario_indirect_prod_1610_iotable_2020_xlsx_3[[#This Row],[2028]]</f>
        <v>3.0982603688928974</v>
      </c>
      <c r="F343">
        <f>scenario_indirect_prod_4506_iotable_2020_xlsx_3[[#This Row],[2029]]+scenario_indirect_prod_1610_iotable_2020_xlsx_3[[#This Row],[2029]]</f>
        <v>3.2638182731839795</v>
      </c>
      <c r="G343">
        <f>scenario_indirect_prod_4506_iotable_2020_xlsx_3[[#This Row],[2030]]+scenario_indirect_prod_1610_iotable_2020_xlsx_3[[#This Row],[2030]]</f>
        <v>3.7975341470035593</v>
      </c>
      <c r="H343">
        <f>scenario_indirect_prod_4506_iotable_2020_xlsx_3[[#This Row],[2031]]+scenario_indirect_prod_1610_iotable_2020_xlsx_3[[#This Row],[2031]]</f>
        <v>3.9664341159784544</v>
      </c>
      <c r="I343">
        <f>scenario_indirect_prod_4506_iotable_2020_xlsx_3[[#This Row],[2032]]+scenario_indirect_prod_1610_iotable_2020_xlsx_3[[#This Row],[2032]]</f>
        <v>4.2023179532208239</v>
      </c>
      <c r="J343">
        <f>scenario_indirect_prod_4506_iotable_2020_xlsx_3[[#This Row],[2033]]+scenario_indirect_prod_1610_iotable_2020_xlsx_3[[#This Row],[2033]]</f>
        <v>4.9286592087019336</v>
      </c>
      <c r="K343">
        <f>scenario_indirect_prod_4506_iotable_2020_xlsx_3[[#This Row],[2034]]+scenario_indirect_prod_1610_iotable_2020_xlsx_3[[#This Row],[2034]]</f>
        <v>5.1481614177994111</v>
      </c>
      <c r="L343">
        <f>scenario_indirect_prod_4506_iotable_2020_xlsx_3[[#This Row],[2035]]+scenario_indirect_prod_1610_iotable_2020_xlsx_3[[#This Row],[2035]]</f>
        <v>6.147104705055912</v>
      </c>
      <c r="M343">
        <f>scenario_indirect_prod_4506_iotable_2020_xlsx_3[[#This Row],[2036]]+scenario_indirect_prod_1610_iotable_2020_xlsx_3[[#This Row],[2036]]</f>
        <v>6.6402196319527818</v>
      </c>
      <c r="N343">
        <f>scenario_indirect_prod_4506_iotable_2020_xlsx_3[[#This Row],[2037]]+scenario_indirect_prod_1610_iotable_2020_xlsx_3[[#This Row],[2037]]</f>
        <v>7.0801726192565715</v>
      </c>
      <c r="O343">
        <f>scenario_indirect_prod_4506_iotable_2020_xlsx_3[[#This Row],[2038]]+scenario_indirect_prod_1610_iotable_2020_xlsx_3[[#This Row],[2038]]</f>
        <v>7.0801726192565715</v>
      </c>
      <c r="P343">
        <f>scenario_indirect_prod_4506_iotable_2020_xlsx_3[[#This Row],[2039]]+scenario_indirect_prod_1610_iotable_2020_xlsx_3[[#This Row],[2039]]</f>
        <v>7.0801726192565715</v>
      </c>
      <c r="Q343">
        <f>scenario_indirect_prod_4506_iotable_2020_xlsx_3[[#This Row],[2040]]+scenario_indirect_prod_1610_iotable_2020_xlsx_3[[#This Row],[2040]]</f>
        <v>7.4648909972001531</v>
      </c>
      <c r="R343">
        <f>scenario_indirect_prod_4506_iotable_2020_xlsx_3[[#This Row],[2041]]+scenario_indirect_prod_1610_iotable_2020_xlsx_3[[#This Row],[2041]]</f>
        <v>7.4648909972001531</v>
      </c>
      <c r="S343">
        <f>scenario_indirect_prod_4506_iotable_2020_xlsx_3[[#This Row],[2042]]+scenario_indirect_prod_1610_iotable_2020_xlsx_3[[#This Row],[2042]]</f>
        <v>7.8943220356547128</v>
      </c>
      <c r="T343">
        <f>scenario_indirect_prod_4506_iotable_2020_xlsx_3[[#This Row],[2043]]+scenario_indirect_prod_1610_iotable_2020_xlsx_3[[#This Row],[2043]]</f>
        <v>7.8943220356547128</v>
      </c>
      <c r="U343">
        <f>scenario_indirect_prod_4506_iotable_2020_xlsx_3[[#This Row],[2044]]+scenario_indirect_prod_1610_iotable_2020_xlsx_3[[#This Row],[2044]]</f>
        <v>8.2881918035759359</v>
      </c>
      <c r="V343">
        <f>scenario_indirect_prod_4506_iotable_2020_xlsx_3[[#This Row],[2045]]+scenario_indirect_prod_1610_iotable_2020_xlsx_3[[#This Row],[2045]]</f>
        <v>8.2881918035759359</v>
      </c>
      <c r="W343">
        <f>scenario_indirect_prod_4506_iotable_2020_xlsx_3[[#This Row],[2046]]+scenario_indirect_prod_1610_iotable_2020_xlsx_3[[#This Row],[2046]]</f>
        <v>8.6281678503486674</v>
      </c>
      <c r="X343">
        <f>scenario_indirect_prod_4506_iotable_2020_xlsx_3[[#This Row],[2047]]+scenario_indirect_prod_1610_iotable_2020_xlsx_3[[#This Row],[2047]]</f>
        <v>8.6281678503486674</v>
      </c>
      <c r="Y343">
        <f>scenario_indirect_prod_4506_iotable_2020_xlsx_3[[#This Row],[2048]]+scenario_indirect_prod_1610_iotable_2020_xlsx_3[[#This Row],[2048]]</f>
        <v>8.6281678503486674</v>
      </c>
      <c r="Z343">
        <f>scenario_indirect_prod_4506_iotable_2020_xlsx_3[[#This Row],[2049]]+scenario_indirect_prod_1610_iotable_2020_xlsx_3[[#This Row],[2049]]</f>
        <v>8.6281678503486674</v>
      </c>
      <c r="AA343">
        <f>scenario_indirect_prod_4506_iotable_2020_xlsx_3[[#This Row],[2050]]+scenario_indirect_prod_1610_iotable_2020_xlsx_3[[#This Row],[2050]]</f>
        <v>8.6281678503486674</v>
      </c>
    </row>
    <row r="344" spans="1:27" x14ac:dyDescent="0.2">
      <c r="A344" t="s">
        <v>968</v>
      </c>
      <c r="B344" t="s">
        <v>969</v>
      </c>
      <c r="C344">
        <f>scenario_indirect_prod_4506_iotable_2020_xlsx_3[[#This Row],[2026]]+scenario_indirect_prod_1610_iotable_2020_xlsx_3[[#This Row],[2026]]</f>
        <v>0</v>
      </c>
      <c r="D344">
        <f>scenario_indirect_prod_4506_iotable_2020_xlsx_3[[#This Row],[2027]]+scenario_indirect_prod_1610_iotable_2020_xlsx_3[[#This Row],[2027]]</f>
        <v>0</v>
      </c>
      <c r="E344">
        <f>scenario_indirect_prod_4506_iotable_2020_xlsx_3[[#This Row],[2028]]+scenario_indirect_prod_1610_iotable_2020_xlsx_3[[#This Row],[2028]]</f>
        <v>0</v>
      </c>
      <c r="F344">
        <f>scenario_indirect_prod_4506_iotable_2020_xlsx_3[[#This Row],[2029]]+scenario_indirect_prod_1610_iotable_2020_xlsx_3[[#This Row],[2029]]</f>
        <v>0</v>
      </c>
      <c r="G344">
        <f>scenario_indirect_prod_4506_iotable_2020_xlsx_3[[#This Row],[2030]]+scenario_indirect_prod_1610_iotable_2020_xlsx_3[[#This Row],[2030]]</f>
        <v>0</v>
      </c>
      <c r="H344">
        <f>scenario_indirect_prod_4506_iotable_2020_xlsx_3[[#This Row],[2031]]+scenario_indirect_prod_1610_iotable_2020_xlsx_3[[#This Row],[2031]]</f>
        <v>0</v>
      </c>
      <c r="I344">
        <f>scenario_indirect_prod_4506_iotable_2020_xlsx_3[[#This Row],[2032]]+scenario_indirect_prod_1610_iotable_2020_xlsx_3[[#This Row],[2032]]</f>
        <v>0</v>
      </c>
      <c r="J344">
        <f>scenario_indirect_prod_4506_iotable_2020_xlsx_3[[#This Row],[2033]]+scenario_indirect_prod_1610_iotable_2020_xlsx_3[[#This Row],[2033]]</f>
        <v>0</v>
      </c>
      <c r="K344">
        <f>scenario_indirect_prod_4506_iotable_2020_xlsx_3[[#This Row],[2034]]+scenario_indirect_prod_1610_iotable_2020_xlsx_3[[#This Row],[2034]]</f>
        <v>0</v>
      </c>
      <c r="L344">
        <f>scenario_indirect_prod_4506_iotable_2020_xlsx_3[[#This Row],[2035]]+scenario_indirect_prod_1610_iotable_2020_xlsx_3[[#This Row],[2035]]</f>
        <v>0</v>
      </c>
      <c r="M344">
        <f>scenario_indirect_prod_4506_iotable_2020_xlsx_3[[#This Row],[2036]]+scenario_indirect_prod_1610_iotable_2020_xlsx_3[[#This Row],[2036]]</f>
        <v>0</v>
      </c>
      <c r="N344">
        <f>scenario_indirect_prod_4506_iotable_2020_xlsx_3[[#This Row],[2037]]+scenario_indirect_prod_1610_iotable_2020_xlsx_3[[#This Row],[2037]]</f>
        <v>0</v>
      </c>
      <c r="O344">
        <f>scenario_indirect_prod_4506_iotable_2020_xlsx_3[[#This Row],[2038]]+scenario_indirect_prod_1610_iotable_2020_xlsx_3[[#This Row],[2038]]</f>
        <v>0</v>
      </c>
      <c r="P344">
        <f>scenario_indirect_prod_4506_iotable_2020_xlsx_3[[#This Row],[2039]]+scenario_indirect_prod_1610_iotable_2020_xlsx_3[[#This Row],[2039]]</f>
        <v>0</v>
      </c>
      <c r="Q344">
        <f>scenario_indirect_prod_4506_iotable_2020_xlsx_3[[#This Row],[2040]]+scenario_indirect_prod_1610_iotable_2020_xlsx_3[[#This Row],[2040]]</f>
        <v>0</v>
      </c>
      <c r="R344">
        <f>scenario_indirect_prod_4506_iotable_2020_xlsx_3[[#This Row],[2041]]+scenario_indirect_prod_1610_iotable_2020_xlsx_3[[#This Row],[2041]]</f>
        <v>0</v>
      </c>
      <c r="S344">
        <f>scenario_indirect_prod_4506_iotable_2020_xlsx_3[[#This Row],[2042]]+scenario_indirect_prod_1610_iotable_2020_xlsx_3[[#This Row],[2042]]</f>
        <v>0</v>
      </c>
      <c r="T344">
        <f>scenario_indirect_prod_4506_iotable_2020_xlsx_3[[#This Row],[2043]]+scenario_indirect_prod_1610_iotable_2020_xlsx_3[[#This Row],[2043]]</f>
        <v>0</v>
      </c>
      <c r="U344">
        <f>scenario_indirect_prod_4506_iotable_2020_xlsx_3[[#This Row],[2044]]+scenario_indirect_prod_1610_iotable_2020_xlsx_3[[#This Row],[2044]]</f>
        <v>0</v>
      </c>
      <c r="V344">
        <f>scenario_indirect_prod_4506_iotable_2020_xlsx_3[[#This Row],[2045]]+scenario_indirect_prod_1610_iotable_2020_xlsx_3[[#This Row],[2045]]</f>
        <v>0</v>
      </c>
      <c r="W344">
        <f>scenario_indirect_prod_4506_iotable_2020_xlsx_3[[#This Row],[2046]]+scenario_indirect_prod_1610_iotable_2020_xlsx_3[[#This Row],[2046]]</f>
        <v>0</v>
      </c>
      <c r="X344">
        <f>scenario_indirect_prod_4506_iotable_2020_xlsx_3[[#This Row],[2047]]+scenario_indirect_prod_1610_iotable_2020_xlsx_3[[#This Row],[2047]]</f>
        <v>0</v>
      </c>
      <c r="Y344">
        <f>scenario_indirect_prod_4506_iotable_2020_xlsx_3[[#This Row],[2048]]+scenario_indirect_prod_1610_iotable_2020_xlsx_3[[#This Row],[2048]]</f>
        <v>0</v>
      </c>
      <c r="Z344">
        <f>scenario_indirect_prod_4506_iotable_2020_xlsx_3[[#This Row],[2049]]+scenario_indirect_prod_1610_iotable_2020_xlsx_3[[#This Row],[2049]]</f>
        <v>0</v>
      </c>
      <c r="AA344">
        <f>scenario_indirect_prod_4506_iotable_2020_xlsx_3[[#This Row],[2050]]+scenario_indirect_prod_1610_iotable_2020_xlsx_3[[#This Row],[2050]]</f>
        <v>0</v>
      </c>
    </row>
    <row r="345" spans="1:27" x14ac:dyDescent="0.2">
      <c r="A345" t="s">
        <v>372</v>
      </c>
      <c r="B345" t="s">
        <v>373</v>
      </c>
      <c r="C345">
        <f>scenario_indirect_prod_4506_iotable_2020_xlsx_3[[#This Row],[2026]]+scenario_indirect_prod_1610_iotable_2020_xlsx_3[[#This Row],[2026]]</f>
        <v>81459.430595690792</v>
      </c>
      <c r="D345">
        <f>scenario_indirect_prod_4506_iotable_2020_xlsx_3[[#This Row],[2027]]+scenario_indirect_prod_1610_iotable_2020_xlsx_3[[#This Row],[2027]]</f>
        <v>73825.767104627099</v>
      </c>
      <c r="E345">
        <f>scenario_indirect_prod_4506_iotable_2020_xlsx_3[[#This Row],[2028]]+scenario_indirect_prod_1610_iotable_2020_xlsx_3[[#This Row],[2028]]</f>
        <v>78277.664063919612</v>
      </c>
      <c r="F345">
        <f>scenario_indirect_prod_4506_iotable_2020_xlsx_3[[#This Row],[2029]]+scenario_indirect_prod_1610_iotable_2020_xlsx_3[[#This Row],[2029]]</f>
        <v>78393.319496042008</v>
      </c>
      <c r="G345">
        <f>scenario_indirect_prod_4506_iotable_2020_xlsx_3[[#This Row],[2030]]+scenario_indirect_prod_1610_iotable_2020_xlsx_3[[#This Row],[2030]]</f>
        <v>48448.162049496997</v>
      </c>
      <c r="H345">
        <f>scenario_indirect_prod_4506_iotable_2020_xlsx_3[[#This Row],[2031]]+scenario_indirect_prod_1610_iotable_2020_xlsx_3[[#This Row],[2031]]</f>
        <v>54454.659735537673</v>
      </c>
      <c r="I345">
        <f>scenario_indirect_prod_4506_iotable_2020_xlsx_3[[#This Row],[2032]]+scenario_indirect_prod_1610_iotable_2020_xlsx_3[[#This Row],[2032]]</f>
        <v>62843.268278037154</v>
      </c>
      <c r="J345">
        <f>scenario_indirect_prod_4506_iotable_2020_xlsx_3[[#This Row],[2033]]+scenario_indirect_prod_1610_iotable_2020_xlsx_3[[#This Row],[2033]]</f>
        <v>61380.639655126055</v>
      </c>
      <c r="K345">
        <f>scenario_indirect_prod_4506_iotable_2020_xlsx_3[[#This Row],[2034]]+scenario_indirect_prod_1610_iotable_2020_xlsx_3[[#This Row],[2034]]</f>
        <v>69186.67727033011</v>
      </c>
      <c r="L345">
        <f>scenario_indirect_prod_4506_iotable_2020_xlsx_3[[#This Row],[2035]]+scenario_indirect_prod_1610_iotable_2020_xlsx_3[[#This Row],[2035]]</f>
        <v>70161.736540571379</v>
      </c>
      <c r="M345">
        <f>scenario_indirect_prod_4506_iotable_2020_xlsx_3[[#This Row],[2036]]+scenario_indirect_prod_1610_iotable_2020_xlsx_3[[#This Row],[2036]]</f>
        <v>65020.294409832015</v>
      </c>
      <c r="N345">
        <f>scenario_indirect_prod_4506_iotable_2020_xlsx_3[[#This Row],[2037]]+scenario_indirect_prod_1610_iotable_2020_xlsx_3[[#This Row],[2037]]</f>
        <v>60841.021474722278</v>
      </c>
      <c r="O345">
        <f>scenario_indirect_prod_4506_iotable_2020_xlsx_3[[#This Row],[2038]]+scenario_indirect_prod_1610_iotable_2020_xlsx_3[[#This Row],[2038]]</f>
        <v>60841.021474722278</v>
      </c>
      <c r="P345">
        <f>scenario_indirect_prod_4506_iotable_2020_xlsx_3[[#This Row],[2039]]+scenario_indirect_prod_1610_iotable_2020_xlsx_3[[#This Row],[2039]]</f>
        <v>60841.021474722278</v>
      </c>
      <c r="Q345">
        <f>scenario_indirect_prod_4506_iotable_2020_xlsx_3[[#This Row],[2040]]+scenario_indirect_prod_1610_iotable_2020_xlsx_3[[#This Row],[2040]]</f>
        <v>57117.976269098377</v>
      </c>
      <c r="R345">
        <f>scenario_indirect_prod_4506_iotable_2020_xlsx_3[[#This Row],[2041]]+scenario_indirect_prod_1610_iotable_2020_xlsx_3[[#This Row],[2041]]</f>
        <v>57117.976269098377</v>
      </c>
      <c r="S345">
        <f>scenario_indirect_prod_4506_iotable_2020_xlsx_3[[#This Row],[2042]]+scenario_indirect_prod_1610_iotable_2020_xlsx_3[[#This Row],[2042]]</f>
        <v>53179.247904655291</v>
      </c>
      <c r="T345">
        <f>scenario_indirect_prod_4506_iotable_2020_xlsx_3[[#This Row],[2043]]+scenario_indirect_prod_1610_iotable_2020_xlsx_3[[#This Row],[2043]]</f>
        <v>53179.247904655291</v>
      </c>
      <c r="U345">
        <f>scenario_indirect_prod_4506_iotable_2020_xlsx_3[[#This Row],[2044]]+scenario_indirect_prod_1610_iotable_2020_xlsx_3[[#This Row],[2044]]</f>
        <v>48917.178576608945</v>
      </c>
      <c r="V345">
        <f>scenario_indirect_prod_4506_iotable_2020_xlsx_3[[#This Row],[2045]]+scenario_indirect_prod_1610_iotable_2020_xlsx_3[[#This Row],[2045]]</f>
        <v>48917.178576608945</v>
      </c>
      <c r="W345">
        <f>scenario_indirect_prod_4506_iotable_2020_xlsx_3[[#This Row],[2046]]+scenario_indirect_prod_1610_iotable_2020_xlsx_3[[#This Row],[2046]]</f>
        <v>45451.981819153298</v>
      </c>
      <c r="X345">
        <f>scenario_indirect_prod_4506_iotable_2020_xlsx_3[[#This Row],[2047]]+scenario_indirect_prod_1610_iotable_2020_xlsx_3[[#This Row],[2047]]</f>
        <v>45451.981819153298</v>
      </c>
      <c r="Y345">
        <f>scenario_indirect_prod_4506_iotable_2020_xlsx_3[[#This Row],[2048]]+scenario_indirect_prod_1610_iotable_2020_xlsx_3[[#This Row],[2048]]</f>
        <v>45451.981819153298</v>
      </c>
      <c r="Z345">
        <f>scenario_indirect_prod_4506_iotable_2020_xlsx_3[[#This Row],[2049]]+scenario_indirect_prod_1610_iotable_2020_xlsx_3[[#This Row],[2049]]</f>
        <v>45451.981819153298</v>
      </c>
      <c r="AA345">
        <f>scenario_indirect_prod_4506_iotable_2020_xlsx_3[[#This Row],[2050]]+scenario_indirect_prod_1610_iotable_2020_xlsx_3[[#This Row],[2050]]</f>
        <v>45451.981819153298</v>
      </c>
    </row>
    <row r="346" spans="1:27" x14ac:dyDescent="0.2">
      <c r="A346" t="s">
        <v>343</v>
      </c>
      <c r="B346" t="s">
        <v>344</v>
      </c>
      <c r="C346">
        <f>scenario_indirect_prod_4506_iotable_2020_xlsx_3[[#This Row],[2026]]+scenario_indirect_prod_1610_iotable_2020_xlsx_3[[#This Row],[2026]]</f>
        <v>190363.21182639222</v>
      </c>
      <c r="D346">
        <f>scenario_indirect_prod_4506_iotable_2020_xlsx_3[[#This Row],[2027]]+scenario_indirect_prod_1610_iotable_2020_xlsx_3[[#This Row],[2027]]</f>
        <v>186675.77830913779</v>
      </c>
      <c r="E346">
        <f>scenario_indirect_prod_4506_iotable_2020_xlsx_3[[#This Row],[2028]]+scenario_indirect_prod_1610_iotable_2020_xlsx_3[[#This Row],[2028]]</f>
        <v>196238.32814901409</v>
      </c>
      <c r="F346">
        <f>scenario_indirect_prod_4506_iotable_2020_xlsx_3[[#This Row],[2029]]+scenario_indirect_prod_1610_iotable_2020_xlsx_3[[#This Row],[2029]]</f>
        <v>201570.53793574823</v>
      </c>
      <c r="G346">
        <f>scenario_indirect_prod_4506_iotable_2020_xlsx_3[[#This Row],[2030]]+scenario_indirect_prod_1610_iotable_2020_xlsx_3[[#This Row],[2030]]</f>
        <v>180341.1175819003</v>
      </c>
      <c r="H346">
        <f>scenario_indirect_prod_4506_iotable_2020_xlsx_3[[#This Row],[2031]]+scenario_indirect_prod_1610_iotable_2020_xlsx_3[[#This Row],[2031]]</f>
        <v>193242.90619270265</v>
      </c>
      <c r="I346">
        <f>scenario_indirect_prod_4506_iotable_2020_xlsx_3[[#This Row],[2032]]+scenario_indirect_prod_1610_iotable_2020_xlsx_3[[#This Row],[2032]]</f>
        <v>211261.40213013132</v>
      </c>
      <c r="J346">
        <f>scenario_indirect_prod_4506_iotable_2020_xlsx_3[[#This Row],[2033]]+scenario_indirect_prod_1610_iotable_2020_xlsx_3[[#This Row],[2033]]</f>
        <v>232158.61664272286</v>
      </c>
      <c r="K346">
        <f>scenario_indirect_prod_4506_iotable_2020_xlsx_3[[#This Row],[2034]]+scenario_indirect_prod_1610_iotable_2020_xlsx_3[[#This Row],[2034]]</f>
        <v>248925.76656328171</v>
      </c>
      <c r="L346">
        <f>scenario_indirect_prod_4506_iotable_2020_xlsx_3[[#This Row],[2035]]+scenario_indirect_prod_1610_iotable_2020_xlsx_3[[#This Row],[2035]]</f>
        <v>281450.54521282669</v>
      </c>
      <c r="M346">
        <f>scenario_indirect_prod_4506_iotable_2020_xlsx_3[[#This Row],[2036]]+scenario_indirect_prod_1610_iotable_2020_xlsx_3[[#This Row],[2036]]</f>
        <v>290380.77322255482</v>
      </c>
      <c r="N346">
        <f>scenario_indirect_prod_4506_iotable_2020_xlsx_3[[#This Row],[2037]]+scenario_indirect_prod_1610_iotable_2020_xlsx_3[[#This Row],[2037]]</f>
        <v>298865.11262562865</v>
      </c>
      <c r="O346">
        <f>scenario_indirect_prod_4506_iotable_2020_xlsx_3[[#This Row],[2038]]+scenario_indirect_prod_1610_iotable_2020_xlsx_3[[#This Row],[2038]]</f>
        <v>298865.11262562865</v>
      </c>
      <c r="P346">
        <f>scenario_indirect_prod_4506_iotable_2020_xlsx_3[[#This Row],[2039]]+scenario_indirect_prod_1610_iotable_2020_xlsx_3[[#This Row],[2039]]</f>
        <v>298865.11262562865</v>
      </c>
      <c r="Q346">
        <f>scenario_indirect_prod_4506_iotable_2020_xlsx_3[[#This Row],[2040]]+scenario_indirect_prod_1610_iotable_2020_xlsx_3[[#This Row],[2040]]</f>
        <v>306197.51172929618</v>
      </c>
      <c r="R346">
        <f>scenario_indirect_prod_4506_iotable_2020_xlsx_3[[#This Row],[2041]]+scenario_indirect_prod_1610_iotable_2020_xlsx_3[[#This Row],[2041]]</f>
        <v>306197.51172929618</v>
      </c>
      <c r="S346">
        <f>scenario_indirect_prod_4506_iotable_2020_xlsx_3[[#This Row],[2042]]+scenario_indirect_prod_1610_iotable_2020_xlsx_3[[#This Row],[2042]]</f>
        <v>314657.09871659544</v>
      </c>
      <c r="T346">
        <f>scenario_indirect_prod_4506_iotable_2020_xlsx_3[[#This Row],[2043]]+scenario_indirect_prod_1610_iotable_2020_xlsx_3[[#This Row],[2043]]</f>
        <v>314657.09871659544</v>
      </c>
      <c r="U346">
        <f>scenario_indirect_prod_4506_iotable_2020_xlsx_3[[#This Row],[2044]]+scenario_indirect_prod_1610_iotable_2020_xlsx_3[[#This Row],[2044]]</f>
        <v>321593.08678444731</v>
      </c>
      <c r="V346">
        <f>scenario_indirect_prod_4506_iotable_2020_xlsx_3[[#This Row],[2045]]+scenario_indirect_prod_1610_iotable_2020_xlsx_3[[#This Row],[2045]]</f>
        <v>321593.08678444731</v>
      </c>
      <c r="W346">
        <f>scenario_indirect_prod_4506_iotable_2020_xlsx_3[[#This Row],[2046]]+scenario_indirect_prod_1610_iotable_2020_xlsx_3[[#This Row],[2046]]</f>
        <v>327850.80066708924</v>
      </c>
      <c r="X346">
        <f>scenario_indirect_prod_4506_iotable_2020_xlsx_3[[#This Row],[2047]]+scenario_indirect_prod_1610_iotable_2020_xlsx_3[[#This Row],[2047]]</f>
        <v>327850.80066708924</v>
      </c>
      <c r="Y346">
        <f>scenario_indirect_prod_4506_iotable_2020_xlsx_3[[#This Row],[2048]]+scenario_indirect_prod_1610_iotable_2020_xlsx_3[[#This Row],[2048]]</f>
        <v>327850.80066708924</v>
      </c>
      <c r="Z346">
        <f>scenario_indirect_prod_4506_iotable_2020_xlsx_3[[#This Row],[2049]]+scenario_indirect_prod_1610_iotable_2020_xlsx_3[[#This Row],[2049]]</f>
        <v>327850.80066708924</v>
      </c>
      <c r="AA346">
        <f>scenario_indirect_prod_4506_iotable_2020_xlsx_3[[#This Row],[2050]]+scenario_indirect_prod_1610_iotable_2020_xlsx_3[[#This Row],[2050]]</f>
        <v>327850.80066708924</v>
      </c>
    </row>
    <row r="347" spans="1:27" x14ac:dyDescent="0.2">
      <c r="A347" t="s">
        <v>427</v>
      </c>
      <c r="B347" t="s">
        <v>89</v>
      </c>
      <c r="C347">
        <f>scenario_indirect_prod_4506_iotable_2020_xlsx_3[[#This Row],[2026]]+scenario_indirect_prod_1610_iotable_2020_xlsx_3[[#This Row],[2026]]</f>
        <v>33682.195297179169</v>
      </c>
      <c r="D347">
        <f>scenario_indirect_prod_4506_iotable_2020_xlsx_3[[#This Row],[2027]]+scenario_indirect_prod_1610_iotable_2020_xlsx_3[[#This Row],[2027]]</f>
        <v>34860.635611381382</v>
      </c>
      <c r="E347">
        <f>scenario_indirect_prod_4506_iotable_2020_xlsx_3[[#This Row],[2028]]+scenario_indirect_prod_1610_iotable_2020_xlsx_3[[#This Row],[2028]]</f>
        <v>36443.778899428682</v>
      </c>
      <c r="F347">
        <f>scenario_indirect_prod_4506_iotable_2020_xlsx_3[[#This Row],[2029]]+scenario_indirect_prod_1610_iotable_2020_xlsx_3[[#This Row],[2029]]</f>
        <v>38042.129237654859</v>
      </c>
      <c r="G347">
        <f>scenario_indirect_prod_4506_iotable_2020_xlsx_3[[#This Row],[2030]]+scenario_indirect_prod_1610_iotable_2020_xlsx_3[[#This Row],[2030]]</f>
        <v>40592.860909257361</v>
      </c>
      <c r="H347">
        <f>scenario_indirect_prod_4506_iotable_2020_xlsx_3[[#This Row],[2031]]+scenario_indirect_prod_1610_iotable_2020_xlsx_3[[#This Row],[2031]]</f>
        <v>42728.837231997357</v>
      </c>
      <c r="I347">
        <f>scenario_indirect_prod_4506_iotable_2020_xlsx_3[[#This Row],[2032]]+scenario_indirect_prod_1610_iotable_2020_xlsx_3[[#This Row],[2032]]</f>
        <v>45711.918249268878</v>
      </c>
      <c r="J347">
        <f>scenario_indirect_prod_4506_iotable_2020_xlsx_3[[#This Row],[2033]]+scenario_indirect_prod_1610_iotable_2020_xlsx_3[[#This Row],[2033]]</f>
        <v>52555.183624534409</v>
      </c>
      <c r="K347">
        <f>scenario_indirect_prod_4506_iotable_2020_xlsx_3[[#This Row],[2034]]+scenario_indirect_prod_1610_iotable_2020_xlsx_3[[#This Row],[2034]]</f>
        <v>55331.096043387639</v>
      </c>
      <c r="L347">
        <f>scenario_indirect_prod_4506_iotable_2020_xlsx_3[[#This Row],[2035]]+scenario_indirect_prod_1610_iotable_2020_xlsx_3[[#This Row],[2035]]</f>
        <v>64999.013581673164</v>
      </c>
      <c r="M347">
        <f>scenario_indirect_prod_4506_iotable_2020_xlsx_3[[#This Row],[2036]]+scenario_indirect_prod_1610_iotable_2020_xlsx_3[[#This Row],[2036]]</f>
        <v>69288.896784180484</v>
      </c>
      <c r="N347">
        <f>scenario_indirect_prod_4506_iotable_2020_xlsx_3[[#This Row],[2037]]+scenario_indirect_prod_1610_iotable_2020_xlsx_3[[#This Row],[2037]]</f>
        <v>73151.299214409577</v>
      </c>
      <c r="O347">
        <f>scenario_indirect_prod_4506_iotable_2020_xlsx_3[[#This Row],[2038]]+scenario_indirect_prod_1610_iotable_2020_xlsx_3[[#This Row],[2038]]</f>
        <v>73151.299214409577</v>
      </c>
      <c r="P347">
        <f>scenario_indirect_prod_4506_iotable_2020_xlsx_3[[#This Row],[2039]]+scenario_indirect_prod_1610_iotable_2020_xlsx_3[[#This Row],[2039]]</f>
        <v>73151.299214409577</v>
      </c>
      <c r="Q347">
        <f>scenario_indirect_prod_4506_iotable_2020_xlsx_3[[#This Row],[2040]]+scenario_indirect_prod_1610_iotable_2020_xlsx_3[[#This Row],[2040]]</f>
        <v>76522.914242068873</v>
      </c>
      <c r="R347">
        <f>scenario_indirect_prod_4506_iotable_2020_xlsx_3[[#This Row],[2041]]+scenario_indirect_prod_1610_iotable_2020_xlsx_3[[#This Row],[2041]]</f>
        <v>76522.914242068873</v>
      </c>
      <c r="S347">
        <f>scenario_indirect_prod_4506_iotable_2020_xlsx_3[[#This Row],[2042]]+scenario_indirect_prod_1610_iotable_2020_xlsx_3[[#This Row],[2042]]</f>
        <v>80305.009047194646</v>
      </c>
      <c r="T347">
        <f>scenario_indirect_prod_4506_iotable_2020_xlsx_3[[#This Row],[2043]]+scenario_indirect_prod_1610_iotable_2020_xlsx_3[[#This Row],[2043]]</f>
        <v>80305.009047194646</v>
      </c>
      <c r="U347">
        <f>scenario_indirect_prod_4506_iotable_2020_xlsx_3[[#This Row],[2044]]+scenario_indirect_prod_1610_iotable_2020_xlsx_3[[#This Row],[2044]]</f>
        <v>83718.166079118586</v>
      </c>
      <c r="V347">
        <f>scenario_indirect_prod_4506_iotable_2020_xlsx_3[[#This Row],[2045]]+scenario_indirect_prod_1610_iotable_2020_xlsx_3[[#This Row],[2045]]</f>
        <v>83718.166079118586</v>
      </c>
      <c r="W347">
        <f>scenario_indirect_prod_4506_iotable_2020_xlsx_3[[#This Row],[2046]]+scenario_indirect_prod_1610_iotable_2020_xlsx_3[[#This Row],[2046]]</f>
        <v>86682.635346571158</v>
      </c>
      <c r="X347">
        <f>scenario_indirect_prod_4506_iotable_2020_xlsx_3[[#This Row],[2047]]+scenario_indirect_prod_1610_iotable_2020_xlsx_3[[#This Row],[2047]]</f>
        <v>86682.635346571158</v>
      </c>
      <c r="Y347">
        <f>scenario_indirect_prod_4506_iotable_2020_xlsx_3[[#This Row],[2048]]+scenario_indirect_prod_1610_iotable_2020_xlsx_3[[#This Row],[2048]]</f>
        <v>86682.635346571158</v>
      </c>
      <c r="Z347">
        <f>scenario_indirect_prod_4506_iotable_2020_xlsx_3[[#This Row],[2049]]+scenario_indirect_prod_1610_iotable_2020_xlsx_3[[#This Row],[2049]]</f>
        <v>86682.635346571158</v>
      </c>
      <c r="AA347">
        <f>scenario_indirect_prod_4506_iotable_2020_xlsx_3[[#This Row],[2050]]+scenario_indirect_prod_1610_iotable_2020_xlsx_3[[#This Row],[2050]]</f>
        <v>86682.635346571158</v>
      </c>
    </row>
    <row r="348" spans="1:27" x14ac:dyDescent="0.2">
      <c r="A348" t="s">
        <v>730</v>
      </c>
      <c r="B348" t="s">
        <v>209</v>
      </c>
      <c r="C348">
        <f>scenario_indirect_prod_4506_iotable_2020_xlsx_3[[#This Row],[2026]]+scenario_indirect_prod_1610_iotable_2020_xlsx_3[[#This Row],[2026]]</f>
        <v>2335.7623163935646</v>
      </c>
      <c r="D348">
        <f>scenario_indirect_prod_4506_iotable_2020_xlsx_3[[#This Row],[2027]]+scenario_indirect_prod_1610_iotable_2020_xlsx_3[[#This Row],[2027]]</f>
        <v>2294.6431089014782</v>
      </c>
      <c r="E348">
        <f>scenario_indirect_prod_4506_iotable_2020_xlsx_3[[#This Row],[2028]]+scenario_indirect_prod_1610_iotable_2020_xlsx_3[[#This Row],[2028]]</f>
        <v>2411.7306657006848</v>
      </c>
      <c r="F348">
        <f>scenario_indirect_prod_4506_iotable_2020_xlsx_3[[#This Row],[2029]]+scenario_indirect_prod_1610_iotable_2020_xlsx_3[[#This Row],[2029]]</f>
        <v>2478.6327653176459</v>
      </c>
      <c r="G348">
        <f>scenario_indirect_prod_4506_iotable_2020_xlsx_3[[#This Row],[2030]]+scenario_indirect_prod_1610_iotable_2020_xlsx_3[[#This Row],[2030]]</f>
        <v>2232.3593246386972</v>
      </c>
      <c r="H348">
        <f>scenario_indirect_prod_4506_iotable_2020_xlsx_3[[#This Row],[2031]]+scenario_indirect_prod_1610_iotable_2020_xlsx_3[[#This Row],[2031]]</f>
        <v>2390.3338117863877</v>
      </c>
      <c r="I348">
        <f>scenario_indirect_prod_4506_iotable_2020_xlsx_3[[#This Row],[2032]]+scenario_indirect_prod_1610_iotable_2020_xlsx_3[[#This Row],[2032]]</f>
        <v>2610.9592413880446</v>
      </c>
      <c r="J348">
        <f>scenario_indirect_prod_4506_iotable_2020_xlsx_3[[#This Row],[2033]]+scenario_indirect_prod_1610_iotable_2020_xlsx_3[[#This Row],[2033]]</f>
        <v>2874.4574096572342</v>
      </c>
      <c r="K348">
        <f>scenario_indirect_prod_4506_iotable_2020_xlsx_3[[#This Row],[2034]]+scenario_indirect_prod_1610_iotable_2020_xlsx_3[[#This Row],[2034]]</f>
        <v>3079.7608749001056</v>
      </c>
      <c r="L348">
        <f>scenario_indirect_prod_4506_iotable_2020_xlsx_3[[#This Row],[2035]]+scenario_indirect_prod_1610_iotable_2020_xlsx_3[[#This Row],[2035]]</f>
        <v>3487.6586659141567</v>
      </c>
      <c r="M348">
        <f>scenario_indirect_prod_4506_iotable_2020_xlsx_3[[#This Row],[2036]]+scenario_indirect_prod_1610_iotable_2020_xlsx_3[[#This Row],[2036]]</f>
        <v>3603.3390998549116</v>
      </c>
      <c r="N348">
        <f>scenario_indirect_prod_4506_iotable_2020_xlsx_3[[#This Row],[2037]]+scenario_indirect_prod_1610_iotable_2020_xlsx_3[[#This Row],[2037]]</f>
        <v>3712.7629610707377</v>
      </c>
      <c r="O348">
        <f>scenario_indirect_prod_4506_iotable_2020_xlsx_3[[#This Row],[2038]]+scenario_indirect_prod_1610_iotable_2020_xlsx_3[[#This Row],[2038]]</f>
        <v>3712.7629610707377</v>
      </c>
      <c r="P348">
        <f>scenario_indirect_prod_4506_iotable_2020_xlsx_3[[#This Row],[2039]]+scenario_indirect_prod_1610_iotable_2020_xlsx_3[[#This Row],[2039]]</f>
        <v>3712.7629610707377</v>
      </c>
      <c r="Q348">
        <f>scenario_indirect_prod_4506_iotable_2020_xlsx_3[[#This Row],[2040]]+scenario_indirect_prod_1610_iotable_2020_xlsx_3[[#This Row],[2040]]</f>
        <v>3807.4058279891933</v>
      </c>
      <c r="R348">
        <f>scenario_indirect_prod_4506_iotable_2020_xlsx_3[[#This Row],[2041]]+scenario_indirect_prod_1610_iotable_2020_xlsx_3[[#This Row],[2041]]</f>
        <v>3807.4058279891933</v>
      </c>
      <c r="S348">
        <f>scenario_indirect_prod_4506_iotable_2020_xlsx_3[[#This Row],[2042]]+scenario_indirect_prod_1610_iotable_2020_xlsx_3[[#This Row],[2042]]</f>
        <v>3916.3548799851642</v>
      </c>
      <c r="T348">
        <f>scenario_indirect_prod_4506_iotable_2020_xlsx_3[[#This Row],[2043]]+scenario_indirect_prod_1610_iotable_2020_xlsx_3[[#This Row],[2043]]</f>
        <v>3916.3548799851642</v>
      </c>
      <c r="U348">
        <f>scenario_indirect_prod_4506_iotable_2020_xlsx_3[[#This Row],[2044]]+scenario_indirect_prod_1610_iotable_2020_xlsx_3[[#This Row],[2044]]</f>
        <v>4006.3854350701249</v>
      </c>
      <c r="V348">
        <f>scenario_indirect_prod_4506_iotable_2020_xlsx_3[[#This Row],[2045]]+scenario_indirect_prod_1610_iotable_2020_xlsx_3[[#This Row],[2045]]</f>
        <v>4006.3854350701249</v>
      </c>
      <c r="W348">
        <f>scenario_indirect_prod_4506_iotable_2020_xlsx_3[[#This Row],[2046]]+scenario_indirect_prod_1610_iotable_2020_xlsx_3[[#This Row],[2046]]</f>
        <v>4087.3529057535079</v>
      </c>
      <c r="X348">
        <f>scenario_indirect_prod_4506_iotable_2020_xlsx_3[[#This Row],[2047]]+scenario_indirect_prod_1610_iotable_2020_xlsx_3[[#This Row],[2047]]</f>
        <v>4087.3529057535079</v>
      </c>
      <c r="Y348">
        <f>scenario_indirect_prod_4506_iotable_2020_xlsx_3[[#This Row],[2048]]+scenario_indirect_prod_1610_iotable_2020_xlsx_3[[#This Row],[2048]]</f>
        <v>4087.3529057535079</v>
      </c>
      <c r="Z348">
        <f>scenario_indirect_prod_4506_iotable_2020_xlsx_3[[#This Row],[2049]]+scenario_indirect_prod_1610_iotable_2020_xlsx_3[[#This Row],[2049]]</f>
        <v>4087.3529057535079</v>
      </c>
      <c r="AA348">
        <f>scenario_indirect_prod_4506_iotable_2020_xlsx_3[[#This Row],[2050]]+scenario_indirect_prod_1610_iotable_2020_xlsx_3[[#This Row],[2050]]</f>
        <v>4087.3529057535079</v>
      </c>
    </row>
    <row r="349" spans="1:27" x14ac:dyDescent="0.2">
      <c r="A349" t="s">
        <v>350</v>
      </c>
      <c r="B349" t="s">
        <v>351</v>
      </c>
      <c r="C349">
        <f>scenario_indirect_prod_4506_iotable_2020_xlsx_3[[#This Row],[2026]]+scenario_indirect_prod_1610_iotable_2020_xlsx_3[[#This Row],[2026]]</f>
        <v>173407.421653725</v>
      </c>
      <c r="D349">
        <f>scenario_indirect_prod_4506_iotable_2020_xlsx_3[[#This Row],[2027]]+scenario_indirect_prod_1610_iotable_2020_xlsx_3[[#This Row],[2027]]</f>
        <v>179473.71401910327</v>
      </c>
      <c r="E349">
        <f>scenario_indirect_prod_4506_iotable_2020_xlsx_3[[#This Row],[2028]]+scenario_indirect_prod_1610_iotable_2020_xlsx_3[[#This Row],[2028]]</f>
        <v>187624.31806163635</v>
      </c>
      <c r="F349">
        <f>scenario_indirect_prod_4506_iotable_2020_xlsx_3[[#This Row],[2029]]+scenario_indirect_prod_1610_iotable_2020_xlsx_3[[#This Row],[2029]]</f>
        <v>195852.9128373212</v>
      </c>
      <c r="G349">
        <f>scenario_indirect_prod_4506_iotable_2020_xlsx_3[[#This Row],[2030]]+scenario_indirect_prod_1610_iotable_2020_xlsx_3[[#This Row],[2030]]</f>
        <v>208982.46851997252</v>
      </c>
      <c r="H349">
        <f>scenario_indirect_prod_4506_iotable_2020_xlsx_3[[#This Row],[2031]]+scenario_indirect_prod_1610_iotable_2020_xlsx_3[[#This Row],[2031]]</f>
        <v>219979.26039744879</v>
      </c>
      <c r="I349">
        <f>scenario_indirect_prod_4506_iotable_2020_xlsx_3[[#This Row],[2032]]+scenario_indirect_prod_1610_iotable_2020_xlsx_3[[#This Row],[2032]]</f>
        <v>235337.25886931579</v>
      </c>
      <c r="J349">
        <f>scenario_indirect_prod_4506_iotable_2020_xlsx_3[[#This Row],[2033]]+scenario_indirect_prod_1610_iotable_2020_xlsx_3[[#This Row],[2033]]</f>
        <v>270567.48433854961</v>
      </c>
      <c r="K349">
        <f>scenario_indirect_prod_4506_iotable_2020_xlsx_3[[#This Row],[2034]]+scenario_indirect_prod_1610_iotable_2020_xlsx_3[[#This Row],[2034]]</f>
        <v>284858.90265402617</v>
      </c>
      <c r="L349">
        <f>scenario_indirect_prod_4506_iotable_2020_xlsx_3[[#This Row],[2035]]+scenario_indirect_prod_1610_iotable_2020_xlsx_3[[#This Row],[2035]]</f>
        <v>334631.0984534832</v>
      </c>
      <c r="M349">
        <f>scenario_indirect_prod_4506_iotable_2020_xlsx_3[[#This Row],[2036]]+scenario_indirect_prod_1610_iotable_2020_xlsx_3[[#This Row],[2036]]</f>
        <v>356715.81366126414</v>
      </c>
      <c r="N349">
        <f>scenario_indirect_prod_4506_iotable_2020_xlsx_3[[#This Row],[2037]]+scenario_indirect_prod_1610_iotable_2020_xlsx_3[[#This Row],[2037]]</f>
        <v>376599.84923956136</v>
      </c>
      <c r="O349">
        <f>scenario_indirect_prod_4506_iotable_2020_xlsx_3[[#This Row],[2038]]+scenario_indirect_prod_1610_iotable_2020_xlsx_3[[#This Row],[2038]]</f>
        <v>376599.84923956136</v>
      </c>
      <c r="P349">
        <f>scenario_indirect_prod_4506_iotable_2020_xlsx_3[[#This Row],[2039]]+scenario_indirect_prod_1610_iotable_2020_xlsx_3[[#This Row],[2039]]</f>
        <v>376599.84923956136</v>
      </c>
      <c r="Q349">
        <f>scenario_indirect_prod_4506_iotable_2020_xlsx_3[[#This Row],[2040]]+scenario_indirect_prod_1610_iotable_2020_xlsx_3[[#This Row],[2040]]</f>
        <v>393957.2568449328</v>
      </c>
      <c r="R349">
        <f>scenario_indirect_prod_4506_iotable_2020_xlsx_3[[#This Row],[2041]]+scenario_indirect_prod_1610_iotable_2020_xlsx_3[[#This Row],[2041]]</f>
        <v>393957.2568449328</v>
      </c>
      <c r="S349">
        <f>scenario_indirect_prod_4506_iotable_2020_xlsx_3[[#This Row],[2042]]+scenario_indirect_prod_1610_iotable_2020_xlsx_3[[#This Row],[2042]]</f>
        <v>413427.87125737185</v>
      </c>
      <c r="T349">
        <f>scenario_indirect_prod_4506_iotable_2020_xlsx_3[[#This Row],[2043]]+scenario_indirect_prod_1610_iotable_2020_xlsx_3[[#This Row],[2043]]</f>
        <v>413427.87125737185</v>
      </c>
      <c r="U349">
        <f>scenario_indirect_prod_4506_iotable_2020_xlsx_3[[#This Row],[2044]]+scenario_indirect_prod_1610_iotable_2020_xlsx_3[[#This Row],[2044]]</f>
        <v>430999.10733878775</v>
      </c>
      <c r="V349">
        <f>scenario_indirect_prod_4506_iotable_2020_xlsx_3[[#This Row],[2045]]+scenario_indirect_prod_1610_iotable_2020_xlsx_3[[#This Row],[2045]]</f>
        <v>430999.10733878775</v>
      </c>
      <c r="W349">
        <f>scenario_indirect_prod_4506_iotable_2020_xlsx_3[[#This Row],[2046]]+scenario_indirect_prod_1610_iotable_2020_xlsx_3[[#This Row],[2046]]</f>
        <v>446260.47513648495</v>
      </c>
      <c r="X349">
        <f>scenario_indirect_prod_4506_iotable_2020_xlsx_3[[#This Row],[2047]]+scenario_indirect_prod_1610_iotable_2020_xlsx_3[[#This Row],[2047]]</f>
        <v>446260.47513648495</v>
      </c>
      <c r="Y349">
        <f>scenario_indirect_prod_4506_iotable_2020_xlsx_3[[#This Row],[2048]]+scenario_indirect_prod_1610_iotable_2020_xlsx_3[[#This Row],[2048]]</f>
        <v>446260.47513648495</v>
      </c>
      <c r="Z349">
        <f>scenario_indirect_prod_4506_iotable_2020_xlsx_3[[#This Row],[2049]]+scenario_indirect_prod_1610_iotable_2020_xlsx_3[[#This Row],[2049]]</f>
        <v>446260.47513648495</v>
      </c>
      <c r="AA349">
        <f>scenario_indirect_prod_4506_iotable_2020_xlsx_3[[#This Row],[2050]]+scenario_indirect_prod_1610_iotable_2020_xlsx_3[[#This Row],[2050]]</f>
        <v>446260.47513648495</v>
      </c>
    </row>
    <row r="350" spans="1:27" x14ac:dyDescent="0.2">
      <c r="A350" t="s">
        <v>399</v>
      </c>
      <c r="B350" t="s">
        <v>400</v>
      </c>
      <c r="C350">
        <f>scenario_indirect_prod_4506_iotable_2020_xlsx_3[[#This Row],[2026]]+scenario_indirect_prod_1610_iotable_2020_xlsx_3[[#This Row],[2026]]</f>
        <v>21660.010732438219</v>
      </c>
      <c r="D350">
        <f>scenario_indirect_prod_4506_iotable_2020_xlsx_3[[#This Row],[2027]]+scenario_indirect_prod_1610_iotable_2020_xlsx_3[[#This Row],[2027]]</f>
        <v>-9189.9951121610356</v>
      </c>
      <c r="E350">
        <f>scenario_indirect_prod_4506_iotable_2020_xlsx_3[[#This Row],[2028]]+scenario_indirect_prod_1610_iotable_2020_xlsx_3[[#This Row],[2028]]</f>
        <v>-6293.2758260913834</v>
      </c>
      <c r="F350">
        <f>scenario_indirect_prod_4506_iotable_2020_xlsx_3[[#This Row],[2029]]+scenario_indirect_prod_1610_iotable_2020_xlsx_3[[#This Row],[2029]]</f>
        <v>-16571.2248762542</v>
      </c>
      <c r="G350">
        <f>scenario_indirect_prod_4506_iotable_2020_xlsx_3[[#This Row],[2030]]+scenario_indirect_prod_1610_iotable_2020_xlsx_3[[#This Row],[2030]]</f>
        <v>-123813.02486590143</v>
      </c>
      <c r="H350">
        <f>scenario_indirect_prod_4506_iotable_2020_xlsx_3[[#This Row],[2031]]+scenario_indirect_prod_1610_iotable_2020_xlsx_3[[#This Row],[2031]]</f>
        <v>-119904.77230570489</v>
      </c>
      <c r="I350">
        <f>scenario_indirect_prod_4506_iotable_2020_xlsx_3[[#This Row],[2032]]+scenario_indirect_prod_1610_iotable_2020_xlsx_3[[#This Row],[2032]]</f>
        <v>-114446.54980627663</v>
      </c>
      <c r="J350">
        <f>scenario_indirect_prod_4506_iotable_2020_xlsx_3[[#This Row],[2033]]+scenario_indirect_prod_1610_iotable_2020_xlsx_3[[#This Row],[2033]]</f>
        <v>-164353.80968967127</v>
      </c>
      <c r="K350">
        <f>scenario_indirect_prod_4506_iotable_2020_xlsx_3[[#This Row],[2034]]+scenario_indirect_prod_1610_iotable_2020_xlsx_3[[#This Row],[2034]]</f>
        <v>-159274.64907240935</v>
      </c>
      <c r="L350">
        <f>scenario_indirect_prod_4506_iotable_2020_xlsx_3[[#This Row],[2035]]+scenario_indirect_prod_1610_iotable_2020_xlsx_3[[#This Row],[2035]]</f>
        <v>-220612.11669055704</v>
      </c>
      <c r="M350">
        <f>scenario_indirect_prod_4506_iotable_2020_xlsx_3[[#This Row],[2036]]+scenario_indirect_prod_1610_iotable_2020_xlsx_3[[#This Row],[2036]]</f>
        <v>-264634.64481470513</v>
      </c>
      <c r="N350">
        <f>scenario_indirect_prod_4506_iotable_2020_xlsx_3[[#This Row],[2037]]+scenario_indirect_prod_1610_iotable_2020_xlsx_3[[#This Row],[2037]]</f>
        <v>-302914.16883225559</v>
      </c>
      <c r="O350">
        <f>scenario_indirect_prod_4506_iotable_2020_xlsx_3[[#This Row],[2038]]+scenario_indirect_prod_1610_iotable_2020_xlsx_3[[#This Row],[2038]]</f>
        <v>-302914.16883225559</v>
      </c>
      <c r="P350">
        <f>scenario_indirect_prod_4506_iotable_2020_xlsx_3[[#This Row],[2039]]+scenario_indirect_prod_1610_iotable_2020_xlsx_3[[#This Row],[2039]]</f>
        <v>-302914.16883225559</v>
      </c>
      <c r="Q350">
        <f>scenario_indirect_prod_4506_iotable_2020_xlsx_3[[#This Row],[2040]]+scenario_indirect_prod_1610_iotable_2020_xlsx_3[[#This Row],[2040]]</f>
        <v>-336555.18382734933</v>
      </c>
      <c r="R350">
        <f>scenario_indirect_prod_4506_iotable_2020_xlsx_3[[#This Row],[2041]]+scenario_indirect_prod_1610_iotable_2020_xlsx_3[[#This Row],[2041]]</f>
        <v>-336555.18382734933</v>
      </c>
      <c r="S350">
        <f>scenario_indirect_prod_4506_iotable_2020_xlsx_3[[#This Row],[2042]]+scenario_indirect_prod_1610_iotable_2020_xlsx_3[[#This Row],[2042]]</f>
        <v>-373575.55141005444</v>
      </c>
      <c r="T350">
        <f>scenario_indirect_prod_4506_iotable_2020_xlsx_3[[#This Row],[2043]]+scenario_indirect_prod_1610_iotable_2020_xlsx_3[[#This Row],[2043]]</f>
        <v>-373575.55141005444</v>
      </c>
      <c r="U350">
        <f>scenario_indirect_prod_4506_iotable_2020_xlsx_3[[#This Row],[2044]]+scenario_indirect_prod_1610_iotable_2020_xlsx_3[[#This Row],[2044]]</f>
        <v>-409117.89110871131</v>
      </c>
      <c r="V350">
        <f>scenario_indirect_prod_4506_iotable_2020_xlsx_3[[#This Row],[2045]]+scenario_indirect_prod_1610_iotable_2020_xlsx_3[[#This Row],[2045]]</f>
        <v>-409117.89110871131</v>
      </c>
      <c r="W350">
        <f>scenario_indirect_prod_4506_iotable_2020_xlsx_3[[#This Row],[2046]]+scenario_indirect_prod_1610_iotable_2020_xlsx_3[[#This Row],[2046]]</f>
        <v>-439274.59339292377</v>
      </c>
      <c r="X350">
        <f>scenario_indirect_prod_4506_iotable_2020_xlsx_3[[#This Row],[2047]]+scenario_indirect_prod_1610_iotable_2020_xlsx_3[[#This Row],[2047]]</f>
        <v>-439274.59339292377</v>
      </c>
      <c r="Y350">
        <f>scenario_indirect_prod_4506_iotable_2020_xlsx_3[[#This Row],[2048]]+scenario_indirect_prod_1610_iotable_2020_xlsx_3[[#This Row],[2048]]</f>
        <v>-439274.59339292377</v>
      </c>
      <c r="Z350">
        <f>scenario_indirect_prod_4506_iotable_2020_xlsx_3[[#This Row],[2049]]+scenario_indirect_prod_1610_iotable_2020_xlsx_3[[#This Row],[2049]]</f>
        <v>-439274.59339292377</v>
      </c>
      <c r="AA350">
        <f>scenario_indirect_prod_4506_iotable_2020_xlsx_3[[#This Row],[2050]]+scenario_indirect_prod_1610_iotable_2020_xlsx_3[[#This Row],[2050]]</f>
        <v>-439274.59339292377</v>
      </c>
    </row>
    <row r="351" spans="1:27" x14ac:dyDescent="0.2">
      <c r="A351" t="s">
        <v>430</v>
      </c>
      <c r="B351" t="s">
        <v>431</v>
      </c>
      <c r="C351">
        <f>scenario_indirect_prod_4506_iotable_2020_xlsx_3[[#This Row],[2026]]+scenario_indirect_prod_1610_iotable_2020_xlsx_3[[#This Row],[2026]]</f>
        <v>27498.44202029951</v>
      </c>
      <c r="D351">
        <f>scenario_indirect_prod_4506_iotable_2020_xlsx_3[[#This Row],[2027]]+scenario_indirect_prod_1610_iotable_2020_xlsx_3[[#This Row],[2027]]</f>
        <v>25252.187200977522</v>
      </c>
      <c r="E351">
        <f>scenario_indirect_prod_4506_iotable_2020_xlsx_3[[#This Row],[2028]]+scenario_indirect_prod_1610_iotable_2020_xlsx_3[[#This Row],[2028]]</f>
        <v>26735.37096809737</v>
      </c>
      <c r="F351">
        <f>scenario_indirect_prod_4506_iotable_2020_xlsx_3[[#This Row],[2029]]+scenario_indirect_prod_1610_iotable_2020_xlsx_3[[#This Row],[2029]]</f>
        <v>26892.686069697476</v>
      </c>
      <c r="G351">
        <f>scenario_indirect_prod_4506_iotable_2020_xlsx_3[[#This Row],[2030]]+scenario_indirect_prod_1610_iotable_2020_xlsx_3[[#This Row],[2030]]</f>
        <v>17923.077484111422</v>
      </c>
      <c r="H351">
        <f>scenario_indirect_prod_4506_iotable_2020_xlsx_3[[#This Row],[2031]]+scenario_indirect_prod_1610_iotable_2020_xlsx_3[[#This Row],[2031]]</f>
        <v>19924.188459194331</v>
      </c>
      <c r="I351">
        <f>scenario_indirect_prod_4506_iotable_2020_xlsx_3[[#This Row],[2032]]+scenario_indirect_prod_1610_iotable_2020_xlsx_3[[#This Row],[2032]]</f>
        <v>22718.918016667136</v>
      </c>
      <c r="J351">
        <f>scenario_indirect_prod_4506_iotable_2020_xlsx_3[[#This Row],[2033]]+scenario_indirect_prod_1610_iotable_2020_xlsx_3[[#This Row],[2033]]</f>
        <v>22793.305471295484</v>
      </c>
      <c r="K351">
        <f>scenario_indirect_prod_4506_iotable_2020_xlsx_3[[#This Row],[2034]]+scenario_indirect_prod_1610_iotable_2020_xlsx_3[[#This Row],[2034]]</f>
        <v>25393.947036512094</v>
      </c>
      <c r="L351">
        <f>scenario_indirect_prod_4506_iotable_2020_xlsx_3[[#This Row],[2035]]+scenario_indirect_prod_1610_iotable_2020_xlsx_3[[#This Row],[2035]]</f>
        <v>26429.807106685141</v>
      </c>
      <c r="M351">
        <f>scenario_indirect_prod_4506_iotable_2020_xlsx_3[[#This Row],[2036]]+scenario_indirect_prod_1610_iotable_2020_xlsx_3[[#This Row],[2036]]</f>
        <v>25183.590047483704</v>
      </c>
      <c r="N351">
        <f>scenario_indirect_prod_4506_iotable_2020_xlsx_3[[#This Row],[2037]]+scenario_indirect_prod_1610_iotable_2020_xlsx_3[[#This Row],[2037]]</f>
        <v>24199.219668072023</v>
      </c>
      <c r="O351">
        <f>scenario_indirect_prod_4506_iotable_2020_xlsx_3[[#This Row],[2038]]+scenario_indirect_prod_1610_iotable_2020_xlsx_3[[#This Row],[2038]]</f>
        <v>24199.219668072023</v>
      </c>
      <c r="P351">
        <f>scenario_indirect_prod_4506_iotable_2020_xlsx_3[[#This Row],[2039]]+scenario_indirect_prod_1610_iotable_2020_xlsx_3[[#This Row],[2039]]</f>
        <v>24199.219668072023</v>
      </c>
      <c r="Q351">
        <f>scenario_indirect_prod_4506_iotable_2020_xlsx_3[[#This Row],[2040]]+scenario_indirect_prod_1610_iotable_2020_xlsx_3[[#This Row],[2040]]</f>
        <v>23317.032714772242</v>
      </c>
      <c r="R351">
        <f>scenario_indirect_prod_4506_iotable_2020_xlsx_3[[#This Row],[2041]]+scenario_indirect_prod_1610_iotable_2020_xlsx_3[[#This Row],[2041]]</f>
        <v>23317.032714772242</v>
      </c>
      <c r="S351">
        <f>scenario_indirect_prod_4506_iotable_2020_xlsx_3[[#This Row],[2042]]+scenario_indirect_prod_1610_iotable_2020_xlsx_3[[#This Row],[2042]]</f>
        <v>22400.150871205973</v>
      </c>
      <c r="T351">
        <f>scenario_indirect_prod_4506_iotable_2020_xlsx_3[[#This Row],[2043]]+scenario_indirect_prod_1610_iotable_2020_xlsx_3[[#This Row],[2043]]</f>
        <v>22400.150871205973</v>
      </c>
      <c r="U351">
        <f>scenario_indirect_prod_4506_iotable_2020_xlsx_3[[#This Row],[2044]]+scenario_indirect_prod_1610_iotable_2020_xlsx_3[[#This Row],[2044]]</f>
        <v>21356.174079852921</v>
      </c>
      <c r="V351">
        <f>scenario_indirect_prod_4506_iotable_2020_xlsx_3[[#This Row],[2045]]+scenario_indirect_prod_1610_iotable_2020_xlsx_3[[#This Row],[2045]]</f>
        <v>21356.174079852921</v>
      </c>
      <c r="W351">
        <f>scenario_indirect_prod_4506_iotable_2020_xlsx_3[[#This Row],[2046]]+scenario_indirect_prod_1610_iotable_2020_xlsx_3[[#This Row],[2046]]</f>
        <v>20521.840260524914</v>
      </c>
      <c r="X351">
        <f>scenario_indirect_prod_4506_iotable_2020_xlsx_3[[#This Row],[2047]]+scenario_indirect_prod_1610_iotable_2020_xlsx_3[[#This Row],[2047]]</f>
        <v>20521.840260524914</v>
      </c>
      <c r="Y351">
        <f>scenario_indirect_prod_4506_iotable_2020_xlsx_3[[#This Row],[2048]]+scenario_indirect_prod_1610_iotable_2020_xlsx_3[[#This Row],[2048]]</f>
        <v>20521.840260524914</v>
      </c>
      <c r="Z351">
        <f>scenario_indirect_prod_4506_iotable_2020_xlsx_3[[#This Row],[2049]]+scenario_indirect_prod_1610_iotable_2020_xlsx_3[[#This Row],[2049]]</f>
        <v>20521.840260524914</v>
      </c>
      <c r="AA351">
        <f>scenario_indirect_prod_4506_iotable_2020_xlsx_3[[#This Row],[2050]]+scenario_indirect_prod_1610_iotable_2020_xlsx_3[[#This Row],[2050]]</f>
        <v>20521.840260524914</v>
      </c>
    </row>
    <row r="352" spans="1:27" x14ac:dyDescent="0.2">
      <c r="A352" t="s">
        <v>342</v>
      </c>
      <c r="B352" t="s">
        <v>41</v>
      </c>
      <c r="C352">
        <f>scenario_indirect_prod_4506_iotable_2020_xlsx_3[[#This Row],[2026]]+scenario_indirect_prod_1610_iotable_2020_xlsx_3[[#This Row],[2026]]</f>
        <v>214190.90780778043</v>
      </c>
      <c r="D352">
        <f>scenario_indirect_prod_4506_iotable_2020_xlsx_3[[#This Row],[2027]]+scenario_indirect_prod_1610_iotable_2020_xlsx_3[[#This Row],[2027]]</f>
        <v>195891.45757188657</v>
      </c>
      <c r="E352">
        <f>scenario_indirect_prod_4506_iotable_2020_xlsx_3[[#This Row],[2028]]+scenario_indirect_prod_1610_iotable_2020_xlsx_3[[#This Row],[2028]]</f>
        <v>207491.99729148869</v>
      </c>
      <c r="F352">
        <f>scenario_indirect_prod_4506_iotable_2020_xlsx_3[[#This Row],[2029]]+scenario_indirect_prod_1610_iotable_2020_xlsx_3[[#This Row],[2029]]</f>
        <v>208430.16042239725</v>
      </c>
      <c r="G352">
        <f>scenario_indirect_prod_4506_iotable_2020_xlsx_3[[#This Row],[2030]]+scenario_indirect_prod_1610_iotable_2020_xlsx_3[[#This Row],[2030]]</f>
        <v>135798.19057793458</v>
      </c>
      <c r="H352">
        <f>scenario_indirect_prod_4506_iotable_2020_xlsx_3[[#This Row],[2031]]+scenario_indirect_prod_1610_iotable_2020_xlsx_3[[#This Row],[2031]]</f>
        <v>151449.63436015695</v>
      </c>
      <c r="I352">
        <f>scenario_indirect_prod_4506_iotable_2020_xlsx_3[[#This Row],[2032]]+scenario_indirect_prod_1610_iotable_2020_xlsx_3[[#This Row],[2032]]</f>
        <v>173308.26843890344</v>
      </c>
      <c r="J352">
        <f>scenario_indirect_prod_4506_iotable_2020_xlsx_3[[#This Row],[2033]]+scenario_indirect_prod_1610_iotable_2020_xlsx_3[[#This Row],[2033]]</f>
        <v>172508.12788281025</v>
      </c>
      <c r="K352">
        <f>scenario_indirect_prod_4506_iotable_2020_xlsx_3[[#This Row],[2034]]+scenario_indirect_prod_1610_iotable_2020_xlsx_3[[#This Row],[2034]]</f>
        <v>192848.72656150779</v>
      </c>
      <c r="L352">
        <f>scenario_indirect_prod_4506_iotable_2020_xlsx_3[[#This Row],[2035]]+scenario_indirect_prod_1610_iotable_2020_xlsx_3[[#This Row],[2035]]</f>
        <v>199201.19144291914</v>
      </c>
      <c r="M352">
        <f>scenario_indirect_prod_4506_iotable_2020_xlsx_3[[#This Row],[2036]]+scenario_indirect_prod_1610_iotable_2020_xlsx_3[[#This Row],[2036]]</f>
        <v>188305.79423570272</v>
      </c>
      <c r="N352">
        <f>scenario_indirect_prod_4506_iotable_2020_xlsx_3[[#This Row],[2037]]+scenario_indirect_prod_1610_iotable_2020_xlsx_3[[#This Row],[2037]]</f>
        <v>179602.84357669961</v>
      </c>
      <c r="O352">
        <f>scenario_indirect_prod_4506_iotable_2020_xlsx_3[[#This Row],[2038]]+scenario_indirect_prod_1610_iotable_2020_xlsx_3[[#This Row],[2038]]</f>
        <v>179602.84357669961</v>
      </c>
      <c r="P352">
        <f>scenario_indirect_prod_4506_iotable_2020_xlsx_3[[#This Row],[2039]]+scenario_indirect_prod_1610_iotable_2020_xlsx_3[[#This Row],[2039]]</f>
        <v>179602.84357669961</v>
      </c>
      <c r="Q352">
        <f>scenario_indirect_prod_4506_iotable_2020_xlsx_3[[#This Row],[2040]]+scenario_indirect_prod_1610_iotable_2020_xlsx_3[[#This Row],[2040]]</f>
        <v>171821.66738438688</v>
      </c>
      <c r="R352">
        <f>scenario_indirect_prod_4506_iotable_2020_xlsx_3[[#This Row],[2041]]+scenario_indirect_prod_1610_iotable_2020_xlsx_3[[#This Row],[2041]]</f>
        <v>171821.66738438688</v>
      </c>
      <c r="S352">
        <f>scenario_indirect_prod_4506_iotable_2020_xlsx_3[[#This Row],[2042]]+scenario_indirect_prod_1610_iotable_2020_xlsx_3[[#This Row],[2042]]</f>
        <v>163677.69616483815</v>
      </c>
      <c r="T352">
        <f>scenario_indirect_prod_4506_iotable_2020_xlsx_3[[#This Row],[2043]]+scenario_indirect_prod_1610_iotable_2020_xlsx_3[[#This Row],[2043]]</f>
        <v>163677.69616483815</v>
      </c>
      <c r="U352">
        <f>scenario_indirect_prod_4506_iotable_2020_xlsx_3[[#This Row],[2044]]+scenario_indirect_prod_1610_iotable_2020_xlsx_3[[#This Row],[2044]]</f>
        <v>154587.32924423623</v>
      </c>
      <c r="V352">
        <f>scenario_indirect_prod_4506_iotable_2020_xlsx_3[[#This Row],[2045]]+scenario_indirect_prod_1610_iotable_2020_xlsx_3[[#This Row],[2045]]</f>
        <v>154587.32924423623</v>
      </c>
      <c r="W352">
        <f>scenario_indirect_prod_4506_iotable_2020_xlsx_3[[#This Row],[2046]]+scenario_indirect_prod_1610_iotable_2020_xlsx_3[[#This Row],[2046]]</f>
        <v>147274.0520809741</v>
      </c>
      <c r="X352">
        <f>scenario_indirect_prod_4506_iotable_2020_xlsx_3[[#This Row],[2047]]+scenario_indirect_prod_1610_iotable_2020_xlsx_3[[#This Row],[2047]]</f>
        <v>147274.0520809741</v>
      </c>
      <c r="Y352">
        <f>scenario_indirect_prod_4506_iotable_2020_xlsx_3[[#This Row],[2048]]+scenario_indirect_prod_1610_iotable_2020_xlsx_3[[#This Row],[2048]]</f>
        <v>147274.0520809741</v>
      </c>
      <c r="Z352">
        <f>scenario_indirect_prod_4506_iotable_2020_xlsx_3[[#This Row],[2049]]+scenario_indirect_prod_1610_iotable_2020_xlsx_3[[#This Row],[2049]]</f>
        <v>147274.0520809741</v>
      </c>
      <c r="AA352">
        <f>scenario_indirect_prod_4506_iotable_2020_xlsx_3[[#This Row],[2050]]+scenario_indirect_prod_1610_iotable_2020_xlsx_3[[#This Row],[2050]]</f>
        <v>147274.0520809741</v>
      </c>
    </row>
    <row r="353" spans="1:27" x14ac:dyDescent="0.2">
      <c r="A353" t="s">
        <v>387</v>
      </c>
      <c r="B353" t="s">
        <v>19</v>
      </c>
      <c r="C353">
        <f>scenario_indirect_prod_4506_iotable_2020_xlsx_3[[#This Row],[2026]]+scenario_indirect_prod_1610_iotable_2020_xlsx_3[[#This Row],[2026]]</f>
        <v>60741.156106723269</v>
      </c>
      <c r="D353">
        <f>scenario_indirect_prod_4506_iotable_2020_xlsx_3[[#This Row],[2027]]+scenario_indirect_prod_1610_iotable_2020_xlsx_3[[#This Row],[2027]]</f>
        <v>56717.406616497683</v>
      </c>
      <c r="E353">
        <f>scenario_indirect_prod_4506_iotable_2020_xlsx_3[[#This Row],[2028]]+scenario_indirect_prod_1610_iotable_2020_xlsx_3[[#This Row],[2028]]</f>
        <v>59937.852487838914</v>
      </c>
      <c r="F353">
        <f>scenario_indirect_prod_4506_iotable_2020_xlsx_3[[#This Row],[2029]]+scenario_indirect_prod_1610_iotable_2020_xlsx_3[[#This Row],[2029]]</f>
        <v>60620.854618751146</v>
      </c>
      <c r="G353">
        <f>scenario_indirect_prod_4506_iotable_2020_xlsx_3[[#This Row],[2030]]+scenario_indirect_prod_1610_iotable_2020_xlsx_3[[#This Row],[2030]]</f>
        <v>44039.109049362291</v>
      </c>
      <c r="H353">
        <f>scenario_indirect_prod_4506_iotable_2020_xlsx_3[[#This Row],[2031]]+scenario_indirect_prod_1610_iotable_2020_xlsx_3[[#This Row],[2031]]</f>
        <v>48384.13339541194</v>
      </c>
      <c r="I353">
        <f>scenario_indirect_prod_4506_iotable_2020_xlsx_3[[#This Row],[2032]]+scenario_indirect_prod_1610_iotable_2020_xlsx_3[[#This Row],[2032]]</f>
        <v>54452.34656252071</v>
      </c>
      <c r="J353">
        <f>scenario_indirect_prod_4506_iotable_2020_xlsx_3[[#This Row],[2033]]+scenario_indirect_prod_1610_iotable_2020_xlsx_3[[#This Row],[2033]]</f>
        <v>56228.297563607528</v>
      </c>
      <c r="K353">
        <f>scenario_indirect_prod_4506_iotable_2020_xlsx_3[[#This Row],[2034]]+scenario_indirect_prod_1610_iotable_2020_xlsx_3[[#This Row],[2034]]</f>
        <v>61875.086300922194</v>
      </c>
      <c r="L353">
        <f>scenario_indirect_prod_4506_iotable_2020_xlsx_3[[#This Row],[2035]]+scenario_indirect_prod_1610_iotable_2020_xlsx_3[[#This Row],[2035]]</f>
        <v>66167.935153382656</v>
      </c>
      <c r="M353">
        <f>scenario_indirect_prod_4506_iotable_2020_xlsx_3[[#This Row],[2036]]+scenario_indirect_prod_1610_iotable_2020_xlsx_3[[#This Row],[2036]]</f>
        <v>64803.447602872926</v>
      </c>
      <c r="N353">
        <f>scenario_indirect_prod_4506_iotable_2020_xlsx_3[[#This Row],[2037]]+scenario_indirect_prod_1610_iotable_2020_xlsx_3[[#This Row],[2037]]</f>
        <v>63838.765074120573</v>
      </c>
      <c r="O353">
        <f>scenario_indirect_prod_4506_iotable_2020_xlsx_3[[#This Row],[2038]]+scenario_indirect_prod_1610_iotable_2020_xlsx_3[[#This Row],[2038]]</f>
        <v>63838.765074120573</v>
      </c>
      <c r="P353">
        <f>scenario_indirect_prod_4506_iotable_2020_xlsx_3[[#This Row],[2039]]+scenario_indirect_prod_1610_iotable_2020_xlsx_3[[#This Row],[2039]]</f>
        <v>63838.765074120573</v>
      </c>
      <c r="Q353">
        <f>scenario_indirect_prod_4506_iotable_2020_xlsx_3[[#This Row],[2040]]+scenario_indirect_prod_1610_iotable_2020_xlsx_3[[#This Row],[2040]]</f>
        <v>62952.777041852649</v>
      </c>
      <c r="R353">
        <f>scenario_indirect_prod_4506_iotable_2020_xlsx_3[[#This Row],[2041]]+scenario_indirect_prod_1610_iotable_2020_xlsx_3[[#This Row],[2041]]</f>
        <v>62952.777041852649</v>
      </c>
      <c r="S353">
        <f>scenario_indirect_prod_4506_iotable_2020_xlsx_3[[#This Row],[2042]]+scenario_indirect_prod_1610_iotable_2020_xlsx_3[[#This Row],[2042]]</f>
        <v>62098.270414330997</v>
      </c>
      <c r="T353">
        <f>scenario_indirect_prod_4506_iotable_2020_xlsx_3[[#This Row],[2043]]+scenario_indirect_prod_1610_iotable_2020_xlsx_3[[#This Row],[2043]]</f>
        <v>62098.270414330997</v>
      </c>
      <c r="U353">
        <f>scenario_indirect_prod_4506_iotable_2020_xlsx_3[[#This Row],[2044]]+scenario_indirect_prod_1610_iotable_2020_xlsx_3[[#This Row],[2044]]</f>
        <v>60912.121981086122</v>
      </c>
      <c r="V353">
        <f>scenario_indirect_prod_4506_iotable_2020_xlsx_3[[#This Row],[2045]]+scenario_indirect_prod_1610_iotable_2020_xlsx_3[[#This Row],[2045]]</f>
        <v>60912.121981086122</v>
      </c>
      <c r="W353">
        <f>scenario_indirect_prod_4506_iotable_2020_xlsx_3[[#This Row],[2046]]+scenario_indirect_prod_1610_iotable_2020_xlsx_3[[#This Row],[2046]]</f>
        <v>60020.666555955191</v>
      </c>
      <c r="X353">
        <f>scenario_indirect_prod_4506_iotable_2020_xlsx_3[[#This Row],[2047]]+scenario_indirect_prod_1610_iotable_2020_xlsx_3[[#This Row],[2047]]</f>
        <v>60020.666555955191</v>
      </c>
      <c r="Y353">
        <f>scenario_indirect_prod_4506_iotable_2020_xlsx_3[[#This Row],[2048]]+scenario_indirect_prod_1610_iotable_2020_xlsx_3[[#This Row],[2048]]</f>
        <v>60020.666555955191</v>
      </c>
      <c r="Z353">
        <f>scenario_indirect_prod_4506_iotable_2020_xlsx_3[[#This Row],[2049]]+scenario_indirect_prod_1610_iotable_2020_xlsx_3[[#This Row],[2049]]</f>
        <v>60020.666555955191</v>
      </c>
      <c r="AA353">
        <f>scenario_indirect_prod_4506_iotable_2020_xlsx_3[[#This Row],[2050]]+scenario_indirect_prod_1610_iotable_2020_xlsx_3[[#This Row],[2050]]</f>
        <v>60020.666555955191</v>
      </c>
    </row>
    <row r="354" spans="1:27" x14ac:dyDescent="0.2">
      <c r="A354" t="s">
        <v>384</v>
      </c>
      <c r="B354" t="s">
        <v>13</v>
      </c>
      <c r="C354">
        <f>scenario_indirect_prod_4506_iotable_2020_xlsx_3[[#This Row],[2026]]+scenario_indirect_prod_1610_iotable_2020_xlsx_3[[#This Row],[2026]]</f>
        <v>73025.907956588664</v>
      </c>
      <c r="D354">
        <f>scenario_indirect_prod_4506_iotable_2020_xlsx_3[[#This Row],[2027]]+scenario_indirect_prod_1610_iotable_2020_xlsx_3[[#This Row],[2027]]</f>
        <v>75622.112768901512</v>
      </c>
      <c r="E354">
        <f>scenario_indirect_prod_4506_iotable_2020_xlsx_3[[#This Row],[2028]]+scenario_indirect_prod_1610_iotable_2020_xlsx_3[[#This Row],[2028]]</f>
        <v>79052.052715228274</v>
      </c>
      <c r="F354">
        <f>scenario_indirect_prod_4506_iotable_2020_xlsx_3[[#This Row],[2029]]+scenario_indirect_prod_1610_iotable_2020_xlsx_3[[#This Row],[2029]]</f>
        <v>82532.166993985447</v>
      </c>
      <c r="G354">
        <f>scenario_indirect_prod_4506_iotable_2020_xlsx_3[[#This Row],[2030]]+scenario_indirect_prod_1610_iotable_2020_xlsx_3[[#This Row],[2030]]</f>
        <v>88204.451698187913</v>
      </c>
      <c r="H354">
        <f>scenario_indirect_prod_4506_iotable_2020_xlsx_3[[#This Row],[2031]]+scenario_indirect_prod_1610_iotable_2020_xlsx_3[[#This Row],[2031]]</f>
        <v>92832.125370613707</v>
      </c>
      <c r="I354">
        <f>scenario_indirect_prod_4506_iotable_2020_xlsx_3[[#This Row],[2032]]+scenario_indirect_prod_1610_iotable_2020_xlsx_3[[#This Row],[2032]]</f>
        <v>99295.083475239197</v>
      </c>
      <c r="J354">
        <f>scenario_indirect_prod_4506_iotable_2020_xlsx_3[[#This Row],[2033]]+scenario_indirect_prod_1610_iotable_2020_xlsx_3[[#This Row],[2033]]</f>
        <v>114202.73916513627</v>
      </c>
      <c r="K354">
        <f>scenario_indirect_prod_4506_iotable_2020_xlsx_3[[#This Row],[2034]]+scenario_indirect_prod_1610_iotable_2020_xlsx_3[[#This Row],[2034]]</f>
        <v>120216.85864807526</v>
      </c>
      <c r="L354">
        <f>scenario_indirect_prod_4506_iotable_2020_xlsx_3[[#This Row],[2035]]+scenario_indirect_prod_1610_iotable_2020_xlsx_3[[#This Row],[2035]]</f>
        <v>141265.88945437068</v>
      </c>
      <c r="M354">
        <f>scenario_indirect_prod_4506_iotable_2020_xlsx_3[[#This Row],[2036]]+scenario_indirect_prod_1610_iotable_2020_xlsx_3[[#This Row],[2036]]</f>
        <v>150627.77060840843</v>
      </c>
      <c r="N354">
        <f>scenario_indirect_prod_4506_iotable_2020_xlsx_3[[#This Row],[2037]]+scenario_indirect_prod_1610_iotable_2020_xlsx_3[[#This Row],[2037]]</f>
        <v>159054.9838854291</v>
      </c>
      <c r="O354">
        <f>scenario_indirect_prod_4506_iotable_2020_xlsx_3[[#This Row],[2038]]+scenario_indirect_prod_1610_iotable_2020_xlsx_3[[#This Row],[2038]]</f>
        <v>159054.9838854291</v>
      </c>
      <c r="P354">
        <f>scenario_indirect_prod_4506_iotable_2020_xlsx_3[[#This Row],[2039]]+scenario_indirect_prod_1610_iotable_2020_xlsx_3[[#This Row],[2039]]</f>
        <v>159054.9838854291</v>
      </c>
      <c r="Q354">
        <f>scenario_indirect_prod_4506_iotable_2020_xlsx_3[[#This Row],[2040]]+scenario_indirect_prod_1610_iotable_2020_xlsx_3[[#This Row],[2040]]</f>
        <v>166411.6631563704</v>
      </c>
      <c r="R354">
        <f>scenario_indirect_prod_4506_iotable_2020_xlsx_3[[#This Row],[2041]]+scenario_indirect_prod_1610_iotable_2020_xlsx_3[[#This Row],[2041]]</f>
        <v>166411.6631563704</v>
      </c>
      <c r="S354">
        <f>scenario_indirect_prod_4506_iotable_2020_xlsx_3[[#This Row],[2042]]+scenario_indirect_prod_1610_iotable_2020_xlsx_3[[#This Row],[2042]]</f>
        <v>174663.05212960305</v>
      </c>
      <c r="T354">
        <f>scenario_indirect_prod_4506_iotable_2020_xlsx_3[[#This Row],[2043]]+scenario_indirect_prod_1610_iotable_2020_xlsx_3[[#This Row],[2043]]</f>
        <v>174663.05212960305</v>
      </c>
      <c r="U354">
        <f>scenario_indirect_prod_4506_iotable_2020_xlsx_3[[#This Row],[2044]]+scenario_indirect_prod_1610_iotable_2020_xlsx_3[[#This Row],[2044]]</f>
        <v>182112.31391458696</v>
      </c>
      <c r="V354">
        <f>scenario_indirect_prod_4506_iotable_2020_xlsx_3[[#This Row],[2045]]+scenario_indirect_prod_1610_iotable_2020_xlsx_3[[#This Row],[2045]]</f>
        <v>182112.31391458696</v>
      </c>
      <c r="W354">
        <f>scenario_indirect_prod_4506_iotable_2020_xlsx_3[[#This Row],[2046]]+scenario_indirect_prod_1610_iotable_2020_xlsx_3[[#This Row],[2046]]</f>
        <v>188581.3777577655</v>
      </c>
      <c r="X354">
        <f>scenario_indirect_prod_4506_iotable_2020_xlsx_3[[#This Row],[2047]]+scenario_indirect_prod_1610_iotable_2020_xlsx_3[[#This Row],[2047]]</f>
        <v>188581.3777577655</v>
      </c>
      <c r="Y354">
        <f>scenario_indirect_prod_4506_iotable_2020_xlsx_3[[#This Row],[2048]]+scenario_indirect_prod_1610_iotable_2020_xlsx_3[[#This Row],[2048]]</f>
        <v>188581.3777577655</v>
      </c>
      <c r="Z354">
        <f>scenario_indirect_prod_4506_iotable_2020_xlsx_3[[#This Row],[2049]]+scenario_indirect_prod_1610_iotable_2020_xlsx_3[[#This Row],[2049]]</f>
        <v>188581.3777577655</v>
      </c>
      <c r="AA354">
        <f>scenario_indirect_prod_4506_iotable_2020_xlsx_3[[#This Row],[2050]]+scenario_indirect_prod_1610_iotable_2020_xlsx_3[[#This Row],[2050]]</f>
        <v>188581.3777577655</v>
      </c>
    </row>
    <row r="355" spans="1:27" x14ac:dyDescent="0.2">
      <c r="A355" t="s">
        <v>345</v>
      </c>
      <c r="B355" t="s">
        <v>21</v>
      </c>
      <c r="C355">
        <f>scenario_indirect_prod_4506_iotable_2020_xlsx_3[[#This Row],[2026]]+scenario_indirect_prod_1610_iotable_2020_xlsx_3[[#This Row],[2026]]</f>
        <v>192337.38974744154</v>
      </c>
      <c r="D355">
        <f>scenario_indirect_prod_4506_iotable_2020_xlsx_3[[#This Row],[2027]]+scenario_indirect_prod_1610_iotable_2020_xlsx_3[[#This Row],[2027]]</f>
        <v>197733.8819292314</v>
      </c>
      <c r="E355">
        <f>scenario_indirect_prod_4506_iotable_2020_xlsx_3[[#This Row],[2028]]+scenario_indirect_prod_1610_iotable_2020_xlsx_3[[#This Row],[2028]]</f>
        <v>206853.41460412269</v>
      </c>
      <c r="F355">
        <f>scenario_indirect_prod_4506_iotable_2020_xlsx_3[[#This Row],[2029]]+scenario_indirect_prod_1610_iotable_2020_xlsx_3[[#This Row],[2029]]</f>
        <v>215503.82945914153</v>
      </c>
      <c r="G355">
        <f>scenario_indirect_prod_4506_iotable_2020_xlsx_3[[#This Row],[2030]]+scenario_indirect_prod_1610_iotable_2020_xlsx_3[[#This Row],[2030]]</f>
        <v>225478.13157275482</v>
      </c>
      <c r="H355">
        <f>scenario_indirect_prod_4506_iotable_2020_xlsx_3[[#This Row],[2031]]+scenario_indirect_prod_1610_iotable_2020_xlsx_3[[#This Row],[2031]]</f>
        <v>237782.20159287771</v>
      </c>
      <c r="I355">
        <f>scenario_indirect_prod_4506_iotable_2020_xlsx_3[[#This Row],[2032]]+scenario_indirect_prod_1610_iotable_2020_xlsx_3[[#This Row],[2032]]</f>
        <v>254965.93032687638</v>
      </c>
      <c r="J355">
        <f>scenario_indirect_prod_4506_iotable_2020_xlsx_3[[#This Row],[2033]]+scenario_indirect_prod_1610_iotable_2020_xlsx_3[[#This Row],[2033]]</f>
        <v>291753.39256911649</v>
      </c>
      <c r="K355">
        <f>scenario_indirect_prod_4506_iotable_2020_xlsx_3[[#This Row],[2034]]+scenario_indirect_prod_1610_iotable_2020_xlsx_3[[#This Row],[2034]]</f>
        <v>307743.74808367825</v>
      </c>
      <c r="L355">
        <f>scenario_indirect_prod_4506_iotable_2020_xlsx_3[[#This Row],[2035]]+scenario_indirect_prod_1610_iotable_2020_xlsx_3[[#This Row],[2035]]</f>
        <v>360102.40636357083</v>
      </c>
      <c r="M355">
        <f>scenario_indirect_prod_4506_iotable_2020_xlsx_3[[#This Row],[2036]]+scenario_indirect_prod_1610_iotable_2020_xlsx_3[[#This Row],[2036]]</f>
        <v>382626.52636274358</v>
      </c>
      <c r="N355">
        <f>scenario_indirect_prod_4506_iotable_2020_xlsx_3[[#This Row],[2037]]+scenario_indirect_prod_1610_iotable_2020_xlsx_3[[#This Row],[2037]]</f>
        <v>402963.33828427625</v>
      </c>
      <c r="O355">
        <f>scenario_indirect_prod_4506_iotable_2020_xlsx_3[[#This Row],[2038]]+scenario_indirect_prod_1610_iotable_2020_xlsx_3[[#This Row],[2038]]</f>
        <v>402963.33828427625</v>
      </c>
      <c r="P355">
        <f>scenario_indirect_prod_4506_iotable_2020_xlsx_3[[#This Row],[2039]]+scenario_indirect_prod_1610_iotable_2020_xlsx_3[[#This Row],[2039]]</f>
        <v>402963.33828427625</v>
      </c>
      <c r="Q355">
        <f>scenario_indirect_prod_4506_iotable_2020_xlsx_3[[#This Row],[2040]]+scenario_indirect_prod_1610_iotable_2020_xlsx_3[[#This Row],[2040]]</f>
        <v>420706.48145347711</v>
      </c>
      <c r="R355">
        <f>scenario_indirect_prod_4506_iotable_2020_xlsx_3[[#This Row],[2041]]+scenario_indirect_prod_1610_iotable_2020_xlsx_3[[#This Row],[2041]]</f>
        <v>420706.48145347711</v>
      </c>
      <c r="S355">
        <f>scenario_indirect_prod_4506_iotable_2020_xlsx_3[[#This Row],[2042]]+scenario_indirect_prod_1610_iotable_2020_xlsx_3[[#This Row],[2042]]</f>
        <v>440639.98127994942</v>
      </c>
      <c r="T355">
        <f>scenario_indirect_prod_4506_iotable_2020_xlsx_3[[#This Row],[2043]]+scenario_indirect_prod_1610_iotable_2020_xlsx_3[[#This Row],[2043]]</f>
        <v>440639.98127994942</v>
      </c>
      <c r="U355">
        <f>scenario_indirect_prod_4506_iotable_2020_xlsx_3[[#This Row],[2044]]+scenario_indirect_prod_1610_iotable_2020_xlsx_3[[#This Row],[2044]]</f>
        <v>458539.04352350457</v>
      </c>
      <c r="V355">
        <f>scenario_indirect_prod_4506_iotable_2020_xlsx_3[[#This Row],[2045]]+scenario_indirect_prod_1610_iotable_2020_xlsx_3[[#This Row],[2045]]</f>
        <v>458539.04352350457</v>
      </c>
      <c r="W355">
        <f>scenario_indirect_prod_4506_iotable_2020_xlsx_3[[#This Row],[2046]]+scenario_indirect_prod_1610_iotable_2020_xlsx_3[[#This Row],[2046]]</f>
        <v>474115.2039683591</v>
      </c>
      <c r="X355">
        <f>scenario_indirect_prod_4506_iotable_2020_xlsx_3[[#This Row],[2047]]+scenario_indirect_prod_1610_iotable_2020_xlsx_3[[#This Row],[2047]]</f>
        <v>474115.2039683591</v>
      </c>
      <c r="Y355">
        <f>scenario_indirect_prod_4506_iotable_2020_xlsx_3[[#This Row],[2048]]+scenario_indirect_prod_1610_iotable_2020_xlsx_3[[#This Row],[2048]]</f>
        <v>474115.2039683591</v>
      </c>
      <c r="Z355">
        <f>scenario_indirect_prod_4506_iotable_2020_xlsx_3[[#This Row],[2049]]+scenario_indirect_prod_1610_iotable_2020_xlsx_3[[#This Row],[2049]]</f>
        <v>474115.2039683591</v>
      </c>
      <c r="AA355">
        <f>scenario_indirect_prod_4506_iotable_2020_xlsx_3[[#This Row],[2050]]+scenario_indirect_prod_1610_iotable_2020_xlsx_3[[#This Row],[2050]]</f>
        <v>474115.2039683591</v>
      </c>
    </row>
    <row r="356" spans="1:27" x14ac:dyDescent="0.2">
      <c r="A356" t="s">
        <v>675</v>
      </c>
      <c r="B356" t="s">
        <v>676</v>
      </c>
      <c r="C356">
        <f>scenario_indirect_prod_4506_iotable_2020_xlsx_3[[#This Row],[2026]]+scenario_indirect_prod_1610_iotable_2020_xlsx_3[[#This Row],[2026]]</f>
        <v>3366.4909179384008</v>
      </c>
      <c r="D356">
        <f>scenario_indirect_prod_4506_iotable_2020_xlsx_3[[#This Row],[2027]]+scenario_indirect_prod_1610_iotable_2020_xlsx_3[[#This Row],[2027]]</f>
        <v>3364.680591183338</v>
      </c>
      <c r="E356">
        <f>scenario_indirect_prod_4506_iotable_2020_xlsx_3[[#This Row],[2028]]+scenario_indirect_prod_1610_iotable_2020_xlsx_3[[#This Row],[2028]]</f>
        <v>3530.0218701375302</v>
      </c>
      <c r="F356">
        <f>scenario_indirect_prod_4506_iotable_2020_xlsx_3[[#This Row],[2029]]+scenario_indirect_prod_1610_iotable_2020_xlsx_3[[#This Row],[2029]]</f>
        <v>3646.9973507450072</v>
      </c>
      <c r="G356">
        <f>scenario_indirect_prod_4506_iotable_2020_xlsx_3[[#This Row],[2030]]+scenario_indirect_prod_1610_iotable_2020_xlsx_3[[#This Row],[2030]]</f>
        <v>3489.9646526110892</v>
      </c>
      <c r="H356">
        <f>scenario_indirect_prod_4506_iotable_2020_xlsx_3[[#This Row],[2031]]+scenario_indirect_prod_1610_iotable_2020_xlsx_3[[#This Row],[2031]]</f>
        <v>3713.0430433569495</v>
      </c>
      <c r="I356">
        <f>scenario_indirect_prod_4506_iotable_2020_xlsx_3[[#This Row],[2032]]+scenario_indirect_prod_1610_iotable_2020_xlsx_3[[#This Row],[2032]]</f>
        <v>4024.5918679917727</v>
      </c>
      <c r="J356">
        <f>scenario_indirect_prod_4506_iotable_2020_xlsx_3[[#This Row],[2033]]+scenario_indirect_prod_1610_iotable_2020_xlsx_3[[#This Row],[2033]]</f>
        <v>4503.0832940335767</v>
      </c>
      <c r="K356">
        <f>scenario_indirect_prod_4506_iotable_2020_xlsx_3[[#This Row],[2034]]+scenario_indirect_prod_1610_iotable_2020_xlsx_3[[#This Row],[2034]]</f>
        <v>4792.9957189310917</v>
      </c>
      <c r="L356">
        <f>scenario_indirect_prod_4506_iotable_2020_xlsx_3[[#This Row],[2035]]+scenario_indirect_prod_1610_iotable_2020_xlsx_3[[#This Row],[2035]]</f>
        <v>5503.6862933567445</v>
      </c>
      <c r="M356">
        <f>scenario_indirect_prod_4506_iotable_2020_xlsx_3[[#This Row],[2036]]+scenario_indirect_prod_1610_iotable_2020_xlsx_3[[#This Row],[2036]]</f>
        <v>5755.4492985147426</v>
      </c>
      <c r="N356">
        <f>scenario_indirect_prod_4506_iotable_2020_xlsx_3[[#This Row],[2037]]+scenario_indirect_prod_1610_iotable_2020_xlsx_3[[#This Row],[2037]]</f>
        <v>5987.255985554395</v>
      </c>
      <c r="O356">
        <f>scenario_indirect_prod_4506_iotable_2020_xlsx_3[[#This Row],[2038]]+scenario_indirect_prod_1610_iotable_2020_xlsx_3[[#This Row],[2038]]</f>
        <v>5987.255985554395</v>
      </c>
      <c r="P356">
        <f>scenario_indirect_prod_4506_iotable_2020_xlsx_3[[#This Row],[2039]]+scenario_indirect_prod_1610_iotable_2020_xlsx_3[[#This Row],[2039]]</f>
        <v>5987.255985554395</v>
      </c>
      <c r="Q356">
        <f>scenario_indirect_prod_4506_iotable_2020_xlsx_3[[#This Row],[2040]]+scenario_indirect_prod_1610_iotable_2020_xlsx_3[[#This Row],[2040]]</f>
        <v>6188.7539209413408</v>
      </c>
      <c r="R356">
        <f>scenario_indirect_prod_4506_iotable_2020_xlsx_3[[#This Row],[2041]]+scenario_indirect_prod_1610_iotable_2020_xlsx_3[[#This Row],[2041]]</f>
        <v>6188.7539209413408</v>
      </c>
      <c r="S356">
        <f>scenario_indirect_prod_4506_iotable_2020_xlsx_3[[#This Row],[2042]]+scenario_indirect_prod_1610_iotable_2020_xlsx_3[[#This Row],[2042]]</f>
        <v>6417.4936134329246</v>
      </c>
      <c r="T356">
        <f>scenario_indirect_prod_4506_iotable_2020_xlsx_3[[#This Row],[2043]]+scenario_indirect_prod_1610_iotable_2020_xlsx_3[[#This Row],[2043]]</f>
        <v>6417.4936134329246</v>
      </c>
      <c r="U356">
        <f>scenario_indirect_prod_4506_iotable_2020_xlsx_3[[#This Row],[2044]]+scenario_indirect_prod_1610_iotable_2020_xlsx_3[[#This Row],[2044]]</f>
        <v>6615.8485352952639</v>
      </c>
      <c r="V356">
        <f>scenario_indirect_prod_4506_iotable_2020_xlsx_3[[#This Row],[2045]]+scenario_indirect_prod_1610_iotable_2020_xlsx_3[[#This Row],[2045]]</f>
        <v>6615.8485352952639</v>
      </c>
      <c r="W356">
        <f>scenario_indirect_prod_4506_iotable_2020_xlsx_3[[#This Row],[2046]]+scenario_indirect_prod_1610_iotable_2020_xlsx_3[[#This Row],[2046]]</f>
        <v>6790.8269674232215</v>
      </c>
      <c r="X356">
        <f>scenario_indirect_prod_4506_iotable_2020_xlsx_3[[#This Row],[2047]]+scenario_indirect_prod_1610_iotable_2020_xlsx_3[[#This Row],[2047]]</f>
        <v>6790.8269674232215</v>
      </c>
      <c r="Y356">
        <f>scenario_indirect_prod_4506_iotable_2020_xlsx_3[[#This Row],[2048]]+scenario_indirect_prod_1610_iotable_2020_xlsx_3[[#This Row],[2048]]</f>
        <v>6790.8269674232215</v>
      </c>
      <c r="Z356">
        <f>scenario_indirect_prod_4506_iotable_2020_xlsx_3[[#This Row],[2049]]+scenario_indirect_prod_1610_iotable_2020_xlsx_3[[#This Row],[2049]]</f>
        <v>6790.8269674232215</v>
      </c>
      <c r="AA356">
        <f>scenario_indirect_prod_4506_iotable_2020_xlsx_3[[#This Row],[2050]]+scenario_indirect_prod_1610_iotable_2020_xlsx_3[[#This Row],[2050]]</f>
        <v>6790.8269674232215</v>
      </c>
    </row>
    <row r="357" spans="1:27" x14ac:dyDescent="0.2">
      <c r="A357" t="s">
        <v>603</v>
      </c>
      <c r="B357" t="s">
        <v>604</v>
      </c>
      <c r="C357">
        <f>scenario_indirect_prod_4506_iotable_2020_xlsx_3[[#This Row],[2026]]+scenario_indirect_prod_1610_iotable_2020_xlsx_3[[#This Row],[2026]]</f>
        <v>6574.8302004459538</v>
      </c>
      <c r="D357">
        <f>scenario_indirect_prod_4506_iotable_2020_xlsx_3[[#This Row],[2027]]+scenario_indirect_prod_1610_iotable_2020_xlsx_3[[#This Row],[2027]]</f>
        <v>6570.0228104473026</v>
      </c>
      <c r="E357">
        <f>scenario_indirect_prod_4506_iotable_2020_xlsx_3[[#This Row],[2028]]+scenario_indirect_prod_1610_iotable_2020_xlsx_3[[#This Row],[2028]]</f>
        <v>6893.0135248915985</v>
      </c>
      <c r="F357">
        <f>scenario_indirect_prod_4506_iotable_2020_xlsx_3[[#This Row],[2029]]+scenario_indirect_prod_1610_iotable_2020_xlsx_3[[#This Row],[2029]]</f>
        <v>7121.0142865422313</v>
      </c>
      <c r="G357">
        <f>scenario_indirect_prod_4506_iotable_2020_xlsx_3[[#This Row],[2030]]+scenario_indirect_prod_1610_iotable_2020_xlsx_3[[#This Row],[2030]]</f>
        <v>6809.9449873235826</v>
      </c>
      <c r="H357">
        <f>scenario_indirect_prod_4506_iotable_2020_xlsx_3[[#This Row],[2031]]+scenario_indirect_prod_1610_iotable_2020_xlsx_3[[#This Row],[2031]]</f>
        <v>7245.7239365359674</v>
      </c>
      <c r="I357">
        <f>scenario_indirect_prod_4506_iotable_2020_xlsx_3[[#This Row],[2032]]+scenario_indirect_prod_1610_iotable_2020_xlsx_3[[#This Row],[2032]]</f>
        <v>7854.3280194943509</v>
      </c>
      <c r="J357">
        <f>scenario_indirect_prod_4506_iotable_2020_xlsx_3[[#This Row],[2033]]+scenario_indirect_prod_1610_iotable_2020_xlsx_3[[#This Row],[2033]]</f>
        <v>8786.6470604985916</v>
      </c>
      <c r="K357">
        <f>scenario_indirect_prod_4506_iotable_2020_xlsx_3[[#This Row],[2034]]+scenario_indirect_prod_1610_iotable_2020_xlsx_3[[#This Row],[2034]]</f>
        <v>9352.9848911734698</v>
      </c>
      <c r="L357">
        <f>scenario_indirect_prod_4506_iotable_2020_xlsx_3[[#This Row],[2035]]+scenario_indirect_prod_1610_iotable_2020_xlsx_3[[#This Row],[2035]]</f>
        <v>10738.260937606294</v>
      </c>
      <c r="M357">
        <f>scenario_indirect_prod_4506_iotable_2020_xlsx_3[[#This Row],[2036]]+scenario_indirect_prod_1610_iotable_2020_xlsx_3[[#This Row],[2036]]</f>
        <v>11228.0772747757</v>
      </c>
      <c r="N357">
        <f>scenario_indirect_prod_4506_iotable_2020_xlsx_3[[#This Row],[2037]]+scenario_indirect_prod_1610_iotable_2020_xlsx_3[[#This Row],[2037]]</f>
        <v>11679.160625601808</v>
      </c>
      <c r="O357">
        <f>scenario_indirect_prod_4506_iotable_2020_xlsx_3[[#This Row],[2038]]+scenario_indirect_prod_1610_iotable_2020_xlsx_3[[#This Row],[2038]]</f>
        <v>11679.160625601808</v>
      </c>
      <c r="P357">
        <f>scenario_indirect_prod_4506_iotable_2020_xlsx_3[[#This Row],[2039]]+scenario_indirect_prod_1610_iotable_2020_xlsx_3[[#This Row],[2039]]</f>
        <v>11679.160625601808</v>
      </c>
      <c r="Q357">
        <f>scenario_indirect_prod_4506_iotable_2020_xlsx_3[[#This Row],[2040]]+scenario_indirect_prod_1610_iotable_2020_xlsx_3[[#This Row],[2040]]</f>
        <v>12071.249658795317</v>
      </c>
      <c r="R357">
        <f>scenario_indirect_prod_4506_iotable_2020_xlsx_3[[#This Row],[2041]]+scenario_indirect_prod_1610_iotable_2020_xlsx_3[[#This Row],[2041]]</f>
        <v>12071.249658795317</v>
      </c>
      <c r="S357">
        <f>scenario_indirect_prod_4506_iotable_2020_xlsx_3[[#This Row],[2042]]+scenario_indirect_prod_1610_iotable_2020_xlsx_3[[#This Row],[2042]]</f>
        <v>12516.395844117977</v>
      </c>
      <c r="T357">
        <f>scenario_indirect_prod_4506_iotable_2020_xlsx_3[[#This Row],[2043]]+scenario_indirect_prod_1610_iotable_2020_xlsx_3[[#This Row],[2043]]</f>
        <v>12516.395844117977</v>
      </c>
      <c r="U357">
        <f>scenario_indirect_prod_4506_iotable_2020_xlsx_3[[#This Row],[2044]]+scenario_indirect_prod_1610_iotable_2020_xlsx_3[[#This Row],[2044]]</f>
        <v>12902.268926149965</v>
      </c>
      <c r="V357">
        <f>scenario_indirect_prod_4506_iotable_2020_xlsx_3[[#This Row],[2045]]+scenario_indirect_prod_1610_iotable_2020_xlsx_3[[#This Row],[2045]]</f>
        <v>12902.268926149965</v>
      </c>
      <c r="W357">
        <f>scenario_indirect_prod_4506_iotable_2020_xlsx_3[[#This Row],[2046]]+scenario_indirect_prod_1610_iotable_2020_xlsx_3[[#This Row],[2046]]</f>
        <v>13242.715521671789</v>
      </c>
      <c r="X357">
        <f>scenario_indirect_prod_4506_iotable_2020_xlsx_3[[#This Row],[2047]]+scenario_indirect_prod_1610_iotable_2020_xlsx_3[[#This Row],[2047]]</f>
        <v>13242.715521671789</v>
      </c>
      <c r="Y357">
        <f>scenario_indirect_prod_4506_iotable_2020_xlsx_3[[#This Row],[2048]]+scenario_indirect_prod_1610_iotable_2020_xlsx_3[[#This Row],[2048]]</f>
        <v>13242.715521671789</v>
      </c>
      <c r="Z357">
        <f>scenario_indirect_prod_4506_iotable_2020_xlsx_3[[#This Row],[2049]]+scenario_indirect_prod_1610_iotable_2020_xlsx_3[[#This Row],[2049]]</f>
        <v>13242.715521671789</v>
      </c>
      <c r="AA357">
        <f>scenario_indirect_prod_4506_iotable_2020_xlsx_3[[#This Row],[2050]]+scenario_indirect_prod_1610_iotable_2020_xlsx_3[[#This Row],[2050]]</f>
        <v>13242.715521671789</v>
      </c>
    </row>
    <row r="358" spans="1:27" x14ac:dyDescent="0.2">
      <c r="A358" t="s">
        <v>976</v>
      </c>
      <c r="B358" t="s">
        <v>977</v>
      </c>
      <c r="C358">
        <f>scenario_indirect_prod_4506_iotable_2020_xlsx_3[[#This Row],[2026]]+scenario_indirect_prod_1610_iotable_2020_xlsx_3[[#This Row],[2026]]</f>
        <v>0</v>
      </c>
      <c r="D358">
        <f>scenario_indirect_prod_4506_iotable_2020_xlsx_3[[#This Row],[2027]]+scenario_indirect_prod_1610_iotable_2020_xlsx_3[[#This Row],[2027]]</f>
        <v>0</v>
      </c>
      <c r="E358">
        <f>scenario_indirect_prod_4506_iotable_2020_xlsx_3[[#This Row],[2028]]+scenario_indirect_prod_1610_iotable_2020_xlsx_3[[#This Row],[2028]]</f>
        <v>0</v>
      </c>
      <c r="F358">
        <f>scenario_indirect_prod_4506_iotable_2020_xlsx_3[[#This Row],[2029]]+scenario_indirect_prod_1610_iotable_2020_xlsx_3[[#This Row],[2029]]</f>
        <v>0</v>
      </c>
      <c r="G358">
        <f>scenario_indirect_prod_4506_iotable_2020_xlsx_3[[#This Row],[2030]]+scenario_indirect_prod_1610_iotable_2020_xlsx_3[[#This Row],[2030]]</f>
        <v>0</v>
      </c>
      <c r="H358">
        <f>scenario_indirect_prod_4506_iotable_2020_xlsx_3[[#This Row],[2031]]+scenario_indirect_prod_1610_iotable_2020_xlsx_3[[#This Row],[2031]]</f>
        <v>0</v>
      </c>
      <c r="I358">
        <f>scenario_indirect_prod_4506_iotable_2020_xlsx_3[[#This Row],[2032]]+scenario_indirect_prod_1610_iotable_2020_xlsx_3[[#This Row],[2032]]</f>
        <v>0</v>
      </c>
      <c r="J358">
        <f>scenario_indirect_prod_4506_iotable_2020_xlsx_3[[#This Row],[2033]]+scenario_indirect_prod_1610_iotable_2020_xlsx_3[[#This Row],[2033]]</f>
        <v>0</v>
      </c>
      <c r="K358">
        <f>scenario_indirect_prod_4506_iotable_2020_xlsx_3[[#This Row],[2034]]+scenario_indirect_prod_1610_iotable_2020_xlsx_3[[#This Row],[2034]]</f>
        <v>0</v>
      </c>
      <c r="L358">
        <f>scenario_indirect_prod_4506_iotable_2020_xlsx_3[[#This Row],[2035]]+scenario_indirect_prod_1610_iotable_2020_xlsx_3[[#This Row],[2035]]</f>
        <v>0</v>
      </c>
      <c r="M358">
        <f>scenario_indirect_prod_4506_iotable_2020_xlsx_3[[#This Row],[2036]]+scenario_indirect_prod_1610_iotable_2020_xlsx_3[[#This Row],[2036]]</f>
        <v>0</v>
      </c>
      <c r="N358">
        <f>scenario_indirect_prod_4506_iotable_2020_xlsx_3[[#This Row],[2037]]+scenario_indirect_prod_1610_iotable_2020_xlsx_3[[#This Row],[2037]]</f>
        <v>0</v>
      </c>
      <c r="O358">
        <f>scenario_indirect_prod_4506_iotable_2020_xlsx_3[[#This Row],[2038]]+scenario_indirect_prod_1610_iotable_2020_xlsx_3[[#This Row],[2038]]</f>
        <v>0</v>
      </c>
      <c r="P358">
        <f>scenario_indirect_prod_4506_iotable_2020_xlsx_3[[#This Row],[2039]]+scenario_indirect_prod_1610_iotable_2020_xlsx_3[[#This Row],[2039]]</f>
        <v>0</v>
      </c>
      <c r="Q358">
        <f>scenario_indirect_prod_4506_iotable_2020_xlsx_3[[#This Row],[2040]]+scenario_indirect_prod_1610_iotable_2020_xlsx_3[[#This Row],[2040]]</f>
        <v>0</v>
      </c>
      <c r="R358">
        <f>scenario_indirect_prod_4506_iotable_2020_xlsx_3[[#This Row],[2041]]+scenario_indirect_prod_1610_iotable_2020_xlsx_3[[#This Row],[2041]]</f>
        <v>0</v>
      </c>
      <c r="S358">
        <f>scenario_indirect_prod_4506_iotable_2020_xlsx_3[[#This Row],[2042]]+scenario_indirect_prod_1610_iotable_2020_xlsx_3[[#This Row],[2042]]</f>
        <v>0</v>
      </c>
      <c r="T358">
        <f>scenario_indirect_prod_4506_iotable_2020_xlsx_3[[#This Row],[2043]]+scenario_indirect_prod_1610_iotable_2020_xlsx_3[[#This Row],[2043]]</f>
        <v>0</v>
      </c>
      <c r="U358">
        <f>scenario_indirect_prod_4506_iotable_2020_xlsx_3[[#This Row],[2044]]+scenario_indirect_prod_1610_iotable_2020_xlsx_3[[#This Row],[2044]]</f>
        <v>0</v>
      </c>
      <c r="V358">
        <f>scenario_indirect_prod_4506_iotable_2020_xlsx_3[[#This Row],[2045]]+scenario_indirect_prod_1610_iotable_2020_xlsx_3[[#This Row],[2045]]</f>
        <v>0</v>
      </c>
      <c r="W358">
        <f>scenario_indirect_prod_4506_iotable_2020_xlsx_3[[#This Row],[2046]]+scenario_indirect_prod_1610_iotable_2020_xlsx_3[[#This Row],[2046]]</f>
        <v>0</v>
      </c>
      <c r="X358">
        <f>scenario_indirect_prod_4506_iotable_2020_xlsx_3[[#This Row],[2047]]+scenario_indirect_prod_1610_iotable_2020_xlsx_3[[#This Row],[2047]]</f>
        <v>0</v>
      </c>
      <c r="Y358">
        <f>scenario_indirect_prod_4506_iotable_2020_xlsx_3[[#This Row],[2048]]+scenario_indirect_prod_1610_iotable_2020_xlsx_3[[#This Row],[2048]]</f>
        <v>0</v>
      </c>
      <c r="Z358">
        <f>scenario_indirect_prod_4506_iotable_2020_xlsx_3[[#This Row],[2049]]+scenario_indirect_prod_1610_iotable_2020_xlsx_3[[#This Row],[2049]]</f>
        <v>0</v>
      </c>
      <c r="AA358">
        <f>scenario_indirect_prod_4506_iotable_2020_xlsx_3[[#This Row],[2050]]+scenario_indirect_prod_1610_iotable_2020_xlsx_3[[#This Row],[2050]]</f>
        <v>0</v>
      </c>
    </row>
    <row r="359" spans="1:27" x14ac:dyDescent="0.2">
      <c r="A359" t="s">
        <v>978</v>
      </c>
      <c r="B359" t="s">
        <v>979</v>
      </c>
      <c r="C359">
        <f>scenario_indirect_prod_4506_iotable_2020_xlsx_3[[#This Row],[2026]]+scenario_indirect_prod_1610_iotable_2020_xlsx_3[[#This Row],[2026]]</f>
        <v>0</v>
      </c>
      <c r="D359">
        <f>scenario_indirect_prod_4506_iotable_2020_xlsx_3[[#This Row],[2027]]+scenario_indirect_prod_1610_iotable_2020_xlsx_3[[#This Row],[2027]]</f>
        <v>0</v>
      </c>
      <c r="E359">
        <f>scenario_indirect_prod_4506_iotable_2020_xlsx_3[[#This Row],[2028]]+scenario_indirect_prod_1610_iotable_2020_xlsx_3[[#This Row],[2028]]</f>
        <v>0</v>
      </c>
      <c r="F359">
        <f>scenario_indirect_prod_4506_iotable_2020_xlsx_3[[#This Row],[2029]]+scenario_indirect_prod_1610_iotable_2020_xlsx_3[[#This Row],[2029]]</f>
        <v>0</v>
      </c>
      <c r="G359">
        <f>scenario_indirect_prod_4506_iotable_2020_xlsx_3[[#This Row],[2030]]+scenario_indirect_prod_1610_iotable_2020_xlsx_3[[#This Row],[2030]]</f>
        <v>0</v>
      </c>
      <c r="H359">
        <f>scenario_indirect_prod_4506_iotable_2020_xlsx_3[[#This Row],[2031]]+scenario_indirect_prod_1610_iotable_2020_xlsx_3[[#This Row],[2031]]</f>
        <v>0</v>
      </c>
      <c r="I359">
        <f>scenario_indirect_prod_4506_iotable_2020_xlsx_3[[#This Row],[2032]]+scenario_indirect_prod_1610_iotable_2020_xlsx_3[[#This Row],[2032]]</f>
        <v>0</v>
      </c>
      <c r="J359">
        <f>scenario_indirect_prod_4506_iotable_2020_xlsx_3[[#This Row],[2033]]+scenario_indirect_prod_1610_iotable_2020_xlsx_3[[#This Row],[2033]]</f>
        <v>0</v>
      </c>
      <c r="K359">
        <f>scenario_indirect_prod_4506_iotable_2020_xlsx_3[[#This Row],[2034]]+scenario_indirect_prod_1610_iotable_2020_xlsx_3[[#This Row],[2034]]</f>
        <v>0</v>
      </c>
      <c r="L359">
        <f>scenario_indirect_prod_4506_iotable_2020_xlsx_3[[#This Row],[2035]]+scenario_indirect_prod_1610_iotable_2020_xlsx_3[[#This Row],[2035]]</f>
        <v>0</v>
      </c>
      <c r="M359">
        <f>scenario_indirect_prod_4506_iotable_2020_xlsx_3[[#This Row],[2036]]+scenario_indirect_prod_1610_iotable_2020_xlsx_3[[#This Row],[2036]]</f>
        <v>0</v>
      </c>
      <c r="N359">
        <f>scenario_indirect_prod_4506_iotable_2020_xlsx_3[[#This Row],[2037]]+scenario_indirect_prod_1610_iotable_2020_xlsx_3[[#This Row],[2037]]</f>
        <v>0</v>
      </c>
      <c r="O359">
        <f>scenario_indirect_prod_4506_iotable_2020_xlsx_3[[#This Row],[2038]]+scenario_indirect_prod_1610_iotable_2020_xlsx_3[[#This Row],[2038]]</f>
        <v>0</v>
      </c>
      <c r="P359">
        <f>scenario_indirect_prod_4506_iotable_2020_xlsx_3[[#This Row],[2039]]+scenario_indirect_prod_1610_iotable_2020_xlsx_3[[#This Row],[2039]]</f>
        <v>0</v>
      </c>
      <c r="Q359">
        <f>scenario_indirect_prod_4506_iotable_2020_xlsx_3[[#This Row],[2040]]+scenario_indirect_prod_1610_iotable_2020_xlsx_3[[#This Row],[2040]]</f>
        <v>0</v>
      </c>
      <c r="R359">
        <f>scenario_indirect_prod_4506_iotable_2020_xlsx_3[[#This Row],[2041]]+scenario_indirect_prod_1610_iotable_2020_xlsx_3[[#This Row],[2041]]</f>
        <v>0</v>
      </c>
      <c r="S359">
        <f>scenario_indirect_prod_4506_iotable_2020_xlsx_3[[#This Row],[2042]]+scenario_indirect_prod_1610_iotable_2020_xlsx_3[[#This Row],[2042]]</f>
        <v>0</v>
      </c>
      <c r="T359">
        <f>scenario_indirect_prod_4506_iotable_2020_xlsx_3[[#This Row],[2043]]+scenario_indirect_prod_1610_iotable_2020_xlsx_3[[#This Row],[2043]]</f>
        <v>0</v>
      </c>
      <c r="U359">
        <f>scenario_indirect_prod_4506_iotable_2020_xlsx_3[[#This Row],[2044]]+scenario_indirect_prod_1610_iotable_2020_xlsx_3[[#This Row],[2044]]</f>
        <v>0</v>
      </c>
      <c r="V359">
        <f>scenario_indirect_prod_4506_iotable_2020_xlsx_3[[#This Row],[2045]]+scenario_indirect_prod_1610_iotable_2020_xlsx_3[[#This Row],[2045]]</f>
        <v>0</v>
      </c>
      <c r="W359">
        <f>scenario_indirect_prod_4506_iotable_2020_xlsx_3[[#This Row],[2046]]+scenario_indirect_prod_1610_iotable_2020_xlsx_3[[#This Row],[2046]]</f>
        <v>0</v>
      </c>
      <c r="X359">
        <f>scenario_indirect_prod_4506_iotable_2020_xlsx_3[[#This Row],[2047]]+scenario_indirect_prod_1610_iotable_2020_xlsx_3[[#This Row],[2047]]</f>
        <v>0</v>
      </c>
      <c r="Y359">
        <f>scenario_indirect_prod_4506_iotable_2020_xlsx_3[[#This Row],[2048]]+scenario_indirect_prod_1610_iotable_2020_xlsx_3[[#This Row],[2048]]</f>
        <v>0</v>
      </c>
      <c r="Z359">
        <f>scenario_indirect_prod_4506_iotable_2020_xlsx_3[[#This Row],[2049]]+scenario_indirect_prod_1610_iotable_2020_xlsx_3[[#This Row],[2049]]</f>
        <v>0</v>
      </c>
      <c r="AA359">
        <f>scenario_indirect_prod_4506_iotable_2020_xlsx_3[[#This Row],[2050]]+scenario_indirect_prod_1610_iotable_2020_xlsx_3[[#This Row],[2050]]</f>
        <v>0</v>
      </c>
    </row>
    <row r="360" spans="1:27" x14ac:dyDescent="0.2">
      <c r="A360" t="s">
        <v>980</v>
      </c>
      <c r="B360" t="s">
        <v>981</v>
      </c>
      <c r="C360">
        <f>scenario_indirect_prod_4506_iotable_2020_xlsx_3[[#This Row],[2026]]+scenario_indirect_prod_1610_iotable_2020_xlsx_3[[#This Row],[2026]]</f>
        <v>0</v>
      </c>
      <c r="D360">
        <f>scenario_indirect_prod_4506_iotable_2020_xlsx_3[[#This Row],[2027]]+scenario_indirect_prod_1610_iotable_2020_xlsx_3[[#This Row],[2027]]</f>
        <v>0</v>
      </c>
      <c r="E360">
        <f>scenario_indirect_prod_4506_iotable_2020_xlsx_3[[#This Row],[2028]]+scenario_indirect_prod_1610_iotable_2020_xlsx_3[[#This Row],[2028]]</f>
        <v>0</v>
      </c>
      <c r="F360">
        <f>scenario_indirect_prod_4506_iotable_2020_xlsx_3[[#This Row],[2029]]+scenario_indirect_prod_1610_iotable_2020_xlsx_3[[#This Row],[2029]]</f>
        <v>0</v>
      </c>
      <c r="G360">
        <f>scenario_indirect_prod_4506_iotable_2020_xlsx_3[[#This Row],[2030]]+scenario_indirect_prod_1610_iotable_2020_xlsx_3[[#This Row],[2030]]</f>
        <v>0</v>
      </c>
      <c r="H360">
        <f>scenario_indirect_prod_4506_iotable_2020_xlsx_3[[#This Row],[2031]]+scenario_indirect_prod_1610_iotable_2020_xlsx_3[[#This Row],[2031]]</f>
        <v>0</v>
      </c>
      <c r="I360">
        <f>scenario_indirect_prod_4506_iotable_2020_xlsx_3[[#This Row],[2032]]+scenario_indirect_prod_1610_iotable_2020_xlsx_3[[#This Row],[2032]]</f>
        <v>0</v>
      </c>
      <c r="J360">
        <f>scenario_indirect_prod_4506_iotable_2020_xlsx_3[[#This Row],[2033]]+scenario_indirect_prod_1610_iotable_2020_xlsx_3[[#This Row],[2033]]</f>
        <v>0</v>
      </c>
      <c r="K360">
        <f>scenario_indirect_prod_4506_iotable_2020_xlsx_3[[#This Row],[2034]]+scenario_indirect_prod_1610_iotable_2020_xlsx_3[[#This Row],[2034]]</f>
        <v>0</v>
      </c>
      <c r="L360">
        <f>scenario_indirect_prod_4506_iotable_2020_xlsx_3[[#This Row],[2035]]+scenario_indirect_prod_1610_iotable_2020_xlsx_3[[#This Row],[2035]]</f>
        <v>0</v>
      </c>
      <c r="M360">
        <f>scenario_indirect_prod_4506_iotable_2020_xlsx_3[[#This Row],[2036]]+scenario_indirect_prod_1610_iotable_2020_xlsx_3[[#This Row],[2036]]</f>
        <v>0</v>
      </c>
      <c r="N360">
        <f>scenario_indirect_prod_4506_iotable_2020_xlsx_3[[#This Row],[2037]]+scenario_indirect_prod_1610_iotable_2020_xlsx_3[[#This Row],[2037]]</f>
        <v>0</v>
      </c>
      <c r="O360">
        <f>scenario_indirect_prod_4506_iotable_2020_xlsx_3[[#This Row],[2038]]+scenario_indirect_prod_1610_iotable_2020_xlsx_3[[#This Row],[2038]]</f>
        <v>0</v>
      </c>
      <c r="P360">
        <f>scenario_indirect_prod_4506_iotable_2020_xlsx_3[[#This Row],[2039]]+scenario_indirect_prod_1610_iotable_2020_xlsx_3[[#This Row],[2039]]</f>
        <v>0</v>
      </c>
      <c r="Q360">
        <f>scenario_indirect_prod_4506_iotable_2020_xlsx_3[[#This Row],[2040]]+scenario_indirect_prod_1610_iotable_2020_xlsx_3[[#This Row],[2040]]</f>
        <v>0</v>
      </c>
      <c r="R360">
        <f>scenario_indirect_prod_4506_iotable_2020_xlsx_3[[#This Row],[2041]]+scenario_indirect_prod_1610_iotable_2020_xlsx_3[[#This Row],[2041]]</f>
        <v>0</v>
      </c>
      <c r="S360">
        <f>scenario_indirect_prod_4506_iotable_2020_xlsx_3[[#This Row],[2042]]+scenario_indirect_prod_1610_iotable_2020_xlsx_3[[#This Row],[2042]]</f>
        <v>0</v>
      </c>
      <c r="T360">
        <f>scenario_indirect_prod_4506_iotable_2020_xlsx_3[[#This Row],[2043]]+scenario_indirect_prod_1610_iotable_2020_xlsx_3[[#This Row],[2043]]</f>
        <v>0</v>
      </c>
      <c r="U360">
        <f>scenario_indirect_prod_4506_iotable_2020_xlsx_3[[#This Row],[2044]]+scenario_indirect_prod_1610_iotable_2020_xlsx_3[[#This Row],[2044]]</f>
        <v>0</v>
      </c>
      <c r="V360">
        <f>scenario_indirect_prod_4506_iotable_2020_xlsx_3[[#This Row],[2045]]+scenario_indirect_prod_1610_iotable_2020_xlsx_3[[#This Row],[2045]]</f>
        <v>0</v>
      </c>
      <c r="W360">
        <f>scenario_indirect_prod_4506_iotable_2020_xlsx_3[[#This Row],[2046]]+scenario_indirect_prod_1610_iotable_2020_xlsx_3[[#This Row],[2046]]</f>
        <v>0</v>
      </c>
      <c r="X360">
        <f>scenario_indirect_prod_4506_iotable_2020_xlsx_3[[#This Row],[2047]]+scenario_indirect_prod_1610_iotable_2020_xlsx_3[[#This Row],[2047]]</f>
        <v>0</v>
      </c>
      <c r="Y360">
        <f>scenario_indirect_prod_4506_iotable_2020_xlsx_3[[#This Row],[2048]]+scenario_indirect_prod_1610_iotable_2020_xlsx_3[[#This Row],[2048]]</f>
        <v>0</v>
      </c>
      <c r="Z360">
        <f>scenario_indirect_prod_4506_iotable_2020_xlsx_3[[#This Row],[2049]]+scenario_indirect_prod_1610_iotable_2020_xlsx_3[[#This Row],[2049]]</f>
        <v>0</v>
      </c>
      <c r="AA360">
        <f>scenario_indirect_prod_4506_iotable_2020_xlsx_3[[#This Row],[2050]]+scenario_indirect_prod_1610_iotable_2020_xlsx_3[[#This Row],[2050]]</f>
        <v>0</v>
      </c>
    </row>
    <row r="361" spans="1:27" x14ac:dyDescent="0.2">
      <c r="A361" t="s">
        <v>538</v>
      </c>
      <c r="B361" t="s">
        <v>539</v>
      </c>
      <c r="C361">
        <f>scenario_indirect_prod_4506_iotable_2020_xlsx_3[[#This Row],[2026]]+scenario_indirect_prod_1610_iotable_2020_xlsx_3[[#This Row],[2026]]</f>
        <v>11805.899091182204</v>
      </c>
      <c r="D361">
        <f>scenario_indirect_prod_4506_iotable_2020_xlsx_3[[#This Row],[2027]]+scenario_indirect_prod_1610_iotable_2020_xlsx_3[[#This Row],[2027]]</f>
        <v>12355.527663897798</v>
      </c>
      <c r="E361">
        <f>scenario_indirect_prod_4506_iotable_2020_xlsx_3[[#This Row],[2028]]+scenario_indirect_prod_1610_iotable_2020_xlsx_3[[#This Row],[2028]]</f>
        <v>12902.315502272406</v>
      </c>
      <c r="F361">
        <f>scenario_indirect_prod_4506_iotable_2020_xlsx_3[[#This Row],[2029]]+scenario_indirect_prod_1610_iotable_2020_xlsx_3[[#This Row],[2029]]</f>
        <v>13511.402578801399</v>
      </c>
      <c r="G361">
        <f>scenario_indirect_prod_4506_iotable_2020_xlsx_3[[#This Row],[2030]]+scenario_indirect_prod_1610_iotable_2020_xlsx_3[[#This Row],[2030]]</f>
        <v>14875.927573765308</v>
      </c>
      <c r="H361">
        <f>scenario_indirect_prod_4506_iotable_2020_xlsx_3[[#This Row],[2031]]+scenario_indirect_prod_1610_iotable_2020_xlsx_3[[#This Row],[2031]]</f>
        <v>15613.653517555846</v>
      </c>
      <c r="I361">
        <f>scenario_indirect_prod_4506_iotable_2020_xlsx_3[[#This Row],[2032]]+scenario_indirect_prod_1610_iotable_2020_xlsx_3[[#This Row],[2032]]</f>
        <v>16643.953448992936</v>
      </c>
      <c r="J361">
        <f>scenario_indirect_prod_4506_iotable_2020_xlsx_3[[#This Row],[2033]]+scenario_indirect_prod_1610_iotable_2020_xlsx_3[[#This Row],[2033]]</f>
        <v>19277.23753916362</v>
      </c>
      <c r="K361">
        <f>scenario_indirect_prod_4506_iotable_2020_xlsx_3[[#This Row],[2034]]+scenario_indirect_prod_1610_iotable_2020_xlsx_3[[#This Row],[2034]]</f>
        <v>20235.985343283195</v>
      </c>
      <c r="L361">
        <f>scenario_indirect_prod_4506_iotable_2020_xlsx_3[[#This Row],[2035]]+scenario_indirect_prod_1610_iotable_2020_xlsx_3[[#This Row],[2035]]</f>
        <v>23916.572144817586</v>
      </c>
      <c r="M361">
        <f>scenario_indirect_prod_4506_iotable_2020_xlsx_3[[#This Row],[2036]]+scenario_indirect_prod_1610_iotable_2020_xlsx_3[[#This Row],[2036]]</f>
        <v>25622.35135192244</v>
      </c>
      <c r="N361">
        <f>scenario_indirect_prod_4506_iotable_2020_xlsx_3[[#This Row],[2037]]+scenario_indirect_prod_1610_iotable_2020_xlsx_3[[#This Row],[2037]]</f>
        <v>27152.291947240683</v>
      </c>
      <c r="O361">
        <f>scenario_indirect_prod_4506_iotable_2020_xlsx_3[[#This Row],[2038]]+scenario_indirect_prod_1610_iotable_2020_xlsx_3[[#This Row],[2038]]</f>
        <v>27152.291947240683</v>
      </c>
      <c r="P361">
        <f>scenario_indirect_prod_4506_iotable_2020_xlsx_3[[#This Row],[2039]]+scenario_indirect_prod_1610_iotable_2020_xlsx_3[[#This Row],[2039]]</f>
        <v>27152.291947240683</v>
      </c>
      <c r="Q361">
        <f>scenario_indirect_prod_4506_iotable_2020_xlsx_3[[#This Row],[2040]]+scenario_indirect_prod_1610_iotable_2020_xlsx_3[[#This Row],[2040]]</f>
        <v>28488.800947658492</v>
      </c>
      <c r="R361">
        <f>scenario_indirect_prod_4506_iotable_2020_xlsx_3[[#This Row],[2041]]+scenario_indirect_prod_1610_iotable_2020_xlsx_3[[#This Row],[2041]]</f>
        <v>28488.800947658492</v>
      </c>
      <c r="S361">
        <f>scenario_indirect_prod_4506_iotable_2020_xlsx_3[[#This Row],[2042]]+scenario_indirect_prod_1610_iotable_2020_xlsx_3[[#This Row],[2042]]</f>
        <v>29984.929159183448</v>
      </c>
      <c r="T361">
        <f>scenario_indirect_prod_4506_iotable_2020_xlsx_3[[#This Row],[2043]]+scenario_indirect_prod_1610_iotable_2020_xlsx_3[[#This Row],[2043]]</f>
        <v>29984.929159183448</v>
      </c>
      <c r="U361">
        <f>scenario_indirect_prod_4506_iotable_2020_xlsx_3[[#This Row],[2044]]+scenario_indirect_prod_1610_iotable_2020_xlsx_3[[#This Row],[2044]]</f>
        <v>31344.329905763967</v>
      </c>
      <c r="V361">
        <f>scenario_indirect_prod_4506_iotable_2020_xlsx_3[[#This Row],[2045]]+scenario_indirect_prod_1610_iotable_2020_xlsx_3[[#This Row],[2045]]</f>
        <v>31344.329905763967</v>
      </c>
      <c r="W361">
        <f>scenario_indirect_prod_4506_iotable_2020_xlsx_3[[#This Row],[2046]]+scenario_indirect_prod_1610_iotable_2020_xlsx_3[[#This Row],[2046]]</f>
        <v>32521.944035851993</v>
      </c>
      <c r="X361">
        <f>scenario_indirect_prod_4506_iotable_2020_xlsx_3[[#This Row],[2047]]+scenario_indirect_prod_1610_iotable_2020_xlsx_3[[#This Row],[2047]]</f>
        <v>32521.944035851993</v>
      </c>
      <c r="Y361">
        <f>scenario_indirect_prod_4506_iotable_2020_xlsx_3[[#This Row],[2048]]+scenario_indirect_prod_1610_iotable_2020_xlsx_3[[#This Row],[2048]]</f>
        <v>32521.944035851993</v>
      </c>
      <c r="Z361">
        <f>scenario_indirect_prod_4506_iotable_2020_xlsx_3[[#This Row],[2049]]+scenario_indirect_prod_1610_iotable_2020_xlsx_3[[#This Row],[2049]]</f>
        <v>32521.944035851993</v>
      </c>
      <c r="AA361">
        <f>scenario_indirect_prod_4506_iotable_2020_xlsx_3[[#This Row],[2050]]+scenario_indirect_prod_1610_iotable_2020_xlsx_3[[#This Row],[2050]]</f>
        <v>32521.944035851993</v>
      </c>
    </row>
    <row r="362" spans="1:27" x14ac:dyDescent="0.2">
      <c r="A362" t="s">
        <v>910</v>
      </c>
      <c r="B362" t="s">
        <v>911</v>
      </c>
      <c r="C362">
        <f>scenario_indirect_prod_4506_iotable_2020_xlsx_3[[#This Row],[2026]]+scenario_indirect_prod_1610_iotable_2020_xlsx_3[[#This Row],[2026]]</f>
        <v>137.83340167248227</v>
      </c>
      <c r="D362">
        <f>scenario_indirect_prod_4506_iotable_2020_xlsx_3[[#This Row],[2027]]+scenario_indirect_prod_1610_iotable_2020_xlsx_3[[#This Row],[2027]]</f>
        <v>135.6609272651165</v>
      </c>
      <c r="E362">
        <f>scenario_indirect_prod_4506_iotable_2020_xlsx_3[[#This Row],[2028]]+scenario_indirect_prod_1610_iotable_2020_xlsx_3[[#This Row],[2028]]</f>
        <v>142.55517230001573</v>
      </c>
      <c r="F362">
        <f>scenario_indirect_prod_4506_iotable_2020_xlsx_3[[#This Row],[2029]]+scenario_indirect_prod_1610_iotable_2020_xlsx_3[[#This Row],[2029]]</f>
        <v>146.59391006877198</v>
      </c>
      <c r="G362">
        <f>scenario_indirect_prod_4506_iotable_2020_xlsx_3[[#This Row],[2030]]+scenario_indirect_prod_1610_iotable_2020_xlsx_3[[#This Row],[2030]]</f>
        <v>132.93618293975686</v>
      </c>
      <c r="H362">
        <f>scenario_indirect_prod_4506_iotable_2020_xlsx_3[[#This Row],[2031]]+scenario_indirect_prod_1610_iotable_2020_xlsx_3[[#This Row],[2031]]</f>
        <v>142.23789572146973</v>
      </c>
      <c r="I362">
        <f>scenario_indirect_prod_4506_iotable_2020_xlsx_3[[#This Row],[2032]]+scenario_indirect_prod_1610_iotable_2020_xlsx_3[[#This Row],[2032]]</f>
        <v>155.22856538940187</v>
      </c>
      <c r="J362">
        <f>scenario_indirect_prod_4506_iotable_2020_xlsx_3[[#This Row],[2033]]+scenario_indirect_prod_1610_iotable_2020_xlsx_3[[#This Row],[2033]]</f>
        <v>171.21396836155026</v>
      </c>
      <c r="K362">
        <f>scenario_indirect_prod_4506_iotable_2020_xlsx_3[[#This Row],[2034]]+scenario_indirect_prod_1610_iotable_2020_xlsx_3[[#This Row],[2034]]</f>
        <v>183.30246379685565</v>
      </c>
      <c r="L362">
        <f>scenario_indirect_prod_4506_iotable_2020_xlsx_3[[#This Row],[2035]]+scenario_indirect_prod_1610_iotable_2020_xlsx_3[[#This Row],[2035]]</f>
        <v>207.91533053975024</v>
      </c>
      <c r="M362">
        <f>scenario_indirect_prod_4506_iotable_2020_xlsx_3[[#This Row],[2036]]+scenario_indirect_prod_1610_iotable_2020_xlsx_3[[#This Row],[2036]]</f>
        <v>215.1175268704458</v>
      </c>
      <c r="N362">
        <f>scenario_indirect_prod_4506_iotable_2020_xlsx_3[[#This Row],[2037]]+scenario_indirect_prod_1610_iotable_2020_xlsx_3[[#This Row],[2037]]</f>
        <v>221.90216835946197</v>
      </c>
      <c r="O362">
        <f>scenario_indirect_prod_4506_iotable_2020_xlsx_3[[#This Row],[2038]]+scenario_indirect_prod_1610_iotable_2020_xlsx_3[[#This Row],[2038]]</f>
        <v>221.90216835946197</v>
      </c>
      <c r="P362">
        <f>scenario_indirect_prod_4506_iotable_2020_xlsx_3[[#This Row],[2039]]+scenario_indirect_prod_1610_iotable_2020_xlsx_3[[#This Row],[2039]]</f>
        <v>221.90216835946197</v>
      </c>
      <c r="Q362">
        <f>scenario_indirect_prod_4506_iotable_2020_xlsx_3[[#This Row],[2040]]+scenario_indirect_prod_1610_iotable_2020_xlsx_3[[#This Row],[2040]]</f>
        <v>227.77477623083365</v>
      </c>
      <c r="R362">
        <f>scenario_indirect_prod_4506_iotable_2020_xlsx_3[[#This Row],[2041]]+scenario_indirect_prod_1610_iotable_2020_xlsx_3[[#This Row],[2041]]</f>
        <v>227.77477623083365</v>
      </c>
      <c r="S362">
        <f>scenario_indirect_prod_4506_iotable_2020_xlsx_3[[#This Row],[2042]]+scenario_indirect_prod_1610_iotable_2020_xlsx_3[[#This Row],[2042]]</f>
        <v>234.520866840358</v>
      </c>
      <c r="T362">
        <f>scenario_indirect_prod_4506_iotable_2020_xlsx_3[[#This Row],[2043]]+scenario_indirect_prod_1610_iotable_2020_xlsx_3[[#This Row],[2043]]</f>
        <v>234.520866840358</v>
      </c>
      <c r="U362">
        <f>scenario_indirect_prod_4506_iotable_2020_xlsx_3[[#This Row],[2044]]+scenario_indirect_prod_1610_iotable_2020_xlsx_3[[#This Row],[2044]]</f>
        <v>240.13679399415679</v>
      </c>
      <c r="V362">
        <f>scenario_indirect_prod_4506_iotable_2020_xlsx_3[[#This Row],[2045]]+scenario_indirect_prod_1610_iotable_2020_xlsx_3[[#This Row],[2045]]</f>
        <v>240.13679399415679</v>
      </c>
      <c r="W362">
        <f>scenario_indirect_prod_4506_iotable_2020_xlsx_3[[#This Row],[2046]]+scenario_indirect_prod_1610_iotable_2020_xlsx_3[[#This Row],[2046]]</f>
        <v>245.17231586007273</v>
      </c>
      <c r="X362">
        <f>scenario_indirect_prod_4506_iotable_2020_xlsx_3[[#This Row],[2047]]+scenario_indirect_prod_1610_iotable_2020_xlsx_3[[#This Row],[2047]]</f>
        <v>245.17231586007273</v>
      </c>
      <c r="Y362">
        <f>scenario_indirect_prod_4506_iotable_2020_xlsx_3[[#This Row],[2048]]+scenario_indirect_prod_1610_iotable_2020_xlsx_3[[#This Row],[2048]]</f>
        <v>245.17231586007273</v>
      </c>
      <c r="Z362">
        <f>scenario_indirect_prod_4506_iotable_2020_xlsx_3[[#This Row],[2049]]+scenario_indirect_prod_1610_iotable_2020_xlsx_3[[#This Row],[2049]]</f>
        <v>245.17231586007273</v>
      </c>
      <c r="AA362">
        <f>scenario_indirect_prod_4506_iotable_2020_xlsx_3[[#This Row],[2050]]+scenario_indirect_prod_1610_iotable_2020_xlsx_3[[#This Row],[2050]]</f>
        <v>245.17231586007273</v>
      </c>
    </row>
    <row r="363" spans="1:27" x14ac:dyDescent="0.2">
      <c r="A363" t="s">
        <v>507</v>
      </c>
      <c r="B363" t="s">
        <v>508</v>
      </c>
      <c r="C363">
        <f>scenario_indirect_prod_4506_iotable_2020_xlsx_3[[#This Row],[2026]]+scenario_indirect_prod_1610_iotable_2020_xlsx_3[[#This Row],[2026]]</f>
        <v>14229.72365194693</v>
      </c>
      <c r="D363">
        <f>scenario_indirect_prod_4506_iotable_2020_xlsx_3[[#This Row],[2027]]+scenario_indirect_prod_1610_iotable_2020_xlsx_3[[#This Row],[2027]]</f>
        <v>14625.522063912307</v>
      </c>
      <c r="E363">
        <f>scenario_indirect_prod_4506_iotable_2020_xlsx_3[[#This Row],[2028]]+scenario_indirect_prod_1610_iotable_2020_xlsx_3[[#This Row],[2028]]</f>
        <v>15300.418823431035</v>
      </c>
      <c r="F363">
        <f>scenario_indirect_prod_4506_iotable_2020_xlsx_3[[#This Row],[2029]]+scenario_indirect_prod_1610_iotable_2020_xlsx_3[[#This Row],[2029]]</f>
        <v>15939.169266707249</v>
      </c>
      <c r="G363">
        <f>scenario_indirect_prod_4506_iotable_2020_xlsx_3[[#This Row],[2030]]+scenario_indirect_prod_1610_iotable_2020_xlsx_3[[#This Row],[2030]]</f>
        <v>16665.211442565756</v>
      </c>
      <c r="H363">
        <f>scenario_indirect_prod_4506_iotable_2020_xlsx_3[[#This Row],[2031]]+scenario_indirect_prod_1610_iotable_2020_xlsx_3[[#This Row],[2031]]</f>
        <v>17575.781894090731</v>
      </c>
      <c r="I363">
        <f>scenario_indirect_prod_4506_iotable_2020_xlsx_3[[#This Row],[2032]]+scenario_indirect_prod_1610_iotable_2020_xlsx_3[[#This Row],[2032]]</f>
        <v>18847.474562176147</v>
      </c>
      <c r="J363">
        <f>scenario_indirect_prod_4506_iotable_2020_xlsx_3[[#This Row],[2033]]+scenario_indirect_prod_1610_iotable_2020_xlsx_3[[#This Row],[2033]]</f>
        <v>21563.196992738754</v>
      </c>
      <c r="K363">
        <f>scenario_indirect_prod_4506_iotable_2020_xlsx_3[[#This Row],[2034]]+scenario_indirect_prod_1610_iotable_2020_xlsx_3[[#This Row],[2034]]</f>
        <v>22746.573324076791</v>
      </c>
      <c r="L363">
        <f>scenario_indirect_prod_4506_iotable_2020_xlsx_3[[#This Row],[2035]]+scenario_indirect_prod_1610_iotable_2020_xlsx_3[[#This Row],[2035]]</f>
        <v>26612.855400228818</v>
      </c>
      <c r="M363">
        <f>scenario_indirect_prod_4506_iotable_2020_xlsx_3[[#This Row],[2036]]+scenario_indirect_prod_1610_iotable_2020_xlsx_3[[#This Row],[2036]]</f>
        <v>28274.152799009513</v>
      </c>
      <c r="N363">
        <f>scenario_indirect_prod_4506_iotable_2020_xlsx_3[[#This Row],[2037]]+scenario_indirect_prod_1610_iotable_2020_xlsx_3[[#This Row],[2037]]</f>
        <v>29774.283330793209</v>
      </c>
      <c r="O363">
        <f>scenario_indirect_prod_4506_iotable_2020_xlsx_3[[#This Row],[2038]]+scenario_indirect_prod_1610_iotable_2020_xlsx_3[[#This Row],[2038]]</f>
        <v>29774.283330793209</v>
      </c>
      <c r="P363">
        <f>scenario_indirect_prod_4506_iotable_2020_xlsx_3[[#This Row],[2039]]+scenario_indirect_prod_1610_iotable_2020_xlsx_3[[#This Row],[2039]]</f>
        <v>29774.283330793209</v>
      </c>
      <c r="Q363">
        <f>scenario_indirect_prod_4506_iotable_2020_xlsx_3[[#This Row],[2040]]+scenario_indirect_prod_1610_iotable_2020_xlsx_3[[#This Row],[2040]]</f>
        <v>31083.067011300242</v>
      </c>
      <c r="R363">
        <f>scenario_indirect_prod_4506_iotable_2020_xlsx_3[[#This Row],[2041]]+scenario_indirect_prod_1610_iotable_2020_xlsx_3[[#This Row],[2041]]</f>
        <v>31083.067011300242</v>
      </c>
      <c r="S363">
        <f>scenario_indirect_prod_4506_iotable_2020_xlsx_3[[#This Row],[2042]]+scenario_indirect_prod_1610_iotable_2020_xlsx_3[[#This Row],[2042]]</f>
        <v>32553.502364786538</v>
      </c>
      <c r="T363">
        <f>scenario_indirect_prod_4506_iotable_2020_xlsx_3[[#This Row],[2043]]+scenario_indirect_prod_1610_iotable_2020_xlsx_3[[#This Row],[2043]]</f>
        <v>32553.502364786538</v>
      </c>
      <c r="U363">
        <f>scenario_indirect_prod_4506_iotable_2020_xlsx_3[[#This Row],[2044]]+scenario_indirect_prod_1610_iotable_2020_xlsx_3[[#This Row],[2044]]</f>
        <v>33873.61092001549</v>
      </c>
      <c r="V363">
        <f>scenario_indirect_prod_4506_iotable_2020_xlsx_3[[#This Row],[2045]]+scenario_indirect_prod_1610_iotable_2020_xlsx_3[[#This Row],[2045]]</f>
        <v>33873.61092001549</v>
      </c>
      <c r="W363">
        <f>scenario_indirect_prod_4506_iotable_2020_xlsx_3[[#This Row],[2046]]+scenario_indirect_prod_1610_iotable_2020_xlsx_3[[#This Row],[2046]]</f>
        <v>35022.483430145272</v>
      </c>
      <c r="X363">
        <f>scenario_indirect_prod_4506_iotable_2020_xlsx_3[[#This Row],[2047]]+scenario_indirect_prod_1610_iotable_2020_xlsx_3[[#This Row],[2047]]</f>
        <v>35022.483430145272</v>
      </c>
      <c r="Y363">
        <f>scenario_indirect_prod_4506_iotable_2020_xlsx_3[[#This Row],[2048]]+scenario_indirect_prod_1610_iotable_2020_xlsx_3[[#This Row],[2048]]</f>
        <v>35022.483430145272</v>
      </c>
      <c r="Z363">
        <f>scenario_indirect_prod_4506_iotable_2020_xlsx_3[[#This Row],[2049]]+scenario_indirect_prod_1610_iotable_2020_xlsx_3[[#This Row],[2049]]</f>
        <v>35022.483430145272</v>
      </c>
      <c r="AA363">
        <f>scenario_indirect_prod_4506_iotable_2020_xlsx_3[[#This Row],[2050]]+scenario_indirect_prod_1610_iotable_2020_xlsx_3[[#This Row],[2050]]</f>
        <v>35022.483430145272</v>
      </c>
    </row>
    <row r="364" spans="1:27" x14ac:dyDescent="0.2">
      <c r="A364" t="s">
        <v>591</v>
      </c>
      <c r="B364" t="s">
        <v>592</v>
      </c>
      <c r="C364">
        <f>scenario_indirect_prod_4506_iotable_2020_xlsx_3[[#This Row],[2026]]+scenario_indirect_prod_1610_iotable_2020_xlsx_3[[#This Row],[2026]]</f>
        <v>6878.2322157693088</v>
      </c>
      <c r="D364">
        <f>scenario_indirect_prod_4506_iotable_2020_xlsx_3[[#This Row],[2027]]+scenario_indirect_prod_1610_iotable_2020_xlsx_3[[#This Row],[2027]]</f>
        <v>6946.5356902324493</v>
      </c>
      <c r="E364">
        <f>scenario_indirect_prod_4506_iotable_2020_xlsx_3[[#This Row],[2028]]+scenario_indirect_prod_1610_iotable_2020_xlsx_3[[#This Row],[2028]]</f>
        <v>7280.0725160364091</v>
      </c>
      <c r="F364">
        <f>scenario_indirect_prod_4506_iotable_2020_xlsx_3[[#This Row],[2029]]+scenario_indirect_prod_1610_iotable_2020_xlsx_3[[#This Row],[2029]]</f>
        <v>7544.8249664996138</v>
      </c>
      <c r="G364">
        <f>scenario_indirect_prod_4506_iotable_2020_xlsx_3[[#This Row],[2030]]+scenario_indirect_prod_1610_iotable_2020_xlsx_3[[#This Row],[2030]]</f>
        <v>7472.0163257830718</v>
      </c>
      <c r="H364">
        <f>scenario_indirect_prod_4506_iotable_2020_xlsx_3[[#This Row],[2031]]+scenario_indirect_prod_1610_iotable_2020_xlsx_3[[#This Row],[2031]]</f>
        <v>7922.0240844350665</v>
      </c>
      <c r="I364">
        <f>scenario_indirect_prod_4506_iotable_2020_xlsx_3[[#This Row],[2032]]+scenario_indirect_prod_1610_iotable_2020_xlsx_3[[#This Row],[2032]]</f>
        <v>8550.4999660111553</v>
      </c>
      <c r="J364">
        <f>scenario_indirect_prod_4506_iotable_2020_xlsx_3[[#This Row],[2033]]+scenario_indirect_prod_1610_iotable_2020_xlsx_3[[#This Row],[2033]]</f>
        <v>9651.8406350573187</v>
      </c>
      <c r="K364">
        <f>scenario_indirect_prod_4506_iotable_2020_xlsx_3[[#This Row],[2034]]+scenario_indirect_prod_1610_iotable_2020_xlsx_3[[#This Row],[2034]]</f>
        <v>10236.670210424498</v>
      </c>
      <c r="L364">
        <f>scenario_indirect_prod_4506_iotable_2020_xlsx_3[[#This Row],[2035]]+scenario_indirect_prod_1610_iotable_2020_xlsx_3[[#This Row],[2035]]</f>
        <v>11842.603345219013</v>
      </c>
      <c r="M364">
        <f>scenario_indirect_prod_4506_iotable_2020_xlsx_3[[#This Row],[2036]]+scenario_indirect_prod_1610_iotable_2020_xlsx_3[[#This Row],[2036]]</f>
        <v>12463.558953867265</v>
      </c>
      <c r="N364">
        <f>scenario_indirect_prod_4506_iotable_2020_xlsx_3[[#This Row],[2037]]+scenario_indirect_prod_1610_iotable_2020_xlsx_3[[#This Row],[2037]]</f>
        <v>13030.032180961452</v>
      </c>
      <c r="O364">
        <f>scenario_indirect_prod_4506_iotable_2020_xlsx_3[[#This Row],[2038]]+scenario_indirect_prod_1610_iotable_2020_xlsx_3[[#This Row],[2038]]</f>
        <v>13030.032180961452</v>
      </c>
      <c r="P364">
        <f>scenario_indirect_prod_4506_iotable_2020_xlsx_3[[#This Row],[2039]]+scenario_indirect_prod_1610_iotable_2020_xlsx_3[[#This Row],[2039]]</f>
        <v>13030.032180961452</v>
      </c>
      <c r="Q364">
        <f>scenario_indirect_prod_4506_iotable_2020_xlsx_3[[#This Row],[2040]]+scenario_indirect_prod_1610_iotable_2020_xlsx_3[[#This Row],[2040]]</f>
        <v>13523.294781990193</v>
      </c>
      <c r="R364">
        <f>scenario_indirect_prod_4506_iotable_2020_xlsx_3[[#This Row],[2041]]+scenario_indirect_prod_1610_iotable_2020_xlsx_3[[#This Row],[2041]]</f>
        <v>13523.294781990193</v>
      </c>
      <c r="S364">
        <f>scenario_indirect_prod_4506_iotable_2020_xlsx_3[[#This Row],[2042]]+scenario_indirect_prod_1610_iotable_2020_xlsx_3[[#This Row],[2042]]</f>
        <v>14080.515705756503</v>
      </c>
      <c r="T364">
        <f>scenario_indirect_prod_4506_iotable_2020_xlsx_3[[#This Row],[2043]]+scenario_indirect_prod_1610_iotable_2020_xlsx_3[[#This Row],[2043]]</f>
        <v>14080.515705756503</v>
      </c>
      <c r="U364">
        <f>scenario_indirect_prod_4506_iotable_2020_xlsx_3[[#This Row],[2044]]+scenario_indirect_prod_1610_iotable_2020_xlsx_3[[#This Row],[2044]]</f>
        <v>14571.748720808029</v>
      </c>
      <c r="V364">
        <f>scenario_indirect_prod_4506_iotable_2020_xlsx_3[[#This Row],[2045]]+scenario_indirect_prod_1610_iotable_2020_xlsx_3[[#This Row],[2045]]</f>
        <v>14571.748720808029</v>
      </c>
      <c r="W364">
        <f>scenario_indirect_prod_4506_iotable_2020_xlsx_3[[#This Row],[2046]]+scenario_indirect_prod_1610_iotable_2020_xlsx_3[[#This Row],[2046]]</f>
        <v>15002.294455259887</v>
      </c>
      <c r="X364">
        <f>scenario_indirect_prod_4506_iotable_2020_xlsx_3[[#This Row],[2047]]+scenario_indirect_prod_1610_iotable_2020_xlsx_3[[#This Row],[2047]]</f>
        <v>15002.294455259887</v>
      </c>
      <c r="Y364">
        <f>scenario_indirect_prod_4506_iotable_2020_xlsx_3[[#This Row],[2048]]+scenario_indirect_prod_1610_iotable_2020_xlsx_3[[#This Row],[2048]]</f>
        <v>15002.294455259887</v>
      </c>
      <c r="Z364">
        <f>scenario_indirect_prod_4506_iotable_2020_xlsx_3[[#This Row],[2049]]+scenario_indirect_prod_1610_iotable_2020_xlsx_3[[#This Row],[2049]]</f>
        <v>15002.294455259887</v>
      </c>
      <c r="AA364">
        <f>scenario_indirect_prod_4506_iotable_2020_xlsx_3[[#This Row],[2050]]+scenario_indirect_prod_1610_iotable_2020_xlsx_3[[#This Row],[2050]]</f>
        <v>15002.294455259887</v>
      </c>
    </row>
    <row r="365" spans="1:27" x14ac:dyDescent="0.2">
      <c r="A365" t="s">
        <v>982</v>
      </c>
      <c r="B365" t="s">
        <v>983</v>
      </c>
      <c r="C365">
        <f>scenario_indirect_prod_4506_iotable_2020_xlsx_3[[#This Row],[2026]]+scenario_indirect_prod_1610_iotable_2020_xlsx_3[[#This Row],[2026]]</f>
        <v>0</v>
      </c>
      <c r="D365">
        <f>scenario_indirect_prod_4506_iotable_2020_xlsx_3[[#This Row],[2027]]+scenario_indirect_prod_1610_iotable_2020_xlsx_3[[#This Row],[2027]]</f>
        <v>0</v>
      </c>
      <c r="E365">
        <f>scenario_indirect_prod_4506_iotable_2020_xlsx_3[[#This Row],[2028]]+scenario_indirect_prod_1610_iotable_2020_xlsx_3[[#This Row],[2028]]</f>
        <v>0</v>
      </c>
      <c r="F365">
        <f>scenario_indirect_prod_4506_iotable_2020_xlsx_3[[#This Row],[2029]]+scenario_indirect_prod_1610_iotable_2020_xlsx_3[[#This Row],[2029]]</f>
        <v>0</v>
      </c>
      <c r="G365">
        <f>scenario_indirect_prod_4506_iotable_2020_xlsx_3[[#This Row],[2030]]+scenario_indirect_prod_1610_iotable_2020_xlsx_3[[#This Row],[2030]]</f>
        <v>0</v>
      </c>
      <c r="H365">
        <f>scenario_indirect_prod_4506_iotable_2020_xlsx_3[[#This Row],[2031]]+scenario_indirect_prod_1610_iotable_2020_xlsx_3[[#This Row],[2031]]</f>
        <v>0</v>
      </c>
      <c r="I365">
        <f>scenario_indirect_prod_4506_iotable_2020_xlsx_3[[#This Row],[2032]]+scenario_indirect_prod_1610_iotable_2020_xlsx_3[[#This Row],[2032]]</f>
        <v>0</v>
      </c>
      <c r="J365">
        <f>scenario_indirect_prod_4506_iotable_2020_xlsx_3[[#This Row],[2033]]+scenario_indirect_prod_1610_iotable_2020_xlsx_3[[#This Row],[2033]]</f>
        <v>0</v>
      </c>
      <c r="K365">
        <f>scenario_indirect_prod_4506_iotable_2020_xlsx_3[[#This Row],[2034]]+scenario_indirect_prod_1610_iotable_2020_xlsx_3[[#This Row],[2034]]</f>
        <v>0</v>
      </c>
      <c r="L365">
        <f>scenario_indirect_prod_4506_iotable_2020_xlsx_3[[#This Row],[2035]]+scenario_indirect_prod_1610_iotable_2020_xlsx_3[[#This Row],[2035]]</f>
        <v>0</v>
      </c>
      <c r="M365">
        <f>scenario_indirect_prod_4506_iotable_2020_xlsx_3[[#This Row],[2036]]+scenario_indirect_prod_1610_iotable_2020_xlsx_3[[#This Row],[2036]]</f>
        <v>0</v>
      </c>
      <c r="N365">
        <f>scenario_indirect_prod_4506_iotable_2020_xlsx_3[[#This Row],[2037]]+scenario_indirect_prod_1610_iotable_2020_xlsx_3[[#This Row],[2037]]</f>
        <v>0</v>
      </c>
      <c r="O365">
        <f>scenario_indirect_prod_4506_iotable_2020_xlsx_3[[#This Row],[2038]]+scenario_indirect_prod_1610_iotable_2020_xlsx_3[[#This Row],[2038]]</f>
        <v>0</v>
      </c>
      <c r="P365">
        <f>scenario_indirect_prod_4506_iotable_2020_xlsx_3[[#This Row],[2039]]+scenario_indirect_prod_1610_iotable_2020_xlsx_3[[#This Row],[2039]]</f>
        <v>0</v>
      </c>
      <c r="Q365">
        <f>scenario_indirect_prod_4506_iotable_2020_xlsx_3[[#This Row],[2040]]+scenario_indirect_prod_1610_iotable_2020_xlsx_3[[#This Row],[2040]]</f>
        <v>0</v>
      </c>
      <c r="R365">
        <f>scenario_indirect_prod_4506_iotable_2020_xlsx_3[[#This Row],[2041]]+scenario_indirect_prod_1610_iotable_2020_xlsx_3[[#This Row],[2041]]</f>
        <v>0</v>
      </c>
      <c r="S365">
        <f>scenario_indirect_prod_4506_iotable_2020_xlsx_3[[#This Row],[2042]]+scenario_indirect_prod_1610_iotable_2020_xlsx_3[[#This Row],[2042]]</f>
        <v>0</v>
      </c>
      <c r="T365">
        <f>scenario_indirect_prod_4506_iotable_2020_xlsx_3[[#This Row],[2043]]+scenario_indirect_prod_1610_iotable_2020_xlsx_3[[#This Row],[2043]]</f>
        <v>0</v>
      </c>
      <c r="U365">
        <f>scenario_indirect_prod_4506_iotable_2020_xlsx_3[[#This Row],[2044]]+scenario_indirect_prod_1610_iotable_2020_xlsx_3[[#This Row],[2044]]</f>
        <v>0</v>
      </c>
      <c r="V365">
        <f>scenario_indirect_prod_4506_iotable_2020_xlsx_3[[#This Row],[2045]]+scenario_indirect_prod_1610_iotable_2020_xlsx_3[[#This Row],[2045]]</f>
        <v>0</v>
      </c>
      <c r="W365">
        <f>scenario_indirect_prod_4506_iotable_2020_xlsx_3[[#This Row],[2046]]+scenario_indirect_prod_1610_iotable_2020_xlsx_3[[#This Row],[2046]]</f>
        <v>0</v>
      </c>
      <c r="X365">
        <f>scenario_indirect_prod_4506_iotable_2020_xlsx_3[[#This Row],[2047]]+scenario_indirect_prod_1610_iotable_2020_xlsx_3[[#This Row],[2047]]</f>
        <v>0</v>
      </c>
      <c r="Y365">
        <f>scenario_indirect_prod_4506_iotable_2020_xlsx_3[[#This Row],[2048]]+scenario_indirect_prod_1610_iotable_2020_xlsx_3[[#This Row],[2048]]</f>
        <v>0</v>
      </c>
      <c r="Z365">
        <f>scenario_indirect_prod_4506_iotable_2020_xlsx_3[[#This Row],[2049]]+scenario_indirect_prod_1610_iotable_2020_xlsx_3[[#This Row],[2049]]</f>
        <v>0</v>
      </c>
      <c r="AA365">
        <f>scenario_indirect_prod_4506_iotable_2020_xlsx_3[[#This Row],[2050]]+scenario_indirect_prod_1610_iotable_2020_xlsx_3[[#This Row],[2050]]</f>
        <v>0</v>
      </c>
    </row>
    <row r="366" spans="1:27" x14ac:dyDescent="0.2">
      <c r="A366" t="s">
        <v>984</v>
      </c>
      <c r="B366" t="s">
        <v>985</v>
      </c>
      <c r="C366">
        <f>scenario_indirect_prod_4506_iotable_2020_xlsx_3[[#This Row],[2026]]+scenario_indirect_prod_1610_iotable_2020_xlsx_3[[#This Row],[2026]]</f>
        <v>0</v>
      </c>
      <c r="D366">
        <f>scenario_indirect_prod_4506_iotable_2020_xlsx_3[[#This Row],[2027]]+scenario_indirect_prod_1610_iotable_2020_xlsx_3[[#This Row],[2027]]</f>
        <v>0</v>
      </c>
      <c r="E366">
        <f>scenario_indirect_prod_4506_iotable_2020_xlsx_3[[#This Row],[2028]]+scenario_indirect_prod_1610_iotable_2020_xlsx_3[[#This Row],[2028]]</f>
        <v>0</v>
      </c>
      <c r="F366">
        <f>scenario_indirect_prod_4506_iotable_2020_xlsx_3[[#This Row],[2029]]+scenario_indirect_prod_1610_iotable_2020_xlsx_3[[#This Row],[2029]]</f>
        <v>0</v>
      </c>
      <c r="G366">
        <f>scenario_indirect_prod_4506_iotable_2020_xlsx_3[[#This Row],[2030]]+scenario_indirect_prod_1610_iotable_2020_xlsx_3[[#This Row],[2030]]</f>
        <v>0</v>
      </c>
      <c r="H366">
        <f>scenario_indirect_prod_4506_iotable_2020_xlsx_3[[#This Row],[2031]]+scenario_indirect_prod_1610_iotable_2020_xlsx_3[[#This Row],[2031]]</f>
        <v>0</v>
      </c>
      <c r="I366">
        <f>scenario_indirect_prod_4506_iotable_2020_xlsx_3[[#This Row],[2032]]+scenario_indirect_prod_1610_iotable_2020_xlsx_3[[#This Row],[2032]]</f>
        <v>0</v>
      </c>
      <c r="J366">
        <f>scenario_indirect_prod_4506_iotable_2020_xlsx_3[[#This Row],[2033]]+scenario_indirect_prod_1610_iotable_2020_xlsx_3[[#This Row],[2033]]</f>
        <v>0</v>
      </c>
      <c r="K366">
        <f>scenario_indirect_prod_4506_iotable_2020_xlsx_3[[#This Row],[2034]]+scenario_indirect_prod_1610_iotable_2020_xlsx_3[[#This Row],[2034]]</f>
        <v>0</v>
      </c>
      <c r="L366">
        <f>scenario_indirect_prod_4506_iotable_2020_xlsx_3[[#This Row],[2035]]+scenario_indirect_prod_1610_iotable_2020_xlsx_3[[#This Row],[2035]]</f>
        <v>0</v>
      </c>
      <c r="M366">
        <f>scenario_indirect_prod_4506_iotable_2020_xlsx_3[[#This Row],[2036]]+scenario_indirect_prod_1610_iotable_2020_xlsx_3[[#This Row],[2036]]</f>
        <v>0</v>
      </c>
      <c r="N366">
        <f>scenario_indirect_prod_4506_iotable_2020_xlsx_3[[#This Row],[2037]]+scenario_indirect_prod_1610_iotable_2020_xlsx_3[[#This Row],[2037]]</f>
        <v>0</v>
      </c>
      <c r="O366">
        <f>scenario_indirect_prod_4506_iotable_2020_xlsx_3[[#This Row],[2038]]+scenario_indirect_prod_1610_iotable_2020_xlsx_3[[#This Row],[2038]]</f>
        <v>0</v>
      </c>
      <c r="P366">
        <f>scenario_indirect_prod_4506_iotable_2020_xlsx_3[[#This Row],[2039]]+scenario_indirect_prod_1610_iotable_2020_xlsx_3[[#This Row],[2039]]</f>
        <v>0</v>
      </c>
      <c r="Q366">
        <f>scenario_indirect_prod_4506_iotable_2020_xlsx_3[[#This Row],[2040]]+scenario_indirect_prod_1610_iotable_2020_xlsx_3[[#This Row],[2040]]</f>
        <v>0</v>
      </c>
      <c r="R366">
        <f>scenario_indirect_prod_4506_iotable_2020_xlsx_3[[#This Row],[2041]]+scenario_indirect_prod_1610_iotable_2020_xlsx_3[[#This Row],[2041]]</f>
        <v>0</v>
      </c>
      <c r="S366">
        <f>scenario_indirect_prod_4506_iotable_2020_xlsx_3[[#This Row],[2042]]+scenario_indirect_prod_1610_iotable_2020_xlsx_3[[#This Row],[2042]]</f>
        <v>0</v>
      </c>
      <c r="T366">
        <f>scenario_indirect_prod_4506_iotable_2020_xlsx_3[[#This Row],[2043]]+scenario_indirect_prod_1610_iotable_2020_xlsx_3[[#This Row],[2043]]</f>
        <v>0</v>
      </c>
      <c r="U366">
        <f>scenario_indirect_prod_4506_iotable_2020_xlsx_3[[#This Row],[2044]]+scenario_indirect_prod_1610_iotable_2020_xlsx_3[[#This Row],[2044]]</f>
        <v>0</v>
      </c>
      <c r="V366">
        <f>scenario_indirect_prod_4506_iotable_2020_xlsx_3[[#This Row],[2045]]+scenario_indirect_prod_1610_iotable_2020_xlsx_3[[#This Row],[2045]]</f>
        <v>0</v>
      </c>
      <c r="W366">
        <f>scenario_indirect_prod_4506_iotable_2020_xlsx_3[[#This Row],[2046]]+scenario_indirect_prod_1610_iotable_2020_xlsx_3[[#This Row],[2046]]</f>
        <v>0</v>
      </c>
      <c r="X366">
        <f>scenario_indirect_prod_4506_iotable_2020_xlsx_3[[#This Row],[2047]]+scenario_indirect_prod_1610_iotable_2020_xlsx_3[[#This Row],[2047]]</f>
        <v>0</v>
      </c>
      <c r="Y366">
        <f>scenario_indirect_prod_4506_iotable_2020_xlsx_3[[#This Row],[2048]]+scenario_indirect_prod_1610_iotable_2020_xlsx_3[[#This Row],[2048]]</f>
        <v>0</v>
      </c>
      <c r="Z366">
        <f>scenario_indirect_prod_4506_iotable_2020_xlsx_3[[#This Row],[2049]]+scenario_indirect_prod_1610_iotable_2020_xlsx_3[[#This Row],[2049]]</f>
        <v>0</v>
      </c>
      <c r="AA366">
        <f>scenario_indirect_prod_4506_iotable_2020_xlsx_3[[#This Row],[2050]]+scenario_indirect_prod_1610_iotable_2020_xlsx_3[[#This Row],[2050]]</f>
        <v>0</v>
      </c>
    </row>
    <row r="367" spans="1:27" x14ac:dyDescent="0.2">
      <c r="A367" t="s">
        <v>890</v>
      </c>
      <c r="B367" t="s">
        <v>891</v>
      </c>
      <c r="C367">
        <f>scenario_indirect_prod_4506_iotable_2020_xlsx_3[[#This Row],[2026]]+scenario_indirect_prod_1610_iotable_2020_xlsx_3[[#This Row],[2026]]</f>
        <v>234.20313160198918</v>
      </c>
      <c r="D367">
        <f>scenario_indirect_prod_4506_iotable_2020_xlsx_3[[#This Row],[2027]]+scenario_indirect_prod_1610_iotable_2020_xlsx_3[[#This Row],[2027]]</f>
        <v>161.80590685774754</v>
      </c>
      <c r="E367">
        <f>scenario_indirect_prod_4506_iotable_2020_xlsx_3[[#This Row],[2028]]+scenario_indirect_prod_1610_iotable_2020_xlsx_3[[#This Row],[2028]]</f>
        <v>177.60404711816386</v>
      </c>
      <c r="F367">
        <f>scenario_indirect_prod_4506_iotable_2020_xlsx_3[[#This Row],[2029]]+scenario_indirect_prod_1610_iotable_2020_xlsx_3[[#This Row],[2029]]</f>
        <v>159.89119630166618</v>
      </c>
      <c r="G367">
        <f>scenario_indirect_prod_4506_iotable_2020_xlsx_3[[#This Row],[2030]]+scenario_indirect_prod_1610_iotable_2020_xlsx_3[[#This Row],[2030]]</f>
        <v>-99.992281230179969</v>
      </c>
      <c r="H367">
        <f>scenario_indirect_prod_4506_iotable_2020_xlsx_3[[#This Row],[2031]]+scenario_indirect_prod_1610_iotable_2020_xlsx_3[[#This Row],[2031]]</f>
        <v>-78.677436393111748</v>
      </c>
      <c r="I367">
        <f>scenario_indirect_prod_4506_iotable_2020_xlsx_3[[#This Row],[2032]]+scenario_indirect_prod_1610_iotable_2020_xlsx_3[[#This Row],[2032]]</f>
        <v>-48.909358749824719</v>
      </c>
      <c r="J367">
        <f>scenario_indirect_prod_4506_iotable_2020_xlsx_3[[#This Row],[2033]]+scenario_indirect_prod_1610_iotable_2020_xlsx_3[[#This Row],[2033]]</f>
        <v>-139.79635722878777</v>
      </c>
      <c r="K367">
        <f>scenario_indirect_prod_4506_iotable_2020_xlsx_3[[#This Row],[2034]]+scenario_indirect_prod_1610_iotable_2020_xlsx_3[[#This Row],[2034]]</f>
        <v>-112.09560892964544</v>
      </c>
      <c r="L367">
        <f>scenario_indirect_prod_4506_iotable_2020_xlsx_3[[#This Row],[2035]]+scenario_indirect_prod_1610_iotable_2020_xlsx_3[[#This Row],[2035]]</f>
        <v>-217.11724036661826</v>
      </c>
      <c r="M367">
        <f>scenario_indirect_prod_4506_iotable_2020_xlsx_3[[#This Row],[2036]]+scenario_indirect_prod_1610_iotable_2020_xlsx_3[[#This Row],[2036]]</f>
        <v>-306.56761203903818</v>
      </c>
      <c r="N367">
        <f>scenario_indirect_prod_4506_iotable_2020_xlsx_3[[#This Row],[2037]]+scenario_indirect_prod_1610_iotable_2020_xlsx_3[[#This Row],[2037]]</f>
        <v>-383.64638730472177</v>
      </c>
      <c r="O367">
        <f>scenario_indirect_prod_4506_iotable_2020_xlsx_3[[#This Row],[2038]]+scenario_indirect_prod_1610_iotable_2020_xlsx_3[[#This Row],[2038]]</f>
        <v>-383.64638730472177</v>
      </c>
      <c r="P367">
        <f>scenario_indirect_prod_4506_iotable_2020_xlsx_3[[#This Row],[2039]]+scenario_indirect_prod_1610_iotable_2020_xlsx_3[[#This Row],[2039]]</f>
        <v>-383.64638730472177</v>
      </c>
      <c r="Q367">
        <f>scenario_indirect_prod_4506_iotable_2020_xlsx_3[[#This Row],[2040]]+scenario_indirect_prod_1610_iotable_2020_xlsx_3[[#This Row],[2040]]</f>
        <v>-451.50611663351447</v>
      </c>
      <c r="R367">
        <f>scenario_indirect_prod_4506_iotable_2020_xlsx_3[[#This Row],[2041]]+scenario_indirect_prod_1610_iotable_2020_xlsx_3[[#This Row],[2041]]</f>
        <v>-451.50611663351447</v>
      </c>
      <c r="S367">
        <f>scenario_indirect_prod_4506_iotable_2020_xlsx_3[[#This Row],[2042]]+scenario_indirect_prod_1610_iotable_2020_xlsx_3[[#This Row],[2042]]</f>
        <v>-525.80111595216522</v>
      </c>
      <c r="T367">
        <f>scenario_indirect_prod_4506_iotable_2020_xlsx_3[[#This Row],[2043]]+scenario_indirect_prod_1610_iotable_2020_xlsx_3[[#This Row],[2043]]</f>
        <v>-525.80111595216522</v>
      </c>
      <c r="U367">
        <f>scenario_indirect_prod_4506_iotable_2020_xlsx_3[[#This Row],[2044]]+scenario_indirect_prod_1610_iotable_2020_xlsx_3[[#This Row],[2044]]</f>
        <v>-598.28796212867042</v>
      </c>
      <c r="V367">
        <f>scenario_indirect_prod_4506_iotable_2020_xlsx_3[[#This Row],[2045]]+scenario_indirect_prod_1610_iotable_2020_xlsx_3[[#This Row],[2045]]</f>
        <v>-598.28796212867042</v>
      </c>
      <c r="W367">
        <f>scenario_indirect_prod_4506_iotable_2020_xlsx_3[[#This Row],[2046]]+scenario_indirect_prod_1610_iotable_2020_xlsx_3[[#This Row],[2046]]</f>
        <v>-659.42708603307551</v>
      </c>
      <c r="X367">
        <f>scenario_indirect_prod_4506_iotable_2020_xlsx_3[[#This Row],[2047]]+scenario_indirect_prod_1610_iotable_2020_xlsx_3[[#This Row],[2047]]</f>
        <v>-659.42708603307551</v>
      </c>
      <c r="Y367">
        <f>scenario_indirect_prod_4506_iotable_2020_xlsx_3[[#This Row],[2048]]+scenario_indirect_prod_1610_iotable_2020_xlsx_3[[#This Row],[2048]]</f>
        <v>-659.42708603307551</v>
      </c>
      <c r="Z367">
        <f>scenario_indirect_prod_4506_iotable_2020_xlsx_3[[#This Row],[2049]]+scenario_indirect_prod_1610_iotable_2020_xlsx_3[[#This Row],[2049]]</f>
        <v>-659.42708603307551</v>
      </c>
      <c r="AA367">
        <f>scenario_indirect_prod_4506_iotable_2020_xlsx_3[[#This Row],[2050]]+scenario_indirect_prod_1610_iotable_2020_xlsx_3[[#This Row],[2050]]</f>
        <v>-659.42708603307551</v>
      </c>
    </row>
    <row r="368" spans="1:27" x14ac:dyDescent="0.2">
      <c r="A368" t="s">
        <v>685</v>
      </c>
      <c r="B368" t="s">
        <v>686</v>
      </c>
      <c r="C368">
        <f>scenario_indirect_prod_4506_iotable_2020_xlsx_3[[#This Row],[2026]]+scenario_indirect_prod_1610_iotable_2020_xlsx_3[[#This Row],[2026]]</f>
        <v>3078.585045154512</v>
      </c>
      <c r="D368">
        <f>scenario_indirect_prod_4506_iotable_2020_xlsx_3[[#This Row],[2027]]+scenario_indirect_prod_1610_iotable_2020_xlsx_3[[#This Row],[2027]]</f>
        <v>3012.2239548407697</v>
      </c>
      <c r="E368">
        <f>scenario_indirect_prod_4506_iotable_2020_xlsx_3[[#This Row],[2028]]+scenario_indirect_prod_1610_iotable_2020_xlsx_3[[#This Row],[2028]]</f>
        <v>3167.2709227480832</v>
      </c>
      <c r="F368">
        <f>scenario_indirect_prod_4506_iotable_2020_xlsx_3[[#This Row],[2029]]+scenario_indirect_prod_1610_iotable_2020_xlsx_3[[#This Row],[2029]]</f>
        <v>3251.0980014687875</v>
      </c>
      <c r="G368">
        <f>scenario_indirect_prod_4506_iotable_2020_xlsx_3[[#This Row],[2030]]+scenario_indirect_prod_1610_iotable_2020_xlsx_3[[#This Row],[2030]]</f>
        <v>2884.5982100292335</v>
      </c>
      <c r="H368">
        <f>scenario_indirect_prod_4506_iotable_2020_xlsx_3[[#This Row],[2031]]+scenario_indirect_prod_1610_iotable_2020_xlsx_3[[#This Row],[2031]]</f>
        <v>3093.7875202218265</v>
      </c>
      <c r="I368">
        <f>scenario_indirect_prod_4506_iotable_2020_xlsx_3[[#This Row],[2032]]+scenario_indirect_prod_1610_iotable_2020_xlsx_3[[#This Row],[2032]]</f>
        <v>3385.9390078615188</v>
      </c>
      <c r="J368">
        <f>scenario_indirect_prod_4506_iotable_2020_xlsx_3[[#This Row],[2033]]+scenario_indirect_prod_1610_iotable_2020_xlsx_3[[#This Row],[2033]]</f>
        <v>3712.3334468217327</v>
      </c>
      <c r="K368">
        <f>scenario_indirect_prod_4506_iotable_2020_xlsx_3[[#This Row],[2034]]+scenario_indirect_prod_1610_iotable_2020_xlsx_3[[#This Row],[2034]]</f>
        <v>3984.1956383042962</v>
      </c>
      <c r="L368">
        <f>scenario_indirect_prod_4506_iotable_2020_xlsx_3[[#This Row],[2035]]+scenario_indirect_prod_1610_iotable_2020_xlsx_3[[#This Row],[2035]]</f>
        <v>4495.8135718796084</v>
      </c>
      <c r="M368">
        <f>scenario_indirect_prod_4506_iotable_2020_xlsx_3[[#This Row],[2036]]+scenario_indirect_prod_1610_iotable_2020_xlsx_3[[#This Row],[2036]]</f>
        <v>4630.2779117747905</v>
      </c>
      <c r="N368">
        <f>scenario_indirect_prod_4506_iotable_2020_xlsx_3[[#This Row],[2037]]+scenario_indirect_prod_1610_iotable_2020_xlsx_3[[#This Row],[2037]]</f>
        <v>4758.8121001217887</v>
      </c>
      <c r="O368">
        <f>scenario_indirect_prod_4506_iotable_2020_xlsx_3[[#This Row],[2038]]+scenario_indirect_prod_1610_iotable_2020_xlsx_3[[#This Row],[2038]]</f>
        <v>4758.8121001217887</v>
      </c>
      <c r="P368">
        <f>scenario_indirect_prod_4506_iotable_2020_xlsx_3[[#This Row],[2039]]+scenario_indirect_prod_1610_iotable_2020_xlsx_3[[#This Row],[2039]]</f>
        <v>4758.8121001217887</v>
      </c>
      <c r="Q368">
        <f>scenario_indirect_prod_4506_iotable_2020_xlsx_3[[#This Row],[2040]]+scenario_indirect_prod_1610_iotable_2020_xlsx_3[[#This Row],[2040]]</f>
        <v>4869.7713406998128</v>
      </c>
      <c r="R368">
        <f>scenario_indirect_prod_4506_iotable_2020_xlsx_3[[#This Row],[2041]]+scenario_indirect_prod_1610_iotable_2020_xlsx_3[[#This Row],[2041]]</f>
        <v>4869.7713406998128</v>
      </c>
      <c r="S368">
        <f>scenario_indirect_prod_4506_iotable_2020_xlsx_3[[#This Row],[2042]]+scenario_indirect_prod_1610_iotable_2020_xlsx_3[[#This Row],[2042]]</f>
        <v>4998.1842154966771</v>
      </c>
      <c r="T368">
        <f>scenario_indirect_prod_4506_iotable_2020_xlsx_3[[#This Row],[2043]]+scenario_indirect_prod_1610_iotable_2020_xlsx_3[[#This Row],[2043]]</f>
        <v>4998.1842154966771</v>
      </c>
      <c r="U368">
        <f>scenario_indirect_prod_4506_iotable_2020_xlsx_3[[#This Row],[2044]]+scenario_indirect_prod_1610_iotable_2020_xlsx_3[[#This Row],[2044]]</f>
        <v>5102.3222740074107</v>
      </c>
      <c r="V368">
        <f>scenario_indirect_prod_4506_iotable_2020_xlsx_3[[#This Row],[2045]]+scenario_indirect_prod_1610_iotable_2020_xlsx_3[[#This Row],[2045]]</f>
        <v>5102.3222740074107</v>
      </c>
      <c r="W368">
        <f>scenario_indirect_prod_4506_iotable_2020_xlsx_3[[#This Row],[2046]]+scenario_indirect_prod_1610_iotable_2020_xlsx_3[[#This Row],[2046]]</f>
        <v>5196.6988450897607</v>
      </c>
      <c r="X368">
        <f>scenario_indirect_prod_4506_iotable_2020_xlsx_3[[#This Row],[2047]]+scenario_indirect_prod_1610_iotable_2020_xlsx_3[[#This Row],[2047]]</f>
        <v>5196.6988450897607</v>
      </c>
      <c r="Y368">
        <f>scenario_indirect_prod_4506_iotable_2020_xlsx_3[[#This Row],[2048]]+scenario_indirect_prod_1610_iotable_2020_xlsx_3[[#This Row],[2048]]</f>
        <v>5196.6988450897607</v>
      </c>
      <c r="Z368">
        <f>scenario_indirect_prod_4506_iotable_2020_xlsx_3[[#This Row],[2049]]+scenario_indirect_prod_1610_iotable_2020_xlsx_3[[#This Row],[2049]]</f>
        <v>5196.6988450897607</v>
      </c>
      <c r="AA368">
        <f>scenario_indirect_prod_4506_iotable_2020_xlsx_3[[#This Row],[2050]]+scenario_indirect_prod_1610_iotable_2020_xlsx_3[[#This Row],[2050]]</f>
        <v>5196.6988450897607</v>
      </c>
    </row>
    <row r="369" spans="1:27" x14ac:dyDescent="0.2">
      <c r="A369" t="s">
        <v>754</v>
      </c>
      <c r="B369" t="s">
        <v>755</v>
      </c>
      <c r="C369">
        <f>scenario_indirect_prod_4506_iotable_2020_xlsx_3[[#This Row],[2026]]+scenario_indirect_prod_1610_iotable_2020_xlsx_3[[#This Row],[2026]]</f>
        <v>1658.0208177456818</v>
      </c>
      <c r="D369">
        <f>scenario_indirect_prod_4506_iotable_2020_xlsx_3[[#This Row],[2027]]+scenario_indirect_prod_1610_iotable_2020_xlsx_3[[#This Row],[2027]]</f>
        <v>1422.9526926522958</v>
      </c>
      <c r="E369">
        <f>scenario_indirect_prod_4506_iotable_2020_xlsx_3[[#This Row],[2028]]+scenario_indirect_prod_1610_iotable_2020_xlsx_3[[#This Row],[2028]]</f>
        <v>1518.3030029831752</v>
      </c>
      <c r="F369">
        <f>scenario_indirect_prod_4506_iotable_2020_xlsx_3[[#This Row],[2029]]+scenario_indirect_prod_1610_iotable_2020_xlsx_3[[#This Row],[2029]]</f>
        <v>1492.1516818696387</v>
      </c>
      <c r="G369">
        <f>scenario_indirect_prod_4506_iotable_2020_xlsx_3[[#This Row],[2030]]+scenario_indirect_prod_1610_iotable_2020_xlsx_3[[#This Row],[2030]]</f>
        <v>608.12464642755549</v>
      </c>
      <c r="H369">
        <f>scenario_indirect_prod_4506_iotable_2020_xlsx_3[[#This Row],[2031]]+scenario_indirect_prod_1610_iotable_2020_xlsx_3[[#This Row],[2031]]</f>
        <v>736.77124889894367</v>
      </c>
      <c r="I369">
        <f>scenario_indirect_prod_4506_iotable_2020_xlsx_3[[#This Row],[2032]]+scenario_indirect_prod_1610_iotable_2020_xlsx_3[[#This Row],[2032]]</f>
        <v>916.43767763378628</v>
      </c>
      <c r="J369">
        <f>scenario_indirect_prod_4506_iotable_2020_xlsx_3[[#This Row],[2033]]+scenario_indirect_prod_1610_iotable_2020_xlsx_3[[#This Row],[2033]]</f>
        <v>749.74051135690252</v>
      </c>
      <c r="K369">
        <f>scenario_indirect_prod_4506_iotable_2020_xlsx_3[[#This Row],[2034]]+scenario_indirect_prod_1610_iotable_2020_xlsx_3[[#This Row],[2034]]</f>
        <v>916.92949076726791</v>
      </c>
      <c r="L369">
        <f>scenario_indirect_prod_4506_iotable_2020_xlsx_3[[#This Row],[2035]]+scenario_indirect_prod_1610_iotable_2020_xlsx_3[[#This Row],[2035]]</f>
        <v>766.45003506259945</v>
      </c>
      <c r="M369">
        <f>scenario_indirect_prod_4506_iotable_2020_xlsx_3[[#This Row],[2036]]+scenario_indirect_prod_1610_iotable_2020_xlsx_3[[#This Row],[2036]]</f>
        <v>543.85169077180944</v>
      </c>
      <c r="N369">
        <f>scenario_indirect_prod_4506_iotable_2020_xlsx_3[[#This Row],[2037]]+scenario_indirect_prod_1610_iotable_2020_xlsx_3[[#This Row],[2037]]</f>
        <v>356.01025504251356</v>
      </c>
      <c r="O369">
        <f>scenario_indirect_prod_4506_iotable_2020_xlsx_3[[#This Row],[2038]]+scenario_indirect_prod_1610_iotable_2020_xlsx_3[[#This Row],[2038]]</f>
        <v>356.01025504251356</v>
      </c>
      <c r="P369">
        <f>scenario_indirect_prod_4506_iotable_2020_xlsx_3[[#This Row],[2039]]+scenario_indirect_prod_1610_iotable_2020_xlsx_3[[#This Row],[2039]]</f>
        <v>356.01025504251356</v>
      </c>
      <c r="Q369">
        <f>scenario_indirect_prod_4506_iotable_2020_xlsx_3[[#This Row],[2040]]+scenario_indirect_prod_1610_iotable_2020_xlsx_3[[#This Row],[2040]]</f>
        <v>189.9456981531448</v>
      </c>
      <c r="R369">
        <f>scenario_indirect_prod_4506_iotable_2020_xlsx_3[[#This Row],[2041]]+scenario_indirect_prod_1610_iotable_2020_xlsx_3[[#This Row],[2041]]</f>
        <v>189.9456981531448</v>
      </c>
      <c r="S369">
        <f>scenario_indirect_prod_4506_iotable_2020_xlsx_3[[#This Row],[2042]]+scenario_indirect_prod_1610_iotable_2020_xlsx_3[[#This Row],[2042]]</f>
        <v>10.305219163791662</v>
      </c>
      <c r="T369">
        <f>scenario_indirect_prod_4506_iotable_2020_xlsx_3[[#This Row],[2043]]+scenario_indirect_prod_1610_iotable_2020_xlsx_3[[#This Row],[2043]]</f>
        <v>10.305219163791662</v>
      </c>
      <c r="U369">
        <f>scenario_indirect_prod_4506_iotable_2020_xlsx_3[[#This Row],[2044]]+scenario_indirect_prod_1610_iotable_2020_xlsx_3[[#This Row],[2044]]</f>
        <v>-171.59177916372573</v>
      </c>
      <c r="V369">
        <f>scenario_indirect_prod_4506_iotable_2020_xlsx_3[[#This Row],[2045]]+scenario_indirect_prod_1610_iotable_2020_xlsx_3[[#This Row],[2045]]</f>
        <v>-171.59177916372573</v>
      </c>
      <c r="W369">
        <f>scenario_indirect_prod_4506_iotable_2020_xlsx_3[[#This Row],[2046]]+scenario_indirect_prod_1610_iotable_2020_xlsx_3[[#This Row],[2046]]</f>
        <v>-322.9629532069639</v>
      </c>
      <c r="X369">
        <f>scenario_indirect_prod_4506_iotable_2020_xlsx_3[[#This Row],[2047]]+scenario_indirect_prod_1610_iotable_2020_xlsx_3[[#This Row],[2047]]</f>
        <v>-322.9629532069639</v>
      </c>
      <c r="Y369">
        <f>scenario_indirect_prod_4506_iotable_2020_xlsx_3[[#This Row],[2048]]+scenario_indirect_prod_1610_iotable_2020_xlsx_3[[#This Row],[2048]]</f>
        <v>-322.9629532069639</v>
      </c>
      <c r="Z369">
        <f>scenario_indirect_prod_4506_iotable_2020_xlsx_3[[#This Row],[2049]]+scenario_indirect_prod_1610_iotable_2020_xlsx_3[[#This Row],[2049]]</f>
        <v>-322.9629532069639</v>
      </c>
      <c r="AA369">
        <f>scenario_indirect_prod_4506_iotable_2020_xlsx_3[[#This Row],[2050]]+scenario_indirect_prod_1610_iotable_2020_xlsx_3[[#This Row],[2050]]</f>
        <v>-322.9629532069639</v>
      </c>
    </row>
    <row r="370" spans="1:27" x14ac:dyDescent="0.2">
      <c r="A370" t="s">
        <v>641</v>
      </c>
      <c r="B370" t="s">
        <v>642</v>
      </c>
      <c r="C370">
        <f>scenario_indirect_prod_4506_iotable_2020_xlsx_3[[#This Row],[2026]]+scenario_indirect_prod_1610_iotable_2020_xlsx_3[[#This Row],[2026]]</f>
        <v>4774.8737305848008</v>
      </c>
      <c r="D370">
        <f>scenario_indirect_prod_4506_iotable_2020_xlsx_3[[#This Row],[2027]]+scenario_indirect_prod_1610_iotable_2020_xlsx_3[[#This Row],[2027]]</f>
        <v>4717.5227132101463</v>
      </c>
      <c r="E370">
        <f>scenario_indirect_prod_4506_iotable_2020_xlsx_3[[#This Row],[2028]]+scenario_indirect_prod_1610_iotable_2020_xlsx_3[[#This Row],[2028]]</f>
        <v>4955.2911831681231</v>
      </c>
      <c r="F370">
        <f>scenario_indirect_prod_4506_iotable_2020_xlsx_3[[#This Row],[2029]]+scenario_indirect_prod_1610_iotable_2020_xlsx_3[[#This Row],[2029]]</f>
        <v>5101.6083040808453</v>
      </c>
      <c r="G370">
        <f>scenario_indirect_prod_4506_iotable_2020_xlsx_3[[#This Row],[2030]]+scenario_indirect_prod_1610_iotable_2020_xlsx_3[[#This Row],[2030]]</f>
        <v>4690.1637505772123</v>
      </c>
      <c r="H370">
        <f>scenario_indirect_prod_4506_iotable_2020_xlsx_3[[#This Row],[2031]]+scenario_indirect_prod_1610_iotable_2020_xlsx_3[[#This Row],[2031]]</f>
        <v>5010.9608799076668</v>
      </c>
      <c r="I370">
        <f>scenario_indirect_prod_4506_iotable_2020_xlsx_3[[#This Row],[2032]]+scenario_indirect_prod_1610_iotable_2020_xlsx_3[[#This Row],[2032]]</f>
        <v>5458.9826190593922</v>
      </c>
      <c r="J370">
        <f>scenario_indirect_prod_4506_iotable_2020_xlsx_3[[#This Row],[2033]]+scenario_indirect_prod_1610_iotable_2020_xlsx_3[[#This Row],[2033]]</f>
        <v>6043.52487151675</v>
      </c>
      <c r="K370">
        <f>scenario_indirect_prod_4506_iotable_2020_xlsx_3[[#This Row],[2034]]+scenario_indirect_prod_1610_iotable_2020_xlsx_3[[#This Row],[2034]]</f>
        <v>6460.4324588155423</v>
      </c>
      <c r="L370">
        <f>scenario_indirect_prod_4506_iotable_2020_xlsx_3[[#This Row],[2035]]+scenario_indirect_prod_1610_iotable_2020_xlsx_3[[#This Row],[2035]]</f>
        <v>7351.3557766781214</v>
      </c>
      <c r="M370">
        <f>scenario_indirect_prod_4506_iotable_2020_xlsx_3[[#This Row],[2036]]+scenario_indirect_prod_1610_iotable_2020_xlsx_3[[#This Row],[2036]]</f>
        <v>7627.3625025849951</v>
      </c>
      <c r="N370">
        <f>scenario_indirect_prod_4506_iotable_2020_xlsx_3[[#This Row],[2037]]+scenario_indirect_prod_1610_iotable_2020_xlsx_3[[#This Row],[2037]]</f>
        <v>7885.494472991506</v>
      </c>
      <c r="O370">
        <f>scenario_indirect_prod_4506_iotable_2020_xlsx_3[[#This Row],[2038]]+scenario_indirect_prod_1610_iotable_2020_xlsx_3[[#This Row],[2038]]</f>
        <v>7885.494472991506</v>
      </c>
      <c r="P370">
        <f>scenario_indirect_prod_4506_iotable_2020_xlsx_3[[#This Row],[2039]]+scenario_indirect_prod_1610_iotable_2020_xlsx_3[[#This Row],[2039]]</f>
        <v>7885.494472991506</v>
      </c>
      <c r="Q370">
        <f>scenario_indirect_prod_4506_iotable_2020_xlsx_3[[#This Row],[2040]]+scenario_indirect_prod_1610_iotable_2020_xlsx_3[[#This Row],[2040]]</f>
        <v>8109.2245057433029</v>
      </c>
      <c r="R370">
        <f>scenario_indirect_prod_4506_iotable_2020_xlsx_3[[#This Row],[2041]]+scenario_indirect_prod_1610_iotable_2020_xlsx_3[[#This Row],[2041]]</f>
        <v>8109.2245057433029</v>
      </c>
      <c r="S370">
        <f>scenario_indirect_prod_4506_iotable_2020_xlsx_3[[#This Row],[2042]]+scenario_indirect_prod_1610_iotable_2020_xlsx_3[[#This Row],[2042]]</f>
        <v>8365.2782994299687</v>
      </c>
      <c r="T370">
        <f>scenario_indirect_prod_4506_iotable_2020_xlsx_3[[#This Row],[2043]]+scenario_indirect_prod_1610_iotable_2020_xlsx_3[[#This Row],[2043]]</f>
        <v>8365.2782994299687</v>
      </c>
      <c r="U370">
        <f>scenario_indirect_prod_4506_iotable_2020_xlsx_3[[#This Row],[2044]]+scenario_indirect_prod_1610_iotable_2020_xlsx_3[[#This Row],[2044]]</f>
        <v>8581.2087112385943</v>
      </c>
      <c r="V370">
        <f>scenario_indirect_prod_4506_iotable_2020_xlsx_3[[#This Row],[2045]]+scenario_indirect_prod_1610_iotable_2020_xlsx_3[[#This Row],[2045]]</f>
        <v>8581.2087112385943</v>
      </c>
      <c r="W370">
        <f>scenario_indirect_prod_4506_iotable_2020_xlsx_3[[#This Row],[2046]]+scenario_indirect_prod_1610_iotable_2020_xlsx_3[[#This Row],[2046]]</f>
        <v>8773.8175972413046</v>
      </c>
      <c r="X370">
        <f>scenario_indirect_prod_4506_iotable_2020_xlsx_3[[#This Row],[2047]]+scenario_indirect_prod_1610_iotable_2020_xlsx_3[[#This Row],[2047]]</f>
        <v>8773.8175972413046</v>
      </c>
      <c r="Y370">
        <f>scenario_indirect_prod_4506_iotable_2020_xlsx_3[[#This Row],[2048]]+scenario_indirect_prod_1610_iotable_2020_xlsx_3[[#This Row],[2048]]</f>
        <v>8773.8175972413046</v>
      </c>
      <c r="Z370">
        <f>scenario_indirect_prod_4506_iotable_2020_xlsx_3[[#This Row],[2049]]+scenario_indirect_prod_1610_iotable_2020_xlsx_3[[#This Row],[2049]]</f>
        <v>8773.8175972413046</v>
      </c>
      <c r="AA370">
        <f>scenario_indirect_prod_4506_iotable_2020_xlsx_3[[#This Row],[2050]]+scenario_indirect_prod_1610_iotable_2020_xlsx_3[[#This Row],[2050]]</f>
        <v>8773.8175972413046</v>
      </c>
    </row>
    <row r="371" spans="1:27" x14ac:dyDescent="0.2">
      <c r="A371" t="s">
        <v>469</v>
      </c>
      <c r="B371" t="s">
        <v>470</v>
      </c>
      <c r="C371">
        <f>scenario_indirect_prod_4506_iotable_2020_xlsx_3[[#This Row],[2026]]+scenario_indirect_prod_1610_iotable_2020_xlsx_3[[#This Row],[2026]]</f>
        <v>18292.498201209124</v>
      </c>
      <c r="D371">
        <f>scenario_indirect_prod_4506_iotable_2020_xlsx_3[[#This Row],[2027]]+scenario_indirect_prod_1610_iotable_2020_xlsx_3[[#This Row],[2027]]</f>
        <v>15856.438096432687</v>
      </c>
      <c r="E371">
        <f>scenario_indirect_prod_4506_iotable_2020_xlsx_3[[#This Row],[2028]]+scenario_indirect_prod_1610_iotable_2020_xlsx_3[[#This Row],[2028]]</f>
        <v>16899.058191286429</v>
      </c>
      <c r="F371">
        <f>scenario_indirect_prod_4506_iotable_2020_xlsx_3[[#This Row],[2029]]+scenario_indirect_prod_1610_iotable_2020_xlsx_3[[#This Row],[2029]]</f>
        <v>16666.832132009691</v>
      </c>
      <c r="G371">
        <f>scenario_indirect_prod_4506_iotable_2020_xlsx_3[[#This Row],[2030]]+scenario_indirect_prod_1610_iotable_2020_xlsx_3[[#This Row],[2030]]</f>
        <v>7455.7508936591512</v>
      </c>
      <c r="H371">
        <f>scenario_indirect_prod_4506_iotable_2020_xlsx_3[[#This Row],[2031]]+scenario_indirect_prod_1610_iotable_2020_xlsx_3[[#This Row],[2031]]</f>
        <v>8862.4535295066999</v>
      </c>
      <c r="I371">
        <f>scenario_indirect_prod_4506_iotable_2020_xlsx_3[[#This Row],[2032]]+scenario_indirect_prod_1610_iotable_2020_xlsx_3[[#This Row],[2032]]</f>
        <v>10827.038944273718</v>
      </c>
      <c r="J371">
        <f>scenario_indirect_prod_4506_iotable_2020_xlsx_3[[#This Row],[2033]]+scenario_indirect_prod_1610_iotable_2020_xlsx_3[[#This Row],[2033]]</f>
        <v>9258.3269655459007</v>
      </c>
      <c r="K371">
        <f>scenario_indirect_prod_4506_iotable_2020_xlsx_3[[#This Row],[2034]]+scenario_indirect_prod_1610_iotable_2020_xlsx_3[[#This Row],[2034]]</f>
        <v>11086.476123807035</v>
      </c>
      <c r="L371">
        <f>scenario_indirect_prod_4506_iotable_2020_xlsx_3[[#This Row],[2035]]+scenario_indirect_prod_1610_iotable_2020_xlsx_3[[#This Row],[2035]]</f>
        <v>9762.6482449221949</v>
      </c>
      <c r="M371">
        <f>scenario_indirect_prod_4506_iotable_2020_xlsx_3[[#This Row],[2036]]+scenario_indirect_prod_1610_iotable_2020_xlsx_3[[#This Row],[2036]]</f>
        <v>7539.7160691335666</v>
      </c>
      <c r="N371">
        <f>scenario_indirect_prod_4506_iotable_2020_xlsx_3[[#This Row],[2037]]+scenario_indirect_prod_1610_iotable_2020_xlsx_3[[#This Row],[2037]]</f>
        <v>5670.2828593293234</v>
      </c>
      <c r="O371">
        <f>scenario_indirect_prod_4506_iotable_2020_xlsx_3[[#This Row],[2038]]+scenario_indirect_prod_1610_iotable_2020_xlsx_3[[#This Row],[2038]]</f>
        <v>5670.2828593293234</v>
      </c>
      <c r="P371">
        <f>scenario_indirect_prod_4506_iotable_2020_xlsx_3[[#This Row],[2039]]+scenario_indirect_prod_1610_iotable_2020_xlsx_3[[#This Row],[2039]]</f>
        <v>5670.2828593293234</v>
      </c>
      <c r="Q371">
        <f>scenario_indirect_prod_4506_iotable_2020_xlsx_3[[#This Row],[2040]]+scenario_indirect_prod_1610_iotable_2020_xlsx_3[[#This Row],[2040]]</f>
        <v>4016.4402872186038</v>
      </c>
      <c r="R371">
        <f>scenario_indirect_prod_4506_iotable_2020_xlsx_3[[#This Row],[2041]]+scenario_indirect_prod_1610_iotable_2020_xlsx_3[[#This Row],[2041]]</f>
        <v>4016.4402872186038</v>
      </c>
      <c r="S371">
        <f>scenario_indirect_prod_4506_iotable_2020_xlsx_3[[#This Row],[2042]]+scenario_indirect_prod_1610_iotable_2020_xlsx_3[[#This Row],[2042]]</f>
        <v>2230.9592254943418</v>
      </c>
      <c r="T371">
        <f>scenario_indirect_prod_4506_iotable_2020_xlsx_3[[#This Row],[2043]]+scenario_indirect_prod_1610_iotable_2020_xlsx_3[[#This Row],[2043]]</f>
        <v>2230.9592254943418</v>
      </c>
      <c r="U371">
        <f>scenario_indirect_prod_4506_iotable_2020_xlsx_3[[#This Row],[2044]]+scenario_indirect_prod_1610_iotable_2020_xlsx_3[[#This Row],[2044]]</f>
        <v>412.04177552185138</v>
      </c>
      <c r="V371">
        <f>scenario_indirect_prod_4506_iotable_2020_xlsx_3[[#This Row],[2045]]+scenario_indirect_prod_1610_iotable_2020_xlsx_3[[#This Row],[2045]]</f>
        <v>412.04177552185138</v>
      </c>
      <c r="W371">
        <f>scenario_indirect_prod_4506_iotable_2020_xlsx_3[[#This Row],[2046]]+scenario_indirect_prod_1610_iotable_2020_xlsx_3[[#This Row],[2046]]</f>
        <v>-1098.3456102648197</v>
      </c>
      <c r="X371">
        <f>scenario_indirect_prod_4506_iotable_2020_xlsx_3[[#This Row],[2047]]+scenario_indirect_prod_1610_iotable_2020_xlsx_3[[#This Row],[2047]]</f>
        <v>-1098.3456102648197</v>
      </c>
      <c r="Y371">
        <f>scenario_indirect_prod_4506_iotable_2020_xlsx_3[[#This Row],[2048]]+scenario_indirect_prod_1610_iotable_2020_xlsx_3[[#This Row],[2048]]</f>
        <v>-1098.3456102648197</v>
      </c>
      <c r="Z371">
        <f>scenario_indirect_prod_4506_iotable_2020_xlsx_3[[#This Row],[2049]]+scenario_indirect_prod_1610_iotable_2020_xlsx_3[[#This Row],[2049]]</f>
        <v>-1098.3456102648197</v>
      </c>
      <c r="AA371">
        <f>scenario_indirect_prod_4506_iotable_2020_xlsx_3[[#This Row],[2050]]+scenario_indirect_prod_1610_iotable_2020_xlsx_3[[#This Row],[2050]]</f>
        <v>-1098.3456102648197</v>
      </c>
    </row>
    <row r="372" spans="1:27" x14ac:dyDescent="0.2">
      <c r="A372" t="s">
        <v>690</v>
      </c>
      <c r="B372" t="s">
        <v>691</v>
      </c>
      <c r="C372">
        <f>scenario_indirect_prod_4506_iotable_2020_xlsx_3[[#This Row],[2026]]+scenario_indirect_prod_1610_iotable_2020_xlsx_3[[#This Row],[2026]]</f>
        <v>2803.9834967683319</v>
      </c>
      <c r="D372">
        <f>scenario_indirect_prod_4506_iotable_2020_xlsx_3[[#This Row],[2027]]+scenario_indirect_prod_1610_iotable_2020_xlsx_3[[#This Row],[2027]]</f>
        <v>2565.3449198290427</v>
      </c>
      <c r="E372">
        <f>scenario_indirect_prod_4506_iotable_2020_xlsx_3[[#This Row],[2028]]+scenario_indirect_prod_1610_iotable_2020_xlsx_3[[#This Row],[2028]]</f>
        <v>2717.1534388681303</v>
      </c>
      <c r="F372">
        <f>scenario_indirect_prod_4506_iotable_2020_xlsx_3[[#This Row],[2029]]+scenario_indirect_prod_1610_iotable_2020_xlsx_3[[#This Row],[2029]]</f>
        <v>2729.7641982895593</v>
      </c>
      <c r="G372">
        <f>scenario_indirect_prod_4506_iotable_2020_xlsx_3[[#This Row],[2030]]+scenario_indirect_prod_1610_iotable_2020_xlsx_3[[#This Row],[2030]]</f>
        <v>1782.106186517166</v>
      </c>
      <c r="H372">
        <f>scenario_indirect_prod_4506_iotable_2020_xlsx_3[[#This Row],[2031]]+scenario_indirect_prod_1610_iotable_2020_xlsx_3[[#This Row],[2031]]</f>
        <v>1986.9261827271539</v>
      </c>
      <c r="I372">
        <f>scenario_indirect_prod_4506_iotable_2020_xlsx_3[[#This Row],[2032]]+scenario_indirect_prod_1610_iotable_2020_xlsx_3[[#This Row],[2032]]</f>
        <v>2272.9755345607291</v>
      </c>
      <c r="J372">
        <f>scenario_indirect_prod_4506_iotable_2020_xlsx_3[[#This Row],[2033]]+scenario_indirect_prod_1610_iotable_2020_xlsx_3[[#This Row],[2033]]</f>
        <v>2264.0822833604125</v>
      </c>
      <c r="K372">
        <f>scenario_indirect_prod_4506_iotable_2020_xlsx_3[[#This Row],[2034]]+scenario_indirect_prod_1610_iotable_2020_xlsx_3[[#This Row],[2034]]</f>
        <v>2530.2661193214017</v>
      </c>
      <c r="L372">
        <f>scenario_indirect_prod_4506_iotable_2020_xlsx_3[[#This Row],[2035]]+scenario_indirect_prod_1610_iotable_2020_xlsx_3[[#This Row],[2035]]</f>
        <v>2615.3937082925659</v>
      </c>
      <c r="M372">
        <f>scenario_indirect_prod_4506_iotable_2020_xlsx_3[[#This Row],[2036]]+scenario_indirect_prod_1610_iotable_2020_xlsx_3[[#This Row],[2036]]</f>
        <v>2474.123790035871</v>
      </c>
      <c r="N372">
        <f>scenario_indirect_prod_4506_iotable_2020_xlsx_3[[#This Row],[2037]]+scenario_indirect_prod_1610_iotable_2020_xlsx_3[[#This Row],[2037]]</f>
        <v>2361.3800560924556</v>
      </c>
      <c r="O372">
        <f>scenario_indirect_prod_4506_iotable_2020_xlsx_3[[#This Row],[2038]]+scenario_indirect_prod_1610_iotable_2020_xlsx_3[[#This Row],[2038]]</f>
        <v>2361.3800560924556</v>
      </c>
      <c r="P372">
        <f>scenario_indirect_prod_4506_iotable_2020_xlsx_3[[#This Row],[2039]]+scenario_indirect_prod_1610_iotable_2020_xlsx_3[[#This Row],[2039]]</f>
        <v>2361.3800560924556</v>
      </c>
      <c r="Q372">
        <f>scenario_indirect_prod_4506_iotable_2020_xlsx_3[[#This Row],[2040]]+scenario_indirect_prod_1610_iotable_2020_xlsx_3[[#This Row],[2040]]</f>
        <v>2260.5590540097392</v>
      </c>
      <c r="R372">
        <f>scenario_indirect_prod_4506_iotable_2020_xlsx_3[[#This Row],[2041]]+scenario_indirect_prod_1610_iotable_2020_xlsx_3[[#This Row],[2041]]</f>
        <v>2260.5590540097392</v>
      </c>
      <c r="S372">
        <f>scenario_indirect_prod_4506_iotable_2020_xlsx_3[[#This Row],[2042]]+scenario_indirect_prod_1610_iotable_2020_xlsx_3[[#This Row],[2042]]</f>
        <v>2155.094776847418</v>
      </c>
      <c r="T372">
        <f>scenario_indirect_prod_4506_iotable_2020_xlsx_3[[#This Row],[2043]]+scenario_indirect_prod_1610_iotable_2020_xlsx_3[[#This Row],[2043]]</f>
        <v>2155.094776847418</v>
      </c>
      <c r="U372">
        <f>scenario_indirect_prod_4506_iotable_2020_xlsx_3[[#This Row],[2044]]+scenario_indirect_prod_1610_iotable_2020_xlsx_3[[#This Row],[2044]]</f>
        <v>2037.1912396215976</v>
      </c>
      <c r="V372">
        <f>scenario_indirect_prod_4506_iotable_2020_xlsx_3[[#This Row],[2045]]+scenario_indirect_prod_1610_iotable_2020_xlsx_3[[#This Row],[2045]]</f>
        <v>2037.1912396215976</v>
      </c>
      <c r="W372">
        <f>scenario_indirect_prod_4506_iotable_2020_xlsx_3[[#This Row],[2046]]+scenario_indirect_prod_1610_iotable_2020_xlsx_3[[#This Row],[2046]]</f>
        <v>1942.3864402048603</v>
      </c>
      <c r="X372">
        <f>scenario_indirect_prod_4506_iotable_2020_xlsx_3[[#This Row],[2047]]+scenario_indirect_prod_1610_iotable_2020_xlsx_3[[#This Row],[2047]]</f>
        <v>1942.3864402048603</v>
      </c>
      <c r="Y372">
        <f>scenario_indirect_prod_4506_iotable_2020_xlsx_3[[#This Row],[2048]]+scenario_indirect_prod_1610_iotable_2020_xlsx_3[[#This Row],[2048]]</f>
        <v>1942.3864402048603</v>
      </c>
      <c r="Z372">
        <f>scenario_indirect_prod_4506_iotable_2020_xlsx_3[[#This Row],[2049]]+scenario_indirect_prod_1610_iotable_2020_xlsx_3[[#This Row],[2049]]</f>
        <v>1942.3864402048603</v>
      </c>
      <c r="AA372">
        <f>scenario_indirect_prod_4506_iotable_2020_xlsx_3[[#This Row],[2050]]+scenario_indirect_prod_1610_iotable_2020_xlsx_3[[#This Row],[2050]]</f>
        <v>1942.3864402048603</v>
      </c>
    </row>
    <row r="373" spans="1:27" x14ac:dyDescent="0.2">
      <c r="A373" t="s">
        <v>467</v>
      </c>
      <c r="B373" t="s">
        <v>468</v>
      </c>
      <c r="C373">
        <f>scenario_indirect_prod_4506_iotable_2020_xlsx_3[[#This Row],[2026]]+scenario_indirect_prod_1610_iotable_2020_xlsx_3[[#This Row],[2026]]</f>
        <v>-21650.334080776094</v>
      </c>
      <c r="D373">
        <f>scenario_indirect_prod_4506_iotable_2020_xlsx_3[[#This Row],[2027]]+scenario_indirect_prod_1610_iotable_2020_xlsx_3[[#This Row],[2027]]</f>
        <v>-57485.100807628711</v>
      </c>
      <c r="E373">
        <f>scenario_indirect_prod_4506_iotable_2020_xlsx_3[[#This Row],[2028]]+scenario_indirect_prod_1610_iotable_2020_xlsx_3[[#This Row],[2028]]</f>
        <v>-56417.859405487034</v>
      </c>
      <c r="F373">
        <f>scenario_indirect_prod_4506_iotable_2020_xlsx_3[[#This Row],[2029]]+scenario_indirect_prod_1610_iotable_2020_xlsx_3[[#This Row],[2029]]</f>
        <v>-69992.042575707601</v>
      </c>
      <c r="G373">
        <f>scenario_indirect_prod_4506_iotable_2020_xlsx_3[[#This Row],[2030]]+scenario_indirect_prod_1610_iotable_2020_xlsx_3[[#This Row],[2030]]</f>
        <v>-192465.24513478478</v>
      </c>
      <c r="H373">
        <f>scenario_indirect_prod_4506_iotable_2020_xlsx_3[[#This Row],[2031]]+scenario_indirect_prod_1610_iotable_2020_xlsx_3[[#This Row],[2031]]</f>
        <v>-191025.32344049905</v>
      </c>
      <c r="I373">
        <f>scenario_indirect_prod_4506_iotable_2020_xlsx_3[[#This Row],[2032]]+scenario_indirect_prod_1610_iotable_2020_xlsx_3[[#This Row],[2032]]</f>
        <v>-189014.34465442732</v>
      </c>
      <c r="J373">
        <f>scenario_indirect_prod_4506_iotable_2020_xlsx_3[[#This Row],[2033]]+scenario_indirect_prod_1610_iotable_2020_xlsx_3[[#This Row],[2033]]</f>
        <v>-253682.19616511403</v>
      </c>
      <c r="K373">
        <f>scenario_indirect_prod_4506_iotable_2020_xlsx_3[[#This Row],[2034]]+scenario_indirect_prod_1610_iotable_2020_xlsx_3[[#This Row],[2034]]</f>
        <v>-251810.87555599</v>
      </c>
      <c r="L373">
        <f>scenario_indirect_prod_4506_iotable_2020_xlsx_3[[#This Row],[2035]]+scenario_indirect_prod_1610_iotable_2020_xlsx_3[[#This Row],[2035]]</f>
        <v>-332995.05234217132</v>
      </c>
      <c r="M373">
        <f>scenario_indirect_prod_4506_iotable_2020_xlsx_3[[#This Row],[2036]]+scenario_indirect_prod_1610_iotable_2020_xlsx_3[[#This Row],[2036]]</f>
        <v>-387668.71993203677</v>
      </c>
      <c r="N373">
        <f>scenario_indirect_prod_4506_iotable_2020_xlsx_3[[#This Row],[2037]]+scenario_indirect_prod_1610_iotable_2020_xlsx_3[[#This Row],[2037]]</f>
        <v>-435389.14564956882</v>
      </c>
      <c r="O373">
        <f>scenario_indirect_prod_4506_iotable_2020_xlsx_3[[#This Row],[2038]]+scenario_indirect_prod_1610_iotable_2020_xlsx_3[[#This Row],[2038]]</f>
        <v>-435389.14564956882</v>
      </c>
      <c r="P373">
        <f>scenario_indirect_prod_4506_iotable_2020_xlsx_3[[#This Row],[2039]]+scenario_indirect_prod_1610_iotable_2020_xlsx_3[[#This Row],[2039]]</f>
        <v>-435389.14564956882</v>
      </c>
      <c r="Q373">
        <f>scenario_indirect_prod_4506_iotable_2020_xlsx_3[[#This Row],[2040]]+scenario_indirect_prod_1610_iotable_2020_xlsx_3[[#This Row],[2040]]</f>
        <v>-477296.18878960185</v>
      </c>
      <c r="R373">
        <f>scenario_indirect_prod_4506_iotable_2020_xlsx_3[[#This Row],[2041]]+scenario_indirect_prod_1610_iotable_2020_xlsx_3[[#This Row],[2041]]</f>
        <v>-477296.18878960185</v>
      </c>
      <c r="S373">
        <f>scenario_indirect_prod_4506_iotable_2020_xlsx_3[[#This Row],[2042]]+scenario_indirect_prod_1610_iotable_2020_xlsx_3[[#This Row],[2042]]</f>
        <v>-523510.31321563327</v>
      </c>
      <c r="T373">
        <f>scenario_indirect_prod_4506_iotable_2020_xlsx_3[[#This Row],[2043]]+scenario_indirect_prod_1610_iotable_2020_xlsx_3[[#This Row],[2043]]</f>
        <v>-523510.31321563327</v>
      </c>
      <c r="U373">
        <f>scenario_indirect_prod_4506_iotable_2020_xlsx_3[[#This Row],[2044]]+scenario_indirect_prod_1610_iotable_2020_xlsx_3[[#This Row],[2044]]</f>
        <v>-567583.73083162028</v>
      </c>
      <c r="V373">
        <f>scenario_indirect_prod_4506_iotable_2020_xlsx_3[[#This Row],[2045]]+scenario_indirect_prod_1610_iotable_2020_xlsx_3[[#This Row],[2045]]</f>
        <v>-567583.73083162028</v>
      </c>
      <c r="W373">
        <f>scenario_indirect_prod_4506_iotable_2020_xlsx_3[[#This Row],[2046]]+scenario_indirect_prod_1610_iotable_2020_xlsx_3[[#This Row],[2046]]</f>
        <v>-605071.73391842539</v>
      </c>
      <c r="X373">
        <f>scenario_indirect_prod_4506_iotable_2020_xlsx_3[[#This Row],[2047]]+scenario_indirect_prod_1610_iotable_2020_xlsx_3[[#This Row],[2047]]</f>
        <v>-605071.73391842539</v>
      </c>
      <c r="Y373">
        <f>scenario_indirect_prod_4506_iotable_2020_xlsx_3[[#This Row],[2048]]+scenario_indirect_prod_1610_iotable_2020_xlsx_3[[#This Row],[2048]]</f>
        <v>-605071.73391842539</v>
      </c>
      <c r="Z373">
        <f>scenario_indirect_prod_4506_iotable_2020_xlsx_3[[#This Row],[2049]]+scenario_indirect_prod_1610_iotable_2020_xlsx_3[[#This Row],[2049]]</f>
        <v>-605071.73391842539</v>
      </c>
      <c r="AA373">
        <f>scenario_indirect_prod_4506_iotable_2020_xlsx_3[[#This Row],[2050]]+scenario_indirect_prod_1610_iotable_2020_xlsx_3[[#This Row],[2050]]</f>
        <v>-605071.73391842539</v>
      </c>
    </row>
    <row r="374" spans="1:27" x14ac:dyDescent="0.2">
      <c r="A374" t="s">
        <v>986</v>
      </c>
      <c r="B374" t="s">
        <v>987</v>
      </c>
      <c r="C374">
        <f>scenario_indirect_prod_4506_iotable_2020_xlsx_3[[#This Row],[2026]]+scenario_indirect_prod_1610_iotable_2020_xlsx_3[[#This Row],[2026]]</f>
        <v>0</v>
      </c>
      <c r="D374">
        <f>scenario_indirect_prod_4506_iotable_2020_xlsx_3[[#This Row],[2027]]+scenario_indirect_prod_1610_iotable_2020_xlsx_3[[#This Row],[2027]]</f>
        <v>0</v>
      </c>
      <c r="E374">
        <f>scenario_indirect_prod_4506_iotable_2020_xlsx_3[[#This Row],[2028]]+scenario_indirect_prod_1610_iotable_2020_xlsx_3[[#This Row],[2028]]</f>
        <v>0</v>
      </c>
      <c r="F374">
        <f>scenario_indirect_prod_4506_iotable_2020_xlsx_3[[#This Row],[2029]]+scenario_indirect_prod_1610_iotable_2020_xlsx_3[[#This Row],[2029]]</f>
        <v>0</v>
      </c>
      <c r="G374">
        <f>scenario_indirect_prod_4506_iotable_2020_xlsx_3[[#This Row],[2030]]+scenario_indirect_prod_1610_iotable_2020_xlsx_3[[#This Row],[2030]]</f>
        <v>0</v>
      </c>
      <c r="H374">
        <f>scenario_indirect_prod_4506_iotable_2020_xlsx_3[[#This Row],[2031]]+scenario_indirect_prod_1610_iotable_2020_xlsx_3[[#This Row],[2031]]</f>
        <v>0</v>
      </c>
      <c r="I374">
        <f>scenario_indirect_prod_4506_iotable_2020_xlsx_3[[#This Row],[2032]]+scenario_indirect_prod_1610_iotable_2020_xlsx_3[[#This Row],[2032]]</f>
        <v>0</v>
      </c>
      <c r="J374">
        <f>scenario_indirect_prod_4506_iotable_2020_xlsx_3[[#This Row],[2033]]+scenario_indirect_prod_1610_iotable_2020_xlsx_3[[#This Row],[2033]]</f>
        <v>0</v>
      </c>
      <c r="K374">
        <f>scenario_indirect_prod_4506_iotable_2020_xlsx_3[[#This Row],[2034]]+scenario_indirect_prod_1610_iotable_2020_xlsx_3[[#This Row],[2034]]</f>
        <v>0</v>
      </c>
      <c r="L374">
        <f>scenario_indirect_prod_4506_iotable_2020_xlsx_3[[#This Row],[2035]]+scenario_indirect_prod_1610_iotable_2020_xlsx_3[[#This Row],[2035]]</f>
        <v>0</v>
      </c>
      <c r="M374">
        <f>scenario_indirect_prod_4506_iotable_2020_xlsx_3[[#This Row],[2036]]+scenario_indirect_prod_1610_iotable_2020_xlsx_3[[#This Row],[2036]]</f>
        <v>0</v>
      </c>
      <c r="N374">
        <f>scenario_indirect_prod_4506_iotable_2020_xlsx_3[[#This Row],[2037]]+scenario_indirect_prod_1610_iotable_2020_xlsx_3[[#This Row],[2037]]</f>
        <v>0</v>
      </c>
      <c r="O374">
        <f>scenario_indirect_prod_4506_iotable_2020_xlsx_3[[#This Row],[2038]]+scenario_indirect_prod_1610_iotable_2020_xlsx_3[[#This Row],[2038]]</f>
        <v>0</v>
      </c>
      <c r="P374">
        <f>scenario_indirect_prod_4506_iotable_2020_xlsx_3[[#This Row],[2039]]+scenario_indirect_prod_1610_iotable_2020_xlsx_3[[#This Row],[2039]]</f>
        <v>0</v>
      </c>
      <c r="Q374">
        <f>scenario_indirect_prod_4506_iotable_2020_xlsx_3[[#This Row],[2040]]+scenario_indirect_prod_1610_iotable_2020_xlsx_3[[#This Row],[2040]]</f>
        <v>0</v>
      </c>
      <c r="R374">
        <f>scenario_indirect_prod_4506_iotable_2020_xlsx_3[[#This Row],[2041]]+scenario_indirect_prod_1610_iotable_2020_xlsx_3[[#This Row],[2041]]</f>
        <v>0</v>
      </c>
      <c r="S374">
        <f>scenario_indirect_prod_4506_iotable_2020_xlsx_3[[#This Row],[2042]]+scenario_indirect_prod_1610_iotable_2020_xlsx_3[[#This Row],[2042]]</f>
        <v>0</v>
      </c>
      <c r="T374">
        <f>scenario_indirect_prod_4506_iotable_2020_xlsx_3[[#This Row],[2043]]+scenario_indirect_prod_1610_iotable_2020_xlsx_3[[#This Row],[2043]]</f>
        <v>0</v>
      </c>
      <c r="U374">
        <f>scenario_indirect_prod_4506_iotable_2020_xlsx_3[[#This Row],[2044]]+scenario_indirect_prod_1610_iotable_2020_xlsx_3[[#This Row],[2044]]</f>
        <v>0</v>
      </c>
      <c r="V374">
        <f>scenario_indirect_prod_4506_iotable_2020_xlsx_3[[#This Row],[2045]]+scenario_indirect_prod_1610_iotable_2020_xlsx_3[[#This Row],[2045]]</f>
        <v>0</v>
      </c>
      <c r="W374">
        <f>scenario_indirect_prod_4506_iotable_2020_xlsx_3[[#This Row],[2046]]+scenario_indirect_prod_1610_iotable_2020_xlsx_3[[#This Row],[2046]]</f>
        <v>0</v>
      </c>
      <c r="X374">
        <f>scenario_indirect_prod_4506_iotable_2020_xlsx_3[[#This Row],[2047]]+scenario_indirect_prod_1610_iotable_2020_xlsx_3[[#This Row],[2047]]</f>
        <v>0</v>
      </c>
      <c r="Y374">
        <f>scenario_indirect_prod_4506_iotable_2020_xlsx_3[[#This Row],[2048]]+scenario_indirect_prod_1610_iotable_2020_xlsx_3[[#This Row],[2048]]</f>
        <v>0</v>
      </c>
      <c r="Z374">
        <f>scenario_indirect_prod_4506_iotable_2020_xlsx_3[[#This Row],[2049]]+scenario_indirect_prod_1610_iotable_2020_xlsx_3[[#This Row],[2049]]</f>
        <v>0</v>
      </c>
      <c r="AA374">
        <f>scenario_indirect_prod_4506_iotable_2020_xlsx_3[[#This Row],[2050]]+scenario_indirect_prod_1610_iotable_2020_xlsx_3[[#This Row],[2050]]</f>
        <v>0</v>
      </c>
    </row>
    <row r="375" spans="1:27" x14ac:dyDescent="0.2">
      <c r="A375" t="s">
        <v>471</v>
      </c>
      <c r="B375" t="s">
        <v>472</v>
      </c>
      <c r="C375">
        <f>scenario_indirect_prod_4506_iotable_2020_xlsx_3[[#This Row],[2026]]+scenario_indirect_prod_1610_iotable_2020_xlsx_3[[#This Row],[2026]]</f>
        <v>15433.739182931484</v>
      </c>
      <c r="D375">
        <f>scenario_indirect_prod_4506_iotable_2020_xlsx_3[[#This Row],[2027]]+scenario_indirect_prod_1610_iotable_2020_xlsx_3[[#This Row],[2027]]</f>
        <v>11157.987943745584</v>
      </c>
      <c r="E375">
        <f>scenario_indirect_prod_4506_iotable_2020_xlsx_3[[#This Row],[2028]]+scenario_indirect_prod_1610_iotable_2020_xlsx_3[[#This Row],[2028]]</f>
        <v>12169.638938206077</v>
      </c>
      <c r="F375">
        <f>scenario_indirect_prod_4506_iotable_2020_xlsx_3[[#This Row],[2029]]+scenario_indirect_prod_1610_iotable_2020_xlsx_3[[#This Row],[2029]]</f>
        <v>11179.490730270129</v>
      </c>
      <c r="G375">
        <f>scenario_indirect_prod_4506_iotable_2020_xlsx_3[[#This Row],[2030]]+scenario_indirect_prod_1610_iotable_2020_xlsx_3[[#This Row],[2030]]</f>
        <v>-4240.8737169273591</v>
      </c>
      <c r="H375">
        <f>scenario_indirect_prod_4506_iotable_2020_xlsx_3[[#This Row],[2031]]+scenario_indirect_prod_1610_iotable_2020_xlsx_3[[#This Row],[2031]]</f>
        <v>-2875.9545795641025</v>
      </c>
      <c r="I375">
        <f>scenario_indirect_prod_4506_iotable_2020_xlsx_3[[#This Row],[2032]]+scenario_indirect_prod_1610_iotable_2020_xlsx_3[[#This Row],[2032]]</f>
        <v>-969.72353878368449</v>
      </c>
      <c r="J375">
        <f>scenario_indirect_prod_4506_iotable_2020_xlsx_3[[#This Row],[2033]]+scenario_indirect_prod_1610_iotable_2020_xlsx_3[[#This Row],[2033]]</f>
        <v>-6108.3245181647362</v>
      </c>
      <c r="K375">
        <f>scenario_indirect_prod_4506_iotable_2020_xlsx_3[[#This Row],[2034]]+scenario_indirect_prod_1610_iotable_2020_xlsx_3[[#This Row],[2034]]</f>
        <v>-4334.4771473863802</v>
      </c>
      <c r="L375">
        <f>scenario_indirect_prod_4506_iotable_2020_xlsx_3[[#This Row],[2035]]+scenario_indirect_prod_1610_iotable_2020_xlsx_3[[#This Row],[2035]]</f>
        <v>-10197.021244559939</v>
      </c>
      <c r="M375">
        <f>scenario_indirect_prod_4506_iotable_2020_xlsx_3[[#This Row],[2036]]+scenario_indirect_prod_1610_iotable_2020_xlsx_3[[#This Row],[2036]]</f>
        <v>-15358.859408265344</v>
      </c>
      <c r="N375">
        <f>scenario_indirect_prod_4506_iotable_2020_xlsx_3[[#This Row],[2037]]+scenario_indirect_prod_1610_iotable_2020_xlsx_3[[#This Row],[2037]]</f>
        <v>-19799.695346395434</v>
      </c>
      <c r="O375">
        <f>scenario_indirect_prod_4506_iotable_2020_xlsx_3[[#This Row],[2038]]+scenario_indirect_prod_1610_iotable_2020_xlsx_3[[#This Row],[2038]]</f>
        <v>-19799.695346395434</v>
      </c>
      <c r="P375">
        <f>scenario_indirect_prod_4506_iotable_2020_xlsx_3[[#This Row],[2039]]+scenario_indirect_prod_1610_iotable_2020_xlsx_3[[#This Row],[2039]]</f>
        <v>-19799.695346395434</v>
      </c>
      <c r="Q375">
        <f>scenario_indirect_prod_4506_iotable_2020_xlsx_3[[#This Row],[2040]]+scenario_indirect_prod_1610_iotable_2020_xlsx_3[[#This Row],[2040]]</f>
        <v>-23710.614190310065</v>
      </c>
      <c r="R375">
        <f>scenario_indirect_prod_4506_iotable_2020_xlsx_3[[#This Row],[2041]]+scenario_indirect_prod_1610_iotable_2020_xlsx_3[[#This Row],[2041]]</f>
        <v>-23710.614190310065</v>
      </c>
      <c r="S375">
        <f>scenario_indirect_prod_4506_iotable_2020_xlsx_3[[#This Row],[2042]]+scenario_indirect_prod_1610_iotable_2020_xlsx_3[[#This Row],[2042]]</f>
        <v>-27988.536445378879</v>
      </c>
      <c r="T375">
        <f>scenario_indirect_prod_4506_iotable_2020_xlsx_3[[#This Row],[2043]]+scenario_indirect_prod_1610_iotable_2020_xlsx_3[[#This Row],[2043]]</f>
        <v>-27988.536445378879</v>
      </c>
      <c r="U375">
        <f>scenario_indirect_prod_4506_iotable_2020_xlsx_3[[#This Row],[2044]]+scenario_indirect_prod_1610_iotable_2020_xlsx_3[[#This Row],[2044]]</f>
        <v>-32174.173887768964</v>
      </c>
      <c r="V375">
        <f>scenario_indirect_prod_4506_iotable_2020_xlsx_3[[#This Row],[2045]]+scenario_indirect_prod_1610_iotable_2020_xlsx_3[[#This Row],[2045]]</f>
        <v>-32174.173887768964</v>
      </c>
      <c r="W375">
        <f>scenario_indirect_prod_4506_iotable_2020_xlsx_3[[#This Row],[2046]]+scenario_indirect_prod_1610_iotable_2020_xlsx_3[[#This Row],[2046]]</f>
        <v>-35700.896672893563</v>
      </c>
      <c r="X375">
        <f>scenario_indirect_prod_4506_iotable_2020_xlsx_3[[#This Row],[2047]]+scenario_indirect_prod_1610_iotable_2020_xlsx_3[[#This Row],[2047]]</f>
        <v>-35700.896672893563</v>
      </c>
      <c r="Y375">
        <f>scenario_indirect_prod_4506_iotable_2020_xlsx_3[[#This Row],[2048]]+scenario_indirect_prod_1610_iotable_2020_xlsx_3[[#This Row],[2048]]</f>
        <v>-35700.896672893563</v>
      </c>
      <c r="Z375">
        <f>scenario_indirect_prod_4506_iotable_2020_xlsx_3[[#This Row],[2049]]+scenario_indirect_prod_1610_iotable_2020_xlsx_3[[#This Row],[2049]]</f>
        <v>-35700.896672893563</v>
      </c>
      <c r="AA375">
        <f>scenario_indirect_prod_4506_iotable_2020_xlsx_3[[#This Row],[2050]]+scenario_indirect_prod_1610_iotable_2020_xlsx_3[[#This Row],[2050]]</f>
        <v>-35700.896672893563</v>
      </c>
    </row>
    <row r="376" spans="1:27" x14ac:dyDescent="0.2">
      <c r="A376" t="s">
        <v>546</v>
      </c>
      <c r="B376" t="s">
        <v>547</v>
      </c>
      <c r="C376">
        <f>scenario_indirect_prod_4506_iotable_2020_xlsx_3[[#This Row],[2026]]+scenario_indirect_prod_1610_iotable_2020_xlsx_3[[#This Row],[2026]]</f>
        <v>10037.134016802107</v>
      </c>
      <c r="D376">
        <f>scenario_indirect_prod_4506_iotable_2020_xlsx_3[[#This Row],[2027]]+scenario_indirect_prod_1610_iotable_2020_xlsx_3[[#This Row],[2027]]</f>
        <v>10239.288835488896</v>
      </c>
      <c r="E376">
        <f>scenario_indirect_prod_4506_iotable_2020_xlsx_3[[#This Row],[2028]]+scenario_indirect_prod_1610_iotable_2020_xlsx_3[[#This Row],[2028]]</f>
        <v>10719.914870947729</v>
      </c>
      <c r="F376">
        <f>scenario_indirect_prod_4506_iotable_2020_xlsx_3[[#This Row],[2029]]+scenario_indirect_prod_1610_iotable_2020_xlsx_3[[#This Row],[2029]]</f>
        <v>11142.914583398147</v>
      </c>
      <c r="G376">
        <f>scenario_indirect_prod_4506_iotable_2020_xlsx_3[[#This Row],[2030]]+scenario_indirect_prod_1610_iotable_2020_xlsx_3[[#This Row],[2030]]</f>
        <v>11389.696877511244</v>
      </c>
      <c r="H376">
        <f>scenario_indirect_prod_4506_iotable_2020_xlsx_3[[#This Row],[2031]]+scenario_indirect_prod_1610_iotable_2020_xlsx_3[[#This Row],[2031]]</f>
        <v>12038.15734194508</v>
      </c>
      <c r="I376">
        <f>scenario_indirect_prod_4506_iotable_2020_xlsx_3[[#This Row],[2032]]+scenario_indirect_prod_1610_iotable_2020_xlsx_3[[#This Row],[2032]]</f>
        <v>12943.790087640598</v>
      </c>
      <c r="J376">
        <f>scenario_indirect_prod_4506_iotable_2020_xlsx_3[[#This Row],[2033]]+scenario_indirect_prod_1610_iotable_2020_xlsx_3[[#This Row],[2033]]</f>
        <v>14727.016273244279</v>
      </c>
      <c r="K376">
        <f>scenario_indirect_prod_4506_iotable_2020_xlsx_3[[#This Row],[2034]]+scenario_indirect_prod_1610_iotable_2020_xlsx_3[[#This Row],[2034]]</f>
        <v>15569.754761116708</v>
      </c>
      <c r="L376">
        <f>scenario_indirect_prod_4506_iotable_2020_xlsx_3[[#This Row],[2035]]+scenario_indirect_prod_1610_iotable_2020_xlsx_3[[#This Row],[2035]]</f>
        <v>18132.262620969232</v>
      </c>
      <c r="M376">
        <f>scenario_indirect_prod_4506_iotable_2020_xlsx_3[[#This Row],[2036]]+scenario_indirect_prod_1610_iotable_2020_xlsx_3[[#This Row],[2036]]</f>
        <v>19190.077783838919</v>
      </c>
      <c r="N376">
        <f>scenario_indirect_prod_4506_iotable_2020_xlsx_3[[#This Row],[2037]]+scenario_indirect_prod_1610_iotable_2020_xlsx_3[[#This Row],[2037]]</f>
        <v>20148.877061179952</v>
      </c>
      <c r="O376">
        <f>scenario_indirect_prod_4506_iotable_2020_xlsx_3[[#This Row],[2038]]+scenario_indirect_prod_1610_iotable_2020_xlsx_3[[#This Row],[2038]]</f>
        <v>20148.877061179952</v>
      </c>
      <c r="P376">
        <f>scenario_indirect_prod_4506_iotable_2020_xlsx_3[[#This Row],[2039]]+scenario_indirect_prod_1610_iotable_2020_xlsx_3[[#This Row],[2039]]</f>
        <v>20148.877061179952</v>
      </c>
      <c r="Q376">
        <f>scenario_indirect_prod_4506_iotable_2020_xlsx_3[[#This Row],[2040]]+scenario_indirect_prod_1610_iotable_2020_xlsx_3[[#This Row],[2040]]</f>
        <v>20984.780176455963</v>
      </c>
      <c r="R376">
        <f>scenario_indirect_prod_4506_iotable_2020_xlsx_3[[#This Row],[2041]]+scenario_indirect_prod_1610_iotable_2020_xlsx_3[[#This Row],[2041]]</f>
        <v>20984.780176455963</v>
      </c>
      <c r="S376">
        <f>scenario_indirect_prod_4506_iotable_2020_xlsx_3[[#This Row],[2042]]+scenario_indirect_prod_1610_iotable_2020_xlsx_3[[#This Row],[2042]]</f>
        <v>21925.827916833339</v>
      </c>
      <c r="T376">
        <f>scenario_indirect_prod_4506_iotable_2020_xlsx_3[[#This Row],[2043]]+scenario_indirect_prod_1610_iotable_2020_xlsx_3[[#This Row],[2043]]</f>
        <v>21925.827916833339</v>
      </c>
      <c r="U376">
        <f>scenario_indirect_prod_4506_iotable_2020_xlsx_3[[#This Row],[2044]]+scenario_indirect_prod_1610_iotable_2020_xlsx_3[[#This Row],[2044]]</f>
        <v>22765.020629842926</v>
      </c>
      <c r="V376">
        <f>scenario_indirect_prod_4506_iotable_2020_xlsx_3[[#This Row],[2045]]+scenario_indirect_prod_1610_iotable_2020_xlsx_3[[#This Row],[2045]]</f>
        <v>22765.020629842926</v>
      </c>
      <c r="W376">
        <f>scenario_indirect_prod_4506_iotable_2020_xlsx_3[[#This Row],[2046]]+scenario_indirect_prod_1610_iotable_2020_xlsx_3[[#This Row],[2046]]</f>
        <v>23497.257366902802</v>
      </c>
      <c r="X376">
        <f>scenario_indirect_prod_4506_iotable_2020_xlsx_3[[#This Row],[2047]]+scenario_indirect_prod_1610_iotable_2020_xlsx_3[[#This Row],[2047]]</f>
        <v>23497.257366902802</v>
      </c>
      <c r="Y376">
        <f>scenario_indirect_prod_4506_iotable_2020_xlsx_3[[#This Row],[2048]]+scenario_indirect_prod_1610_iotable_2020_xlsx_3[[#This Row],[2048]]</f>
        <v>23497.257366902802</v>
      </c>
      <c r="Z376">
        <f>scenario_indirect_prod_4506_iotable_2020_xlsx_3[[#This Row],[2049]]+scenario_indirect_prod_1610_iotable_2020_xlsx_3[[#This Row],[2049]]</f>
        <v>23497.257366902802</v>
      </c>
      <c r="AA376">
        <f>scenario_indirect_prod_4506_iotable_2020_xlsx_3[[#This Row],[2050]]+scenario_indirect_prod_1610_iotable_2020_xlsx_3[[#This Row],[2050]]</f>
        <v>23497.257366902802</v>
      </c>
    </row>
    <row r="377" spans="1:27" x14ac:dyDescent="0.2">
      <c r="A377" t="s">
        <v>793</v>
      </c>
      <c r="B377" t="s">
        <v>794</v>
      </c>
      <c r="C377">
        <f>scenario_indirect_prod_4506_iotable_2020_xlsx_3[[#This Row],[2026]]+scenario_indirect_prod_1610_iotable_2020_xlsx_3[[#This Row],[2026]]</f>
        <v>1113.4463790795592</v>
      </c>
      <c r="D377">
        <f>scenario_indirect_prod_4506_iotable_2020_xlsx_3[[#This Row],[2027]]+scenario_indirect_prod_1610_iotable_2020_xlsx_3[[#This Row],[2027]]</f>
        <v>949.24379026118436</v>
      </c>
      <c r="E377">
        <f>scenario_indirect_prod_4506_iotable_2020_xlsx_3[[#This Row],[2028]]+scenario_indirect_prod_1610_iotable_2020_xlsx_3[[#This Row],[2028]]</f>
        <v>1013.6533928728111</v>
      </c>
      <c r="F377">
        <f>scenario_indirect_prod_4506_iotable_2020_xlsx_3[[#This Row],[2029]]+scenario_indirect_prod_1610_iotable_2020_xlsx_3[[#This Row],[2029]]</f>
        <v>993.82288025223102</v>
      </c>
      <c r="G377">
        <f>scenario_indirect_prod_4506_iotable_2020_xlsx_3[[#This Row],[2030]]+scenario_indirect_prod_1610_iotable_2020_xlsx_3[[#This Row],[2030]]</f>
        <v>378.3055686563373</v>
      </c>
      <c r="H377">
        <f>scenario_indirect_prod_4506_iotable_2020_xlsx_3[[#This Row],[2031]]+scenario_indirect_prod_1610_iotable_2020_xlsx_3[[#This Row],[2031]]</f>
        <v>465.20698002840436</v>
      </c>
      <c r="I377">
        <f>scenario_indirect_prod_4506_iotable_2020_xlsx_3[[#This Row],[2032]]+scenario_indirect_prod_1610_iotable_2020_xlsx_3[[#This Row],[2032]]</f>
        <v>586.57253444877279</v>
      </c>
      <c r="J377">
        <f>scenario_indirect_prod_4506_iotable_2020_xlsx_3[[#This Row],[2033]]+scenario_indirect_prod_1610_iotable_2020_xlsx_3[[#This Row],[2033]]</f>
        <v>463.7296945918074</v>
      </c>
      <c r="K377">
        <f>scenario_indirect_prod_4506_iotable_2020_xlsx_3[[#This Row],[2034]]+scenario_indirect_prod_1610_iotable_2020_xlsx_3[[#This Row],[2034]]</f>
        <v>576.66667075367377</v>
      </c>
      <c r="L377">
        <f>scenario_indirect_prod_4506_iotable_2020_xlsx_3[[#This Row],[2035]]+scenario_indirect_prod_1610_iotable_2020_xlsx_3[[#This Row],[2035]]</f>
        <v>462.05686480365603</v>
      </c>
      <c r="M377">
        <f>scenario_indirect_prod_4506_iotable_2020_xlsx_3[[#This Row],[2036]]+scenario_indirect_prod_1610_iotable_2020_xlsx_3[[#This Row],[2036]]</f>
        <v>303.18377379547292</v>
      </c>
      <c r="N377">
        <f>scenario_indirect_prod_4506_iotable_2020_xlsx_3[[#This Row],[2037]]+scenario_indirect_prod_1610_iotable_2020_xlsx_3[[#This Row],[2037]]</f>
        <v>168.85925337795607</v>
      </c>
      <c r="O377">
        <f>scenario_indirect_prod_4506_iotable_2020_xlsx_3[[#This Row],[2038]]+scenario_indirect_prod_1610_iotable_2020_xlsx_3[[#This Row],[2038]]</f>
        <v>168.85925337795607</v>
      </c>
      <c r="P377">
        <f>scenario_indirect_prod_4506_iotable_2020_xlsx_3[[#This Row],[2039]]+scenario_indirect_prod_1610_iotable_2020_xlsx_3[[#This Row],[2039]]</f>
        <v>168.85925337795607</v>
      </c>
      <c r="Q377">
        <f>scenario_indirect_prod_4506_iotable_2020_xlsx_3[[#This Row],[2040]]+scenario_indirect_prod_1610_iotable_2020_xlsx_3[[#This Row],[2040]]</f>
        <v>50.153092466369344</v>
      </c>
      <c r="R377">
        <f>scenario_indirect_prod_4506_iotable_2020_xlsx_3[[#This Row],[2041]]+scenario_indirect_prod_1610_iotable_2020_xlsx_3[[#This Row],[2041]]</f>
        <v>50.153092466369344</v>
      </c>
      <c r="S377">
        <f>scenario_indirect_prod_4506_iotable_2020_xlsx_3[[#This Row],[2042]]+scenario_indirect_prod_1610_iotable_2020_xlsx_3[[#This Row],[2042]]</f>
        <v>-78.401045918558339</v>
      </c>
      <c r="T377">
        <f>scenario_indirect_prod_4506_iotable_2020_xlsx_3[[#This Row],[2043]]+scenario_indirect_prod_1610_iotable_2020_xlsx_3[[#This Row],[2043]]</f>
        <v>-78.401045918558339</v>
      </c>
      <c r="U377">
        <f>scenario_indirect_prod_4506_iotable_2020_xlsx_3[[#This Row],[2044]]+scenario_indirect_prod_1610_iotable_2020_xlsx_3[[#This Row],[2044]]</f>
        <v>-208.12637541090953</v>
      </c>
      <c r="V377">
        <f>scenario_indirect_prod_4506_iotable_2020_xlsx_3[[#This Row],[2045]]+scenario_indirect_prod_1610_iotable_2020_xlsx_3[[#This Row],[2045]]</f>
        <v>-208.12637541090953</v>
      </c>
      <c r="W377">
        <f>scenario_indirect_prod_4506_iotable_2020_xlsx_3[[#This Row],[2046]]+scenario_indirect_prod_1610_iotable_2020_xlsx_3[[#This Row],[2046]]</f>
        <v>-316.21349594066942</v>
      </c>
      <c r="X377">
        <f>scenario_indirect_prod_4506_iotable_2020_xlsx_3[[#This Row],[2047]]+scenario_indirect_prod_1610_iotable_2020_xlsx_3[[#This Row],[2047]]</f>
        <v>-316.21349594066942</v>
      </c>
      <c r="Y377">
        <f>scenario_indirect_prod_4506_iotable_2020_xlsx_3[[#This Row],[2048]]+scenario_indirect_prod_1610_iotable_2020_xlsx_3[[#This Row],[2048]]</f>
        <v>-316.21349594066942</v>
      </c>
      <c r="Z377">
        <f>scenario_indirect_prod_4506_iotable_2020_xlsx_3[[#This Row],[2049]]+scenario_indirect_prod_1610_iotable_2020_xlsx_3[[#This Row],[2049]]</f>
        <v>-316.21349594066942</v>
      </c>
      <c r="AA377">
        <f>scenario_indirect_prod_4506_iotable_2020_xlsx_3[[#This Row],[2050]]+scenario_indirect_prod_1610_iotable_2020_xlsx_3[[#This Row],[2050]]</f>
        <v>-316.21349594066942</v>
      </c>
    </row>
    <row r="378" spans="1:27" x14ac:dyDescent="0.2">
      <c r="A378" t="s">
        <v>779</v>
      </c>
      <c r="B378" t="s">
        <v>780</v>
      </c>
      <c r="C378">
        <f>scenario_indirect_prod_4506_iotable_2020_xlsx_3[[#This Row],[2026]]+scenario_indirect_prod_1610_iotable_2020_xlsx_3[[#This Row],[2026]]</f>
        <v>1531.7628096218111</v>
      </c>
      <c r="D378">
        <f>scenario_indirect_prod_4506_iotable_2020_xlsx_3[[#This Row],[2027]]+scenario_indirect_prod_1610_iotable_2020_xlsx_3[[#This Row],[2027]]</f>
        <v>1499.3194167005031</v>
      </c>
      <c r="E378">
        <f>scenario_indirect_prod_4506_iotable_2020_xlsx_3[[#This Row],[2028]]+scenario_indirect_prod_1610_iotable_2020_xlsx_3[[#This Row],[2028]]</f>
        <v>1576.4295147518426</v>
      </c>
      <c r="F378">
        <f>scenario_indirect_prod_4506_iotable_2020_xlsx_3[[#This Row],[2029]]+scenario_indirect_prod_1610_iotable_2020_xlsx_3[[#This Row],[2029]]</f>
        <v>1618.3436427265046</v>
      </c>
      <c r="G378">
        <f>scenario_indirect_prod_4506_iotable_2020_xlsx_3[[#This Row],[2030]]+scenario_indirect_prod_1610_iotable_2020_xlsx_3[[#This Row],[2030]]</f>
        <v>1437.9703577886421</v>
      </c>
      <c r="H378">
        <f>scenario_indirect_prod_4506_iotable_2020_xlsx_3[[#This Row],[2031]]+scenario_indirect_prod_1610_iotable_2020_xlsx_3[[#This Row],[2031]]</f>
        <v>1542.007272782593</v>
      </c>
      <c r="I378">
        <f>scenario_indirect_prod_4506_iotable_2020_xlsx_3[[#This Row],[2032]]+scenario_indirect_prod_1610_iotable_2020_xlsx_3[[#This Row],[2032]]</f>
        <v>1687.3040829156905</v>
      </c>
      <c r="J378">
        <f>scenario_indirect_prod_4506_iotable_2020_xlsx_3[[#This Row],[2033]]+scenario_indirect_prod_1610_iotable_2020_xlsx_3[[#This Row],[2033]]</f>
        <v>1850.6906810317032</v>
      </c>
      <c r="K378">
        <f>scenario_indirect_prod_4506_iotable_2020_xlsx_3[[#This Row],[2034]]+scenario_indirect_prod_1610_iotable_2020_xlsx_3[[#This Row],[2034]]</f>
        <v>1985.8969383653157</v>
      </c>
      <c r="L378">
        <f>scenario_indirect_prod_4506_iotable_2020_xlsx_3[[#This Row],[2035]]+scenario_indirect_prod_1610_iotable_2020_xlsx_3[[#This Row],[2035]]</f>
        <v>2241.6831713305901</v>
      </c>
      <c r="M378">
        <f>scenario_indirect_prod_4506_iotable_2020_xlsx_3[[#This Row],[2036]]+scenario_indirect_prod_1610_iotable_2020_xlsx_3[[#This Row],[2036]]</f>
        <v>2309.4372624618923</v>
      </c>
      <c r="N378">
        <f>scenario_indirect_prod_4506_iotable_2020_xlsx_3[[#This Row],[2037]]+scenario_indirect_prod_1610_iotable_2020_xlsx_3[[#This Row],[2037]]</f>
        <v>2374.1313358195534</v>
      </c>
      <c r="O378">
        <f>scenario_indirect_prod_4506_iotable_2020_xlsx_3[[#This Row],[2038]]+scenario_indirect_prod_1610_iotable_2020_xlsx_3[[#This Row],[2038]]</f>
        <v>2374.1313358195534</v>
      </c>
      <c r="P378">
        <f>scenario_indirect_prod_4506_iotable_2020_xlsx_3[[#This Row],[2039]]+scenario_indirect_prod_1610_iotable_2020_xlsx_3[[#This Row],[2039]]</f>
        <v>2374.1313358195534</v>
      </c>
      <c r="Q378">
        <f>scenario_indirect_prod_4506_iotable_2020_xlsx_3[[#This Row],[2040]]+scenario_indirect_prod_1610_iotable_2020_xlsx_3[[#This Row],[2040]]</f>
        <v>2429.9908213430394</v>
      </c>
      <c r="R378">
        <f>scenario_indirect_prod_4506_iotable_2020_xlsx_3[[#This Row],[2041]]+scenario_indirect_prod_1610_iotable_2020_xlsx_3[[#This Row],[2041]]</f>
        <v>2429.9908213430394</v>
      </c>
      <c r="S378">
        <f>scenario_indirect_prod_4506_iotable_2020_xlsx_3[[#This Row],[2042]]+scenario_indirect_prod_1610_iotable_2020_xlsx_3[[#This Row],[2042]]</f>
        <v>2494.6006954369273</v>
      </c>
      <c r="T378">
        <f>scenario_indirect_prod_4506_iotable_2020_xlsx_3[[#This Row],[2043]]+scenario_indirect_prod_1610_iotable_2020_xlsx_3[[#This Row],[2043]]</f>
        <v>2494.6006954369273</v>
      </c>
      <c r="U378">
        <f>scenario_indirect_prod_4506_iotable_2020_xlsx_3[[#This Row],[2044]]+scenario_indirect_prod_1610_iotable_2020_xlsx_3[[#This Row],[2044]]</f>
        <v>2547.1013382004235</v>
      </c>
      <c r="V378">
        <f>scenario_indirect_prod_4506_iotable_2020_xlsx_3[[#This Row],[2045]]+scenario_indirect_prod_1610_iotable_2020_xlsx_3[[#This Row],[2045]]</f>
        <v>2547.1013382004235</v>
      </c>
      <c r="W378">
        <f>scenario_indirect_prod_4506_iotable_2020_xlsx_3[[#This Row],[2046]]+scenario_indirect_prod_1610_iotable_2020_xlsx_3[[#This Row],[2046]]</f>
        <v>2594.6419173865711</v>
      </c>
      <c r="X378">
        <f>scenario_indirect_prod_4506_iotable_2020_xlsx_3[[#This Row],[2047]]+scenario_indirect_prod_1610_iotable_2020_xlsx_3[[#This Row],[2047]]</f>
        <v>2594.6419173865711</v>
      </c>
      <c r="Y378">
        <f>scenario_indirect_prod_4506_iotable_2020_xlsx_3[[#This Row],[2048]]+scenario_indirect_prod_1610_iotable_2020_xlsx_3[[#This Row],[2048]]</f>
        <v>2594.6419173865711</v>
      </c>
      <c r="Z378">
        <f>scenario_indirect_prod_4506_iotable_2020_xlsx_3[[#This Row],[2049]]+scenario_indirect_prod_1610_iotable_2020_xlsx_3[[#This Row],[2049]]</f>
        <v>2594.6419173865711</v>
      </c>
      <c r="AA378">
        <f>scenario_indirect_prod_4506_iotable_2020_xlsx_3[[#This Row],[2050]]+scenario_indirect_prod_1610_iotable_2020_xlsx_3[[#This Row],[2050]]</f>
        <v>2594.6419173865711</v>
      </c>
    </row>
    <row r="379" spans="1:27" x14ac:dyDescent="0.2">
      <c r="A379" t="s">
        <v>1025</v>
      </c>
      <c r="B379" t="s">
        <v>1026</v>
      </c>
      <c r="C379">
        <f>scenario_indirect_prod_4506_iotable_2020_xlsx_3[[#This Row],[2026]]+scenario_indirect_prod_1610_iotable_2020_xlsx_3[[#This Row],[2026]]</f>
        <v>0</v>
      </c>
      <c r="D379">
        <f>scenario_indirect_prod_4506_iotable_2020_xlsx_3[[#This Row],[2027]]+scenario_indirect_prod_1610_iotable_2020_xlsx_3[[#This Row],[2027]]</f>
        <v>0</v>
      </c>
      <c r="E379">
        <f>scenario_indirect_prod_4506_iotable_2020_xlsx_3[[#This Row],[2028]]+scenario_indirect_prod_1610_iotable_2020_xlsx_3[[#This Row],[2028]]</f>
        <v>0</v>
      </c>
      <c r="F379">
        <f>scenario_indirect_prod_4506_iotable_2020_xlsx_3[[#This Row],[2029]]+scenario_indirect_prod_1610_iotable_2020_xlsx_3[[#This Row],[2029]]</f>
        <v>0</v>
      </c>
      <c r="G379">
        <f>scenario_indirect_prod_4506_iotable_2020_xlsx_3[[#This Row],[2030]]+scenario_indirect_prod_1610_iotable_2020_xlsx_3[[#This Row],[2030]]</f>
        <v>0</v>
      </c>
      <c r="H379">
        <f>scenario_indirect_prod_4506_iotable_2020_xlsx_3[[#This Row],[2031]]+scenario_indirect_prod_1610_iotable_2020_xlsx_3[[#This Row],[2031]]</f>
        <v>0</v>
      </c>
      <c r="I379">
        <f>scenario_indirect_prod_4506_iotable_2020_xlsx_3[[#This Row],[2032]]+scenario_indirect_prod_1610_iotable_2020_xlsx_3[[#This Row],[2032]]</f>
        <v>0</v>
      </c>
      <c r="J379">
        <f>scenario_indirect_prod_4506_iotable_2020_xlsx_3[[#This Row],[2033]]+scenario_indirect_prod_1610_iotable_2020_xlsx_3[[#This Row],[2033]]</f>
        <v>0</v>
      </c>
      <c r="K379">
        <f>scenario_indirect_prod_4506_iotable_2020_xlsx_3[[#This Row],[2034]]+scenario_indirect_prod_1610_iotable_2020_xlsx_3[[#This Row],[2034]]</f>
        <v>0</v>
      </c>
      <c r="L379">
        <f>scenario_indirect_prod_4506_iotable_2020_xlsx_3[[#This Row],[2035]]+scenario_indirect_prod_1610_iotable_2020_xlsx_3[[#This Row],[2035]]</f>
        <v>0</v>
      </c>
      <c r="M379">
        <f>scenario_indirect_prod_4506_iotable_2020_xlsx_3[[#This Row],[2036]]+scenario_indirect_prod_1610_iotable_2020_xlsx_3[[#This Row],[2036]]</f>
        <v>0</v>
      </c>
      <c r="N379">
        <f>scenario_indirect_prod_4506_iotable_2020_xlsx_3[[#This Row],[2037]]+scenario_indirect_prod_1610_iotable_2020_xlsx_3[[#This Row],[2037]]</f>
        <v>0</v>
      </c>
      <c r="O379">
        <f>scenario_indirect_prod_4506_iotable_2020_xlsx_3[[#This Row],[2038]]+scenario_indirect_prod_1610_iotable_2020_xlsx_3[[#This Row],[2038]]</f>
        <v>0</v>
      </c>
      <c r="P379">
        <f>scenario_indirect_prod_4506_iotable_2020_xlsx_3[[#This Row],[2039]]+scenario_indirect_prod_1610_iotable_2020_xlsx_3[[#This Row],[2039]]</f>
        <v>0</v>
      </c>
      <c r="Q379">
        <f>scenario_indirect_prod_4506_iotable_2020_xlsx_3[[#This Row],[2040]]+scenario_indirect_prod_1610_iotable_2020_xlsx_3[[#This Row],[2040]]</f>
        <v>0</v>
      </c>
      <c r="R379">
        <f>scenario_indirect_prod_4506_iotable_2020_xlsx_3[[#This Row],[2041]]+scenario_indirect_prod_1610_iotable_2020_xlsx_3[[#This Row],[2041]]</f>
        <v>0</v>
      </c>
      <c r="S379">
        <f>scenario_indirect_prod_4506_iotable_2020_xlsx_3[[#This Row],[2042]]+scenario_indirect_prod_1610_iotable_2020_xlsx_3[[#This Row],[2042]]</f>
        <v>0</v>
      </c>
      <c r="T379">
        <f>scenario_indirect_prod_4506_iotable_2020_xlsx_3[[#This Row],[2043]]+scenario_indirect_prod_1610_iotable_2020_xlsx_3[[#This Row],[2043]]</f>
        <v>0</v>
      </c>
      <c r="U379">
        <f>scenario_indirect_prod_4506_iotable_2020_xlsx_3[[#This Row],[2044]]+scenario_indirect_prod_1610_iotable_2020_xlsx_3[[#This Row],[2044]]</f>
        <v>0</v>
      </c>
      <c r="V379">
        <f>scenario_indirect_prod_4506_iotable_2020_xlsx_3[[#This Row],[2045]]+scenario_indirect_prod_1610_iotable_2020_xlsx_3[[#This Row],[2045]]</f>
        <v>0</v>
      </c>
      <c r="W379">
        <f>scenario_indirect_prod_4506_iotable_2020_xlsx_3[[#This Row],[2046]]+scenario_indirect_prod_1610_iotable_2020_xlsx_3[[#This Row],[2046]]</f>
        <v>0</v>
      </c>
      <c r="X379">
        <f>scenario_indirect_prod_4506_iotable_2020_xlsx_3[[#This Row],[2047]]+scenario_indirect_prod_1610_iotable_2020_xlsx_3[[#This Row],[2047]]</f>
        <v>0</v>
      </c>
      <c r="Y379">
        <f>scenario_indirect_prod_4506_iotable_2020_xlsx_3[[#This Row],[2048]]+scenario_indirect_prod_1610_iotable_2020_xlsx_3[[#This Row],[2048]]</f>
        <v>0</v>
      </c>
      <c r="Z379">
        <f>scenario_indirect_prod_4506_iotable_2020_xlsx_3[[#This Row],[2049]]+scenario_indirect_prod_1610_iotable_2020_xlsx_3[[#This Row],[2049]]</f>
        <v>0</v>
      </c>
      <c r="AA379">
        <f>scenario_indirect_prod_4506_iotable_2020_xlsx_3[[#This Row],[2050]]+scenario_indirect_prod_1610_iotable_2020_xlsx_3[[#This Row],[2050]]</f>
        <v>0</v>
      </c>
    </row>
    <row r="380" spans="1:27" x14ac:dyDescent="0.2">
      <c r="A380" t="s">
        <v>698</v>
      </c>
      <c r="B380" t="s">
        <v>699</v>
      </c>
      <c r="C380">
        <f>scenario_indirect_prod_4506_iotable_2020_xlsx_3[[#This Row],[2026]]+scenario_indirect_prod_1610_iotable_2020_xlsx_3[[#This Row],[2026]]</f>
        <v>2718.6913499114894</v>
      </c>
      <c r="D380">
        <f>scenario_indirect_prod_4506_iotable_2020_xlsx_3[[#This Row],[2027]]+scenario_indirect_prod_1610_iotable_2020_xlsx_3[[#This Row],[2027]]</f>
        <v>2512.9476332664094</v>
      </c>
      <c r="E380">
        <f>scenario_indirect_prod_4506_iotable_2020_xlsx_3[[#This Row],[2028]]+scenario_indirect_prod_1610_iotable_2020_xlsx_3[[#This Row],[2028]]</f>
        <v>2658.6147103240928</v>
      </c>
      <c r="F380">
        <f>scenario_indirect_prod_4506_iotable_2020_xlsx_3[[#This Row],[2029]]+scenario_indirect_prod_1610_iotable_2020_xlsx_3[[#This Row],[2029]]</f>
        <v>2680.0115769025069</v>
      </c>
      <c r="G380">
        <f>scenario_indirect_prod_4506_iotable_2020_xlsx_3[[#This Row],[2030]]+scenario_indirect_prod_1610_iotable_2020_xlsx_3[[#This Row],[2030]]</f>
        <v>1849.4897435220087</v>
      </c>
      <c r="H380">
        <f>scenario_indirect_prod_4506_iotable_2020_xlsx_3[[#This Row],[2031]]+scenario_indirect_prod_1610_iotable_2020_xlsx_3[[#This Row],[2031]]</f>
        <v>2046.0237085440408</v>
      </c>
      <c r="I380">
        <f>scenario_indirect_prod_4506_iotable_2020_xlsx_3[[#This Row],[2032]]+scenario_indirect_prod_1610_iotable_2020_xlsx_3[[#This Row],[2032]]</f>
        <v>2320.500880441838</v>
      </c>
      <c r="J380">
        <f>scenario_indirect_prod_4506_iotable_2020_xlsx_3[[#This Row],[2033]]+scenario_indirect_prod_1610_iotable_2020_xlsx_3[[#This Row],[2033]]</f>
        <v>2355.9252621878359</v>
      </c>
      <c r="K380">
        <f>scenario_indirect_prod_4506_iotable_2020_xlsx_3[[#This Row],[2034]]+scenario_indirect_prod_1610_iotable_2020_xlsx_3[[#This Row],[2034]]</f>
        <v>2611.3405813666977</v>
      </c>
      <c r="L380">
        <f>scenario_indirect_prod_4506_iotable_2020_xlsx_3[[#This Row],[2035]]+scenario_indirect_prod_1610_iotable_2020_xlsx_3[[#This Row],[2035]]</f>
        <v>2748.6697167363527</v>
      </c>
      <c r="M380">
        <f>scenario_indirect_prod_4506_iotable_2020_xlsx_3[[#This Row],[2036]]+scenario_indirect_prod_1610_iotable_2020_xlsx_3[[#This Row],[2036]]</f>
        <v>2649.6394438629732</v>
      </c>
      <c r="N380">
        <f>scenario_indirect_prod_4506_iotable_2020_xlsx_3[[#This Row],[2037]]+scenario_indirect_prod_1610_iotable_2020_xlsx_3[[#This Row],[2037]]</f>
        <v>2573.3867471661297</v>
      </c>
      <c r="O380">
        <f>scenario_indirect_prod_4506_iotable_2020_xlsx_3[[#This Row],[2038]]+scenario_indirect_prod_1610_iotable_2020_xlsx_3[[#This Row],[2038]]</f>
        <v>2573.3867471661297</v>
      </c>
      <c r="P380">
        <f>scenario_indirect_prod_4506_iotable_2020_xlsx_3[[#This Row],[2039]]+scenario_indirect_prod_1610_iotable_2020_xlsx_3[[#This Row],[2039]]</f>
        <v>2573.3867471661297</v>
      </c>
      <c r="Q380">
        <f>scenario_indirect_prod_4506_iotable_2020_xlsx_3[[#This Row],[2040]]+scenario_indirect_prod_1610_iotable_2020_xlsx_3[[#This Row],[2040]]</f>
        <v>2504.6760164912666</v>
      </c>
      <c r="R380">
        <f>scenario_indirect_prod_4506_iotable_2020_xlsx_3[[#This Row],[2041]]+scenario_indirect_prod_1610_iotable_2020_xlsx_3[[#This Row],[2041]]</f>
        <v>2504.6760164912666</v>
      </c>
      <c r="S380">
        <f>scenario_indirect_prod_4506_iotable_2020_xlsx_3[[#This Row],[2042]]+scenario_indirect_prod_1610_iotable_2020_xlsx_3[[#This Row],[2042]]</f>
        <v>2434.418208736246</v>
      </c>
      <c r="T380">
        <f>scenario_indirect_prod_4506_iotable_2020_xlsx_3[[#This Row],[2043]]+scenario_indirect_prod_1610_iotable_2020_xlsx_3[[#This Row],[2043]]</f>
        <v>2434.418208736246</v>
      </c>
      <c r="U380">
        <f>scenario_indirect_prod_4506_iotable_2020_xlsx_3[[#This Row],[2044]]+scenario_indirect_prod_1610_iotable_2020_xlsx_3[[#This Row],[2044]]</f>
        <v>2350.708322057475</v>
      </c>
      <c r="V380">
        <f>scenario_indirect_prod_4506_iotable_2020_xlsx_3[[#This Row],[2045]]+scenario_indirect_prod_1610_iotable_2020_xlsx_3[[#This Row],[2045]]</f>
        <v>2350.708322057475</v>
      </c>
      <c r="W380">
        <f>scenario_indirect_prod_4506_iotable_2020_xlsx_3[[#This Row],[2046]]+scenario_indirect_prod_1610_iotable_2020_xlsx_3[[#This Row],[2046]]</f>
        <v>2284.7924438205919</v>
      </c>
      <c r="X380">
        <f>scenario_indirect_prod_4506_iotable_2020_xlsx_3[[#This Row],[2047]]+scenario_indirect_prod_1610_iotable_2020_xlsx_3[[#This Row],[2047]]</f>
        <v>2284.7924438205919</v>
      </c>
      <c r="Y380">
        <f>scenario_indirect_prod_4506_iotable_2020_xlsx_3[[#This Row],[2048]]+scenario_indirect_prod_1610_iotable_2020_xlsx_3[[#This Row],[2048]]</f>
        <v>2284.7924438205919</v>
      </c>
      <c r="Z380">
        <f>scenario_indirect_prod_4506_iotable_2020_xlsx_3[[#This Row],[2049]]+scenario_indirect_prod_1610_iotable_2020_xlsx_3[[#This Row],[2049]]</f>
        <v>2284.7924438205919</v>
      </c>
      <c r="AA380">
        <f>scenario_indirect_prod_4506_iotable_2020_xlsx_3[[#This Row],[2050]]+scenario_indirect_prod_1610_iotable_2020_xlsx_3[[#This Row],[2050]]</f>
        <v>2284.7924438205919</v>
      </c>
    </row>
    <row r="381" spans="1:27" x14ac:dyDescent="0.2">
      <c r="A381" t="s">
        <v>494</v>
      </c>
      <c r="B381" t="s">
        <v>495</v>
      </c>
      <c r="C381">
        <f>scenario_indirect_prod_4506_iotable_2020_xlsx_3[[#This Row],[2026]]+scenario_indirect_prod_1610_iotable_2020_xlsx_3[[#This Row],[2026]]</f>
        <v>17877.524620485747</v>
      </c>
      <c r="D381">
        <f>scenario_indirect_prod_4506_iotable_2020_xlsx_3[[#This Row],[2027]]+scenario_indirect_prod_1610_iotable_2020_xlsx_3[[#This Row],[2027]]</f>
        <v>17864.452916663598</v>
      </c>
      <c r="E381">
        <f>scenario_indirect_prod_4506_iotable_2020_xlsx_3[[#This Row],[2028]]+scenario_indirect_prod_1610_iotable_2020_xlsx_3[[#This Row],[2028]]</f>
        <v>18742.692243555193</v>
      </c>
      <c r="F381">
        <f>scenario_indirect_prod_4506_iotable_2020_xlsx_3[[#This Row],[2029]]+scenario_indirect_prod_1610_iotable_2020_xlsx_3[[#This Row],[2029]]</f>
        <v>19362.645779332011</v>
      </c>
      <c r="G381">
        <f>scenario_indirect_prod_4506_iotable_2020_xlsx_3[[#This Row],[2030]]+scenario_indirect_prod_1610_iotable_2020_xlsx_3[[#This Row],[2030]]</f>
        <v>18516.82179819233</v>
      </c>
      <c r="H381">
        <f>scenario_indirect_prod_4506_iotable_2020_xlsx_3[[#This Row],[2031]]+scenario_indirect_prod_1610_iotable_2020_xlsx_3[[#This Row],[2031]]</f>
        <v>19701.741964359571</v>
      </c>
      <c r="I381">
        <f>scenario_indirect_prod_4506_iotable_2020_xlsx_3[[#This Row],[2032]]+scenario_indirect_prod_1610_iotable_2020_xlsx_3[[#This Row],[2032]]</f>
        <v>21356.588423585032</v>
      </c>
      <c r="J381">
        <f>scenario_indirect_prod_4506_iotable_2020_xlsx_3[[#This Row],[2033]]+scenario_indirect_prod_1610_iotable_2020_xlsx_3[[#This Row],[2033]]</f>
        <v>23891.643489884766</v>
      </c>
      <c r="K381">
        <f>scenario_indirect_prod_4506_iotable_2020_xlsx_3[[#This Row],[2034]]+scenario_indirect_prod_1610_iotable_2020_xlsx_3[[#This Row],[2034]]</f>
        <v>25431.564400802868</v>
      </c>
      <c r="L381">
        <f>scenario_indirect_prod_4506_iotable_2020_xlsx_3[[#This Row],[2035]]+scenario_indirect_prod_1610_iotable_2020_xlsx_3[[#This Row],[2035]]</f>
        <v>29198.24823464427</v>
      </c>
      <c r="M381">
        <f>scenario_indirect_prod_4506_iotable_2020_xlsx_3[[#This Row],[2036]]+scenario_indirect_prod_1610_iotable_2020_xlsx_3[[#This Row],[2036]]</f>
        <v>30530.100671938886</v>
      </c>
      <c r="N381">
        <f>scenario_indirect_prod_4506_iotable_2020_xlsx_3[[#This Row],[2037]]+scenario_indirect_prod_1610_iotable_2020_xlsx_3[[#This Row],[2037]]</f>
        <v>31756.634812659053</v>
      </c>
      <c r="O381">
        <f>scenario_indirect_prod_4506_iotable_2020_xlsx_3[[#This Row],[2038]]+scenario_indirect_prod_1610_iotable_2020_xlsx_3[[#This Row],[2038]]</f>
        <v>31756.634812659053</v>
      </c>
      <c r="P381">
        <f>scenario_indirect_prod_4506_iotable_2020_xlsx_3[[#This Row],[2039]]+scenario_indirect_prod_1610_iotable_2020_xlsx_3[[#This Row],[2039]]</f>
        <v>31756.634812659053</v>
      </c>
      <c r="Q381">
        <f>scenario_indirect_prod_4506_iotable_2020_xlsx_3[[#This Row],[2040]]+scenario_indirect_prod_1610_iotable_2020_xlsx_3[[#This Row],[2040]]</f>
        <v>32822.758367281655</v>
      </c>
      <c r="R381">
        <f>scenario_indirect_prod_4506_iotable_2020_xlsx_3[[#This Row],[2041]]+scenario_indirect_prod_1610_iotable_2020_xlsx_3[[#This Row],[2041]]</f>
        <v>32822.758367281655</v>
      </c>
      <c r="S381">
        <f>scenario_indirect_prod_4506_iotable_2020_xlsx_3[[#This Row],[2042]]+scenario_indirect_prod_1610_iotable_2020_xlsx_3[[#This Row],[2042]]</f>
        <v>34033.148848131095</v>
      </c>
      <c r="T381">
        <f>scenario_indirect_prod_4506_iotable_2020_xlsx_3[[#This Row],[2043]]+scenario_indirect_prod_1610_iotable_2020_xlsx_3[[#This Row],[2043]]</f>
        <v>34033.148848131095</v>
      </c>
      <c r="U381">
        <f>scenario_indirect_prod_4506_iotable_2020_xlsx_3[[#This Row],[2044]]+scenario_indirect_prod_1610_iotable_2020_xlsx_3[[#This Row],[2044]]</f>
        <v>35082.370700878193</v>
      </c>
      <c r="V381">
        <f>scenario_indirect_prod_4506_iotable_2020_xlsx_3[[#This Row],[2045]]+scenario_indirect_prod_1610_iotable_2020_xlsx_3[[#This Row],[2045]]</f>
        <v>35082.370700878193</v>
      </c>
      <c r="W381">
        <f>scenario_indirect_prod_4506_iotable_2020_xlsx_3[[#This Row],[2046]]+scenario_indirect_prod_1610_iotable_2020_xlsx_3[[#This Row],[2046]]</f>
        <v>36008.074058660612</v>
      </c>
      <c r="X381">
        <f>scenario_indirect_prod_4506_iotable_2020_xlsx_3[[#This Row],[2047]]+scenario_indirect_prod_1610_iotable_2020_xlsx_3[[#This Row],[2047]]</f>
        <v>36008.074058660612</v>
      </c>
      <c r="Y381">
        <f>scenario_indirect_prod_4506_iotable_2020_xlsx_3[[#This Row],[2048]]+scenario_indirect_prod_1610_iotable_2020_xlsx_3[[#This Row],[2048]]</f>
        <v>36008.074058660612</v>
      </c>
      <c r="Z381">
        <f>scenario_indirect_prod_4506_iotable_2020_xlsx_3[[#This Row],[2049]]+scenario_indirect_prod_1610_iotable_2020_xlsx_3[[#This Row],[2049]]</f>
        <v>36008.074058660612</v>
      </c>
      <c r="AA381">
        <f>scenario_indirect_prod_4506_iotable_2020_xlsx_3[[#This Row],[2050]]+scenario_indirect_prod_1610_iotable_2020_xlsx_3[[#This Row],[2050]]</f>
        <v>36008.074058660612</v>
      </c>
    </row>
    <row r="382" spans="1:27" x14ac:dyDescent="0.2">
      <c r="A382" t="s">
        <v>2</v>
      </c>
      <c r="B382" t="s">
        <v>3</v>
      </c>
      <c r="C382">
        <f>scenario_indirect_prod_4506_iotable_2020_xlsx_3[[#This Row],[2026]]+scenario_indirect_prod_1610_iotable_2020_xlsx_3[[#This Row],[2026]]</f>
        <v>4052</v>
      </c>
      <c r="D382">
        <f>scenario_indirect_prod_4506_iotable_2020_xlsx_3[[#This Row],[2027]]+scenario_indirect_prod_1610_iotable_2020_xlsx_3[[#This Row],[2027]]</f>
        <v>4054</v>
      </c>
      <c r="E382">
        <f>scenario_indirect_prod_4506_iotable_2020_xlsx_3[[#This Row],[2028]]+scenario_indirect_prod_1610_iotable_2020_xlsx_3[[#This Row],[2028]]</f>
        <v>4056</v>
      </c>
      <c r="F382">
        <f>scenario_indirect_prod_4506_iotable_2020_xlsx_3[[#This Row],[2029]]+scenario_indirect_prod_1610_iotable_2020_xlsx_3[[#This Row],[2029]]</f>
        <v>4058</v>
      </c>
      <c r="G382">
        <f>scenario_indirect_prod_4506_iotable_2020_xlsx_3[[#This Row],[2030]]+scenario_indirect_prod_1610_iotable_2020_xlsx_3[[#This Row],[2030]]</f>
        <v>4060</v>
      </c>
      <c r="H382">
        <f>scenario_indirect_prod_4506_iotable_2020_xlsx_3[[#This Row],[2031]]+scenario_indirect_prod_1610_iotable_2020_xlsx_3[[#This Row],[2031]]</f>
        <v>4062</v>
      </c>
      <c r="I382">
        <f>scenario_indirect_prod_4506_iotable_2020_xlsx_3[[#This Row],[2032]]+scenario_indirect_prod_1610_iotable_2020_xlsx_3[[#This Row],[2032]]</f>
        <v>4064</v>
      </c>
      <c r="J382">
        <f>scenario_indirect_prod_4506_iotable_2020_xlsx_3[[#This Row],[2033]]+scenario_indirect_prod_1610_iotable_2020_xlsx_3[[#This Row],[2033]]</f>
        <v>4066</v>
      </c>
      <c r="K382">
        <f>scenario_indirect_prod_4506_iotable_2020_xlsx_3[[#This Row],[2034]]+scenario_indirect_prod_1610_iotable_2020_xlsx_3[[#This Row],[2034]]</f>
        <v>4068</v>
      </c>
      <c r="L382">
        <f>scenario_indirect_prod_4506_iotable_2020_xlsx_3[[#This Row],[2035]]+scenario_indirect_prod_1610_iotable_2020_xlsx_3[[#This Row],[2035]]</f>
        <v>4070</v>
      </c>
      <c r="M382">
        <f>scenario_indirect_prod_4506_iotable_2020_xlsx_3[[#This Row],[2036]]+scenario_indirect_prod_1610_iotable_2020_xlsx_3[[#This Row],[2036]]</f>
        <v>4072</v>
      </c>
      <c r="N382">
        <f>scenario_indirect_prod_4506_iotable_2020_xlsx_3[[#This Row],[2037]]+scenario_indirect_prod_1610_iotable_2020_xlsx_3[[#This Row],[2037]]</f>
        <v>4074</v>
      </c>
      <c r="O382">
        <f>scenario_indirect_prod_4506_iotable_2020_xlsx_3[[#This Row],[2038]]+scenario_indirect_prod_1610_iotable_2020_xlsx_3[[#This Row],[2038]]</f>
        <v>4076</v>
      </c>
      <c r="P382">
        <f>scenario_indirect_prod_4506_iotable_2020_xlsx_3[[#This Row],[2039]]+scenario_indirect_prod_1610_iotable_2020_xlsx_3[[#This Row],[2039]]</f>
        <v>4078</v>
      </c>
      <c r="Q382">
        <f>scenario_indirect_prod_4506_iotable_2020_xlsx_3[[#This Row],[2040]]+scenario_indirect_prod_1610_iotable_2020_xlsx_3[[#This Row],[2040]]</f>
        <v>4080</v>
      </c>
      <c r="R382">
        <f>scenario_indirect_prod_4506_iotable_2020_xlsx_3[[#This Row],[2041]]+scenario_indirect_prod_1610_iotable_2020_xlsx_3[[#This Row],[2041]]</f>
        <v>4082</v>
      </c>
      <c r="S382">
        <f>scenario_indirect_prod_4506_iotable_2020_xlsx_3[[#This Row],[2042]]+scenario_indirect_prod_1610_iotable_2020_xlsx_3[[#This Row],[2042]]</f>
        <v>4084</v>
      </c>
      <c r="T382">
        <f>scenario_indirect_prod_4506_iotable_2020_xlsx_3[[#This Row],[2043]]+scenario_indirect_prod_1610_iotable_2020_xlsx_3[[#This Row],[2043]]</f>
        <v>4086</v>
      </c>
      <c r="U382">
        <f>scenario_indirect_prod_4506_iotable_2020_xlsx_3[[#This Row],[2044]]+scenario_indirect_prod_1610_iotable_2020_xlsx_3[[#This Row],[2044]]</f>
        <v>4088</v>
      </c>
      <c r="V382">
        <f>scenario_indirect_prod_4506_iotable_2020_xlsx_3[[#This Row],[2045]]+scenario_indirect_prod_1610_iotable_2020_xlsx_3[[#This Row],[2045]]</f>
        <v>4090</v>
      </c>
      <c r="W382">
        <f>scenario_indirect_prod_4506_iotable_2020_xlsx_3[[#This Row],[2046]]+scenario_indirect_prod_1610_iotable_2020_xlsx_3[[#This Row],[2046]]</f>
        <v>4092</v>
      </c>
      <c r="X382">
        <f>scenario_indirect_prod_4506_iotable_2020_xlsx_3[[#This Row],[2047]]+scenario_indirect_prod_1610_iotable_2020_xlsx_3[[#This Row],[2047]]</f>
        <v>4094</v>
      </c>
      <c r="Y382">
        <f>scenario_indirect_prod_4506_iotable_2020_xlsx_3[[#This Row],[2048]]+scenario_indirect_prod_1610_iotable_2020_xlsx_3[[#This Row],[2048]]</f>
        <v>4096</v>
      </c>
      <c r="Z382">
        <f>scenario_indirect_prod_4506_iotable_2020_xlsx_3[[#This Row],[2049]]+scenario_indirect_prod_1610_iotable_2020_xlsx_3[[#This Row],[2049]]</f>
        <v>4098</v>
      </c>
      <c r="AA382">
        <f>scenario_indirect_prod_4506_iotable_2020_xlsx_3[[#This Row],[2050]]+scenario_indirect_prod_1610_iotable_2020_xlsx_3[[#This Row],[2050]]</f>
        <v>4100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95FB-A8AF-814F-BE1C-FD177A1A5651}">
  <dimension ref="A1:AA166"/>
  <sheetViews>
    <sheetView workbookViewId="0">
      <selection sqref="A1:XFD1"/>
    </sheetView>
  </sheetViews>
  <sheetFormatPr baseColWidth="10" defaultRowHeight="16" x14ac:dyDescent="0.2"/>
  <cols>
    <col min="1" max="1" width="11.1640625" bestFit="1" customWidth="1"/>
    <col min="2" max="2" width="31.33203125" bestFit="1" customWidth="1"/>
  </cols>
  <sheetData>
    <row r="1" spans="1:27" x14ac:dyDescent="0.2">
      <c r="A1" t="s">
        <v>1027</v>
      </c>
      <c r="B1" t="s">
        <v>1028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">
      <c r="A2" t="s">
        <v>58</v>
      </c>
      <c r="B2" t="s">
        <v>59</v>
      </c>
      <c r="C2">
        <f>scenario_jobcoeff_4506_iotable_2020_xlsx_3[[#This Row],[2026]]+scenario_jobcoeff_1610_iotable_2020_xlsx_3[[#This Row],[2026]]</f>
        <v>155.80056107913865</v>
      </c>
      <c r="D2">
        <f>scenario_jobcoeff_4506_iotable_2020_xlsx_3[[#This Row],[2027]]+scenario_jobcoeff_1610_iotable_2020_xlsx_3[[#This Row],[2027]]</f>
        <v>131.81639165566111</v>
      </c>
      <c r="E2">
        <f>scenario_jobcoeff_4506_iotable_2020_xlsx_3[[#This Row],[2028]]+scenario_jobcoeff_1610_iotable_2020_xlsx_3[[#This Row],[2028]]</f>
        <v>140.88890157316456</v>
      </c>
      <c r="F2">
        <f>scenario_jobcoeff_4506_iotable_2020_xlsx_3[[#This Row],[2029]]+scenario_jobcoeff_1610_iotable_2020_xlsx_3[[#This Row],[2029]]</f>
        <v>137.75357704296135</v>
      </c>
      <c r="G2">
        <f>scenario_jobcoeff_4506_iotable_2020_xlsx_3[[#This Row],[2030]]+scenario_jobcoeff_1610_iotable_2020_xlsx_3[[#This Row],[2030]]</f>
        <v>48.154484471023125</v>
      </c>
      <c r="H2">
        <f>scenario_jobcoeff_4506_iotable_2020_xlsx_3[[#This Row],[2031]]+scenario_jobcoeff_1610_iotable_2020_xlsx_3[[#This Row],[2031]]</f>
        <v>60.395111404743886</v>
      </c>
      <c r="I2">
        <f>scenario_jobcoeff_4506_iotable_2020_xlsx_3[[#This Row],[2032]]+scenario_jobcoeff_1610_iotable_2020_xlsx_3[[#This Row],[2032]]</f>
        <v>77.490236222721535</v>
      </c>
      <c r="J2">
        <f>scenario_jobcoeff_4506_iotable_2020_xlsx_3[[#This Row],[2033]]+scenario_jobcoeff_1610_iotable_2020_xlsx_3[[#This Row],[2033]]</f>
        <v>58.569541207610314</v>
      </c>
      <c r="K2">
        <f>scenario_jobcoeff_4506_iotable_2020_xlsx_3[[#This Row],[2034]]+scenario_jobcoeff_1610_iotable_2020_xlsx_3[[#This Row],[2034]]</f>
        <v>74.477446158671569</v>
      </c>
      <c r="L2">
        <f>scenario_jobcoeff_4506_iotable_2020_xlsx_3[[#This Row],[2035]]+scenario_jobcoeff_1610_iotable_2020_xlsx_3[[#This Row],[2035]]</f>
        <v>56.286369326156887</v>
      </c>
      <c r="M2">
        <f>scenario_jobcoeff_4506_iotable_2020_xlsx_3[[#This Row],[2036]]+scenario_jobcoeff_1610_iotable_2020_xlsx_3[[#This Row],[2036]]</f>
        <v>32.564098025206022</v>
      </c>
      <c r="N2">
        <f>scenario_jobcoeff_4506_iotable_2020_xlsx_3[[#This Row],[2037]]+scenario_jobcoeff_1610_iotable_2020_xlsx_3[[#This Row],[2037]]</f>
        <v>12.468715219541764</v>
      </c>
      <c r="O2">
        <f>scenario_jobcoeff_4506_iotable_2020_xlsx_3[[#This Row],[2038]]+scenario_jobcoeff_1610_iotable_2020_xlsx_3[[#This Row],[2038]]</f>
        <v>12.468715219541764</v>
      </c>
      <c r="P2">
        <f>scenario_jobcoeff_4506_iotable_2020_xlsx_3[[#This Row],[2039]]+scenario_jobcoeff_1610_iotable_2020_xlsx_3[[#This Row],[2039]]</f>
        <v>12.468715219541764</v>
      </c>
      <c r="Q2">
        <f>scenario_jobcoeff_4506_iotable_2020_xlsx_3[[#This Row],[2040]]+scenario_jobcoeff_1610_iotable_2020_xlsx_3[[#This Row],[2040]]</f>
        <v>-5.2832727857088457</v>
      </c>
      <c r="R2">
        <f>scenario_jobcoeff_4506_iotable_2020_xlsx_3[[#This Row],[2041]]+scenario_jobcoeff_1610_iotable_2020_xlsx_3[[#This Row],[2041]]</f>
        <v>-5.2832727857088457</v>
      </c>
      <c r="S2">
        <f>scenario_jobcoeff_4506_iotable_2020_xlsx_3[[#This Row],[2042]]+scenario_jobcoeff_1610_iotable_2020_xlsx_3[[#This Row],[2042]]</f>
        <v>-24.529428785536652</v>
      </c>
      <c r="T2">
        <f>scenario_jobcoeff_4506_iotable_2020_xlsx_3[[#This Row],[2043]]+scenario_jobcoeff_1610_iotable_2020_xlsx_3[[#This Row],[2043]]</f>
        <v>-24.529428785536652</v>
      </c>
      <c r="U2">
        <f>scenario_jobcoeff_4506_iotable_2020_xlsx_3[[#This Row],[2044]]+scenario_jobcoeff_1610_iotable_2020_xlsx_3[[#This Row],[2044]]</f>
        <v>-43.884769608281317</v>
      </c>
      <c r="V2">
        <f>scenario_jobcoeff_4506_iotable_2020_xlsx_3[[#This Row],[2045]]+scenario_jobcoeff_1610_iotable_2020_xlsx_3[[#This Row],[2045]]</f>
        <v>-43.884769608281317</v>
      </c>
      <c r="W2">
        <f>scenario_jobcoeff_4506_iotable_2020_xlsx_3[[#This Row],[2046]]+scenario_jobcoeff_1610_iotable_2020_xlsx_3[[#This Row],[2046]]</f>
        <v>-60.031419016593532</v>
      </c>
      <c r="X2">
        <f>scenario_jobcoeff_4506_iotable_2020_xlsx_3[[#This Row],[2047]]+scenario_jobcoeff_1610_iotable_2020_xlsx_3[[#This Row],[2047]]</f>
        <v>-60.031419016593532</v>
      </c>
      <c r="Y2">
        <f>scenario_jobcoeff_4506_iotable_2020_xlsx_3[[#This Row],[2048]]+scenario_jobcoeff_1610_iotable_2020_xlsx_3[[#This Row],[2048]]</f>
        <v>-60.031419016593532</v>
      </c>
      <c r="Z2">
        <f>scenario_jobcoeff_4506_iotable_2020_xlsx_3[[#This Row],[2049]]+scenario_jobcoeff_1610_iotable_2020_xlsx_3[[#This Row],[2049]]</f>
        <v>-60.031419016593532</v>
      </c>
      <c r="AA2">
        <f>scenario_jobcoeff_4506_iotable_2020_xlsx_3[[#This Row],[2050]]+scenario_jobcoeff_1610_iotable_2020_xlsx_3[[#This Row],[2050]]</f>
        <v>-60.031419016593532</v>
      </c>
    </row>
    <row r="3" spans="1:27" x14ac:dyDescent="0.2">
      <c r="A3" t="s">
        <v>42</v>
      </c>
      <c r="B3" t="s">
        <v>43</v>
      </c>
      <c r="C3">
        <f>scenario_jobcoeff_4506_iotable_2020_xlsx_3[[#This Row],[2026]]+scenario_jobcoeff_1610_iotable_2020_xlsx_3[[#This Row],[2026]]</f>
        <v>212.10632610254271</v>
      </c>
      <c r="D3">
        <f>scenario_jobcoeff_4506_iotable_2020_xlsx_3[[#This Row],[2027]]+scenario_jobcoeff_1610_iotable_2020_xlsx_3[[#This Row],[2027]]</f>
        <v>192.52524076803326</v>
      </c>
      <c r="E3">
        <f>scenario_jobcoeff_4506_iotable_2020_xlsx_3[[#This Row],[2028]]+scenario_jobcoeff_1610_iotable_2020_xlsx_3[[#This Row],[2028]]</f>
        <v>204.09964076103699</v>
      </c>
      <c r="F3">
        <f>scenario_jobcoeff_4506_iotable_2020_xlsx_3[[#This Row],[2029]]+scenario_jobcoeff_1610_iotable_2020_xlsx_3[[#This Row],[2029]]</f>
        <v>204.50654201145437</v>
      </c>
      <c r="G3">
        <f>scenario_jobcoeff_4506_iotable_2020_xlsx_3[[#This Row],[2030]]+scenario_jobcoeff_1610_iotable_2020_xlsx_3[[#This Row],[2030]]</f>
        <v>127.5529928676105</v>
      </c>
      <c r="H3">
        <f>scenario_jobcoeff_4506_iotable_2020_xlsx_3[[#This Row],[2031]]+scenario_jobcoeff_1610_iotable_2020_xlsx_3[[#This Row],[2031]]</f>
        <v>143.16916894063769</v>
      </c>
      <c r="I3">
        <f>scenario_jobcoeff_4506_iotable_2020_xlsx_3[[#This Row],[2032]]+scenario_jobcoeff_1610_iotable_2020_xlsx_3[[#This Row],[2032]]</f>
        <v>164.97854852498608</v>
      </c>
      <c r="J3">
        <f>scenario_jobcoeff_4506_iotable_2020_xlsx_3[[#This Row],[2033]]+scenario_jobcoeff_1610_iotable_2020_xlsx_3[[#This Row],[2033]]</f>
        <v>161.67811203142622</v>
      </c>
      <c r="K3">
        <f>scenario_jobcoeff_4506_iotable_2020_xlsx_3[[#This Row],[2034]]+scenario_jobcoeff_1610_iotable_2020_xlsx_3[[#This Row],[2034]]</f>
        <v>181.97287683504885</v>
      </c>
      <c r="L3">
        <f>scenario_jobcoeff_4506_iotable_2020_xlsx_3[[#This Row],[2035]]+scenario_jobcoeff_1610_iotable_2020_xlsx_3[[#This Row],[2035]]</f>
        <v>185.14366892465108</v>
      </c>
      <c r="M3">
        <f>scenario_jobcoeff_4506_iotable_2020_xlsx_3[[#This Row],[2036]]+scenario_jobcoeff_1610_iotable_2020_xlsx_3[[#This Row],[2036]]</f>
        <v>172.19383065955299</v>
      </c>
      <c r="N3">
        <f>scenario_jobcoeff_4506_iotable_2020_xlsx_3[[#This Row],[2037]]+scenario_jobcoeff_1610_iotable_2020_xlsx_3[[#This Row],[2037]]</f>
        <v>161.69302378861084</v>
      </c>
      <c r="O3">
        <f>scenario_jobcoeff_4506_iotable_2020_xlsx_3[[#This Row],[2038]]+scenario_jobcoeff_1610_iotable_2020_xlsx_3[[#This Row],[2038]]</f>
        <v>161.69302378861084</v>
      </c>
      <c r="P3">
        <f>scenario_jobcoeff_4506_iotable_2020_xlsx_3[[#This Row],[2039]]+scenario_jobcoeff_1610_iotable_2020_xlsx_3[[#This Row],[2039]]</f>
        <v>161.69302378861084</v>
      </c>
      <c r="Q3">
        <f>scenario_jobcoeff_4506_iotable_2020_xlsx_3[[#This Row],[2040]]+scenario_jobcoeff_1610_iotable_2020_xlsx_3[[#This Row],[2040]]</f>
        <v>152.33381451838989</v>
      </c>
      <c r="R3">
        <f>scenario_jobcoeff_4506_iotable_2020_xlsx_3[[#This Row],[2041]]+scenario_jobcoeff_1610_iotable_2020_xlsx_3[[#This Row],[2041]]</f>
        <v>152.33381451838989</v>
      </c>
      <c r="S3">
        <f>scenario_jobcoeff_4506_iotable_2020_xlsx_3[[#This Row],[2042]]+scenario_jobcoeff_1610_iotable_2020_xlsx_3[[#This Row],[2042]]</f>
        <v>142.44708305777681</v>
      </c>
      <c r="T3">
        <f>scenario_jobcoeff_4506_iotable_2020_xlsx_3[[#This Row],[2043]]+scenario_jobcoeff_1610_iotable_2020_xlsx_3[[#This Row],[2043]]</f>
        <v>142.44708305777681</v>
      </c>
      <c r="U3">
        <f>scenario_jobcoeff_4506_iotable_2020_xlsx_3[[#This Row],[2044]]+scenario_jobcoeff_1610_iotable_2020_xlsx_3[[#This Row],[2044]]</f>
        <v>131.70238269119477</v>
      </c>
      <c r="V3">
        <f>scenario_jobcoeff_4506_iotable_2020_xlsx_3[[#This Row],[2045]]+scenario_jobcoeff_1610_iotable_2020_xlsx_3[[#This Row],[2045]]</f>
        <v>131.70238269119477</v>
      </c>
      <c r="W3">
        <f>scenario_jobcoeff_4506_iotable_2020_xlsx_3[[#This Row],[2046]]+scenario_jobcoeff_1610_iotable_2020_xlsx_3[[#This Row],[2046]]</f>
        <v>122.97952502028272</v>
      </c>
      <c r="X3">
        <f>scenario_jobcoeff_4506_iotable_2020_xlsx_3[[#This Row],[2047]]+scenario_jobcoeff_1610_iotable_2020_xlsx_3[[#This Row],[2047]]</f>
        <v>122.97952502028272</v>
      </c>
      <c r="Y3">
        <f>scenario_jobcoeff_4506_iotable_2020_xlsx_3[[#This Row],[2048]]+scenario_jobcoeff_1610_iotable_2020_xlsx_3[[#This Row],[2048]]</f>
        <v>122.97952502028272</v>
      </c>
      <c r="Z3">
        <f>scenario_jobcoeff_4506_iotable_2020_xlsx_3[[#This Row],[2049]]+scenario_jobcoeff_1610_iotable_2020_xlsx_3[[#This Row],[2049]]</f>
        <v>122.97952502028272</v>
      </c>
      <c r="AA3">
        <f>scenario_jobcoeff_4506_iotable_2020_xlsx_3[[#This Row],[2050]]+scenario_jobcoeff_1610_iotable_2020_xlsx_3[[#This Row],[2050]]</f>
        <v>122.97952502028272</v>
      </c>
    </row>
    <row r="4" spans="1:27" x14ac:dyDescent="0.2">
      <c r="A4" t="s">
        <v>140</v>
      </c>
      <c r="B4" t="s">
        <v>141</v>
      </c>
      <c r="C4">
        <f>scenario_jobcoeff_4506_iotable_2020_xlsx_3[[#This Row],[2026]]+scenario_jobcoeff_1610_iotable_2020_xlsx_3[[#This Row],[2026]]</f>
        <v>46.394957397855926</v>
      </c>
      <c r="D4">
        <f>scenario_jobcoeff_4506_iotable_2020_xlsx_3[[#This Row],[2027]]+scenario_jobcoeff_1610_iotable_2020_xlsx_3[[#This Row],[2027]]</f>
        <v>41.148234169038446</v>
      </c>
      <c r="E4">
        <f>scenario_jobcoeff_4506_iotable_2020_xlsx_3[[#This Row],[2028]]+scenario_jobcoeff_1610_iotable_2020_xlsx_3[[#This Row],[2028]]</f>
        <v>43.737230578657744</v>
      </c>
      <c r="F4">
        <f>scenario_jobcoeff_4506_iotable_2020_xlsx_3[[#This Row],[2029]]+scenario_jobcoeff_1610_iotable_2020_xlsx_3[[#This Row],[2029]]</f>
        <v>43.481540434761897</v>
      </c>
      <c r="G4">
        <f>scenario_jobcoeff_4506_iotable_2020_xlsx_3[[#This Row],[2030]]+scenario_jobcoeff_1610_iotable_2020_xlsx_3[[#This Row],[2030]]</f>
        <v>23.32953052061211</v>
      </c>
      <c r="H4">
        <f>scenario_jobcoeff_4506_iotable_2020_xlsx_3[[#This Row],[2031]]+scenario_jobcoeff_1610_iotable_2020_xlsx_3[[#This Row],[2031]]</f>
        <v>26.822603492816995</v>
      </c>
      <c r="I4">
        <f>scenario_jobcoeff_4506_iotable_2020_xlsx_3[[#This Row],[2032]]+scenario_jobcoeff_1610_iotable_2020_xlsx_3[[#This Row],[2032]]</f>
        <v>31.700990750388243</v>
      </c>
      <c r="J4">
        <f>scenario_jobcoeff_4506_iotable_2020_xlsx_3[[#This Row],[2033]]+scenario_jobcoeff_1610_iotable_2020_xlsx_3[[#This Row],[2033]]</f>
        <v>29.323319923995527</v>
      </c>
      <c r="K4">
        <f>scenario_jobcoeff_4506_iotable_2020_xlsx_3[[#This Row],[2034]]+scenario_jobcoeff_1610_iotable_2020_xlsx_3[[#This Row],[2034]]</f>
        <v>33.862913617181107</v>
      </c>
      <c r="L4">
        <f>scenario_jobcoeff_4506_iotable_2020_xlsx_3[[#This Row],[2035]]+scenario_jobcoeff_1610_iotable_2020_xlsx_3[[#This Row],[2035]]</f>
        <v>32.496856640890286</v>
      </c>
      <c r="M4">
        <f>scenario_jobcoeff_4506_iotable_2020_xlsx_3[[#This Row],[2036]]+scenario_jobcoeff_1610_iotable_2020_xlsx_3[[#This Row],[2036]]</f>
        <v>28.23800595525411</v>
      </c>
      <c r="N4">
        <f>scenario_jobcoeff_4506_iotable_2020_xlsx_3[[#This Row],[2037]]+scenario_jobcoeff_1610_iotable_2020_xlsx_3[[#This Row],[2037]]</f>
        <v>24.698317812562522</v>
      </c>
      <c r="O4">
        <f>scenario_jobcoeff_4506_iotable_2020_xlsx_3[[#This Row],[2038]]+scenario_jobcoeff_1610_iotable_2020_xlsx_3[[#This Row],[2038]]</f>
        <v>24.698317812562522</v>
      </c>
      <c r="P4">
        <f>scenario_jobcoeff_4506_iotable_2020_xlsx_3[[#This Row],[2039]]+scenario_jobcoeff_1610_iotable_2020_xlsx_3[[#This Row],[2039]]</f>
        <v>24.698317812562522</v>
      </c>
      <c r="Q4">
        <f>scenario_jobcoeff_4506_iotable_2020_xlsx_3[[#This Row],[2040]]+scenario_jobcoeff_1610_iotable_2020_xlsx_3[[#This Row],[2040]]</f>
        <v>21.559378550366574</v>
      </c>
      <c r="R4">
        <f>scenario_jobcoeff_4506_iotable_2020_xlsx_3[[#This Row],[2041]]+scenario_jobcoeff_1610_iotable_2020_xlsx_3[[#This Row],[2041]]</f>
        <v>21.559378550366574</v>
      </c>
      <c r="S4">
        <f>scenario_jobcoeff_4506_iotable_2020_xlsx_3[[#This Row],[2042]]+scenario_jobcoeff_1610_iotable_2020_xlsx_3[[#This Row],[2042]]</f>
        <v>18.193973769242888</v>
      </c>
      <c r="T4">
        <f>scenario_jobcoeff_4506_iotable_2020_xlsx_3[[#This Row],[2043]]+scenario_jobcoeff_1610_iotable_2020_xlsx_3[[#This Row],[2043]]</f>
        <v>18.193973769242888</v>
      </c>
      <c r="U4">
        <f>scenario_jobcoeff_4506_iotable_2020_xlsx_3[[#This Row],[2044]]+scenario_jobcoeff_1610_iotable_2020_xlsx_3[[#This Row],[2044]]</f>
        <v>14.693197459491444</v>
      </c>
      <c r="V4">
        <f>scenario_jobcoeff_4506_iotable_2020_xlsx_3[[#This Row],[2045]]+scenario_jobcoeff_1610_iotable_2020_xlsx_3[[#This Row],[2045]]</f>
        <v>14.693197459491444</v>
      </c>
      <c r="W4">
        <f>scenario_jobcoeff_4506_iotable_2020_xlsx_3[[#This Row],[2046]]+scenario_jobcoeff_1610_iotable_2020_xlsx_3[[#This Row],[2046]]</f>
        <v>11.807663133450149</v>
      </c>
      <c r="X4">
        <f>scenario_jobcoeff_4506_iotable_2020_xlsx_3[[#This Row],[2047]]+scenario_jobcoeff_1610_iotable_2020_xlsx_3[[#This Row],[2047]]</f>
        <v>11.807663133450149</v>
      </c>
      <c r="Y4">
        <f>scenario_jobcoeff_4506_iotable_2020_xlsx_3[[#This Row],[2048]]+scenario_jobcoeff_1610_iotable_2020_xlsx_3[[#This Row],[2048]]</f>
        <v>11.807663133450149</v>
      </c>
      <c r="Z4">
        <f>scenario_jobcoeff_4506_iotable_2020_xlsx_3[[#This Row],[2049]]+scenario_jobcoeff_1610_iotable_2020_xlsx_3[[#This Row],[2049]]</f>
        <v>11.807663133450149</v>
      </c>
      <c r="AA4">
        <f>scenario_jobcoeff_4506_iotable_2020_xlsx_3[[#This Row],[2050]]+scenario_jobcoeff_1610_iotable_2020_xlsx_3[[#This Row],[2050]]</f>
        <v>11.807663133450149</v>
      </c>
    </row>
    <row r="5" spans="1:27" x14ac:dyDescent="0.2">
      <c r="A5" t="s">
        <v>210</v>
      </c>
      <c r="B5" t="s">
        <v>211</v>
      </c>
      <c r="C5">
        <f>scenario_jobcoeff_4506_iotable_2020_xlsx_3[[#This Row],[2026]]+scenario_jobcoeff_1610_iotable_2020_xlsx_3[[#This Row],[2026]]</f>
        <v>12.989412096530589</v>
      </c>
      <c r="D5">
        <f>scenario_jobcoeff_4506_iotable_2020_xlsx_3[[#This Row],[2027]]+scenario_jobcoeff_1610_iotable_2020_xlsx_3[[#This Row],[2027]]</f>
        <v>11.045095954802182</v>
      </c>
      <c r="E5">
        <f>scenario_jobcoeff_4506_iotable_2020_xlsx_3[[#This Row],[2028]]+scenario_jobcoeff_1610_iotable_2020_xlsx_3[[#This Row],[2028]]</f>
        <v>11.798203285331191</v>
      </c>
      <c r="F5">
        <f>scenario_jobcoeff_4506_iotable_2020_xlsx_3[[#This Row],[2029]]+scenario_jobcoeff_1610_iotable_2020_xlsx_3[[#This Row],[2029]]</f>
        <v>11.556582680034975</v>
      </c>
      <c r="G5">
        <f>scenario_jobcoeff_4506_iotable_2020_xlsx_3[[#This Row],[2030]]+scenario_jobcoeff_1610_iotable_2020_xlsx_3[[#This Row],[2030]]</f>
        <v>4.27699583685677</v>
      </c>
      <c r="H5">
        <f>scenario_jobcoeff_4506_iotable_2020_xlsx_3[[#This Row],[2031]]+scenario_jobcoeff_1610_iotable_2020_xlsx_3[[#This Row],[2031]]</f>
        <v>5.2930879610737769</v>
      </c>
      <c r="I5">
        <f>scenario_jobcoeff_4506_iotable_2020_xlsx_3[[#This Row],[2032]]+scenario_jobcoeff_1610_iotable_2020_xlsx_3[[#This Row],[2032]]</f>
        <v>6.7121510355476666</v>
      </c>
      <c r="J5">
        <f>scenario_jobcoeff_4506_iotable_2020_xlsx_3[[#This Row],[2033]]+scenario_jobcoeff_1610_iotable_2020_xlsx_3[[#This Row],[2033]]</f>
        <v>5.2296976615802748</v>
      </c>
      <c r="K5">
        <f>scenario_jobcoeff_4506_iotable_2020_xlsx_3[[#This Row],[2034]]+scenario_jobcoeff_1610_iotable_2020_xlsx_3[[#This Row],[2034]]</f>
        <v>6.5502098396810027</v>
      </c>
      <c r="L5">
        <f>scenario_jobcoeff_4506_iotable_2020_xlsx_3[[#This Row],[2035]]+scenario_jobcoeff_1610_iotable_2020_xlsx_3[[#This Row],[2035]]</f>
        <v>5.1517592976177227</v>
      </c>
      <c r="M5">
        <f>scenario_jobcoeff_4506_iotable_2020_xlsx_3[[#This Row],[2036]]+scenario_jobcoeff_1610_iotable_2020_xlsx_3[[#This Row],[2036]]</f>
        <v>3.255821756533166</v>
      </c>
      <c r="N5">
        <f>scenario_jobcoeff_4506_iotable_2020_xlsx_3[[#This Row],[2037]]+scenario_jobcoeff_1610_iotable_2020_xlsx_3[[#This Row],[2037]]</f>
        <v>1.6517379087278883</v>
      </c>
      <c r="O5">
        <f>scenario_jobcoeff_4506_iotable_2020_xlsx_3[[#This Row],[2038]]+scenario_jobcoeff_1610_iotable_2020_xlsx_3[[#This Row],[2038]]</f>
        <v>1.6517379087278883</v>
      </c>
      <c r="P5">
        <f>scenario_jobcoeff_4506_iotable_2020_xlsx_3[[#This Row],[2039]]+scenario_jobcoeff_1610_iotable_2020_xlsx_3[[#This Row],[2039]]</f>
        <v>1.6517379087278883</v>
      </c>
      <c r="Q5">
        <f>scenario_jobcoeff_4506_iotable_2020_xlsx_3[[#This Row],[2040]]+scenario_jobcoeff_1610_iotable_2020_xlsx_3[[#This Row],[2040]]</f>
        <v>0.23436118803927286</v>
      </c>
      <c r="R5">
        <f>scenario_jobcoeff_4506_iotable_2020_xlsx_3[[#This Row],[2041]]+scenario_jobcoeff_1610_iotable_2020_xlsx_3[[#This Row],[2041]]</f>
        <v>0.23436118803927286</v>
      </c>
      <c r="S5">
        <f>scenario_jobcoeff_4506_iotable_2020_xlsx_3[[#This Row],[2042]]+scenario_jobcoeff_1610_iotable_2020_xlsx_3[[#This Row],[2042]]</f>
        <v>-1.3012139310846678</v>
      </c>
      <c r="T5">
        <f>scenario_jobcoeff_4506_iotable_2020_xlsx_3[[#This Row],[2043]]+scenario_jobcoeff_1610_iotable_2020_xlsx_3[[#This Row],[2043]]</f>
        <v>-1.3012139310846678</v>
      </c>
      <c r="U5">
        <f>scenario_jobcoeff_4506_iotable_2020_xlsx_3[[#This Row],[2044]]+scenario_jobcoeff_1610_iotable_2020_xlsx_3[[#This Row],[2044]]</f>
        <v>-2.8488926427910641</v>
      </c>
      <c r="V5">
        <f>scenario_jobcoeff_4506_iotable_2020_xlsx_3[[#This Row],[2045]]+scenario_jobcoeff_1610_iotable_2020_xlsx_3[[#This Row],[2045]]</f>
        <v>-2.8488926427910641</v>
      </c>
      <c r="W5">
        <f>scenario_jobcoeff_4506_iotable_2020_xlsx_3[[#This Row],[2046]]+scenario_jobcoeff_1610_iotable_2020_xlsx_3[[#This Row],[2046]]</f>
        <v>-4.1389823056785318</v>
      </c>
      <c r="X5">
        <f>scenario_jobcoeff_4506_iotable_2020_xlsx_3[[#This Row],[2047]]+scenario_jobcoeff_1610_iotable_2020_xlsx_3[[#This Row],[2047]]</f>
        <v>-4.1389823056785318</v>
      </c>
      <c r="Y5">
        <f>scenario_jobcoeff_4506_iotable_2020_xlsx_3[[#This Row],[2048]]+scenario_jobcoeff_1610_iotable_2020_xlsx_3[[#This Row],[2048]]</f>
        <v>-4.1389823056785318</v>
      </c>
      <c r="Z5">
        <f>scenario_jobcoeff_4506_iotable_2020_xlsx_3[[#This Row],[2049]]+scenario_jobcoeff_1610_iotable_2020_xlsx_3[[#This Row],[2049]]</f>
        <v>-4.1389823056785318</v>
      </c>
      <c r="AA5">
        <f>scenario_jobcoeff_4506_iotable_2020_xlsx_3[[#This Row],[2050]]+scenario_jobcoeff_1610_iotable_2020_xlsx_3[[#This Row],[2050]]</f>
        <v>-4.1389823056785318</v>
      </c>
    </row>
    <row r="6" spans="1:27" x14ac:dyDescent="0.2">
      <c r="A6" t="s">
        <v>196</v>
      </c>
      <c r="B6" t="s">
        <v>197</v>
      </c>
      <c r="C6">
        <f>scenario_jobcoeff_4506_iotable_2020_xlsx_3[[#This Row],[2026]]+scenario_jobcoeff_1610_iotable_2020_xlsx_3[[#This Row],[2026]]</f>
        <v>16.12747471498264</v>
      </c>
      <c r="D6">
        <f>scenario_jobcoeff_4506_iotable_2020_xlsx_3[[#This Row],[2027]]+scenario_jobcoeff_1610_iotable_2020_xlsx_3[[#This Row],[2027]]</f>
        <v>13.613812756860042</v>
      </c>
      <c r="E6">
        <f>scenario_jobcoeff_4506_iotable_2020_xlsx_3[[#This Row],[2028]]+scenario_jobcoeff_1610_iotable_2020_xlsx_3[[#This Row],[2028]]</f>
        <v>14.554781798573106</v>
      </c>
      <c r="F6">
        <f>scenario_jobcoeff_4506_iotable_2020_xlsx_3[[#This Row],[2029]]+scenario_jobcoeff_1610_iotable_2020_xlsx_3[[#This Row],[2029]]</f>
        <v>14.219153818425669</v>
      </c>
      <c r="G6">
        <f>scenario_jobcoeff_4506_iotable_2020_xlsx_3[[#This Row],[2030]]+scenario_jobcoeff_1610_iotable_2020_xlsx_3[[#This Row],[2030]]</f>
        <v>4.8377297621400466</v>
      </c>
      <c r="H6">
        <f>scenario_jobcoeff_4506_iotable_2020_xlsx_3[[#This Row],[2031]]+scenario_jobcoeff_1610_iotable_2020_xlsx_3[[#This Row],[2031]]</f>
        <v>6.1072848357111056</v>
      </c>
      <c r="I6">
        <f>scenario_jobcoeff_4506_iotable_2020_xlsx_3[[#This Row],[2032]]+scenario_jobcoeff_1610_iotable_2020_xlsx_3[[#This Row],[2032]]</f>
        <v>7.8803314748669493</v>
      </c>
      <c r="J6">
        <f>scenario_jobcoeff_4506_iotable_2020_xlsx_3[[#This Row],[2033]]+scenario_jobcoeff_1610_iotable_2020_xlsx_3[[#This Row],[2033]]</f>
        <v>5.8685625571830045</v>
      </c>
      <c r="K6">
        <f>scenario_jobcoeff_4506_iotable_2020_xlsx_3[[#This Row],[2034]]+scenario_jobcoeff_1610_iotable_2020_xlsx_3[[#This Row],[2034]]</f>
        <v>7.5184748982633209</v>
      </c>
      <c r="L6">
        <f>scenario_jobcoeff_4506_iotable_2020_xlsx_3[[#This Row],[2035]]+scenario_jobcoeff_1610_iotable_2020_xlsx_3[[#This Row],[2035]]</f>
        <v>5.5692501058841231</v>
      </c>
      <c r="M6">
        <f>scenario_jobcoeff_4506_iotable_2020_xlsx_3[[#This Row],[2036]]+scenario_jobcoeff_1610_iotable_2020_xlsx_3[[#This Row],[2036]]</f>
        <v>3.0678287525109056</v>
      </c>
      <c r="N6">
        <f>scenario_jobcoeff_4506_iotable_2020_xlsx_3[[#This Row],[2037]]+scenario_jobcoeff_1610_iotable_2020_xlsx_3[[#This Row],[2037]]</f>
        <v>0.9477369712837671</v>
      </c>
      <c r="O6">
        <f>scenario_jobcoeff_4506_iotable_2020_xlsx_3[[#This Row],[2038]]+scenario_jobcoeff_1610_iotable_2020_xlsx_3[[#This Row],[2038]]</f>
        <v>0.9477369712837671</v>
      </c>
      <c r="P6">
        <f>scenario_jobcoeff_4506_iotable_2020_xlsx_3[[#This Row],[2039]]+scenario_jobcoeff_1610_iotable_2020_xlsx_3[[#This Row],[2039]]</f>
        <v>0.9477369712837671</v>
      </c>
      <c r="Q6">
        <f>scenario_jobcoeff_4506_iotable_2020_xlsx_3[[#This Row],[2040]]+scenario_jobcoeff_1610_iotable_2020_xlsx_3[[#This Row],[2040]]</f>
        <v>-0.9249267445086673</v>
      </c>
      <c r="R6">
        <f>scenario_jobcoeff_4506_iotable_2020_xlsx_3[[#This Row],[2041]]+scenario_jobcoeff_1610_iotable_2020_xlsx_3[[#This Row],[2041]]</f>
        <v>-0.9249267445086673</v>
      </c>
      <c r="S6">
        <f>scenario_jobcoeff_4506_iotable_2020_xlsx_3[[#This Row],[2042]]+scenario_jobcoeff_1610_iotable_2020_xlsx_3[[#This Row],[2042]]</f>
        <v>-2.9558274752278493</v>
      </c>
      <c r="T6">
        <f>scenario_jobcoeff_4506_iotable_2020_xlsx_3[[#This Row],[2043]]+scenario_jobcoeff_1610_iotable_2020_xlsx_3[[#This Row],[2043]]</f>
        <v>-2.9558274752278493</v>
      </c>
      <c r="U6">
        <f>scenario_jobcoeff_4506_iotable_2020_xlsx_3[[#This Row],[2044]]+scenario_jobcoeff_1610_iotable_2020_xlsx_3[[#This Row],[2044]]</f>
        <v>-4.9963494022633483</v>
      </c>
      <c r="V6">
        <f>scenario_jobcoeff_4506_iotable_2020_xlsx_3[[#This Row],[2045]]+scenario_jobcoeff_1610_iotable_2020_xlsx_3[[#This Row],[2045]]</f>
        <v>-4.9963494022633483</v>
      </c>
      <c r="W6">
        <f>scenario_jobcoeff_4506_iotable_2020_xlsx_3[[#This Row],[2046]]+scenario_jobcoeff_1610_iotable_2020_xlsx_3[[#This Row],[2046]]</f>
        <v>-6.6991676792022758</v>
      </c>
      <c r="X6">
        <f>scenario_jobcoeff_4506_iotable_2020_xlsx_3[[#This Row],[2047]]+scenario_jobcoeff_1610_iotable_2020_xlsx_3[[#This Row],[2047]]</f>
        <v>-6.6991676792022758</v>
      </c>
      <c r="Y6">
        <f>scenario_jobcoeff_4506_iotable_2020_xlsx_3[[#This Row],[2048]]+scenario_jobcoeff_1610_iotable_2020_xlsx_3[[#This Row],[2048]]</f>
        <v>-6.6991676792022758</v>
      </c>
      <c r="Z6">
        <f>scenario_jobcoeff_4506_iotable_2020_xlsx_3[[#This Row],[2049]]+scenario_jobcoeff_1610_iotable_2020_xlsx_3[[#This Row],[2049]]</f>
        <v>-6.6991676792022758</v>
      </c>
      <c r="AA6">
        <f>scenario_jobcoeff_4506_iotable_2020_xlsx_3[[#This Row],[2050]]+scenario_jobcoeff_1610_iotable_2020_xlsx_3[[#This Row],[2050]]</f>
        <v>-6.6991676792022758</v>
      </c>
    </row>
    <row r="7" spans="1:27" x14ac:dyDescent="0.2">
      <c r="A7" t="s">
        <v>250</v>
      </c>
      <c r="B7" t="s">
        <v>251</v>
      </c>
      <c r="C7">
        <f>scenario_jobcoeff_4506_iotable_2020_xlsx_3[[#This Row],[2026]]+scenario_jobcoeff_1610_iotable_2020_xlsx_3[[#This Row],[2026]]</f>
        <v>7.3506619414801175</v>
      </c>
      <c r="D7">
        <f>scenario_jobcoeff_4506_iotable_2020_xlsx_3[[#This Row],[2027]]+scenario_jobcoeff_1610_iotable_2020_xlsx_3[[#This Row],[2027]]</f>
        <v>7.3804604462472669</v>
      </c>
      <c r="E7">
        <f>scenario_jobcoeff_4506_iotable_2020_xlsx_3[[#This Row],[2028]]+scenario_jobcoeff_1610_iotable_2020_xlsx_3[[#This Row],[2028]]</f>
        <v>7.73947359482991</v>
      </c>
      <c r="F7">
        <f>scenario_jobcoeff_4506_iotable_2020_xlsx_3[[#This Row],[2029]]+scenario_jobcoeff_1610_iotable_2020_xlsx_3[[#This Row],[2029]]</f>
        <v>8.0069595953267534</v>
      </c>
      <c r="G7">
        <f>scenario_jobcoeff_4506_iotable_2020_xlsx_3[[#This Row],[2030]]+scenario_jobcoeff_1610_iotable_2020_xlsx_3[[#This Row],[2030]]</f>
        <v>7.7803479652277776</v>
      </c>
      <c r="H7">
        <f>scenario_jobcoeff_4506_iotable_2020_xlsx_3[[#This Row],[2031]]+scenario_jobcoeff_1610_iotable_2020_xlsx_3[[#This Row],[2031]]</f>
        <v>8.2647283688933939</v>
      </c>
      <c r="I7">
        <f>scenario_jobcoeff_4506_iotable_2020_xlsx_3[[#This Row],[2032]]+scenario_jobcoeff_1610_iotable_2020_xlsx_3[[#This Row],[2032]]</f>
        <v>8.9412087080853837</v>
      </c>
      <c r="J7">
        <f>scenario_jobcoeff_4506_iotable_2020_xlsx_3[[#This Row],[2033]]+scenario_jobcoeff_1610_iotable_2020_xlsx_3[[#This Row],[2033]]</f>
        <v>10.043975509951185</v>
      </c>
      <c r="K7">
        <f>scenario_jobcoeff_4506_iotable_2020_xlsx_3[[#This Row],[2034]]+scenario_jobcoeff_1610_iotable_2020_xlsx_3[[#This Row],[2034]]</f>
        <v>10.673475735992877</v>
      </c>
      <c r="L7">
        <f>scenario_jobcoeff_4506_iotable_2020_xlsx_3[[#This Row],[2035]]+scenario_jobcoeff_1610_iotable_2020_xlsx_3[[#This Row],[2035]]</f>
        <v>12.297389463755632</v>
      </c>
      <c r="M7">
        <f>scenario_jobcoeff_4506_iotable_2020_xlsx_3[[#This Row],[2036]]+scenario_jobcoeff_1610_iotable_2020_xlsx_3[[#This Row],[2036]]</f>
        <v>12.897062376821655</v>
      </c>
      <c r="N7">
        <f>scenario_jobcoeff_4506_iotable_2020_xlsx_3[[#This Row],[2037]]+scenario_jobcoeff_1610_iotable_2020_xlsx_3[[#This Row],[2037]]</f>
        <v>13.446735080742696</v>
      </c>
      <c r="O7">
        <f>scenario_jobcoeff_4506_iotable_2020_xlsx_3[[#This Row],[2038]]+scenario_jobcoeff_1610_iotable_2020_xlsx_3[[#This Row],[2038]]</f>
        <v>13.446735080742696</v>
      </c>
      <c r="P7">
        <f>scenario_jobcoeff_4506_iotable_2020_xlsx_3[[#This Row],[2039]]+scenario_jobcoeff_1610_iotable_2020_xlsx_3[[#This Row],[2039]]</f>
        <v>13.446735080742696</v>
      </c>
      <c r="Q7">
        <f>scenario_jobcoeff_4506_iotable_2020_xlsx_3[[#This Row],[2040]]+scenario_jobcoeff_1610_iotable_2020_xlsx_3[[#This Row],[2040]]</f>
        <v>13.924939180359146</v>
      </c>
      <c r="R7">
        <f>scenario_jobcoeff_4506_iotable_2020_xlsx_3[[#This Row],[2041]]+scenario_jobcoeff_1610_iotable_2020_xlsx_3[[#This Row],[2041]]</f>
        <v>13.924939180359146</v>
      </c>
      <c r="S7">
        <f>scenario_jobcoeff_4506_iotable_2020_xlsx_3[[#This Row],[2042]]+scenario_jobcoeff_1610_iotable_2020_xlsx_3[[#This Row],[2042]]</f>
        <v>14.466515474390318</v>
      </c>
      <c r="T7">
        <f>scenario_jobcoeff_4506_iotable_2020_xlsx_3[[#This Row],[2043]]+scenario_jobcoeff_1610_iotable_2020_xlsx_3[[#This Row],[2043]]</f>
        <v>14.466515474390318</v>
      </c>
      <c r="U7">
        <f>scenario_jobcoeff_4506_iotable_2020_xlsx_3[[#This Row],[2044]]+scenario_jobcoeff_1610_iotable_2020_xlsx_3[[#This Row],[2044]]</f>
        <v>14.939915659634332</v>
      </c>
      <c r="V7">
        <f>scenario_jobcoeff_4506_iotable_2020_xlsx_3[[#This Row],[2045]]+scenario_jobcoeff_1610_iotable_2020_xlsx_3[[#This Row],[2045]]</f>
        <v>14.939915659634332</v>
      </c>
      <c r="W7">
        <f>scenario_jobcoeff_4506_iotable_2020_xlsx_3[[#This Row],[2046]]+scenario_jobcoeff_1610_iotable_2020_xlsx_3[[#This Row],[2046]]</f>
        <v>15.356214802272849</v>
      </c>
      <c r="X7">
        <f>scenario_jobcoeff_4506_iotable_2020_xlsx_3[[#This Row],[2047]]+scenario_jobcoeff_1610_iotable_2020_xlsx_3[[#This Row],[2047]]</f>
        <v>15.356214802272849</v>
      </c>
      <c r="Y7">
        <f>scenario_jobcoeff_4506_iotable_2020_xlsx_3[[#This Row],[2048]]+scenario_jobcoeff_1610_iotable_2020_xlsx_3[[#This Row],[2048]]</f>
        <v>15.356214802272849</v>
      </c>
      <c r="Z7">
        <f>scenario_jobcoeff_4506_iotable_2020_xlsx_3[[#This Row],[2049]]+scenario_jobcoeff_1610_iotable_2020_xlsx_3[[#This Row],[2049]]</f>
        <v>15.356214802272849</v>
      </c>
      <c r="AA7">
        <f>scenario_jobcoeff_4506_iotable_2020_xlsx_3[[#This Row],[2050]]+scenario_jobcoeff_1610_iotable_2020_xlsx_3[[#This Row],[2050]]</f>
        <v>15.356214802272849</v>
      </c>
    </row>
    <row r="8" spans="1:27" x14ac:dyDescent="0.2">
      <c r="A8" t="s">
        <v>192</v>
      </c>
      <c r="B8" t="s">
        <v>193</v>
      </c>
      <c r="C8">
        <f>scenario_jobcoeff_4506_iotable_2020_xlsx_3[[#This Row],[2026]]+scenario_jobcoeff_1610_iotable_2020_xlsx_3[[#This Row],[2026]]</f>
        <v>17.080750195619206</v>
      </c>
      <c r="D8">
        <f>scenario_jobcoeff_4506_iotable_2020_xlsx_3[[#This Row],[2027]]+scenario_jobcoeff_1610_iotable_2020_xlsx_3[[#This Row],[2027]]</f>
        <v>14.239334893554961</v>
      </c>
      <c r="E8">
        <f>scenario_jobcoeff_4506_iotable_2020_xlsx_3[[#This Row],[2028]]+scenario_jobcoeff_1610_iotable_2020_xlsx_3[[#This Row],[2028]]</f>
        <v>15.246572876384073</v>
      </c>
      <c r="F8">
        <f>scenario_jobcoeff_4506_iotable_2020_xlsx_3[[#This Row],[2029]]+scenario_jobcoeff_1610_iotable_2020_xlsx_3[[#This Row],[2029]]</f>
        <v>14.827017661053741</v>
      </c>
      <c r="G8">
        <f>scenario_jobcoeff_4506_iotable_2020_xlsx_3[[#This Row],[2030]]+scenario_jobcoeff_1610_iotable_2020_xlsx_3[[#This Row],[2030]]</f>
        <v>4.2738540330545298</v>
      </c>
      <c r="H8">
        <f>scenario_jobcoeff_4506_iotable_2020_xlsx_3[[#This Row],[2031]]+scenario_jobcoeff_1610_iotable_2020_xlsx_3[[#This Row],[2031]]</f>
        <v>5.6328191368013947</v>
      </c>
      <c r="I8">
        <f>scenario_jobcoeff_4506_iotable_2020_xlsx_3[[#This Row],[2032]]+scenario_jobcoeff_1610_iotable_2020_xlsx_3[[#This Row],[2032]]</f>
        <v>7.5307348397813882</v>
      </c>
      <c r="J8">
        <f>scenario_jobcoeff_4506_iotable_2020_xlsx_3[[#This Row],[2033]]+scenario_jobcoeff_1610_iotable_2020_xlsx_3[[#This Row],[2033]]</f>
        <v>5.0921996613618603</v>
      </c>
      <c r="K8">
        <f>scenario_jobcoeff_4506_iotable_2020_xlsx_3[[#This Row],[2034]]+scenario_jobcoeff_1610_iotable_2020_xlsx_3[[#This Row],[2034]]</f>
        <v>6.8583091767707103</v>
      </c>
      <c r="L8">
        <f>scenario_jobcoeff_4506_iotable_2020_xlsx_3[[#This Row],[2035]]+scenario_jobcoeff_1610_iotable_2020_xlsx_3[[#This Row],[2035]]</f>
        <v>4.4109243137686818</v>
      </c>
      <c r="M8">
        <f>scenario_jobcoeff_4506_iotable_2020_xlsx_3[[#This Row],[2036]]+scenario_jobcoeff_1610_iotable_2020_xlsx_3[[#This Row],[2036]]</f>
        <v>1.4964603976035349</v>
      </c>
      <c r="N8">
        <f>scenario_jobcoeff_4506_iotable_2020_xlsx_3[[#This Row],[2037]]+scenario_jobcoeff_1610_iotable_2020_xlsx_3[[#This Row],[2037]]</f>
        <v>-0.98002059985107337</v>
      </c>
      <c r="O8">
        <f>scenario_jobcoeff_4506_iotable_2020_xlsx_3[[#This Row],[2038]]+scenario_jobcoeff_1610_iotable_2020_xlsx_3[[#This Row],[2038]]</f>
        <v>-0.98002059985107337</v>
      </c>
      <c r="P8">
        <f>scenario_jobcoeff_4506_iotable_2020_xlsx_3[[#This Row],[2039]]+scenario_jobcoeff_1610_iotable_2020_xlsx_3[[#This Row],[2039]]</f>
        <v>-0.98002059985107337</v>
      </c>
      <c r="Q8">
        <f>scenario_jobcoeff_4506_iotable_2020_xlsx_3[[#This Row],[2040]]+scenario_jobcoeff_1610_iotable_2020_xlsx_3[[#This Row],[2040]]</f>
        <v>-3.1663651674463296</v>
      </c>
      <c r="R8">
        <f>scenario_jobcoeff_4506_iotable_2020_xlsx_3[[#This Row],[2041]]+scenario_jobcoeff_1610_iotable_2020_xlsx_3[[#This Row],[2041]]</f>
        <v>-3.1663651674463296</v>
      </c>
      <c r="S8">
        <f>scenario_jobcoeff_4506_iotable_2020_xlsx_3[[#This Row],[2042]]+scenario_jobcoeff_1610_iotable_2020_xlsx_3[[#This Row],[2042]]</f>
        <v>-5.5409526683742598</v>
      </c>
      <c r="T8">
        <f>scenario_jobcoeff_4506_iotable_2020_xlsx_3[[#This Row],[2043]]+scenario_jobcoeff_1610_iotable_2020_xlsx_3[[#This Row],[2043]]</f>
        <v>-5.5409526683742598</v>
      </c>
      <c r="U8">
        <f>scenario_jobcoeff_4506_iotable_2020_xlsx_3[[#This Row],[2044]]+scenario_jobcoeff_1610_iotable_2020_xlsx_3[[#This Row],[2044]]</f>
        <v>-7.9160067296586618</v>
      </c>
      <c r="V8">
        <f>scenario_jobcoeff_4506_iotable_2020_xlsx_3[[#This Row],[2045]]+scenario_jobcoeff_1610_iotable_2020_xlsx_3[[#This Row],[2045]]</f>
        <v>-7.9160067296586618</v>
      </c>
      <c r="W8">
        <f>scenario_jobcoeff_4506_iotable_2020_xlsx_3[[#This Row],[2046]]+scenario_jobcoeff_1610_iotable_2020_xlsx_3[[#This Row],[2046]]</f>
        <v>-9.9012309511168866</v>
      </c>
      <c r="X8">
        <f>scenario_jobcoeff_4506_iotable_2020_xlsx_3[[#This Row],[2047]]+scenario_jobcoeff_1610_iotable_2020_xlsx_3[[#This Row],[2047]]</f>
        <v>-9.9012309511168866</v>
      </c>
      <c r="Y8">
        <f>scenario_jobcoeff_4506_iotable_2020_xlsx_3[[#This Row],[2048]]+scenario_jobcoeff_1610_iotable_2020_xlsx_3[[#This Row],[2048]]</f>
        <v>-9.9012309511168866</v>
      </c>
      <c r="Z8">
        <f>scenario_jobcoeff_4506_iotable_2020_xlsx_3[[#This Row],[2049]]+scenario_jobcoeff_1610_iotable_2020_xlsx_3[[#This Row],[2049]]</f>
        <v>-9.9012309511168866</v>
      </c>
      <c r="AA8">
        <f>scenario_jobcoeff_4506_iotable_2020_xlsx_3[[#This Row],[2050]]+scenario_jobcoeff_1610_iotable_2020_xlsx_3[[#This Row],[2050]]</f>
        <v>-9.9012309511168866</v>
      </c>
    </row>
    <row r="9" spans="1:27" x14ac:dyDescent="0.2">
      <c r="A9" t="s">
        <v>262</v>
      </c>
      <c r="B9" t="s">
        <v>263</v>
      </c>
      <c r="C9">
        <f>scenario_jobcoeff_4506_iotable_2020_xlsx_3[[#This Row],[2026]]+scenario_jobcoeff_1610_iotable_2020_xlsx_3[[#This Row],[2026]]</f>
        <v>4.1734469715676958</v>
      </c>
      <c r="D9">
        <f>scenario_jobcoeff_4506_iotable_2020_xlsx_3[[#This Row],[2027]]+scenario_jobcoeff_1610_iotable_2020_xlsx_3[[#This Row],[2027]]</f>
        <v>3.7516461687741307</v>
      </c>
      <c r="E9">
        <f>scenario_jobcoeff_4506_iotable_2020_xlsx_3[[#This Row],[2028]]+scenario_jobcoeff_1610_iotable_2020_xlsx_3[[#This Row],[2028]]</f>
        <v>3.9815569767505341</v>
      </c>
      <c r="F9">
        <f>scenario_jobcoeff_4506_iotable_2020_xlsx_3[[#This Row],[2029]]+scenario_jobcoeff_1610_iotable_2020_xlsx_3[[#This Row],[2029]]</f>
        <v>3.9765006244898826</v>
      </c>
      <c r="G9">
        <f>scenario_jobcoeff_4506_iotable_2020_xlsx_3[[#This Row],[2030]]+scenario_jobcoeff_1610_iotable_2020_xlsx_3[[#This Row],[2030]]</f>
        <v>2.3365455945961591</v>
      </c>
      <c r="H9">
        <f>scenario_jobcoeff_4506_iotable_2020_xlsx_3[[#This Row],[2031]]+scenario_jobcoeff_1610_iotable_2020_xlsx_3[[#This Row],[2031]]</f>
        <v>2.646741169366484</v>
      </c>
      <c r="I9">
        <f>scenario_jobcoeff_4506_iotable_2020_xlsx_3[[#This Row],[2032]]+scenario_jobcoeff_1610_iotable_2020_xlsx_3[[#This Row],[2032]]</f>
        <v>3.0799568941325628</v>
      </c>
      <c r="J9">
        <f>scenario_jobcoeff_4506_iotable_2020_xlsx_3[[#This Row],[2033]]+scenario_jobcoeff_1610_iotable_2020_xlsx_3[[#This Row],[2033]]</f>
        <v>2.9522698936075367</v>
      </c>
      <c r="K9">
        <f>scenario_jobcoeff_4506_iotable_2020_xlsx_3[[#This Row],[2034]]+scenario_jobcoeff_1610_iotable_2020_xlsx_3[[#This Row],[2034]]</f>
        <v>3.3553997125625008</v>
      </c>
      <c r="L9">
        <f>scenario_jobcoeff_4506_iotable_2020_xlsx_3[[#This Row],[2035]]+scenario_jobcoeff_1610_iotable_2020_xlsx_3[[#This Row],[2035]]</f>
        <v>3.3397368419672109</v>
      </c>
      <c r="M9">
        <f>scenario_jobcoeff_4506_iotable_2020_xlsx_3[[#This Row],[2036]]+scenario_jobcoeff_1610_iotable_2020_xlsx_3[[#This Row],[2036]]</f>
        <v>3.0308825852856582</v>
      </c>
      <c r="N9">
        <f>scenario_jobcoeff_4506_iotable_2020_xlsx_3[[#This Row],[2037]]+scenario_jobcoeff_1610_iotable_2020_xlsx_3[[#This Row],[2037]]</f>
        <v>2.7771689999338456</v>
      </c>
      <c r="O9">
        <f>scenario_jobcoeff_4506_iotable_2020_xlsx_3[[#This Row],[2038]]+scenario_jobcoeff_1610_iotable_2020_xlsx_3[[#This Row],[2038]]</f>
        <v>2.7771689999338456</v>
      </c>
      <c r="P9">
        <f>scenario_jobcoeff_4506_iotable_2020_xlsx_3[[#This Row],[2039]]+scenario_jobcoeff_1610_iotable_2020_xlsx_3[[#This Row],[2039]]</f>
        <v>2.7771689999338456</v>
      </c>
      <c r="Q9">
        <f>scenario_jobcoeff_4506_iotable_2020_xlsx_3[[#This Row],[2040]]+scenario_jobcoeff_1610_iotable_2020_xlsx_3[[#This Row],[2040]]</f>
        <v>2.5516416667910757</v>
      </c>
      <c r="R9">
        <f>scenario_jobcoeff_4506_iotable_2020_xlsx_3[[#This Row],[2041]]+scenario_jobcoeff_1610_iotable_2020_xlsx_3[[#This Row],[2041]]</f>
        <v>2.5516416667910757</v>
      </c>
      <c r="S9">
        <f>scenario_jobcoeff_4506_iotable_2020_xlsx_3[[#This Row],[2042]]+scenario_jobcoeff_1610_iotable_2020_xlsx_3[[#This Row],[2042]]</f>
        <v>2.3115252402026751</v>
      </c>
      <c r="T9">
        <f>scenario_jobcoeff_4506_iotable_2020_xlsx_3[[#This Row],[2043]]+scenario_jobcoeff_1610_iotable_2020_xlsx_3[[#This Row],[2043]]</f>
        <v>2.3115252402026751</v>
      </c>
      <c r="U9">
        <f>scenario_jobcoeff_4506_iotable_2020_xlsx_3[[#This Row],[2044]]+scenario_jobcoeff_1610_iotable_2020_xlsx_3[[#This Row],[2044]]</f>
        <v>2.0565090643507631</v>
      </c>
      <c r="V9">
        <f>scenario_jobcoeff_4506_iotable_2020_xlsx_3[[#This Row],[2045]]+scenario_jobcoeff_1610_iotable_2020_xlsx_3[[#This Row],[2045]]</f>
        <v>2.0565090643507631</v>
      </c>
      <c r="W9">
        <f>scenario_jobcoeff_4506_iotable_2020_xlsx_3[[#This Row],[2046]]+scenario_jobcoeff_1610_iotable_2020_xlsx_3[[#This Row],[2046]]</f>
        <v>1.8478309669638939</v>
      </c>
      <c r="X9">
        <f>scenario_jobcoeff_4506_iotable_2020_xlsx_3[[#This Row],[2047]]+scenario_jobcoeff_1610_iotable_2020_xlsx_3[[#This Row],[2047]]</f>
        <v>1.8478309669638939</v>
      </c>
      <c r="Y9">
        <f>scenario_jobcoeff_4506_iotable_2020_xlsx_3[[#This Row],[2048]]+scenario_jobcoeff_1610_iotable_2020_xlsx_3[[#This Row],[2048]]</f>
        <v>1.8478309669638939</v>
      </c>
      <c r="Z9">
        <f>scenario_jobcoeff_4506_iotable_2020_xlsx_3[[#This Row],[2049]]+scenario_jobcoeff_1610_iotable_2020_xlsx_3[[#This Row],[2049]]</f>
        <v>1.8478309669638939</v>
      </c>
      <c r="AA9">
        <f>scenario_jobcoeff_4506_iotable_2020_xlsx_3[[#This Row],[2050]]+scenario_jobcoeff_1610_iotable_2020_xlsx_3[[#This Row],[2050]]</f>
        <v>1.8478309669638939</v>
      </c>
    </row>
    <row r="10" spans="1:27" x14ac:dyDescent="0.2">
      <c r="A10" t="s">
        <v>38</v>
      </c>
      <c r="B10" t="s">
        <v>39</v>
      </c>
      <c r="C10">
        <f>scenario_jobcoeff_4506_iotable_2020_xlsx_3[[#This Row],[2026]]+scenario_jobcoeff_1610_iotable_2020_xlsx_3[[#This Row],[2026]]</f>
        <v>-129.98720708401834</v>
      </c>
      <c r="D10">
        <f>scenario_jobcoeff_4506_iotable_2020_xlsx_3[[#This Row],[2027]]+scenario_jobcoeff_1610_iotable_2020_xlsx_3[[#This Row],[2027]]</f>
        <v>-462.01708163988053</v>
      </c>
      <c r="E10">
        <f>scenario_jobcoeff_4506_iotable_2020_xlsx_3[[#This Row],[2028]]+scenario_jobcoeff_1610_iotable_2020_xlsx_3[[#This Row],[2028]]</f>
        <v>-448.66252183512302</v>
      </c>
      <c r="F10">
        <f>scenario_jobcoeff_4506_iotable_2020_xlsx_3[[#This Row],[2029]]+scenario_jobcoeff_1610_iotable_2020_xlsx_3[[#This Row],[2029]]</f>
        <v>-571.96792684461627</v>
      </c>
      <c r="G10">
        <f>scenario_jobcoeff_4506_iotable_2020_xlsx_3[[#This Row],[2030]]+scenario_jobcoeff_1610_iotable_2020_xlsx_3[[#This Row],[2030]]</f>
        <v>-1709.9162184871552</v>
      </c>
      <c r="H10">
        <f>scenario_jobcoeff_4506_iotable_2020_xlsx_3[[#This Row],[2031]]+scenario_jobcoeff_1610_iotable_2020_xlsx_3[[#This Row],[2031]]</f>
        <v>-1691.8982514724585</v>
      </c>
      <c r="I10">
        <f>scenario_jobcoeff_4506_iotable_2020_xlsx_3[[#This Row],[2032]]+scenario_jobcoeff_1610_iotable_2020_xlsx_3[[#This Row],[2032]]</f>
        <v>-1666.7345571004064</v>
      </c>
      <c r="J10">
        <f>scenario_jobcoeff_4506_iotable_2020_xlsx_3[[#This Row],[2033]]+scenario_jobcoeff_1610_iotable_2020_xlsx_3[[#This Row],[2033]]</f>
        <v>-2255.8175612484674</v>
      </c>
      <c r="K10">
        <f>scenario_jobcoeff_4506_iotable_2020_xlsx_3[[#This Row],[2034]]+scenario_jobcoeff_1610_iotable_2020_xlsx_3[[#This Row],[2034]]</f>
        <v>-2232.4014316471676</v>
      </c>
      <c r="L10">
        <f>scenario_jobcoeff_4506_iotable_2020_xlsx_3[[#This Row],[2035]]+scenario_jobcoeff_1610_iotable_2020_xlsx_3[[#This Row],[2035]]</f>
        <v>-2969.6312228023453</v>
      </c>
      <c r="M10">
        <f>scenario_jobcoeff_4506_iotable_2020_xlsx_3[[#This Row],[2036]]+scenario_jobcoeff_1610_iotable_2020_xlsx_3[[#This Row],[2036]]</f>
        <v>-3470.8772320479352</v>
      </c>
      <c r="N10">
        <f>scenario_jobcoeff_4506_iotable_2020_xlsx_3[[#This Row],[2037]]+scenario_jobcoeff_1610_iotable_2020_xlsx_3[[#This Row],[2037]]</f>
        <v>-3908.1232616008988</v>
      </c>
      <c r="O10">
        <f>scenario_jobcoeff_4506_iotable_2020_xlsx_3[[#This Row],[2038]]+scenario_jobcoeff_1610_iotable_2020_xlsx_3[[#This Row],[2038]]</f>
        <v>-3908.1232616008988</v>
      </c>
      <c r="P10">
        <f>scenario_jobcoeff_4506_iotable_2020_xlsx_3[[#This Row],[2039]]+scenario_jobcoeff_1610_iotable_2020_xlsx_3[[#This Row],[2039]]</f>
        <v>-3908.1232616008988</v>
      </c>
      <c r="Q10">
        <f>scenario_jobcoeff_4506_iotable_2020_xlsx_3[[#This Row],[2040]]+scenario_jobcoeff_1610_iotable_2020_xlsx_3[[#This Row],[2040]]</f>
        <v>-4292.1466433397618</v>
      </c>
      <c r="R10">
        <f>scenario_jobcoeff_4506_iotable_2020_xlsx_3[[#This Row],[2041]]+scenario_jobcoeff_1610_iotable_2020_xlsx_3[[#This Row],[2041]]</f>
        <v>-4292.1466433397618</v>
      </c>
      <c r="S10">
        <f>scenario_jobcoeff_4506_iotable_2020_xlsx_3[[#This Row],[2042]]+scenario_jobcoeff_1610_iotable_2020_xlsx_3[[#This Row],[2042]]</f>
        <v>-4715.5018269727734</v>
      </c>
      <c r="T10">
        <f>scenario_jobcoeff_4506_iotable_2020_xlsx_3[[#This Row],[2043]]+scenario_jobcoeff_1610_iotable_2020_xlsx_3[[#This Row],[2043]]</f>
        <v>-4715.5018269727734</v>
      </c>
      <c r="U10">
        <f>scenario_jobcoeff_4506_iotable_2020_xlsx_3[[#This Row],[2044]]+scenario_jobcoeff_1610_iotable_2020_xlsx_3[[#This Row],[2044]]</f>
        <v>-5119.6615349884596</v>
      </c>
      <c r="V10">
        <f>scenario_jobcoeff_4506_iotable_2020_xlsx_3[[#This Row],[2045]]+scenario_jobcoeff_1610_iotable_2020_xlsx_3[[#This Row],[2045]]</f>
        <v>-5119.6615349884596</v>
      </c>
      <c r="W10">
        <f>scenario_jobcoeff_4506_iotable_2020_xlsx_3[[#This Row],[2046]]+scenario_jobcoeff_1610_iotable_2020_xlsx_3[[#This Row],[2046]]</f>
        <v>-5463.300725481783</v>
      </c>
      <c r="X10">
        <f>scenario_jobcoeff_4506_iotable_2020_xlsx_3[[#This Row],[2047]]+scenario_jobcoeff_1610_iotable_2020_xlsx_3[[#This Row],[2047]]</f>
        <v>-5463.300725481783</v>
      </c>
      <c r="Y10">
        <f>scenario_jobcoeff_4506_iotable_2020_xlsx_3[[#This Row],[2048]]+scenario_jobcoeff_1610_iotable_2020_xlsx_3[[#This Row],[2048]]</f>
        <v>-5463.300725481783</v>
      </c>
      <c r="Z10">
        <f>scenario_jobcoeff_4506_iotable_2020_xlsx_3[[#This Row],[2049]]+scenario_jobcoeff_1610_iotable_2020_xlsx_3[[#This Row],[2049]]</f>
        <v>-5463.300725481783</v>
      </c>
      <c r="AA10">
        <f>scenario_jobcoeff_4506_iotable_2020_xlsx_3[[#This Row],[2050]]+scenario_jobcoeff_1610_iotable_2020_xlsx_3[[#This Row],[2050]]</f>
        <v>-5463.300725481783</v>
      </c>
    </row>
    <row r="11" spans="1:27" x14ac:dyDescent="0.2">
      <c r="A11" t="s">
        <v>160</v>
      </c>
      <c r="B11" t="s">
        <v>161</v>
      </c>
      <c r="C11">
        <f>scenario_jobcoeff_4506_iotable_2020_xlsx_3[[#This Row],[2026]]+scenario_jobcoeff_1610_iotable_2020_xlsx_3[[#This Row],[2026]]</f>
        <v>34.332745565204938</v>
      </c>
      <c r="D11">
        <f>scenario_jobcoeff_4506_iotable_2020_xlsx_3[[#This Row],[2027]]+scenario_jobcoeff_1610_iotable_2020_xlsx_3[[#This Row],[2027]]</f>
        <v>37.276470019658319</v>
      </c>
      <c r="E11">
        <f>scenario_jobcoeff_4506_iotable_2020_xlsx_3[[#This Row],[2028]]+scenario_jobcoeff_1610_iotable_2020_xlsx_3[[#This Row],[2028]]</f>
        <v>38.786621851197893</v>
      </c>
      <c r="F11">
        <f>scenario_jobcoeff_4506_iotable_2020_xlsx_3[[#This Row],[2029]]+scenario_jobcoeff_1610_iotable_2020_xlsx_3[[#This Row],[2029]]</f>
        <v>41.039126320903172</v>
      </c>
      <c r="G11">
        <f>scenario_jobcoeff_4506_iotable_2020_xlsx_3[[#This Row],[2030]]+scenario_jobcoeff_1610_iotable_2020_xlsx_3[[#This Row],[2030]]</f>
        <v>49.641738393997976</v>
      </c>
      <c r="H11">
        <f>scenario_jobcoeff_4506_iotable_2020_xlsx_3[[#This Row],[2031]]+scenario_jobcoeff_1610_iotable_2020_xlsx_3[[#This Row],[2031]]</f>
        <v>51.67923467134986</v>
      </c>
      <c r="I11">
        <f>scenario_jobcoeff_4506_iotable_2020_xlsx_3[[#This Row],[2032]]+scenario_jobcoeff_1610_iotable_2020_xlsx_3[[#This Row],[2032]]</f>
        <v>54.524779541403937</v>
      </c>
      <c r="J11">
        <f>scenario_jobcoeff_4506_iotable_2020_xlsx_3[[#This Row],[2033]]+scenario_jobcoeff_1610_iotable_2020_xlsx_3[[#This Row],[2033]]</f>
        <v>64.494188346623147</v>
      </c>
      <c r="K11">
        <f>scenario_jobcoeff_4506_iotable_2020_xlsx_3[[#This Row],[2034]]+scenario_jobcoeff_1610_iotable_2020_xlsx_3[[#This Row],[2034]]</f>
        <v>67.142116209612283</v>
      </c>
      <c r="L11">
        <f>scenario_jobcoeff_4506_iotable_2020_xlsx_3[[#This Row],[2035]]+scenario_jobcoeff_1610_iotable_2020_xlsx_3[[#This Row],[2035]]</f>
        <v>80.721014990353154</v>
      </c>
      <c r="M11">
        <f>scenario_jobcoeff_4506_iotable_2020_xlsx_3[[#This Row],[2036]]+scenario_jobcoeff_1610_iotable_2020_xlsx_3[[#This Row],[2036]]</f>
        <v>87.672779580006306</v>
      </c>
      <c r="N11">
        <f>scenario_jobcoeff_4506_iotable_2020_xlsx_3[[#This Row],[2037]]+scenario_jobcoeff_1610_iotable_2020_xlsx_3[[#This Row],[2037]]</f>
        <v>93.857042886211602</v>
      </c>
      <c r="O11">
        <f>scenario_jobcoeff_4506_iotable_2020_xlsx_3[[#This Row],[2038]]+scenario_jobcoeff_1610_iotable_2020_xlsx_3[[#This Row],[2038]]</f>
        <v>93.857042886211602</v>
      </c>
      <c r="P11">
        <f>scenario_jobcoeff_4506_iotable_2020_xlsx_3[[#This Row],[2039]]+scenario_jobcoeff_1610_iotable_2020_xlsx_3[[#This Row],[2039]]</f>
        <v>93.857042886211602</v>
      </c>
      <c r="Q11">
        <f>scenario_jobcoeff_4506_iotable_2020_xlsx_3[[#This Row],[2040]]+scenario_jobcoeff_1610_iotable_2020_xlsx_3[[#This Row],[2040]]</f>
        <v>99.267921447834397</v>
      </c>
      <c r="R11">
        <f>scenario_jobcoeff_4506_iotable_2020_xlsx_3[[#This Row],[2041]]+scenario_jobcoeff_1610_iotable_2020_xlsx_3[[#This Row],[2041]]</f>
        <v>99.267921447834397</v>
      </c>
      <c r="S11">
        <f>scenario_jobcoeff_4506_iotable_2020_xlsx_3[[#This Row],[2042]]+scenario_jobcoeff_1610_iotable_2020_xlsx_3[[#This Row],[2042]]</f>
        <v>105.29806230961314</v>
      </c>
      <c r="T11">
        <f>scenario_jobcoeff_4506_iotable_2020_xlsx_3[[#This Row],[2043]]+scenario_jobcoeff_1610_iotable_2020_xlsx_3[[#This Row],[2043]]</f>
        <v>105.29806230961314</v>
      </c>
      <c r="U11">
        <f>scenario_jobcoeff_4506_iotable_2020_xlsx_3[[#This Row],[2044]]+scenario_jobcoeff_1610_iotable_2020_xlsx_3[[#This Row],[2044]]</f>
        <v>110.85757704721584</v>
      </c>
      <c r="V11">
        <f>scenario_jobcoeff_4506_iotable_2020_xlsx_3[[#This Row],[2045]]+scenario_jobcoeff_1610_iotable_2020_xlsx_3[[#This Row],[2045]]</f>
        <v>110.85757704721584</v>
      </c>
      <c r="W11">
        <f>scenario_jobcoeff_4506_iotable_2020_xlsx_3[[#This Row],[2046]]+scenario_jobcoeff_1610_iotable_2020_xlsx_3[[#This Row],[2046]]</f>
        <v>115.64692352026084</v>
      </c>
      <c r="X11">
        <f>scenario_jobcoeff_4506_iotable_2020_xlsx_3[[#This Row],[2047]]+scenario_jobcoeff_1610_iotable_2020_xlsx_3[[#This Row],[2047]]</f>
        <v>115.64692352026084</v>
      </c>
      <c r="Y11">
        <f>scenario_jobcoeff_4506_iotable_2020_xlsx_3[[#This Row],[2048]]+scenario_jobcoeff_1610_iotable_2020_xlsx_3[[#This Row],[2048]]</f>
        <v>115.64692352026084</v>
      </c>
      <c r="Z11">
        <f>scenario_jobcoeff_4506_iotable_2020_xlsx_3[[#This Row],[2049]]+scenario_jobcoeff_1610_iotable_2020_xlsx_3[[#This Row],[2049]]</f>
        <v>115.64692352026084</v>
      </c>
      <c r="AA11">
        <f>scenario_jobcoeff_4506_iotable_2020_xlsx_3[[#This Row],[2050]]+scenario_jobcoeff_1610_iotable_2020_xlsx_3[[#This Row],[2050]]</f>
        <v>115.64692352026084</v>
      </c>
    </row>
    <row r="12" spans="1:27" x14ac:dyDescent="0.2">
      <c r="A12" t="s">
        <v>296</v>
      </c>
      <c r="B12" t="s">
        <v>297</v>
      </c>
      <c r="C12">
        <f>scenario_jobcoeff_4506_iotable_2020_xlsx_3[[#This Row],[2026]]+scenario_jobcoeff_1610_iotable_2020_xlsx_3[[#This Row],[2026]]</f>
        <v>0.78418830643805626</v>
      </c>
      <c r="D12">
        <f>scenario_jobcoeff_4506_iotable_2020_xlsx_3[[#This Row],[2027]]+scenario_jobcoeff_1610_iotable_2020_xlsx_3[[#This Row],[2027]]</f>
        <v>0.76938084263022433</v>
      </c>
      <c r="E12">
        <f>scenario_jobcoeff_4506_iotable_2020_xlsx_3[[#This Row],[2028]]+scenario_jobcoeff_1610_iotable_2020_xlsx_3[[#This Row],[2028]]</f>
        <v>0.80875037214338652</v>
      </c>
      <c r="F12">
        <f>scenario_jobcoeff_4506_iotable_2020_xlsx_3[[#This Row],[2029]]+scenario_jobcoeff_1610_iotable_2020_xlsx_3[[#This Row],[2029]]</f>
        <v>0.83085292418874523</v>
      </c>
      <c r="G12">
        <f>scenario_jobcoeff_4506_iotable_2020_xlsx_3[[#This Row],[2030]]+scenario_jobcoeff_1610_iotable_2020_xlsx_3[[#This Row],[2030]]</f>
        <v>0.7447179782349429</v>
      </c>
      <c r="H12">
        <f>scenario_jobcoeff_4506_iotable_2020_xlsx_3[[#This Row],[2031]]+scenario_jobcoeff_1610_iotable_2020_xlsx_3[[#This Row],[2031]]</f>
        <v>0.79783533249619232</v>
      </c>
      <c r="I12">
        <f>scenario_jobcoeff_4506_iotable_2020_xlsx_3[[#This Row],[2032]]+scenario_jobcoeff_1610_iotable_2020_xlsx_3[[#This Row],[2032]]</f>
        <v>0.87201844468591883</v>
      </c>
      <c r="J12">
        <f>scenario_jobcoeff_4506_iotable_2020_xlsx_3[[#This Row],[2033]]+scenario_jobcoeff_1610_iotable_2020_xlsx_3[[#This Row],[2033]]</f>
        <v>0.95876059136433678</v>
      </c>
      <c r="K12">
        <f>scenario_jobcoeff_4506_iotable_2020_xlsx_3[[#This Row],[2034]]+scenario_jobcoeff_1610_iotable_2020_xlsx_3[[#This Row],[2034]]</f>
        <v>1.0277918450260271</v>
      </c>
      <c r="L12">
        <f>scenario_jobcoeff_4506_iotable_2020_xlsx_3[[#This Row],[2035]]+scenario_jobcoeff_1610_iotable_2020_xlsx_3[[#This Row],[2035]]</f>
        <v>1.1625933253647549</v>
      </c>
      <c r="M12">
        <f>scenario_jobcoeff_4506_iotable_2020_xlsx_3[[#This Row],[2036]]+scenario_jobcoeff_1610_iotable_2020_xlsx_3[[#This Row],[2036]]</f>
        <v>1.1999471606479399</v>
      </c>
      <c r="N12">
        <f>scenario_jobcoeff_4506_iotable_2020_xlsx_3[[#This Row],[2037]]+scenario_jobcoeff_1610_iotable_2020_xlsx_3[[#This Row],[2037]]</f>
        <v>1.2353913309168136</v>
      </c>
      <c r="O12">
        <f>scenario_jobcoeff_4506_iotable_2020_xlsx_3[[#This Row],[2038]]+scenario_jobcoeff_1610_iotable_2020_xlsx_3[[#This Row],[2038]]</f>
        <v>1.2353913309168136</v>
      </c>
      <c r="P12">
        <f>scenario_jobcoeff_4506_iotable_2020_xlsx_3[[#This Row],[2039]]+scenario_jobcoeff_1610_iotable_2020_xlsx_3[[#This Row],[2039]]</f>
        <v>1.2353913309168136</v>
      </c>
      <c r="Q12">
        <f>scenario_jobcoeff_4506_iotable_2020_xlsx_3[[#This Row],[2040]]+scenario_jobcoeff_1610_iotable_2020_xlsx_3[[#This Row],[2040]]</f>
        <v>1.2660301831999607</v>
      </c>
      <c r="R12">
        <f>scenario_jobcoeff_4506_iotable_2020_xlsx_3[[#This Row],[2041]]+scenario_jobcoeff_1610_iotable_2020_xlsx_3[[#This Row],[2041]]</f>
        <v>1.2660301831999607</v>
      </c>
      <c r="S12">
        <f>scenario_jobcoeff_4506_iotable_2020_xlsx_3[[#This Row],[2042]]+scenario_jobcoeff_1610_iotable_2020_xlsx_3[[#This Row],[2042]]</f>
        <v>1.3013565180581028</v>
      </c>
      <c r="T12">
        <f>scenario_jobcoeff_4506_iotable_2020_xlsx_3[[#This Row],[2043]]+scenario_jobcoeff_1610_iotable_2020_xlsx_3[[#This Row],[2043]]</f>
        <v>1.3013565180581028</v>
      </c>
      <c r="U12">
        <f>scenario_jobcoeff_4506_iotable_2020_xlsx_3[[#This Row],[2044]]+scenario_jobcoeff_1610_iotable_2020_xlsx_3[[#This Row],[2044]]</f>
        <v>1.3303857243093358</v>
      </c>
      <c r="V12">
        <f>scenario_jobcoeff_4506_iotable_2020_xlsx_3[[#This Row],[2045]]+scenario_jobcoeff_1610_iotable_2020_xlsx_3[[#This Row],[2045]]</f>
        <v>1.3303857243093358</v>
      </c>
      <c r="W12">
        <f>scenario_jobcoeff_4506_iotable_2020_xlsx_3[[#This Row],[2046]]+scenario_jobcoeff_1610_iotable_2020_xlsx_3[[#This Row],[2046]]</f>
        <v>1.3565521303976136</v>
      </c>
      <c r="X12">
        <f>scenario_jobcoeff_4506_iotable_2020_xlsx_3[[#This Row],[2047]]+scenario_jobcoeff_1610_iotable_2020_xlsx_3[[#This Row],[2047]]</f>
        <v>1.3565521303976136</v>
      </c>
      <c r="Y12">
        <f>scenario_jobcoeff_4506_iotable_2020_xlsx_3[[#This Row],[2048]]+scenario_jobcoeff_1610_iotable_2020_xlsx_3[[#This Row],[2048]]</f>
        <v>1.3565521303976136</v>
      </c>
      <c r="Z12">
        <f>scenario_jobcoeff_4506_iotable_2020_xlsx_3[[#This Row],[2049]]+scenario_jobcoeff_1610_iotable_2020_xlsx_3[[#This Row],[2049]]</f>
        <v>1.3565521303976136</v>
      </c>
      <c r="AA12">
        <f>scenario_jobcoeff_4506_iotable_2020_xlsx_3[[#This Row],[2050]]+scenario_jobcoeff_1610_iotable_2020_xlsx_3[[#This Row],[2050]]</f>
        <v>1.3565521303976136</v>
      </c>
    </row>
    <row r="13" spans="1:27" x14ac:dyDescent="0.2">
      <c r="A13" t="s">
        <v>254</v>
      </c>
      <c r="B13" t="s">
        <v>255</v>
      </c>
      <c r="C13">
        <f>scenario_jobcoeff_4506_iotable_2020_xlsx_3[[#This Row],[2026]]+scenario_jobcoeff_1610_iotable_2020_xlsx_3[[#This Row],[2026]]</f>
        <v>6.814266926919653</v>
      </c>
      <c r="D13">
        <f>scenario_jobcoeff_4506_iotable_2020_xlsx_3[[#This Row],[2027]]+scenario_jobcoeff_1610_iotable_2020_xlsx_3[[#This Row],[2027]]</f>
        <v>6.619601456775861</v>
      </c>
      <c r="E13">
        <f>scenario_jobcoeff_4506_iotable_2020_xlsx_3[[#This Row],[2028]]+scenario_jobcoeff_1610_iotable_2020_xlsx_3[[#This Row],[2028]]</f>
        <v>6.9656286064269706</v>
      </c>
      <c r="F13">
        <f>scenario_jobcoeff_4506_iotable_2020_xlsx_3[[#This Row],[2029]]+scenario_jobcoeff_1610_iotable_2020_xlsx_3[[#This Row],[2029]]</f>
        <v>7.1340848128557734</v>
      </c>
      <c r="G13">
        <f>scenario_jobcoeff_4506_iotable_2020_xlsx_3[[#This Row],[2030]]+scenario_jobcoeff_1610_iotable_2020_xlsx_3[[#This Row],[2030]]</f>
        <v>6.1582704510335544</v>
      </c>
      <c r="H13">
        <f>scenario_jobcoeff_4506_iotable_2020_xlsx_3[[#This Row],[2031]]+scenario_jobcoeff_1610_iotable_2020_xlsx_3[[#This Row],[2031]]</f>
        <v>6.6251301498745967</v>
      </c>
      <c r="I13">
        <f>scenario_jobcoeff_4506_iotable_2020_xlsx_3[[#This Row],[2032]]+scenario_jobcoeff_1610_iotable_2020_xlsx_3[[#This Row],[2032]]</f>
        <v>7.277141265594878</v>
      </c>
      <c r="J13">
        <f>scenario_jobcoeff_4506_iotable_2020_xlsx_3[[#This Row],[2033]]+scenario_jobcoeff_1610_iotable_2020_xlsx_3[[#This Row],[2033]]</f>
        <v>7.9175030271080526</v>
      </c>
      <c r="K13">
        <f>scenario_jobcoeff_4506_iotable_2020_xlsx_3[[#This Row],[2034]]+scenario_jobcoeff_1610_iotable_2020_xlsx_3[[#This Row],[2034]]</f>
        <v>8.5242333649296302</v>
      </c>
      <c r="L13">
        <f>scenario_jobcoeff_4506_iotable_2020_xlsx_3[[#This Row],[2035]]+scenario_jobcoeff_1610_iotable_2020_xlsx_3[[#This Row],[2035]]</f>
        <v>9.5545524931480212</v>
      </c>
      <c r="M13">
        <f>scenario_jobcoeff_4506_iotable_2020_xlsx_3[[#This Row],[2036]]+scenario_jobcoeff_1610_iotable_2020_xlsx_3[[#This Row],[2036]]</f>
        <v>9.7814658513725679</v>
      </c>
      <c r="N13">
        <f>scenario_jobcoeff_4506_iotable_2020_xlsx_3[[#This Row],[2037]]+scenario_jobcoeff_1610_iotable_2020_xlsx_3[[#This Row],[2037]]</f>
        <v>10.004349967231157</v>
      </c>
      <c r="O13">
        <f>scenario_jobcoeff_4506_iotable_2020_xlsx_3[[#This Row],[2038]]+scenario_jobcoeff_1610_iotable_2020_xlsx_3[[#This Row],[2038]]</f>
        <v>10.004349967231157</v>
      </c>
      <c r="P13">
        <f>scenario_jobcoeff_4506_iotable_2020_xlsx_3[[#This Row],[2039]]+scenario_jobcoeff_1610_iotable_2020_xlsx_3[[#This Row],[2039]]</f>
        <v>10.004349967231157</v>
      </c>
      <c r="Q13">
        <f>scenario_jobcoeff_4506_iotable_2020_xlsx_3[[#This Row],[2040]]+scenario_jobcoeff_1610_iotable_2020_xlsx_3[[#This Row],[2040]]</f>
        <v>10.195821728638412</v>
      </c>
      <c r="R13">
        <f>scenario_jobcoeff_4506_iotable_2020_xlsx_3[[#This Row],[2041]]+scenario_jobcoeff_1610_iotable_2020_xlsx_3[[#This Row],[2041]]</f>
        <v>10.195821728638412</v>
      </c>
      <c r="S13">
        <f>scenario_jobcoeff_4506_iotable_2020_xlsx_3[[#This Row],[2042]]+scenario_jobcoeff_1610_iotable_2020_xlsx_3[[#This Row],[2042]]</f>
        <v>10.420418758638892</v>
      </c>
      <c r="T13">
        <f>scenario_jobcoeff_4506_iotable_2020_xlsx_3[[#This Row],[2043]]+scenario_jobcoeff_1610_iotable_2020_xlsx_3[[#This Row],[2043]]</f>
        <v>10.420418758638892</v>
      </c>
      <c r="U13">
        <f>scenario_jobcoeff_4506_iotable_2020_xlsx_3[[#This Row],[2044]]+scenario_jobcoeff_1610_iotable_2020_xlsx_3[[#This Row],[2044]]</f>
        <v>10.593877767441002</v>
      </c>
      <c r="V13">
        <f>scenario_jobcoeff_4506_iotable_2020_xlsx_3[[#This Row],[2045]]+scenario_jobcoeff_1610_iotable_2020_xlsx_3[[#This Row],[2045]]</f>
        <v>10.593877767441002</v>
      </c>
      <c r="W13">
        <f>scenario_jobcoeff_4506_iotable_2020_xlsx_3[[#This Row],[2046]]+scenario_jobcoeff_1610_iotable_2020_xlsx_3[[#This Row],[2046]]</f>
        <v>10.754307508597041</v>
      </c>
      <c r="X13">
        <f>scenario_jobcoeff_4506_iotable_2020_xlsx_3[[#This Row],[2047]]+scenario_jobcoeff_1610_iotable_2020_xlsx_3[[#This Row],[2047]]</f>
        <v>10.754307508597041</v>
      </c>
      <c r="Y13">
        <f>scenario_jobcoeff_4506_iotable_2020_xlsx_3[[#This Row],[2048]]+scenario_jobcoeff_1610_iotable_2020_xlsx_3[[#This Row],[2048]]</f>
        <v>10.754307508597041</v>
      </c>
      <c r="Z13">
        <f>scenario_jobcoeff_4506_iotable_2020_xlsx_3[[#This Row],[2049]]+scenario_jobcoeff_1610_iotable_2020_xlsx_3[[#This Row],[2049]]</f>
        <v>10.754307508597041</v>
      </c>
      <c r="AA13">
        <f>scenario_jobcoeff_4506_iotable_2020_xlsx_3[[#This Row],[2050]]+scenario_jobcoeff_1610_iotable_2020_xlsx_3[[#This Row],[2050]]</f>
        <v>10.754307508597041</v>
      </c>
    </row>
    <row r="14" spans="1:27" x14ac:dyDescent="0.2">
      <c r="A14" t="s">
        <v>172</v>
      </c>
      <c r="B14" t="s">
        <v>173</v>
      </c>
      <c r="C14">
        <f>scenario_jobcoeff_4506_iotable_2020_xlsx_3[[#This Row],[2026]]+scenario_jobcoeff_1610_iotable_2020_xlsx_3[[#This Row],[2026]]</f>
        <v>21.998092292085772</v>
      </c>
      <c r="D14">
        <f>scenario_jobcoeff_4506_iotable_2020_xlsx_3[[#This Row],[2027]]+scenario_jobcoeff_1610_iotable_2020_xlsx_3[[#This Row],[2027]]</f>
        <v>18.704838759140387</v>
      </c>
      <c r="E14">
        <f>scenario_jobcoeff_4506_iotable_2020_xlsx_3[[#This Row],[2028]]+scenario_jobcoeff_1610_iotable_2020_xlsx_3[[#This Row],[2028]]</f>
        <v>19.980284624983796</v>
      </c>
      <c r="F14">
        <f>scenario_jobcoeff_4506_iotable_2020_xlsx_3[[#This Row],[2029]]+scenario_jobcoeff_1610_iotable_2020_xlsx_3[[#This Row],[2029]]</f>
        <v>19.570920187168529</v>
      </c>
      <c r="G14">
        <f>scenario_jobcoeff_4506_iotable_2020_xlsx_3[[#This Row],[2030]]+scenario_jobcoeff_1610_iotable_2020_xlsx_3[[#This Row],[2030]]</f>
        <v>7.2410075295872645</v>
      </c>
      <c r="H14">
        <f>scenario_jobcoeff_4506_iotable_2020_xlsx_3[[#This Row],[2031]]+scenario_jobcoeff_1610_iotable_2020_xlsx_3[[#This Row],[2031]]</f>
        <v>8.9618386071951477</v>
      </c>
      <c r="I14">
        <f>scenario_jobcoeff_4506_iotable_2020_xlsx_3[[#This Row],[2032]]+scenario_jobcoeff_1610_iotable_2020_xlsx_3[[#This Row],[2032]]</f>
        <v>11.365132345469348</v>
      </c>
      <c r="J14">
        <f>scenario_jobcoeff_4506_iotable_2020_xlsx_3[[#This Row],[2033]]+scenario_jobcoeff_1610_iotable_2020_xlsx_3[[#This Row],[2033]]</f>
        <v>8.8537202377755762</v>
      </c>
      <c r="K14">
        <f>scenario_jobcoeff_4506_iotable_2020_xlsx_3[[#This Row],[2034]]+scenario_jobcoeff_1610_iotable_2020_xlsx_3[[#This Row],[2034]]</f>
        <v>11.09011036449413</v>
      </c>
      <c r="L14">
        <f>scenario_jobcoeff_4506_iotable_2020_xlsx_3[[#This Row],[2035]]+scenario_jobcoeff_1610_iotable_2020_xlsx_3[[#This Row],[2035]]</f>
        <v>8.7207609974772353</v>
      </c>
      <c r="M14">
        <f>scenario_jobcoeff_4506_iotable_2020_xlsx_3[[#This Row],[2036]]+scenario_jobcoeff_1610_iotable_2020_xlsx_3[[#This Row],[2036]]</f>
        <v>5.509210127161154</v>
      </c>
      <c r="N14">
        <f>scenario_jobcoeff_4506_iotable_2020_xlsx_3[[#This Row],[2037]]+scenario_jobcoeff_1610_iotable_2020_xlsx_3[[#This Row],[2037]]</f>
        <v>2.7920158387400136</v>
      </c>
      <c r="O14">
        <f>scenario_jobcoeff_4506_iotable_2020_xlsx_3[[#This Row],[2038]]+scenario_jobcoeff_1610_iotable_2020_xlsx_3[[#This Row],[2038]]</f>
        <v>2.7920158387400136</v>
      </c>
      <c r="P14">
        <f>scenario_jobcoeff_4506_iotable_2020_xlsx_3[[#This Row],[2039]]+scenario_jobcoeff_1610_iotable_2020_xlsx_3[[#This Row],[2039]]</f>
        <v>2.7920158387400136</v>
      </c>
      <c r="Q14">
        <f>scenario_jobcoeff_4506_iotable_2020_xlsx_3[[#This Row],[2040]]+scenario_jobcoeff_1610_iotable_2020_xlsx_3[[#This Row],[2040]]</f>
        <v>0.39109217364944016</v>
      </c>
      <c r="R14">
        <f>scenario_jobcoeff_4506_iotable_2020_xlsx_3[[#This Row],[2041]]+scenario_jobcoeff_1610_iotable_2020_xlsx_3[[#This Row],[2041]]</f>
        <v>0.39109217364944016</v>
      </c>
      <c r="S14">
        <f>scenario_jobcoeff_4506_iotable_2020_xlsx_3[[#This Row],[2042]]+scenario_jobcoeff_1610_iotable_2020_xlsx_3[[#This Row],[2042]]</f>
        <v>-2.2100600899156291</v>
      </c>
      <c r="T14">
        <f>scenario_jobcoeff_4506_iotable_2020_xlsx_3[[#This Row],[2043]]+scenario_jobcoeff_1610_iotable_2020_xlsx_3[[#This Row],[2043]]</f>
        <v>-2.2100600899156291</v>
      </c>
      <c r="U14">
        <f>scenario_jobcoeff_4506_iotable_2020_xlsx_3[[#This Row],[2044]]+scenario_jobcoeff_1610_iotable_2020_xlsx_3[[#This Row],[2044]]</f>
        <v>-4.8316844501292877</v>
      </c>
      <c r="V14">
        <f>scenario_jobcoeff_4506_iotable_2020_xlsx_3[[#This Row],[2045]]+scenario_jobcoeff_1610_iotable_2020_xlsx_3[[#This Row],[2045]]</f>
        <v>-4.8316844501292877</v>
      </c>
      <c r="W14">
        <f>scenario_jobcoeff_4506_iotable_2020_xlsx_3[[#This Row],[2046]]+scenario_jobcoeff_1610_iotable_2020_xlsx_3[[#This Row],[2046]]</f>
        <v>-7.0169859582712064</v>
      </c>
      <c r="X14">
        <f>scenario_jobcoeff_4506_iotable_2020_xlsx_3[[#This Row],[2047]]+scenario_jobcoeff_1610_iotable_2020_xlsx_3[[#This Row],[2047]]</f>
        <v>-7.0169859582712064</v>
      </c>
      <c r="Y14">
        <f>scenario_jobcoeff_4506_iotable_2020_xlsx_3[[#This Row],[2048]]+scenario_jobcoeff_1610_iotable_2020_xlsx_3[[#This Row],[2048]]</f>
        <v>-7.0169859582712064</v>
      </c>
      <c r="Z14">
        <f>scenario_jobcoeff_4506_iotable_2020_xlsx_3[[#This Row],[2049]]+scenario_jobcoeff_1610_iotable_2020_xlsx_3[[#This Row],[2049]]</f>
        <v>-7.0169859582712064</v>
      </c>
      <c r="AA14">
        <f>scenario_jobcoeff_4506_iotable_2020_xlsx_3[[#This Row],[2050]]+scenario_jobcoeff_1610_iotable_2020_xlsx_3[[#This Row],[2050]]</f>
        <v>-7.0169859582712064</v>
      </c>
    </row>
    <row r="15" spans="1:27" x14ac:dyDescent="0.2">
      <c r="A15" t="s">
        <v>228</v>
      </c>
      <c r="B15" t="s">
        <v>229</v>
      </c>
      <c r="C15">
        <f>scenario_jobcoeff_4506_iotable_2020_xlsx_3[[#This Row],[2026]]+scenario_jobcoeff_1610_iotable_2020_xlsx_3[[#This Row],[2026]]</f>
        <v>8.4666829704332347</v>
      </c>
      <c r="D15">
        <f>scenario_jobcoeff_4506_iotable_2020_xlsx_3[[#This Row],[2027]]+scenario_jobcoeff_1610_iotable_2020_xlsx_3[[#This Row],[2027]]</f>
        <v>7.3913502232138368</v>
      </c>
      <c r="E15">
        <f>scenario_jobcoeff_4506_iotable_2020_xlsx_3[[#This Row],[2028]]+scenario_jobcoeff_1610_iotable_2020_xlsx_3[[#This Row],[2028]]</f>
        <v>7.8708245144917806</v>
      </c>
      <c r="F15">
        <f>scenario_jobcoeff_4506_iotable_2020_xlsx_3[[#This Row],[2029]]+scenario_jobcoeff_1610_iotable_2020_xlsx_3[[#This Row],[2029]]</f>
        <v>7.7820092698868333</v>
      </c>
      <c r="G15">
        <f>scenario_jobcoeff_4506_iotable_2020_xlsx_3[[#This Row],[2030]]+scenario_jobcoeff_1610_iotable_2020_xlsx_3[[#This Row],[2030]]</f>
        <v>3.6984699634200204</v>
      </c>
      <c r="H15">
        <f>scenario_jobcoeff_4506_iotable_2020_xlsx_3[[#This Row],[2031]]+scenario_jobcoeff_1610_iotable_2020_xlsx_3[[#This Row],[2031]]</f>
        <v>4.3453764950425864</v>
      </c>
      <c r="I15">
        <f>scenario_jobcoeff_4506_iotable_2020_xlsx_3[[#This Row],[2032]]+scenario_jobcoeff_1610_iotable_2020_xlsx_3[[#This Row],[2032]]</f>
        <v>5.2488390352812146</v>
      </c>
      <c r="J15">
        <f>scenario_jobcoeff_4506_iotable_2020_xlsx_3[[#This Row],[2033]]+scenario_jobcoeff_1610_iotable_2020_xlsx_3[[#This Row],[2033]]</f>
        <v>4.6124457595666435</v>
      </c>
      <c r="K15">
        <f>scenario_jobcoeff_4506_iotable_2020_xlsx_3[[#This Row],[2034]]+scenario_jobcoeff_1610_iotable_2020_xlsx_3[[#This Row],[2034]]</f>
        <v>5.4531647581109723</v>
      </c>
      <c r="L15">
        <f>scenario_jobcoeff_4506_iotable_2020_xlsx_3[[#This Row],[2035]]+scenario_jobcoeff_1610_iotable_2020_xlsx_3[[#This Row],[2035]]</f>
        <v>4.951991842979595</v>
      </c>
      <c r="M15">
        <f>scenario_jobcoeff_4506_iotable_2020_xlsx_3[[#This Row],[2036]]+scenario_jobcoeff_1610_iotable_2020_xlsx_3[[#This Row],[2036]]</f>
        <v>4.0003629650413082</v>
      </c>
      <c r="N15">
        <f>scenario_jobcoeff_4506_iotable_2020_xlsx_3[[#This Row],[2037]]+scenario_jobcoeff_1610_iotable_2020_xlsx_3[[#This Row],[2037]]</f>
        <v>3.2024130185102884</v>
      </c>
      <c r="O15">
        <f>scenario_jobcoeff_4506_iotable_2020_xlsx_3[[#This Row],[2038]]+scenario_jobcoeff_1610_iotable_2020_xlsx_3[[#This Row],[2038]]</f>
        <v>3.2024130185102884</v>
      </c>
      <c r="P15">
        <f>scenario_jobcoeff_4506_iotable_2020_xlsx_3[[#This Row],[2039]]+scenario_jobcoeff_1610_iotable_2020_xlsx_3[[#This Row],[2039]]</f>
        <v>3.2024130185102884</v>
      </c>
      <c r="Q15">
        <f>scenario_jobcoeff_4506_iotable_2020_xlsx_3[[#This Row],[2040]]+scenario_jobcoeff_1610_iotable_2020_xlsx_3[[#This Row],[2040]]</f>
        <v>2.4960678839330654</v>
      </c>
      <c r="R15">
        <f>scenario_jobcoeff_4506_iotable_2020_xlsx_3[[#This Row],[2041]]+scenario_jobcoeff_1610_iotable_2020_xlsx_3[[#This Row],[2041]]</f>
        <v>2.4960678839330654</v>
      </c>
      <c r="S15">
        <f>scenario_jobcoeff_4506_iotable_2020_xlsx_3[[#This Row],[2042]]+scenario_jobcoeff_1610_iotable_2020_xlsx_3[[#This Row],[2042]]</f>
        <v>1.7348105129631861</v>
      </c>
      <c r="T15">
        <f>scenario_jobcoeff_4506_iotable_2020_xlsx_3[[#This Row],[2043]]+scenario_jobcoeff_1610_iotable_2020_xlsx_3[[#This Row],[2043]]</f>
        <v>1.7348105129631861</v>
      </c>
      <c r="U15">
        <f>scenario_jobcoeff_4506_iotable_2020_xlsx_3[[#This Row],[2044]]+scenario_jobcoeff_1610_iotable_2020_xlsx_3[[#This Row],[2044]]</f>
        <v>0.95524446587604928</v>
      </c>
      <c r="V15">
        <f>scenario_jobcoeff_4506_iotable_2020_xlsx_3[[#This Row],[2045]]+scenario_jobcoeff_1610_iotable_2020_xlsx_3[[#This Row],[2045]]</f>
        <v>0.95524446587604928</v>
      </c>
      <c r="W15">
        <f>scenario_jobcoeff_4506_iotable_2020_xlsx_3[[#This Row],[2046]]+scenario_jobcoeff_1610_iotable_2020_xlsx_3[[#This Row],[2046]]</f>
        <v>0.3091111336103225</v>
      </c>
      <c r="X15">
        <f>scenario_jobcoeff_4506_iotable_2020_xlsx_3[[#This Row],[2047]]+scenario_jobcoeff_1610_iotable_2020_xlsx_3[[#This Row],[2047]]</f>
        <v>0.3091111336103225</v>
      </c>
      <c r="Y15">
        <f>scenario_jobcoeff_4506_iotable_2020_xlsx_3[[#This Row],[2048]]+scenario_jobcoeff_1610_iotable_2020_xlsx_3[[#This Row],[2048]]</f>
        <v>0.3091111336103225</v>
      </c>
      <c r="Z15">
        <f>scenario_jobcoeff_4506_iotable_2020_xlsx_3[[#This Row],[2049]]+scenario_jobcoeff_1610_iotable_2020_xlsx_3[[#This Row],[2049]]</f>
        <v>0.3091111336103225</v>
      </c>
      <c r="AA15">
        <f>scenario_jobcoeff_4506_iotable_2020_xlsx_3[[#This Row],[2050]]+scenario_jobcoeff_1610_iotable_2020_xlsx_3[[#This Row],[2050]]</f>
        <v>0.3091111336103225</v>
      </c>
    </row>
    <row r="16" spans="1:27" x14ac:dyDescent="0.2">
      <c r="A16" t="s">
        <v>260</v>
      </c>
      <c r="B16" t="s">
        <v>261</v>
      </c>
      <c r="C16">
        <f>scenario_jobcoeff_4506_iotable_2020_xlsx_3[[#This Row],[2026]]+scenario_jobcoeff_1610_iotable_2020_xlsx_3[[#This Row],[2026]]</f>
        <v>4.2067373616430084</v>
      </c>
      <c r="D16">
        <f>scenario_jobcoeff_4506_iotable_2020_xlsx_3[[#This Row],[2027]]+scenario_jobcoeff_1610_iotable_2020_xlsx_3[[#This Row],[2027]]</f>
        <v>3.4595803034465522</v>
      </c>
      <c r="E16">
        <f>scenario_jobcoeff_4506_iotable_2020_xlsx_3[[#This Row],[2028]]+scenario_jobcoeff_1610_iotable_2020_xlsx_3[[#This Row],[2028]]</f>
        <v>3.7104629873472721</v>
      </c>
      <c r="F16">
        <f>scenario_jobcoeff_4506_iotable_2020_xlsx_3[[#This Row],[2029]]+scenario_jobcoeff_1610_iotable_2020_xlsx_3[[#This Row],[2029]]</f>
        <v>3.5901931299981023</v>
      </c>
      <c r="G16">
        <f>scenario_jobcoeff_4506_iotable_2020_xlsx_3[[#This Row],[2030]]+scenario_jobcoeff_1610_iotable_2020_xlsx_3[[#This Row],[2030]]</f>
        <v>0.82796522222449553</v>
      </c>
      <c r="H16">
        <f>scenario_jobcoeff_4506_iotable_2020_xlsx_3[[#This Row],[2031]]+scenario_jobcoeff_1610_iotable_2020_xlsx_3[[#This Row],[2031]]</f>
        <v>1.1664560440239322</v>
      </c>
      <c r="I16">
        <f>scenario_jobcoeff_4506_iotable_2020_xlsx_3[[#This Row],[2032]]+scenario_jobcoeff_1610_iotable_2020_xlsx_3[[#This Row],[2032]]</f>
        <v>1.6391885992871211</v>
      </c>
      <c r="J16">
        <f>scenario_jobcoeff_4506_iotable_2020_xlsx_3[[#This Row],[2033]]+scenario_jobcoeff_1610_iotable_2020_xlsx_3[[#This Row],[2033]]</f>
        <v>0.95724316957812228</v>
      </c>
      <c r="K16">
        <f>scenario_jobcoeff_4506_iotable_2020_xlsx_3[[#This Row],[2034]]+scenario_jobcoeff_1610_iotable_2020_xlsx_3[[#This Row],[2034]]</f>
        <v>1.3971454596445092</v>
      </c>
      <c r="L16">
        <f>scenario_jobcoeff_4506_iotable_2020_xlsx_3[[#This Row],[2035]]+scenario_jobcoeff_1610_iotable_2020_xlsx_3[[#This Row],[2035]]</f>
        <v>0.69317289648553171</v>
      </c>
      <c r="M16">
        <f>scenario_jobcoeff_4506_iotable_2020_xlsx_3[[#This Row],[2036]]+scenario_jobcoeff_1610_iotable_2020_xlsx_3[[#This Row],[2036]]</f>
        <v>-9.4709400202942717E-2</v>
      </c>
      <c r="N16">
        <f>scenario_jobcoeff_4506_iotable_2020_xlsx_3[[#This Row],[2037]]+scenario_jobcoeff_1610_iotable_2020_xlsx_3[[#This Row],[2037]]</f>
        <v>-0.76570627017575532</v>
      </c>
      <c r="O16">
        <f>scenario_jobcoeff_4506_iotable_2020_xlsx_3[[#This Row],[2038]]+scenario_jobcoeff_1610_iotable_2020_xlsx_3[[#This Row],[2038]]</f>
        <v>-0.76570627017575532</v>
      </c>
      <c r="P16">
        <f>scenario_jobcoeff_4506_iotable_2020_xlsx_3[[#This Row],[2039]]+scenario_jobcoeff_1610_iotable_2020_xlsx_3[[#This Row],[2039]]</f>
        <v>-0.76570627017575532</v>
      </c>
      <c r="Q16">
        <f>scenario_jobcoeff_4506_iotable_2020_xlsx_3[[#This Row],[2040]]+scenario_jobcoeff_1610_iotable_2020_xlsx_3[[#This Row],[2040]]</f>
        <v>-1.3578240054447583</v>
      </c>
      <c r="R16">
        <f>scenario_jobcoeff_4506_iotable_2020_xlsx_3[[#This Row],[2041]]+scenario_jobcoeff_1610_iotable_2020_xlsx_3[[#This Row],[2041]]</f>
        <v>-1.3578240054447583</v>
      </c>
      <c r="S16">
        <f>scenario_jobcoeff_4506_iotable_2020_xlsx_3[[#This Row],[2042]]+scenario_jobcoeff_1610_iotable_2020_xlsx_3[[#This Row],[2042]]</f>
        <v>-2.0017620236515832</v>
      </c>
      <c r="T16">
        <f>scenario_jobcoeff_4506_iotable_2020_xlsx_3[[#This Row],[2043]]+scenario_jobcoeff_1610_iotable_2020_xlsx_3[[#This Row],[2043]]</f>
        <v>-2.0017620236515832</v>
      </c>
      <c r="U16">
        <f>scenario_jobcoeff_4506_iotable_2020_xlsx_3[[#This Row],[2044]]+scenario_jobcoeff_1610_iotable_2020_xlsx_3[[#This Row],[2044]]</f>
        <v>-2.6432449281324537</v>
      </c>
      <c r="V16">
        <f>scenario_jobcoeff_4506_iotable_2020_xlsx_3[[#This Row],[2045]]+scenario_jobcoeff_1610_iotable_2020_xlsx_3[[#This Row],[2045]]</f>
        <v>-2.6432449281324537</v>
      </c>
      <c r="W16">
        <f>scenario_jobcoeff_4506_iotable_2020_xlsx_3[[#This Row],[2046]]+scenario_jobcoeff_1610_iotable_2020_xlsx_3[[#This Row],[2046]]</f>
        <v>-3.1802168129109738</v>
      </c>
      <c r="X16">
        <f>scenario_jobcoeff_4506_iotable_2020_xlsx_3[[#This Row],[2047]]+scenario_jobcoeff_1610_iotable_2020_xlsx_3[[#This Row],[2047]]</f>
        <v>-3.1802168129109738</v>
      </c>
      <c r="Y16">
        <f>scenario_jobcoeff_4506_iotable_2020_xlsx_3[[#This Row],[2048]]+scenario_jobcoeff_1610_iotable_2020_xlsx_3[[#This Row],[2048]]</f>
        <v>-3.1802168129109738</v>
      </c>
      <c r="Z16">
        <f>scenario_jobcoeff_4506_iotable_2020_xlsx_3[[#This Row],[2049]]+scenario_jobcoeff_1610_iotable_2020_xlsx_3[[#This Row],[2049]]</f>
        <v>-3.1802168129109738</v>
      </c>
      <c r="AA16">
        <f>scenario_jobcoeff_4506_iotable_2020_xlsx_3[[#This Row],[2050]]+scenario_jobcoeff_1610_iotable_2020_xlsx_3[[#This Row],[2050]]</f>
        <v>-3.1802168129109738</v>
      </c>
    </row>
    <row r="17" spans="1:27" x14ac:dyDescent="0.2">
      <c r="A17" t="s">
        <v>280</v>
      </c>
      <c r="B17" t="s">
        <v>281</v>
      </c>
      <c r="C17">
        <f>scenario_jobcoeff_4506_iotable_2020_xlsx_3[[#This Row],[2026]]+scenario_jobcoeff_1610_iotable_2020_xlsx_3[[#This Row],[2026]]</f>
        <v>1.8686350121838491</v>
      </c>
      <c r="D17">
        <f>scenario_jobcoeff_4506_iotable_2020_xlsx_3[[#This Row],[2027]]+scenario_jobcoeff_1610_iotable_2020_xlsx_3[[#This Row],[2027]]</f>
        <v>1.801074540659501</v>
      </c>
      <c r="E17">
        <f>scenario_jobcoeff_4506_iotable_2020_xlsx_3[[#This Row],[2028]]+scenario_jobcoeff_1610_iotable_2020_xlsx_3[[#This Row],[2028]]</f>
        <v>1.8968061811545229</v>
      </c>
      <c r="F17">
        <f>scenario_jobcoeff_4506_iotable_2020_xlsx_3[[#This Row],[2029]]+scenario_jobcoeff_1610_iotable_2020_xlsx_3[[#This Row],[2029]]</f>
        <v>1.937929381403511</v>
      </c>
      <c r="G17">
        <f>scenario_jobcoeff_4506_iotable_2020_xlsx_3[[#This Row],[2030]]+scenario_jobcoeff_1610_iotable_2020_xlsx_3[[#This Row],[2030]]</f>
        <v>1.6214957366183671</v>
      </c>
      <c r="H17">
        <f>scenario_jobcoeff_4506_iotable_2020_xlsx_3[[#This Row],[2031]]+scenario_jobcoeff_1610_iotable_2020_xlsx_3[[#This Row],[2031]]</f>
        <v>1.7506568296023364</v>
      </c>
      <c r="I17">
        <f>scenario_jobcoeff_4506_iotable_2020_xlsx_3[[#This Row],[2032]]+scenario_jobcoeff_1610_iotable_2020_xlsx_3[[#This Row],[2032]]</f>
        <v>1.9310417901229973</v>
      </c>
      <c r="J17">
        <f>scenario_jobcoeff_4506_iotable_2020_xlsx_3[[#This Row],[2033]]+scenario_jobcoeff_1610_iotable_2020_xlsx_3[[#This Row],[2033]]</f>
        <v>2.0822830052697041</v>
      </c>
      <c r="K17">
        <f>scenario_jobcoeff_4506_iotable_2020_xlsx_3[[#This Row],[2034]]+scenario_jobcoeff_1610_iotable_2020_xlsx_3[[#This Row],[2034]]</f>
        <v>2.2501406159696806</v>
      </c>
      <c r="L17">
        <f>scenario_jobcoeff_4506_iotable_2020_xlsx_3[[#This Row],[2035]]+scenario_jobcoeff_1610_iotable_2020_xlsx_3[[#This Row],[2035]]</f>
        <v>2.5023753249946785</v>
      </c>
      <c r="M17">
        <f>scenario_jobcoeff_4506_iotable_2020_xlsx_3[[#This Row],[2036]]+scenario_jobcoeff_1610_iotable_2020_xlsx_3[[#This Row],[2036]]</f>
        <v>2.5436154169641685</v>
      </c>
      <c r="N17">
        <f>scenario_jobcoeff_4506_iotable_2020_xlsx_3[[#This Row],[2037]]+scenario_jobcoeff_1610_iotable_2020_xlsx_3[[#This Row],[2037]]</f>
        <v>2.5864500874980938</v>
      </c>
      <c r="O17">
        <f>scenario_jobcoeff_4506_iotable_2020_xlsx_3[[#This Row],[2038]]+scenario_jobcoeff_1610_iotable_2020_xlsx_3[[#This Row],[2038]]</f>
        <v>2.5864500874980938</v>
      </c>
      <c r="P17">
        <f>scenario_jobcoeff_4506_iotable_2020_xlsx_3[[#This Row],[2039]]+scenario_jobcoeff_1610_iotable_2020_xlsx_3[[#This Row],[2039]]</f>
        <v>2.5864500874980938</v>
      </c>
      <c r="Q17">
        <f>scenario_jobcoeff_4506_iotable_2020_xlsx_3[[#This Row],[2040]]+scenario_jobcoeff_1610_iotable_2020_xlsx_3[[#This Row],[2040]]</f>
        <v>2.6228930429439559</v>
      </c>
      <c r="R17">
        <f>scenario_jobcoeff_4506_iotable_2020_xlsx_3[[#This Row],[2041]]+scenario_jobcoeff_1610_iotable_2020_xlsx_3[[#This Row],[2041]]</f>
        <v>2.6228930429439559</v>
      </c>
      <c r="S17">
        <f>scenario_jobcoeff_4506_iotable_2020_xlsx_3[[#This Row],[2042]]+scenario_jobcoeff_1610_iotable_2020_xlsx_3[[#This Row],[2042]]</f>
        <v>2.6667854301428422</v>
      </c>
      <c r="T17">
        <f>scenario_jobcoeff_4506_iotable_2020_xlsx_3[[#This Row],[2043]]+scenario_jobcoeff_1610_iotable_2020_xlsx_3[[#This Row],[2043]]</f>
        <v>2.6667854301428422</v>
      </c>
      <c r="U17">
        <f>scenario_jobcoeff_4506_iotable_2020_xlsx_3[[#This Row],[2044]]+scenario_jobcoeff_1610_iotable_2020_xlsx_3[[#This Row],[2044]]</f>
        <v>2.6974239839529837</v>
      </c>
      <c r="V17">
        <f>scenario_jobcoeff_4506_iotable_2020_xlsx_3[[#This Row],[2045]]+scenario_jobcoeff_1610_iotable_2020_xlsx_3[[#This Row],[2045]]</f>
        <v>2.6974239839529837</v>
      </c>
      <c r="W17">
        <f>scenario_jobcoeff_4506_iotable_2020_xlsx_3[[#This Row],[2046]]+scenario_jobcoeff_1610_iotable_2020_xlsx_3[[#This Row],[2046]]</f>
        <v>2.7270349051215979</v>
      </c>
      <c r="X17">
        <f>scenario_jobcoeff_4506_iotable_2020_xlsx_3[[#This Row],[2047]]+scenario_jobcoeff_1610_iotable_2020_xlsx_3[[#This Row],[2047]]</f>
        <v>2.7270349051215979</v>
      </c>
      <c r="Y17">
        <f>scenario_jobcoeff_4506_iotable_2020_xlsx_3[[#This Row],[2048]]+scenario_jobcoeff_1610_iotable_2020_xlsx_3[[#This Row],[2048]]</f>
        <v>2.7270349051215979</v>
      </c>
      <c r="Z17">
        <f>scenario_jobcoeff_4506_iotable_2020_xlsx_3[[#This Row],[2049]]+scenario_jobcoeff_1610_iotable_2020_xlsx_3[[#This Row],[2049]]</f>
        <v>2.7270349051215979</v>
      </c>
      <c r="AA17">
        <f>scenario_jobcoeff_4506_iotable_2020_xlsx_3[[#This Row],[2050]]+scenario_jobcoeff_1610_iotable_2020_xlsx_3[[#This Row],[2050]]</f>
        <v>2.7270349051215979</v>
      </c>
    </row>
    <row r="18" spans="1:27" x14ac:dyDescent="0.2">
      <c r="A18" t="s">
        <v>188</v>
      </c>
      <c r="B18" t="s">
        <v>189</v>
      </c>
      <c r="C18">
        <f>scenario_jobcoeff_4506_iotable_2020_xlsx_3[[#This Row],[2026]]+scenario_jobcoeff_1610_iotable_2020_xlsx_3[[#This Row],[2026]]</f>
        <v>16.71521186584944</v>
      </c>
      <c r="D18">
        <f>scenario_jobcoeff_4506_iotable_2020_xlsx_3[[#This Row],[2027]]+scenario_jobcoeff_1610_iotable_2020_xlsx_3[[#This Row],[2027]]</f>
        <v>11.608144499070026</v>
      </c>
      <c r="E18">
        <f>scenario_jobcoeff_4506_iotable_2020_xlsx_3[[#This Row],[2028]]+scenario_jobcoeff_1610_iotable_2020_xlsx_3[[#This Row],[2028]]</f>
        <v>12.732102798172448</v>
      </c>
      <c r="F18">
        <f>scenario_jobcoeff_4506_iotable_2020_xlsx_3[[#This Row],[2029]]+scenario_jobcoeff_1610_iotable_2020_xlsx_3[[#This Row],[2029]]</f>
        <v>11.489375026229151</v>
      </c>
      <c r="G18">
        <f>scenario_jobcoeff_4506_iotable_2020_xlsx_3[[#This Row],[2030]]+scenario_jobcoeff_1610_iotable_2020_xlsx_3[[#This Row],[2030]]</f>
        <v>-6.8520945583540964</v>
      </c>
      <c r="H18">
        <f>scenario_jobcoeff_4506_iotable_2020_xlsx_3[[#This Row],[2031]]+scenario_jobcoeff_1610_iotable_2020_xlsx_3[[#This Row],[2031]]</f>
        <v>-5.3356504482375584</v>
      </c>
      <c r="I18">
        <f>scenario_jobcoeff_4506_iotable_2020_xlsx_3[[#This Row],[2032]]+scenario_jobcoeff_1610_iotable_2020_xlsx_3[[#This Row],[2032]]</f>
        <v>-3.2178012986557007</v>
      </c>
      <c r="J18">
        <f>scenario_jobcoeff_4506_iotable_2020_xlsx_3[[#This Row],[2033]]+scenario_jobcoeff_1610_iotable_2020_xlsx_3[[#This Row],[2033]]</f>
        <v>-9.6014293609488632</v>
      </c>
      <c r="K18">
        <f>scenario_jobcoeff_4506_iotable_2020_xlsx_3[[#This Row],[2034]]+scenario_jobcoeff_1610_iotable_2020_xlsx_3[[#This Row],[2034]]</f>
        <v>-7.6306603065571537</v>
      </c>
      <c r="L18">
        <f>scenario_jobcoeff_4506_iotable_2020_xlsx_3[[#This Row],[2035]]+scenario_jobcoeff_1610_iotable_2020_xlsx_3[[#This Row],[2035]]</f>
        <v>-14.997954625465354</v>
      </c>
      <c r="M18">
        <f>scenario_jobcoeff_4506_iotable_2020_xlsx_3[[#This Row],[2036]]+scenario_jobcoeff_1610_iotable_2020_xlsx_3[[#This Row],[2036]]</f>
        <v>-21.293328990416157</v>
      </c>
      <c r="N18">
        <f>scenario_jobcoeff_4506_iotable_2020_xlsx_3[[#This Row],[2037]]+scenario_jobcoeff_1610_iotable_2020_xlsx_3[[#This Row],[2037]]</f>
        <v>-26.717152158048734</v>
      </c>
      <c r="O18">
        <f>scenario_jobcoeff_4506_iotable_2020_xlsx_3[[#This Row],[2038]]+scenario_jobcoeff_1610_iotable_2020_xlsx_3[[#This Row],[2038]]</f>
        <v>-26.717152158048734</v>
      </c>
      <c r="P18">
        <f>scenario_jobcoeff_4506_iotable_2020_xlsx_3[[#This Row],[2039]]+scenario_jobcoeff_1610_iotable_2020_xlsx_3[[#This Row],[2039]]</f>
        <v>-26.717152158048734</v>
      </c>
      <c r="Q18">
        <f>scenario_jobcoeff_4506_iotable_2020_xlsx_3[[#This Row],[2040]]+scenario_jobcoeff_1610_iotable_2020_xlsx_3[[#This Row],[2040]]</f>
        <v>-31.49240532845559</v>
      </c>
      <c r="R18">
        <f>scenario_jobcoeff_4506_iotable_2020_xlsx_3[[#This Row],[2041]]+scenario_jobcoeff_1610_iotable_2020_xlsx_3[[#This Row],[2041]]</f>
        <v>-31.49240532845559</v>
      </c>
      <c r="S18">
        <f>scenario_jobcoeff_4506_iotable_2020_xlsx_3[[#This Row],[2042]]+scenario_jobcoeff_1610_iotable_2020_xlsx_3[[#This Row],[2042]]</f>
        <v>-36.720035565097632</v>
      </c>
      <c r="T18">
        <f>scenario_jobcoeff_4506_iotable_2020_xlsx_3[[#This Row],[2043]]+scenario_jobcoeff_1610_iotable_2020_xlsx_3[[#This Row],[2043]]</f>
        <v>-36.720035565097632</v>
      </c>
      <c r="U18">
        <f>scenario_jobcoeff_4506_iotable_2020_xlsx_3[[#This Row],[2044]]+scenario_jobcoeff_1610_iotable_2020_xlsx_3[[#This Row],[2044]]</f>
        <v>-41.821870982090502</v>
      </c>
      <c r="V18">
        <f>scenario_jobcoeff_4506_iotable_2020_xlsx_3[[#This Row],[2045]]+scenario_jobcoeff_1610_iotable_2020_xlsx_3[[#This Row],[2045]]</f>
        <v>-41.821870982090502</v>
      </c>
      <c r="W18">
        <f>scenario_jobcoeff_4506_iotable_2020_xlsx_3[[#This Row],[2046]]+scenario_jobcoeff_1610_iotable_2020_xlsx_3[[#This Row],[2046]]</f>
        <v>-46.124577587958271</v>
      </c>
      <c r="X18">
        <f>scenario_jobcoeff_4506_iotable_2020_xlsx_3[[#This Row],[2047]]+scenario_jobcoeff_1610_iotable_2020_xlsx_3[[#This Row],[2047]]</f>
        <v>-46.124577587958271</v>
      </c>
      <c r="Y18">
        <f>scenario_jobcoeff_4506_iotable_2020_xlsx_3[[#This Row],[2048]]+scenario_jobcoeff_1610_iotable_2020_xlsx_3[[#This Row],[2048]]</f>
        <v>-46.124577587958271</v>
      </c>
      <c r="Z18">
        <f>scenario_jobcoeff_4506_iotable_2020_xlsx_3[[#This Row],[2049]]+scenario_jobcoeff_1610_iotable_2020_xlsx_3[[#This Row],[2049]]</f>
        <v>-46.124577587958271</v>
      </c>
      <c r="AA18">
        <f>scenario_jobcoeff_4506_iotable_2020_xlsx_3[[#This Row],[2050]]+scenario_jobcoeff_1610_iotable_2020_xlsx_3[[#This Row],[2050]]</f>
        <v>-46.124577587958271</v>
      </c>
    </row>
    <row r="19" spans="1:27" x14ac:dyDescent="0.2">
      <c r="A19" t="s">
        <v>76</v>
      </c>
      <c r="B19" t="s">
        <v>77</v>
      </c>
      <c r="C19">
        <f>scenario_jobcoeff_4506_iotable_2020_xlsx_3[[#This Row],[2026]]+scenario_jobcoeff_1610_iotable_2020_xlsx_3[[#This Row],[2026]]</f>
        <v>137.41281008729354</v>
      </c>
      <c r="D19">
        <f>scenario_jobcoeff_4506_iotable_2020_xlsx_3[[#This Row],[2027]]+scenario_jobcoeff_1610_iotable_2020_xlsx_3[[#This Row],[2027]]</f>
        <v>146.75289072678368</v>
      </c>
      <c r="E19">
        <f>scenario_jobcoeff_4506_iotable_2020_xlsx_3[[#This Row],[2028]]+scenario_jobcoeff_1610_iotable_2020_xlsx_3[[#This Row],[2028]]</f>
        <v>152.94223046017584</v>
      </c>
      <c r="F19">
        <f>scenario_jobcoeff_4506_iotable_2020_xlsx_3[[#This Row],[2029]]+scenario_jobcoeff_1610_iotable_2020_xlsx_3[[#This Row],[2029]]</f>
        <v>161.08419781235452</v>
      </c>
      <c r="G19">
        <f>scenario_jobcoeff_4506_iotable_2020_xlsx_3[[#This Row],[2030]]+scenario_jobcoeff_1610_iotable_2020_xlsx_3[[#This Row],[2030]]</f>
        <v>187.10356400184952</v>
      </c>
      <c r="H19">
        <f>scenario_jobcoeff_4506_iotable_2020_xlsx_3[[#This Row],[2031]]+scenario_jobcoeff_1610_iotable_2020_xlsx_3[[#This Row],[2031]]</f>
        <v>195.45421881858817</v>
      </c>
      <c r="I19">
        <f>scenario_jobcoeff_4506_iotable_2020_xlsx_3[[#This Row],[2032]]+scenario_jobcoeff_1610_iotable_2020_xlsx_3[[#This Row],[2032]]</f>
        <v>207.11665140288059</v>
      </c>
      <c r="J19">
        <f>scenario_jobcoeff_4506_iotable_2020_xlsx_3[[#This Row],[2033]]+scenario_jobcoeff_1610_iotable_2020_xlsx_3[[#This Row],[2033]]</f>
        <v>242.82253658996231</v>
      </c>
      <c r="K19">
        <f>scenario_jobcoeff_4506_iotable_2020_xlsx_3[[#This Row],[2034]]+scenario_jobcoeff_1610_iotable_2020_xlsx_3[[#This Row],[2034]]</f>
        <v>253.67503816713597</v>
      </c>
      <c r="L19">
        <f>scenario_jobcoeff_4506_iotable_2020_xlsx_3[[#This Row],[2035]]+scenario_jobcoeff_1610_iotable_2020_xlsx_3[[#This Row],[2035]]</f>
        <v>302.80412785931355</v>
      </c>
      <c r="M19">
        <f>scenario_jobcoeff_4506_iotable_2020_xlsx_3[[#This Row],[2036]]+scenario_jobcoeff_1610_iotable_2020_xlsx_3[[#This Row],[2036]]</f>
        <v>327.01371494703142</v>
      </c>
      <c r="N19">
        <f>scenario_jobcoeff_4506_iotable_2020_xlsx_3[[#This Row],[2037]]+scenario_jobcoeff_1610_iotable_2020_xlsx_3[[#This Row],[2037]]</f>
        <v>348.61637525114918</v>
      </c>
      <c r="O19">
        <f>scenario_jobcoeff_4506_iotable_2020_xlsx_3[[#This Row],[2038]]+scenario_jobcoeff_1610_iotable_2020_xlsx_3[[#This Row],[2038]]</f>
        <v>348.61637525114918</v>
      </c>
      <c r="P19">
        <f>scenario_jobcoeff_4506_iotable_2020_xlsx_3[[#This Row],[2039]]+scenario_jobcoeff_1610_iotable_2020_xlsx_3[[#This Row],[2039]]</f>
        <v>348.61637525114918</v>
      </c>
      <c r="Q19">
        <f>scenario_jobcoeff_4506_iotable_2020_xlsx_3[[#This Row],[2040]]+scenario_jobcoeff_1610_iotable_2020_xlsx_3[[#This Row],[2040]]</f>
        <v>367.50637922292083</v>
      </c>
      <c r="R19">
        <f>scenario_jobcoeff_4506_iotable_2020_xlsx_3[[#This Row],[2041]]+scenario_jobcoeff_1610_iotable_2020_xlsx_3[[#This Row],[2041]]</f>
        <v>367.50637922292083</v>
      </c>
      <c r="S19">
        <f>scenario_jobcoeff_4506_iotable_2020_xlsx_3[[#This Row],[2042]]+scenario_jobcoeff_1610_iotable_2020_xlsx_3[[#This Row],[2042]]</f>
        <v>388.5934470426343</v>
      </c>
      <c r="T19">
        <f>scenario_jobcoeff_4506_iotable_2020_xlsx_3[[#This Row],[2043]]+scenario_jobcoeff_1610_iotable_2020_xlsx_3[[#This Row],[2043]]</f>
        <v>388.5934470426343</v>
      </c>
      <c r="U19">
        <f>scenario_jobcoeff_4506_iotable_2020_xlsx_3[[#This Row],[2044]]+scenario_jobcoeff_1610_iotable_2020_xlsx_3[[#This Row],[2044]]</f>
        <v>407.92940110394716</v>
      </c>
      <c r="V19">
        <f>scenario_jobcoeff_4506_iotable_2020_xlsx_3[[#This Row],[2045]]+scenario_jobcoeff_1610_iotable_2020_xlsx_3[[#This Row],[2045]]</f>
        <v>407.92940110394716</v>
      </c>
      <c r="W19">
        <f>scenario_jobcoeff_4506_iotable_2020_xlsx_3[[#This Row],[2046]]+scenario_jobcoeff_1610_iotable_2020_xlsx_3[[#This Row],[2046]]</f>
        <v>424.62119962785312</v>
      </c>
      <c r="X19">
        <f>scenario_jobcoeff_4506_iotable_2020_xlsx_3[[#This Row],[2047]]+scenario_jobcoeff_1610_iotable_2020_xlsx_3[[#This Row],[2047]]</f>
        <v>424.62119962785312</v>
      </c>
      <c r="Y19">
        <f>scenario_jobcoeff_4506_iotable_2020_xlsx_3[[#This Row],[2048]]+scenario_jobcoeff_1610_iotable_2020_xlsx_3[[#This Row],[2048]]</f>
        <v>424.62119962785312</v>
      </c>
      <c r="Z19">
        <f>scenario_jobcoeff_4506_iotable_2020_xlsx_3[[#This Row],[2049]]+scenario_jobcoeff_1610_iotable_2020_xlsx_3[[#This Row],[2049]]</f>
        <v>424.62119962785312</v>
      </c>
      <c r="AA19">
        <f>scenario_jobcoeff_4506_iotable_2020_xlsx_3[[#This Row],[2050]]+scenario_jobcoeff_1610_iotable_2020_xlsx_3[[#This Row],[2050]]</f>
        <v>424.62119962785312</v>
      </c>
    </row>
    <row r="20" spans="1:27" x14ac:dyDescent="0.2">
      <c r="A20" t="s">
        <v>144</v>
      </c>
      <c r="B20" t="s">
        <v>145</v>
      </c>
      <c r="C20">
        <f>scenario_jobcoeff_4506_iotable_2020_xlsx_3[[#This Row],[2026]]+scenario_jobcoeff_1610_iotable_2020_xlsx_3[[#This Row],[2026]]</f>
        <v>38.776935675273435</v>
      </c>
      <c r="D20">
        <f>scenario_jobcoeff_4506_iotable_2020_xlsx_3[[#This Row],[2027]]+scenario_jobcoeff_1610_iotable_2020_xlsx_3[[#This Row],[2027]]</f>
        <v>31.879613253120031</v>
      </c>
      <c r="E20">
        <f>scenario_jobcoeff_4506_iotable_2020_xlsx_3[[#This Row],[2028]]+scenario_jobcoeff_1610_iotable_2020_xlsx_3[[#This Row],[2028]]</f>
        <v>34.192808138297828</v>
      </c>
      <c r="F20">
        <f>scenario_jobcoeff_4506_iotable_2020_xlsx_3[[#This Row],[2029]]+scenario_jobcoeff_1610_iotable_2020_xlsx_3[[#This Row],[2029]]</f>
        <v>33.080546563170195</v>
      </c>
      <c r="G20">
        <f>scenario_jobcoeff_4506_iotable_2020_xlsx_3[[#This Row],[2030]]+scenario_jobcoeff_1610_iotable_2020_xlsx_3[[#This Row],[2030]]</f>
        <v>7.5838176137837934</v>
      </c>
      <c r="H20">
        <f>scenario_jobcoeff_4506_iotable_2020_xlsx_3[[#This Row],[2031]]+scenario_jobcoeff_1610_iotable_2020_xlsx_3[[#This Row],[2031]]</f>
        <v>10.704779273999208</v>
      </c>
      <c r="I20">
        <f>scenario_jobcoeff_4506_iotable_2020_xlsx_3[[#This Row],[2032]]+scenario_jobcoeff_1610_iotable_2020_xlsx_3[[#This Row],[2032]]</f>
        <v>15.063479969837459</v>
      </c>
      <c r="J20">
        <f>scenario_jobcoeff_4506_iotable_2020_xlsx_3[[#This Row],[2033]]+scenario_jobcoeff_1610_iotable_2020_xlsx_3[[#This Row],[2033]]</f>
        <v>8.7599658906162858</v>
      </c>
      <c r="K20">
        <f>scenario_jobcoeff_4506_iotable_2020_xlsx_3[[#This Row],[2034]]+scenario_jobcoeff_1610_iotable_2020_xlsx_3[[#This Row],[2034]]</f>
        <v>12.815964142620999</v>
      </c>
      <c r="L20">
        <f>scenario_jobcoeff_4506_iotable_2020_xlsx_3[[#This Row],[2035]]+scenario_jobcoeff_1610_iotable_2020_xlsx_3[[#This Row],[2035]]</f>
        <v>6.3051477574771013</v>
      </c>
      <c r="M20">
        <f>scenario_jobcoeff_4506_iotable_2020_xlsx_3[[#This Row],[2036]]+scenario_jobcoeff_1610_iotable_2020_xlsx_3[[#This Row],[2036]]</f>
        <v>-0.97245233687021937</v>
      </c>
      <c r="N20">
        <f>scenario_jobcoeff_4506_iotable_2020_xlsx_3[[#This Row],[2037]]+scenario_jobcoeff_1610_iotable_2020_xlsx_3[[#This Row],[2037]]</f>
        <v>-7.1706885433200398</v>
      </c>
      <c r="O20">
        <f>scenario_jobcoeff_4506_iotable_2020_xlsx_3[[#This Row],[2038]]+scenario_jobcoeff_1610_iotable_2020_xlsx_3[[#This Row],[2038]]</f>
        <v>-7.1706885433200398</v>
      </c>
      <c r="P20">
        <f>scenario_jobcoeff_4506_iotable_2020_xlsx_3[[#This Row],[2039]]+scenario_jobcoeff_1610_iotable_2020_xlsx_3[[#This Row],[2039]]</f>
        <v>-7.1706885433200398</v>
      </c>
      <c r="Q20">
        <f>scenario_jobcoeff_4506_iotable_2020_xlsx_3[[#This Row],[2040]]+scenario_jobcoeff_1610_iotable_2020_xlsx_3[[#This Row],[2040]]</f>
        <v>-12.640238031657958</v>
      </c>
      <c r="R20">
        <f>scenario_jobcoeff_4506_iotable_2020_xlsx_3[[#This Row],[2041]]+scenario_jobcoeff_1610_iotable_2020_xlsx_3[[#This Row],[2041]]</f>
        <v>-12.640238031657958</v>
      </c>
      <c r="S20">
        <f>scenario_jobcoeff_4506_iotable_2020_xlsx_3[[#This Row],[2042]]+scenario_jobcoeff_1610_iotable_2020_xlsx_3[[#This Row],[2042]]</f>
        <v>-18.588629128567305</v>
      </c>
      <c r="T20">
        <f>scenario_jobcoeff_4506_iotable_2020_xlsx_3[[#This Row],[2043]]+scenario_jobcoeff_1610_iotable_2020_xlsx_3[[#This Row],[2043]]</f>
        <v>-18.588629128567305</v>
      </c>
      <c r="U20">
        <f>scenario_jobcoeff_4506_iotable_2020_xlsx_3[[#This Row],[2044]]+scenario_jobcoeff_1610_iotable_2020_xlsx_3[[#This Row],[2044]]</f>
        <v>-24.513837789791893</v>
      </c>
      <c r="V20">
        <f>scenario_jobcoeff_4506_iotable_2020_xlsx_3[[#This Row],[2045]]+scenario_jobcoeff_1610_iotable_2020_xlsx_3[[#This Row],[2045]]</f>
        <v>-24.513837789791893</v>
      </c>
      <c r="W20">
        <f>scenario_jobcoeff_4506_iotable_2020_xlsx_3[[#This Row],[2046]]+scenario_jobcoeff_1610_iotable_2020_xlsx_3[[#This Row],[2046]]</f>
        <v>-29.473858129648079</v>
      </c>
      <c r="X20">
        <f>scenario_jobcoeff_4506_iotable_2020_xlsx_3[[#This Row],[2047]]+scenario_jobcoeff_1610_iotable_2020_xlsx_3[[#This Row],[2047]]</f>
        <v>-29.473858129648079</v>
      </c>
      <c r="Y20">
        <f>scenario_jobcoeff_4506_iotable_2020_xlsx_3[[#This Row],[2048]]+scenario_jobcoeff_1610_iotable_2020_xlsx_3[[#This Row],[2048]]</f>
        <v>-29.473858129648079</v>
      </c>
      <c r="Z20">
        <f>scenario_jobcoeff_4506_iotable_2020_xlsx_3[[#This Row],[2049]]+scenario_jobcoeff_1610_iotable_2020_xlsx_3[[#This Row],[2049]]</f>
        <v>-29.473858129648079</v>
      </c>
      <c r="AA20">
        <f>scenario_jobcoeff_4506_iotable_2020_xlsx_3[[#This Row],[2050]]+scenario_jobcoeff_1610_iotable_2020_xlsx_3[[#This Row],[2050]]</f>
        <v>-29.473858129648079</v>
      </c>
    </row>
    <row r="21" spans="1:27" x14ac:dyDescent="0.2">
      <c r="A21" t="s">
        <v>268</v>
      </c>
      <c r="B21" t="s">
        <v>269</v>
      </c>
      <c r="C21">
        <f>scenario_jobcoeff_4506_iotable_2020_xlsx_3[[#This Row],[2026]]+scenario_jobcoeff_1610_iotable_2020_xlsx_3[[#This Row],[2026]]</f>
        <v>3.237703602134645</v>
      </c>
      <c r="D21">
        <f>scenario_jobcoeff_4506_iotable_2020_xlsx_3[[#This Row],[2027]]+scenario_jobcoeff_1610_iotable_2020_xlsx_3[[#This Row],[2027]]</f>
        <v>2.649281068662892</v>
      </c>
      <c r="E21">
        <f>scenario_jobcoeff_4506_iotable_2020_xlsx_3[[#This Row],[2028]]+scenario_jobcoeff_1610_iotable_2020_xlsx_3[[#This Row],[2028]]</f>
        <v>2.8431671924679605</v>
      </c>
      <c r="F21">
        <f>scenario_jobcoeff_4506_iotable_2020_xlsx_3[[#This Row],[2029]]+scenario_jobcoeff_1610_iotable_2020_xlsx_3[[#This Row],[2029]]</f>
        <v>2.7458176599488899</v>
      </c>
      <c r="G21">
        <f>scenario_jobcoeff_4506_iotable_2020_xlsx_3[[#This Row],[2030]]+scenario_jobcoeff_1610_iotable_2020_xlsx_3[[#This Row],[2030]]</f>
        <v>0.57380203998160706</v>
      </c>
      <c r="H21">
        <f>scenario_jobcoeff_4506_iotable_2020_xlsx_3[[#This Row],[2031]]+scenario_jobcoeff_1610_iotable_2020_xlsx_3[[#This Row],[2031]]</f>
        <v>0.83539312455504788</v>
      </c>
      <c r="I21">
        <f>scenario_jobcoeff_4506_iotable_2020_xlsx_3[[#This Row],[2032]]+scenario_jobcoeff_1610_iotable_2020_xlsx_3[[#This Row],[2032]]</f>
        <v>1.2007283534013524</v>
      </c>
      <c r="J21">
        <f>scenario_jobcoeff_4506_iotable_2020_xlsx_3[[#This Row],[2033]]+scenario_jobcoeff_1610_iotable_2020_xlsx_3[[#This Row],[2033]]</f>
        <v>0.65288995430579977</v>
      </c>
      <c r="K21">
        <f>scenario_jobcoeff_4506_iotable_2020_xlsx_3[[#This Row],[2034]]+scenario_jobcoeff_1610_iotable_2020_xlsx_3[[#This Row],[2034]]</f>
        <v>0.99285343264492543</v>
      </c>
      <c r="L21">
        <f>scenario_jobcoeff_4506_iotable_2020_xlsx_3[[#This Row],[2035]]+scenario_jobcoeff_1610_iotable_2020_xlsx_3[[#This Row],[2035]]</f>
        <v>0.42245644275935135</v>
      </c>
      <c r="M21">
        <f>scenario_jobcoeff_4506_iotable_2020_xlsx_3[[#This Row],[2036]]+scenario_jobcoeff_1610_iotable_2020_xlsx_3[[#This Row],[2036]]</f>
        <v>-0.20373094735220931</v>
      </c>
      <c r="N21">
        <f>scenario_jobcoeff_4506_iotable_2020_xlsx_3[[#This Row],[2037]]+scenario_jobcoeff_1610_iotable_2020_xlsx_3[[#This Row],[2037]]</f>
        <v>-0.73741125418460918</v>
      </c>
      <c r="O21">
        <f>scenario_jobcoeff_4506_iotable_2020_xlsx_3[[#This Row],[2038]]+scenario_jobcoeff_1610_iotable_2020_xlsx_3[[#This Row],[2038]]</f>
        <v>-0.73741125418460918</v>
      </c>
      <c r="P21">
        <f>scenario_jobcoeff_4506_iotable_2020_xlsx_3[[#This Row],[2039]]+scenario_jobcoeff_1610_iotable_2020_xlsx_3[[#This Row],[2039]]</f>
        <v>-0.73741125418460918</v>
      </c>
      <c r="Q21">
        <f>scenario_jobcoeff_4506_iotable_2020_xlsx_3[[#This Row],[2040]]+scenario_jobcoeff_1610_iotable_2020_xlsx_3[[#This Row],[2040]]</f>
        <v>-1.2082860658708032</v>
      </c>
      <c r="R21">
        <f>scenario_jobcoeff_4506_iotable_2020_xlsx_3[[#This Row],[2041]]+scenario_jobcoeff_1610_iotable_2020_xlsx_3[[#This Row],[2041]]</f>
        <v>-1.2082860658708032</v>
      </c>
      <c r="S21">
        <f>scenario_jobcoeff_4506_iotable_2020_xlsx_3[[#This Row],[2042]]+scenario_jobcoeff_1610_iotable_2020_xlsx_3[[#This Row],[2042]]</f>
        <v>-1.720585923938291</v>
      </c>
      <c r="T21">
        <f>scenario_jobcoeff_4506_iotable_2020_xlsx_3[[#This Row],[2043]]+scenario_jobcoeff_1610_iotable_2020_xlsx_3[[#This Row],[2043]]</f>
        <v>-1.720585923938291</v>
      </c>
      <c r="U21">
        <f>scenario_jobcoeff_4506_iotable_2020_xlsx_3[[#This Row],[2044]]+scenario_jobcoeff_1610_iotable_2020_xlsx_3[[#This Row],[2044]]</f>
        <v>-2.2302703706162621</v>
      </c>
      <c r="V21">
        <f>scenario_jobcoeff_4506_iotable_2020_xlsx_3[[#This Row],[2045]]+scenario_jobcoeff_1610_iotable_2020_xlsx_3[[#This Row],[2045]]</f>
        <v>-2.2302703706162621</v>
      </c>
      <c r="W21">
        <f>scenario_jobcoeff_4506_iotable_2020_xlsx_3[[#This Row],[2046]]+scenario_jobcoeff_1610_iotable_2020_xlsx_3[[#This Row],[2046]]</f>
        <v>-2.6571171144123529</v>
      </c>
      <c r="X21">
        <f>scenario_jobcoeff_4506_iotable_2020_xlsx_3[[#This Row],[2047]]+scenario_jobcoeff_1610_iotable_2020_xlsx_3[[#This Row],[2047]]</f>
        <v>-2.6571171144123529</v>
      </c>
      <c r="Y21">
        <f>scenario_jobcoeff_4506_iotable_2020_xlsx_3[[#This Row],[2048]]+scenario_jobcoeff_1610_iotable_2020_xlsx_3[[#This Row],[2048]]</f>
        <v>-2.6571171144123529</v>
      </c>
      <c r="Z21">
        <f>scenario_jobcoeff_4506_iotable_2020_xlsx_3[[#This Row],[2049]]+scenario_jobcoeff_1610_iotable_2020_xlsx_3[[#This Row],[2049]]</f>
        <v>-2.6571171144123529</v>
      </c>
      <c r="AA21">
        <f>scenario_jobcoeff_4506_iotable_2020_xlsx_3[[#This Row],[2050]]+scenario_jobcoeff_1610_iotable_2020_xlsx_3[[#This Row],[2050]]</f>
        <v>-2.6571171144123529</v>
      </c>
    </row>
    <row r="22" spans="1:27" x14ac:dyDescent="0.2">
      <c r="A22" t="s">
        <v>258</v>
      </c>
      <c r="B22" t="s">
        <v>259</v>
      </c>
      <c r="C22">
        <f>scenario_jobcoeff_4506_iotable_2020_xlsx_3[[#This Row],[2026]]+scenario_jobcoeff_1610_iotable_2020_xlsx_3[[#This Row],[2026]]</f>
        <v>4.7078290162305017</v>
      </c>
      <c r="D22">
        <f>scenario_jobcoeff_4506_iotable_2020_xlsx_3[[#This Row],[2027]]+scenario_jobcoeff_1610_iotable_2020_xlsx_3[[#This Row],[2027]]</f>
        <v>3.9681188294830445</v>
      </c>
      <c r="E22">
        <f>scenario_jobcoeff_4506_iotable_2020_xlsx_3[[#This Row],[2028]]+scenario_jobcoeff_1610_iotable_2020_xlsx_3[[#This Row],[2028]]</f>
        <v>4.2431534170752903</v>
      </c>
      <c r="F22">
        <f>scenario_jobcoeff_4506_iotable_2020_xlsx_3[[#This Row],[2029]]+scenario_jobcoeff_1610_iotable_2020_xlsx_3[[#This Row],[2029]]</f>
        <v>4.1430550489597726</v>
      </c>
      <c r="G22">
        <f>scenario_jobcoeff_4506_iotable_2020_xlsx_3[[#This Row],[2030]]+scenario_jobcoeff_1610_iotable_2020_xlsx_3[[#This Row],[2030]]</f>
        <v>1.3840344070053137</v>
      </c>
      <c r="H22">
        <f>scenario_jobcoeff_4506_iotable_2020_xlsx_3[[#This Row],[2031]]+scenario_jobcoeff_1610_iotable_2020_xlsx_3[[#This Row],[2031]]</f>
        <v>1.7551109680891752</v>
      </c>
      <c r="I22">
        <f>scenario_jobcoeff_4506_iotable_2020_xlsx_3[[#This Row],[2032]]+scenario_jobcoeff_1610_iotable_2020_xlsx_3[[#This Row],[2032]]</f>
        <v>2.2733524080990044</v>
      </c>
      <c r="J22">
        <f>scenario_jobcoeff_4506_iotable_2020_xlsx_3[[#This Row],[2033]]+scenario_jobcoeff_1610_iotable_2020_xlsx_3[[#This Row],[2033]]</f>
        <v>1.6758869871844553</v>
      </c>
      <c r="K22">
        <f>scenario_jobcoeff_4506_iotable_2020_xlsx_3[[#This Row],[2034]]+scenario_jobcoeff_1610_iotable_2020_xlsx_3[[#This Row],[2034]]</f>
        <v>2.1581376672559891</v>
      </c>
      <c r="L22">
        <f>scenario_jobcoeff_4506_iotable_2020_xlsx_3[[#This Row],[2035]]+scenario_jobcoeff_1610_iotable_2020_xlsx_3[[#This Row],[2035]]</f>
        <v>1.5764411011423682</v>
      </c>
      <c r="M22">
        <f>scenario_jobcoeff_4506_iotable_2020_xlsx_3[[#This Row],[2036]]+scenario_jobcoeff_1610_iotable_2020_xlsx_3[[#This Row],[2036]]</f>
        <v>0.83745351467332085</v>
      </c>
      <c r="N22">
        <f>scenario_jobcoeff_4506_iotable_2020_xlsx_3[[#This Row],[2037]]+scenario_jobcoeff_1610_iotable_2020_xlsx_3[[#This Row],[2037]]</f>
        <v>0.21091178465326976</v>
      </c>
      <c r="O22">
        <f>scenario_jobcoeff_4506_iotable_2020_xlsx_3[[#This Row],[2038]]+scenario_jobcoeff_1610_iotable_2020_xlsx_3[[#This Row],[2038]]</f>
        <v>0.21091178465326976</v>
      </c>
      <c r="P22">
        <f>scenario_jobcoeff_4506_iotable_2020_xlsx_3[[#This Row],[2039]]+scenario_jobcoeff_1610_iotable_2020_xlsx_3[[#This Row],[2039]]</f>
        <v>0.21091178465326976</v>
      </c>
      <c r="Q22">
        <f>scenario_jobcoeff_4506_iotable_2020_xlsx_3[[#This Row],[2040]]+scenario_jobcoeff_1610_iotable_2020_xlsx_3[[#This Row],[2040]]</f>
        <v>-0.34247160948639532</v>
      </c>
      <c r="R22">
        <f>scenario_jobcoeff_4506_iotable_2020_xlsx_3[[#This Row],[2041]]+scenario_jobcoeff_1610_iotable_2020_xlsx_3[[#This Row],[2041]]</f>
        <v>-0.34247160948639532</v>
      </c>
      <c r="S22">
        <f>scenario_jobcoeff_4506_iotable_2020_xlsx_3[[#This Row],[2042]]+scenario_jobcoeff_1610_iotable_2020_xlsx_3[[#This Row],[2042]]</f>
        <v>-0.94273100232044982</v>
      </c>
      <c r="T22">
        <f>scenario_jobcoeff_4506_iotable_2020_xlsx_3[[#This Row],[2043]]+scenario_jobcoeff_1610_iotable_2020_xlsx_3[[#This Row],[2043]]</f>
        <v>-0.94273100232044982</v>
      </c>
      <c r="U22">
        <f>scenario_jobcoeff_4506_iotable_2020_xlsx_3[[#This Row],[2044]]+scenario_jobcoeff_1610_iotable_2020_xlsx_3[[#This Row],[2044]]</f>
        <v>-1.5454767064400272</v>
      </c>
      <c r="V22">
        <f>scenario_jobcoeff_4506_iotable_2020_xlsx_3[[#This Row],[2045]]+scenario_jobcoeff_1610_iotable_2020_xlsx_3[[#This Row],[2045]]</f>
        <v>-1.5454767064400272</v>
      </c>
      <c r="W22">
        <f>scenario_jobcoeff_4506_iotable_2020_xlsx_3[[#This Row],[2046]]+scenario_jobcoeff_1610_iotable_2020_xlsx_3[[#This Row],[2046]]</f>
        <v>-2.0485761293247968</v>
      </c>
      <c r="X22">
        <f>scenario_jobcoeff_4506_iotable_2020_xlsx_3[[#This Row],[2047]]+scenario_jobcoeff_1610_iotable_2020_xlsx_3[[#This Row],[2047]]</f>
        <v>-2.0485761293247968</v>
      </c>
      <c r="Y22">
        <f>scenario_jobcoeff_4506_iotable_2020_xlsx_3[[#This Row],[2048]]+scenario_jobcoeff_1610_iotable_2020_xlsx_3[[#This Row],[2048]]</f>
        <v>-2.0485761293247968</v>
      </c>
      <c r="Z22">
        <f>scenario_jobcoeff_4506_iotable_2020_xlsx_3[[#This Row],[2049]]+scenario_jobcoeff_1610_iotable_2020_xlsx_3[[#This Row],[2049]]</f>
        <v>-2.0485761293247968</v>
      </c>
      <c r="AA22">
        <f>scenario_jobcoeff_4506_iotable_2020_xlsx_3[[#This Row],[2050]]+scenario_jobcoeff_1610_iotable_2020_xlsx_3[[#This Row],[2050]]</f>
        <v>-2.0485761293247968</v>
      </c>
    </row>
    <row r="23" spans="1:27" x14ac:dyDescent="0.2">
      <c r="A23" t="s">
        <v>242</v>
      </c>
      <c r="B23" t="s">
        <v>243</v>
      </c>
      <c r="C23">
        <f>scenario_jobcoeff_4506_iotable_2020_xlsx_3[[#This Row],[2026]]+scenario_jobcoeff_1610_iotable_2020_xlsx_3[[#This Row],[2026]]</f>
        <v>6.8865436677091196</v>
      </c>
      <c r="D23">
        <f>scenario_jobcoeff_4506_iotable_2020_xlsx_3[[#This Row],[2027]]+scenario_jobcoeff_1610_iotable_2020_xlsx_3[[#This Row],[2027]]</f>
        <v>5.9231031777957242</v>
      </c>
      <c r="E23">
        <f>scenario_jobcoeff_4506_iotable_2020_xlsx_3[[#This Row],[2028]]+scenario_jobcoeff_1610_iotable_2020_xlsx_3[[#This Row],[2028]]</f>
        <v>6.3183708279875432</v>
      </c>
      <c r="F23">
        <f>scenario_jobcoeff_4506_iotable_2020_xlsx_3[[#This Row],[2029]]+scenario_jobcoeff_1610_iotable_2020_xlsx_3[[#This Row],[2029]]</f>
        <v>6.2143692691860286</v>
      </c>
      <c r="G23">
        <f>scenario_jobcoeff_4506_iotable_2020_xlsx_3[[#This Row],[2030]]+scenario_jobcoeff_1610_iotable_2020_xlsx_3[[#This Row],[2030]]</f>
        <v>2.5870542896565887</v>
      </c>
      <c r="H23">
        <f>scenario_jobcoeff_4506_iotable_2020_xlsx_3[[#This Row],[2031]]+scenario_jobcoeff_1610_iotable_2020_xlsx_3[[#This Row],[2031]]</f>
        <v>3.1203492531189045</v>
      </c>
      <c r="I23">
        <f>scenario_jobcoeff_4506_iotable_2020_xlsx_3[[#This Row],[2032]]+scenario_jobcoeff_1610_iotable_2020_xlsx_3[[#This Row],[2032]]</f>
        <v>3.8651431280202022</v>
      </c>
      <c r="J23">
        <f>scenario_jobcoeff_4506_iotable_2020_xlsx_3[[#This Row],[2033]]+scenario_jobcoeff_1610_iotable_2020_xlsx_3[[#This Row],[2033]]</f>
        <v>3.1949501454620677</v>
      </c>
      <c r="K23">
        <f>scenario_jobcoeff_4506_iotable_2020_xlsx_3[[#This Row],[2034]]+scenario_jobcoeff_1610_iotable_2020_xlsx_3[[#This Row],[2034]]</f>
        <v>3.8880196782216441</v>
      </c>
      <c r="L23">
        <f>scenario_jobcoeff_4506_iotable_2020_xlsx_3[[#This Row],[2035]]+scenario_jobcoeff_1610_iotable_2020_xlsx_3[[#This Row],[2035]]</f>
        <v>3.2905963755686969</v>
      </c>
      <c r="M23">
        <f>scenario_jobcoeff_4506_iotable_2020_xlsx_3[[#This Row],[2036]]+scenario_jobcoeff_1610_iotable_2020_xlsx_3[[#This Row],[2036]]</f>
        <v>2.385145513999916</v>
      </c>
      <c r="N23">
        <f>scenario_jobcoeff_4506_iotable_2020_xlsx_3[[#This Row],[2037]]+scenario_jobcoeff_1610_iotable_2020_xlsx_3[[#This Row],[2037]]</f>
        <v>1.6215988307381153</v>
      </c>
      <c r="O23">
        <f>scenario_jobcoeff_4506_iotable_2020_xlsx_3[[#This Row],[2038]]+scenario_jobcoeff_1610_iotable_2020_xlsx_3[[#This Row],[2038]]</f>
        <v>1.6215988307381153</v>
      </c>
      <c r="P23">
        <f>scenario_jobcoeff_4506_iotable_2020_xlsx_3[[#This Row],[2039]]+scenario_jobcoeff_1610_iotable_2020_xlsx_3[[#This Row],[2039]]</f>
        <v>1.6215988307381153</v>
      </c>
      <c r="Q23">
        <f>scenario_jobcoeff_4506_iotable_2020_xlsx_3[[#This Row],[2040]]+scenario_jobcoeff_1610_iotable_2020_xlsx_3[[#This Row],[2040]]</f>
        <v>0.94647857502686961</v>
      </c>
      <c r="R23">
        <f>scenario_jobcoeff_4506_iotable_2020_xlsx_3[[#This Row],[2041]]+scenario_jobcoeff_1610_iotable_2020_xlsx_3[[#This Row],[2041]]</f>
        <v>0.94647857502686961</v>
      </c>
      <c r="S23">
        <f>scenario_jobcoeff_4506_iotable_2020_xlsx_3[[#This Row],[2042]]+scenario_jobcoeff_1610_iotable_2020_xlsx_3[[#This Row],[2042]]</f>
        <v>0.21645901508490084</v>
      </c>
      <c r="T23">
        <f>scenario_jobcoeff_4506_iotable_2020_xlsx_3[[#This Row],[2043]]+scenario_jobcoeff_1610_iotable_2020_xlsx_3[[#This Row],[2043]]</f>
        <v>0.21645901508490084</v>
      </c>
      <c r="U23">
        <f>scenario_jobcoeff_4506_iotable_2020_xlsx_3[[#This Row],[2044]]+scenario_jobcoeff_1610_iotable_2020_xlsx_3[[#This Row],[2044]]</f>
        <v>-0.5236334474784563</v>
      </c>
      <c r="V23">
        <f>scenario_jobcoeff_4506_iotable_2020_xlsx_3[[#This Row],[2045]]+scenario_jobcoeff_1610_iotable_2020_xlsx_3[[#This Row],[2045]]</f>
        <v>-0.5236334474784563</v>
      </c>
      <c r="W23">
        <f>scenario_jobcoeff_4506_iotable_2020_xlsx_3[[#This Row],[2046]]+scenario_jobcoeff_1610_iotable_2020_xlsx_3[[#This Row],[2046]]</f>
        <v>-1.1392550461938349</v>
      </c>
      <c r="X23">
        <f>scenario_jobcoeff_4506_iotable_2020_xlsx_3[[#This Row],[2047]]+scenario_jobcoeff_1610_iotable_2020_xlsx_3[[#This Row],[2047]]</f>
        <v>-1.1392550461938349</v>
      </c>
      <c r="Y23">
        <f>scenario_jobcoeff_4506_iotable_2020_xlsx_3[[#This Row],[2048]]+scenario_jobcoeff_1610_iotable_2020_xlsx_3[[#This Row],[2048]]</f>
        <v>-1.1392550461938349</v>
      </c>
      <c r="Z23">
        <f>scenario_jobcoeff_4506_iotable_2020_xlsx_3[[#This Row],[2049]]+scenario_jobcoeff_1610_iotable_2020_xlsx_3[[#This Row],[2049]]</f>
        <v>-1.1392550461938349</v>
      </c>
      <c r="AA23">
        <f>scenario_jobcoeff_4506_iotable_2020_xlsx_3[[#This Row],[2050]]+scenario_jobcoeff_1610_iotable_2020_xlsx_3[[#This Row],[2050]]</f>
        <v>-1.1392550461938349</v>
      </c>
    </row>
    <row r="24" spans="1:27" x14ac:dyDescent="0.2">
      <c r="A24" t="s">
        <v>312</v>
      </c>
      <c r="B24" t="s">
        <v>313</v>
      </c>
      <c r="C24">
        <f>scenario_jobcoeff_4506_iotable_2020_xlsx_3[[#This Row],[2026]]+scenario_jobcoeff_1610_iotable_2020_xlsx_3[[#This Row],[2026]]</f>
        <v>2.519816267844113E-7</v>
      </c>
      <c r="D24">
        <f>scenario_jobcoeff_4506_iotable_2020_xlsx_3[[#This Row],[2027]]+scenario_jobcoeff_1610_iotable_2020_xlsx_3[[#This Row],[2027]]</f>
        <v>2.613112385360872E-7</v>
      </c>
      <c r="E24">
        <f>scenario_jobcoeff_4506_iotable_2020_xlsx_3[[#This Row],[2028]]+scenario_jobcoeff_1610_iotable_2020_xlsx_3[[#This Row],[2028]]</f>
        <v>2.7312445262507665E-7</v>
      </c>
      <c r="F24">
        <f>scenario_jobcoeff_4506_iotable_2020_xlsx_3[[#This Row],[2029]]+scenario_jobcoeff_1610_iotable_2020_xlsx_3[[#This Row],[2029]]</f>
        <v>2.8526563574788103E-7</v>
      </c>
      <c r="G24">
        <f>scenario_jobcoeff_4506_iotable_2020_xlsx_3[[#This Row],[2030]]+scenario_jobcoeff_1610_iotable_2020_xlsx_3[[#This Row],[2030]]</f>
        <v>3.0611701406258537E-7</v>
      </c>
      <c r="H24">
        <f>scenario_jobcoeff_4506_iotable_2020_xlsx_3[[#This Row],[2031]]+scenario_jobcoeff_1610_iotable_2020_xlsx_3[[#This Row],[2031]]</f>
        <v>3.2205539802318244E-7</v>
      </c>
      <c r="I24">
        <f>scenario_jobcoeff_4506_iotable_2020_xlsx_3[[#This Row],[2032]]+scenario_jobcoeff_1610_iotable_2020_xlsx_3[[#This Row],[2032]]</f>
        <v>3.4431476959610863E-7</v>
      </c>
      <c r="J24">
        <f>scenario_jobcoeff_4506_iotable_2020_xlsx_3[[#This Row],[2033]]+scenario_jobcoeff_1610_iotable_2020_xlsx_3[[#This Row],[2033]]</f>
        <v>3.9639259992704524E-7</v>
      </c>
      <c r="K24">
        <f>scenario_jobcoeff_4506_iotable_2020_xlsx_3[[#This Row],[2034]]+scenario_jobcoeff_1610_iotable_2020_xlsx_3[[#This Row],[2034]]</f>
        <v>4.1710610573778265E-7</v>
      </c>
      <c r="L24">
        <f>scenario_jobcoeff_4506_iotable_2020_xlsx_3[[#This Row],[2035]]+scenario_jobcoeff_1610_iotable_2020_xlsx_3[[#This Row],[2035]]</f>
        <v>4.9053080205959897E-7</v>
      </c>
      <c r="M24">
        <f>scenario_jobcoeff_4506_iotable_2020_xlsx_3[[#This Row],[2036]]+scenario_jobcoeff_1610_iotable_2020_xlsx_3[[#This Row],[2036]]</f>
        <v>5.2338410788495598E-7</v>
      </c>
      <c r="N24">
        <f>scenario_jobcoeff_4506_iotable_2020_xlsx_3[[#This Row],[2037]]+scenario_jobcoeff_1610_iotable_2020_xlsx_3[[#This Row],[2037]]</f>
        <v>5.5294159439010625E-7</v>
      </c>
      <c r="O24">
        <f>scenario_jobcoeff_4506_iotable_2020_xlsx_3[[#This Row],[2038]]+scenario_jobcoeff_1610_iotable_2020_xlsx_3[[#This Row],[2038]]</f>
        <v>5.5294159439010625E-7</v>
      </c>
      <c r="P24">
        <f>scenario_jobcoeff_4506_iotable_2020_xlsx_3[[#This Row],[2039]]+scenario_jobcoeff_1610_iotable_2020_xlsx_3[[#This Row],[2039]]</f>
        <v>5.5294159439010625E-7</v>
      </c>
      <c r="Q24">
        <f>scenario_jobcoeff_4506_iotable_2020_xlsx_3[[#This Row],[2040]]+scenario_jobcoeff_1610_iotable_2020_xlsx_3[[#This Row],[2040]]</f>
        <v>5.787469379514706E-7</v>
      </c>
      <c r="R24">
        <f>scenario_jobcoeff_4506_iotable_2020_xlsx_3[[#This Row],[2041]]+scenario_jobcoeff_1610_iotable_2020_xlsx_3[[#This Row],[2041]]</f>
        <v>5.787469379514706E-7</v>
      </c>
      <c r="S24">
        <f>scenario_jobcoeff_4506_iotable_2020_xlsx_3[[#This Row],[2042]]+scenario_jobcoeff_1610_iotable_2020_xlsx_3[[#This Row],[2042]]</f>
        <v>6.0768233482261785E-7</v>
      </c>
      <c r="T24">
        <f>scenario_jobcoeff_4506_iotable_2020_xlsx_3[[#This Row],[2043]]+scenario_jobcoeff_1610_iotable_2020_xlsx_3[[#This Row],[2043]]</f>
        <v>6.0768233482261785E-7</v>
      </c>
      <c r="U24">
        <f>scenario_jobcoeff_4506_iotable_2020_xlsx_3[[#This Row],[2044]]+scenario_jobcoeff_1610_iotable_2020_xlsx_3[[#This Row],[2044]]</f>
        <v>6.3382978456635991E-7</v>
      </c>
      <c r="V24">
        <f>scenario_jobcoeff_4506_iotable_2020_xlsx_3[[#This Row],[2045]]+scenario_jobcoeff_1610_iotable_2020_xlsx_3[[#This Row],[2045]]</f>
        <v>6.3382978456635991E-7</v>
      </c>
      <c r="W24">
        <f>scenario_jobcoeff_4506_iotable_2020_xlsx_3[[#This Row],[2046]]+scenario_jobcoeff_1610_iotable_2020_xlsx_3[[#This Row],[2046]]</f>
        <v>6.5652834669331912E-7</v>
      </c>
      <c r="X24">
        <f>scenario_jobcoeff_4506_iotable_2020_xlsx_3[[#This Row],[2047]]+scenario_jobcoeff_1610_iotable_2020_xlsx_3[[#This Row],[2047]]</f>
        <v>6.5652834669331912E-7</v>
      </c>
      <c r="Y24">
        <f>scenario_jobcoeff_4506_iotable_2020_xlsx_3[[#This Row],[2048]]+scenario_jobcoeff_1610_iotable_2020_xlsx_3[[#This Row],[2048]]</f>
        <v>6.5652834669331912E-7</v>
      </c>
      <c r="Z24">
        <f>scenario_jobcoeff_4506_iotable_2020_xlsx_3[[#This Row],[2049]]+scenario_jobcoeff_1610_iotable_2020_xlsx_3[[#This Row],[2049]]</f>
        <v>6.5652834669331912E-7</v>
      </c>
      <c r="AA24">
        <f>scenario_jobcoeff_4506_iotable_2020_xlsx_3[[#This Row],[2050]]+scenario_jobcoeff_1610_iotable_2020_xlsx_3[[#This Row],[2050]]</f>
        <v>6.5652834669331912E-7</v>
      </c>
    </row>
    <row r="25" spans="1:27" x14ac:dyDescent="0.2">
      <c r="A25" t="s">
        <v>272</v>
      </c>
      <c r="B25" t="s">
        <v>273</v>
      </c>
      <c r="C25">
        <f>scenario_jobcoeff_4506_iotable_2020_xlsx_3[[#This Row],[2026]]+scenario_jobcoeff_1610_iotable_2020_xlsx_3[[#This Row],[2026]]</f>
        <v>1.8646176004509449</v>
      </c>
      <c r="D25">
        <f>scenario_jobcoeff_4506_iotable_2020_xlsx_3[[#This Row],[2027]]+scenario_jobcoeff_1610_iotable_2020_xlsx_3[[#This Row],[2027]]</f>
        <v>0.45450215009675121</v>
      </c>
      <c r="E25">
        <f>scenario_jobcoeff_4506_iotable_2020_xlsx_3[[#This Row],[2028]]+scenario_jobcoeff_1610_iotable_2020_xlsx_3[[#This Row],[2028]]</f>
        <v>0.6298328994449327</v>
      </c>
      <c r="F25">
        <f>scenario_jobcoeff_4506_iotable_2020_xlsx_3[[#This Row],[2029]]+scenario_jobcoeff_1610_iotable_2020_xlsx_3[[#This Row],[2029]]</f>
        <v>0.19059736403763505</v>
      </c>
      <c r="G25">
        <f>scenario_jobcoeff_4506_iotable_2020_xlsx_3[[#This Row],[2030]]+scenario_jobcoeff_1610_iotable_2020_xlsx_3[[#This Row],[2030]]</f>
        <v>-4.7504668583997276</v>
      </c>
      <c r="H25">
        <f>scenario_jobcoeff_4506_iotable_2020_xlsx_3[[#This Row],[2031]]+scenario_jobcoeff_1610_iotable_2020_xlsx_3[[#This Row],[2031]]</f>
        <v>-4.5139106779936631</v>
      </c>
      <c r="I25">
        <f>scenario_jobcoeff_4506_iotable_2020_xlsx_3[[#This Row],[2032]]+scenario_jobcoeff_1610_iotable_2020_xlsx_3[[#This Row],[2032]]</f>
        <v>-4.1835389206970373</v>
      </c>
      <c r="J25">
        <f>scenario_jobcoeff_4506_iotable_2020_xlsx_3[[#This Row],[2033]]+scenario_jobcoeff_1610_iotable_2020_xlsx_3[[#This Row],[2033]]</f>
        <v>-6.339624610667423</v>
      </c>
      <c r="K25">
        <f>scenario_jobcoeff_4506_iotable_2020_xlsx_3[[#This Row],[2034]]+scenario_jobcoeff_1610_iotable_2020_xlsx_3[[#This Row],[2034]]</f>
        <v>-6.0321964655354865</v>
      </c>
      <c r="L25">
        <f>scenario_jobcoeff_4506_iotable_2020_xlsx_3[[#This Row],[2035]]+scenario_jobcoeff_1610_iotable_2020_xlsx_3[[#This Row],[2035]]</f>
        <v>-8.6502236917599173</v>
      </c>
      <c r="M25">
        <f>scenario_jobcoeff_4506_iotable_2020_xlsx_3[[#This Row],[2036]]+scenario_jobcoeff_1610_iotable_2020_xlsx_3[[#This Row],[2036]]</f>
        <v>-10.59633834175416</v>
      </c>
      <c r="N25">
        <f>scenario_jobcoeff_4506_iotable_2020_xlsx_3[[#This Row],[2037]]+scenario_jobcoeff_1610_iotable_2020_xlsx_3[[#This Row],[2037]]</f>
        <v>-12.285221309564848</v>
      </c>
      <c r="O25">
        <f>scenario_jobcoeff_4506_iotable_2020_xlsx_3[[#This Row],[2038]]+scenario_jobcoeff_1610_iotable_2020_xlsx_3[[#This Row],[2038]]</f>
        <v>-12.285221309564848</v>
      </c>
      <c r="P25">
        <f>scenario_jobcoeff_4506_iotable_2020_xlsx_3[[#This Row],[2039]]+scenario_jobcoeff_1610_iotable_2020_xlsx_3[[#This Row],[2039]]</f>
        <v>-12.285221309564848</v>
      </c>
      <c r="Q25">
        <f>scenario_jobcoeff_4506_iotable_2020_xlsx_3[[#This Row],[2040]]+scenario_jobcoeff_1610_iotable_2020_xlsx_3[[#This Row],[2040]]</f>
        <v>-13.770031277261985</v>
      </c>
      <c r="R25">
        <f>scenario_jobcoeff_4506_iotable_2020_xlsx_3[[#This Row],[2041]]+scenario_jobcoeff_1610_iotable_2020_xlsx_3[[#This Row],[2041]]</f>
        <v>-13.770031277261985</v>
      </c>
      <c r="S25">
        <f>scenario_jobcoeff_4506_iotable_2020_xlsx_3[[#This Row],[2042]]+scenario_jobcoeff_1610_iotable_2020_xlsx_3[[#This Row],[2042]]</f>
        <v>-15.402176032507638</v>
      </c>
      <c r="T25">
        <f>scenario_jobcoeff_4506_iotable_2020_xlsx_3[[#This Row],[2043]]+scenario_jobcoeff_1610_iotable_2020_xlsx_3[[#This Row],[2043]]</f>
        <v>-15.402176032507638</v>
      </c>
      <c r="U25">
        <f>scenario_jobcoeff_4506_iotable_2020_xlsx_3[[#This Row],[2044]]+scenario_jobcoeff_1610_iotable_2020_xlsx_3[[#This Row],[2044]]</f>
        <v>-16.97468101260295</v>
      </c>
      <c r="V25">
        <f>scenario_jobcoeff_4506_iotable_2020_xlsx_3[[#This Row],[2045]]+scenario_jobcoeff_1610_iotable_2020_xlsx_3[[#This Row],[2045]]</f>
        <v>-16.97468101260295</v>
      </c>
      <c r="W25">
        <f>scenario_jobcoeff_4506_iotable_2020_xlsx_3[[#This Row],[2046]]+scenario_jobcoeff_1610_iotable_2020_xlsx_3[[#This Row],[2046]]</f>
        <v>-18.307172494642323</v>
      </c>
      <c r="X25">
        <f>scenario_jobcoeff_4506_iotable_2020_xlsx_3[[#This Row],[2047]]+scenario_jobcoeff_1610_iotable_2020_xlsx_3[[#This Row],[2047]]</f>
        <v>-18.307172494642323</v>
      </c>
      <c r="Y25">
        <f>scenario_jobcoeff_4506_iotable_2020_xlsx_3[[#This Row],[2048]]+scenario_jobcoeff_1610_iotable_2020_xlsx_3[[#This Row],[2048]]</f>
        <v>-18.307172494642323</v>
      </c>
      <c r="Z25">
        <f>scenario_jobcoeff_4506_iotable_2020_xlsx_3[[#This Row],[2049]]+scenario_jobcoeff_1610_iotable_2020_xlsx_3[[#This Row],[2049]]</f>
        <v>-18.307172494642323</v>
      </c>
      <c r="AA25">
        <f>scenario_jobcoeff_4506_iotable_2020_xlsx_3[[#This Row],[2050]]+scenario_jobcoeff_1610_iotable_2020_xlsx_3[[#This Row],[2050]]</f>
        <v>-18.307172494642323</v>
      </c>
    </row>
    <row r="26" spans="1:27" x14ac:dyDescent="0.2">
      <c r="A26" t="s">
        <v>226</v>
      </c>
      <c r="B26" t="s">
        <v>227</v>
      </c>
      <c r="C26">
        <f>scenario_jobcoeff_4506_iotable_2020_xlsx_3[[#This Row],[2026]]+scenario_jobcoeff_1610_iotable_2020_xlsx_3[[#This Row],[2026]]</f>
        <v>4.703305127027205</v>
      </c>
      <c r="D26">
        <f>scenario_jobcoeff_4506_iotable_2020_xlsx_3[[#This Row],[2027]]+scenario_jobcoeff_1610_iotable_2020_xlsx_3[[#This Row],[2027]]</f>
        <v>-1.0799683929798576E-2</v>
      </c>
      <c r="E26">
        <f>scenario_jobcoeff_4506_iotable_2020_xlsx_3[[#This Row],[2028]]+scenario_jobcoeff_1610_iotable_2020_xlsx_3[[#This Row],[2028]]</f>
        <v>0.50023555359742566</v>
      </c>
      <c r="F26">
        <f>scenario_jobcoeff_4506_iotable_2020_xlsx_3[[#This Row],[2029]]+scenario_jobcoeff_1610_iotable_2020_xlsx_3[[#This Row],[2029]]</f>
        <v>-1.0216217327263806</v>
      </c>
      <c r="G26">
        <f>scenario_jobcoeff_4506_iotable_2020_xlsx_3[[#This Row],[2030]]+scenario_jobcoeff_1610_iotable_2020_xlsx_3[[#This Row],[2030]]</f>
        <v>-17.471366663021698</v>
      </c>
      <c r="H26">
        <f>scenario_jobcoeff_4506_iotable_2020_xlsx_3[[#This Row],[2031]]+scenario_jobcoeff_1610_iotable_2020_xlsx_3[[#This Row],[2031]]</f>
        <v>-16.781878114710768</v>
      </c>
      <c r="I26">
        <f>scenario_jobcoeff_4506_iotable_2020_xlsx_3[[#This Row],[2032]]+scenario_jobcoeff_1610_iotable_2020_xlsx_3[[#This Row],[2032]]</f>
        <v>-15.818945998752643</v>
      </c>
      <c r="J26">
        <f>scenario_jobcoeff_4506_iotable_2020_xlsx_3[[#This Row],[2033]]+scenario_jobcoeff_1610_iotable_2020_xlsx_3[[#This Row],[2033]]</f>
        <v>-23.245787120760788</v>
      </c>
      <c r="K26">
        <f>scenario_jobcoeff_4506_iotable_2020_xlsx_3[[#This Row],[2034]]+scenario_jobcoeff_1610_iotable_2020_xlsx_3[[#This Row],[2034]]</f>
        <v>-22.349728581376677</v>
      </c>
      <c r="L26">
        <f>scenario_jobcoeff_4506_iotable_2020_xlsx_3[[#This Row],[2035]]+scenario_jobcoeff_1610_iotable_2020_xlsx_3[[#This Row],[2035]]</f>
        <v>-31.426759704998169</v>
      </c>
      <c r="M26">
        <f>scenario_jobcoeff_4506_iotable_2020_xlsx_3[[#This Row],[2036]]+scenario_jobcoeff_1610_iotable_2020_xlsx_3[[#This Row],[2036]]</f>
        <v>-38.048399689169848</v>
      </c>
      <c r="N26">
        <f>scenario_jobcoeff_4506_iotable_2020_xlsx_3[[#This Row],[2037]]+scenario_jobcoeff_1610_iotable_2020_xlsx_3[[#This Row],[2037]]</f>
        <v>-43.800870191231603</v>
      </c>
      <c r="O26">
        <f>scenario_jobcoeff_4506_iotable_2020_xlsx_3[[#This Row],[2038]]+scenario_jobcoeff_1610_iotable_2020_xlsx_3[[#This Row],[2038]]</f>
        <v>-43.800870191231603</v>
      </c>
      <c r="P26">
        <f>scenario_jobcoeff_4506_iotable_2020_xlsx_3[[#This Row],[2039]]+scenario_jobcoeff_1610_iotable_2020_xlsx_3[[#This Row],[2039]]</f>
        <v>-43.800870191231603</v>
      </c>
      <c r="Q26">
        <f>scenario_jobcoeff_4506_iotable_2020_xlsx_3[[#This Row],[2040]]+scenario_jobcoeff_1610_iotable_2020_xlsx_3[[#This Row],[2040]]</f>
        <v>-48.857206060153928</v>
      </c>
      <c r="R26">
        <f>scenario_jobcoeff_4506_iotable_2020_xlsx_3[[#This Row],[2041]]+scenario_jobcoeff_1610_iotable_2020_xlsx_3[[#This Row],[2041]]</f>
        <v>-48.857206060153928</v>
      </c>
      <c r="S26">
        <f>scenario_jobcoeff_4506_iotable_2020_xlsx_3[[#This Row],[2042]]+scenario_jobcoeff_1610_iotable_2020_xlsx_3[[#This Row],[2042]]</f>
        <v>-54.418568922996982</v>
      </c>
      <c r="T26">
        <f>scenario_jobcoeff_4506_iotable_2020_xlsx_3[[#This Row],[2043]]+scenario_jobcoeff_1610_iotable_2020_xlsx_3[[#This Row],[2043]]</f>
        <v>-54.418568922996982</v>
      </c>
      <c r="U26">
        <f>scenario_jobcoeff_4506_iotable_2020_xlsx_3[[#This Row],[2044]]+scenario_jobcoeff_1610_iotable_2020_xlsx_3[[#This Row],[2044]]</f>
        <v>-59.766696291222729</v>
      </c>
      <c r="V26">
        <f>scenario_jobcoeff_4506_iotable_2020_xlsx_3[[#This Row],[2045]]+scenario_jobcoeff_1610_iotable_2020_xlsx_3[[#This Row],[2045]]</f>
        <v>-59.766696291222729</v>
      </c>
      <c r="W26">
        <f>scenario_jobcoeff_4506_iotable_2020_xlsx_3[[#This Row],[2046]]+scenario_jobcoeff_1610_iotable_2020_xlsx_3[[#This Row],[2046]]</f>
        <v>-64.301669971134345</v>
      </c>
      <c r="X26">
        <f>scenario_jobcoeff_4506_iotable_2020_xlsx_3[[#This Row],[2047]]+scenario_jobcoeff_1610_iotable_2020_xlsx_3[[#This Row],[2047]]</f>
        <v>-64.301669971134345</v>
      </c>
      <c r="Y26">
        <f>scenario_jobcoeff_4506_iotable_2020_xlsx_3[[#This Row],[2048]]+scenario_jobcoeff_1610_iotable_2020_xlsx_3[[#This Row],[2048]]</f>
        <v>-64.301669971134345</v>
      </c>
      <c r="Z26">
        <f>scenario_jobcoeff_4506_iotable_2020_xlsx_3[[#This Row],[2049]]+scenario_jobcoeff_1610_iotable_2020_xlsx_3[[#This Row],[2049]]</f>
        <v>-64.301669971134345</v>
      </c>
      <c r="AA26">
        <f>scenario_jobcoeff_4506_iotable_2020_xlsx_3[[#This Row],[2050]]+scenario_jobcoeff_1610_iotable_2020_xlsx_3[[#This Row],[2050]]</f>
        <v>-64.301669971134345</v>
      </c>
    </row>
    <row r="27" spans="1:27" x14ac:dyDescent="0.2">
      <c r="A27" t="s">
        <v>232</v>
      </c>
      <c r="B27" t="s">
        <v>233</v>
      </c>
      <c r="C27">
        <f>scenario_jobcoeff_4506_iotable_2020_xlsx_3[[#This Row],[2026]]+scenario_jobcoeff_1610_iotable_2020_xlsx_3[[#This Row],[2026]]</f>
        <v>4.198058294891827</v>
      </c>
      <c r="D27">
        <f>scenario_jobcoeff_4506_iotable_2020_xlsx_3[[#This Row],[2027]]+scenario_jobcoeff_1610_iotable_2020_xlsx_3[[#This Row],[2027]]</f>
        <v>8.7878743758414757E-2</v>
      </c>
      <c r="E27">
        <f>scenario_jobcoeff_4506_iotable_2020_xlsx_3[[#This Row],[2028]]+scenario_jobcoeff_1610_iotable_2020_xlsx_3[[#This Row],[2028]]</f>
        <v>0.53822053171212758</v>
      </c>
      <c r="F27">
        <f>scenario_jobcoeff_4506_iotable_2020_xlsx_3[[#This Row],[2029]]+scenario_jobcoeff_1610_iotable_2020_xlsx_3[[#This Row],[2029]]</f>
        <v>-0.78527178029632871</v>
      </c>
      <c r="G27">
        <f>scenario_jobcoeff_4506_iotable_2020_xlsx_3[[#This Row],[2030]]+scenario_jobcoeff_1610_iotable_2020_xlsx_3[[#This Row],[2030]]</f>
        <v>-15.131993544105077</v>
      </c>
      <c r="H27">
        <f>scenario_jobcoeff_4506_iotable_2020_xlsx_3[[#This Row],[2031]]+scenario_jobcoeff_1610_iotable_2020_xlsx_3[[#This Row],[2031]]</f>
        <v>-14.524392574899087</v>
      </c>
      <c r="I27">
        <f>scenario_jobcoeff_4506_iotable_2020_xlsx_3[[#This Row],[2032]]+scenario_jobcoeff_1610_iotable_2020_xlsx_3[[#This Row],[2032]]</f>
        <v>-13.675823750414583</v>
      </c>
      <c r="J27">
        <f>scenario_jobcoeff_4506_iotable_2020_xlsx_3[[#This Row],[2033]]+scenario_jobcoeff_1610_iotable_2020_xlsx_3[[#This Row],[2033]]</f>
        <v>-20.137291454652519</v>
      </c>
      <c r="K27">
        <f>scenario_jobcoeff_4506_iotable_2020_xlsx_3[[#This Row],[2034]]+scenario_jobcoeff_1610_iotable_2020_xlsx_3[[#This Row],[2034]]</f>
        <v>-19.347653920673388</v>
      </c>
      <c r="L27">
        <f>scenario_jobcoeff_4506_iotable_2020_xlsx_3[[#This Row],[2035]]+scenario_jobcoeff_1610_iotable_2020_xlsx_3[[#This Row],[2035]]</f>
        <v>-27.241172623587676</v>
      </c>
      <c r="M27">
        <f>scenario_jobcoeff_4506_iotable_2020_xlsx_3[[#This Row],[2036]]+scenario_jobcoeff_1610_iotable_2020_xlsx_3[[#This Row],[2036]]</f>
        <v>-33.00715886039562</v>
      </c>
      <c r="N27">
        <f>scenario_jobcoeff_4506_iotable_2020_xlsx_3[[#This Row],[2037]]+scenario_jobcoeff_1610_iotable_2020_xlsx_3[[#This Row],[2037]]</f>
        <v>-38.015911874241056</v>
      </c>
      <c r="O27">
        <f>scenario_jobcoeff_4506_iotable_2020_xlsx_3[[#This Row],[2038]]+scenario_jobcoeff_1610_iotable_2020_xlsx_3[[#This Row],[2038]]</f>
        <v>-38.015911874241056</v>
      </c>
      <c r="P27">
        <f>scenario_jobcoeff_4506_iotable_2020_xlsx_3[[#This Row],[2039]]+scenario_jobcoeff_1610_iotable_2020_xlsx_3[[#This Row],[2039]]</f>
        <v>-38.015911874241056</v>
      </c>
      <c r="Q27">
        <f>scenario_jobcoeff_4506_iotable_2020_xlsx_3[[#This Row],[2040]]+scenario_jobcoeff_1610_iotable_2020_xlsx_3[[#This Row],[2040]]</f>
        <v>-42.418596406721306</v>
      </c>
      <c r="R27">
        <f>scenario_jobcoeff_4506_iotable_2020_xlsx_3[[#This Row],[2041]]+scenario_jobcoeff_1610_iotable_2020_xlsx_3[[#This Row],[2041]]</f>
        <v>-42.418596406721306</v>
      </c>
      <c r="S27">
        <f>scenario_jobcoeff_4506_iotable_2020_xlsx_3[[#This Row],[2042]]+scenario_jobcoeff_1610_iotable_2020_xlsx_3[[#This Row],[2042]]</f>
        <v>-47.260815442302651</v>
      </c>
      <c r="T27">
        <f>scenario_jobcoeff_4506_iotable_2020_xlsx_3[[#This Row],[2043]]+scenario_jobcoeff_1610_iotable_2020_xlsx_3[[#This Row],[2043]]</f>
        <v>-47.260815442302651</v>
      </c>
      <c r="U27">
        <f>scenario_jobcoeff_4506_iotable_2020_xlsx_3[[#This Row],[2044]]+scenario_jobcoeff_1610_iotable_2020_xlsx_3[[#This Row],[2044]]</f>
        <v>-51.917997629800986</v>
      </c>
      <c r="V27">
        <f>scenario_jobcoeff_4506_iotable_2020_xlsx_3[[#This Row],[2045]]+scenario_jobcoeff_1610_iotable_2020_xlsx_3[[#This Row],[2045]]</f>
        <v>-51.917997629800986</v>
      </c>
      <c r="W27">
        <f>scenario_jobcoeff_4506_iotable_2020_xlsx_3[[#This Row],[2046]]+scenario_jobcoeff_1610_iotable_2020_xlsx_3[[#This Row],[2046]]</f>
        <v>-55.866884466760716</v>
      </c>
      <c r="X27">
        <f>scenario_jobcoeff_4506_iotable_2020_xlsx_3[[#This Row],[2047]]+scenario_jobcoeff_1610_iotable_2020_xlsx_3[[#This Row],[2047]]</f>
        <v>-55.866884466760716</v>
      </c>
      <c r="Y27">
        <f>scenario_jobcoeff_4506_iotable_2020_xlsx_3[[#This Row],[2048]]+scenario_jobcoeff_1610_iotable_2020_xlsx_3[[#This Row],[2048]]</f>
        <v>-55.866884466760716</v>
      </c>
      <c r="Z27">
        <f>scenario_jobcoeff_4506_iotable_2020_xlsx_3[[#This Row],[2049]]+scenario_jobcoeff_1610_iotable_2020_xlsx_3[[#This Row],[2049]]</f>
        <v>-55.866884466760716</v>
      </c>
      <c r="AA27">
        <f>scenario_jobcoeff_4506_iotable_2020_xlsx_3[[#This Row],[2050]]+scenario_jobcoeff_1610_iotable_2020_xlsx_3[[#This Row],[2050]]</f>
        <v>-55.866884466760716</v>
      </c>
    </row>
    <row r="28" spans="1:27" x14ac:dyDescent="0.2">
      <c r="A28" t="s">
        <v>136</v>
      </c>
      <c r="B28" t="s">
        <v>137</v>
      </c>
      <c r="C28">
        <f>scenario_jobcoeff_4506_iotable_2020_xlsx_3[[#This Row],[2026]]+scenario_jobcoeff_1610_iotable_2020_xlsx_3[[#This Row],[2026]]</f>
        <v>30.196891327245815</v>
      </c>
      <c r="D28">
        <f>scenario_jobcoeff_4506_iotable_2020_xlsx_3[[#This Row],[2027]]+scenario_jobcoeff_1610_iotable_2020_xlsx_3[[#This Row],[2027]]</f>
        <v>9.3130173634862956</v>
      </c>
      <c r="E28">
        <f>scenario_jobcoeff_4506_iotable_2020_xlsx_3[[#This Row],[2028]]+scenario_jobcoeff_1610_iotable_2020_xlsx_3[[#This Row],[2028]]</f>
        <v>12.036394290974307</v>
      </c>
      <c r="F28">
        <f>scenario_jobcoeff_4506_iotable_2020_xlsx_3[[#This Row],[2029]]+scenario_jobcoeff_1610_iotable_2020_xlsx_3[[#This Row],[2029]]</f>
        <v>5.6215031476932609</v>
      </c>
      <c r="G28">
        <f>scenario_jobcoeff_4506_iotable_2020_xlsx_3[[#This Row],[2030]]+scenario_jobcoeff_1610_iotable_2020_xlsx_3[[#This Row],[2030]]</f>
        <v>-67.671531192016388</v>
      </c>
      <c r="H28">
        <f>scenario_jobcoeff_4506_iotable_2020_xlsx_3[[#This Row],[2031]]+scenario_jobcoeff_1610_iotable_2020_xlsx_3[[#This Row],[2031]]</f>
        <v>-63.997152076159097</v>
      </c>
      <c r="I28">
        <f>scenario_jobcoeff_4506_iotable_2020_xlsx_3[[#This Row],[2032]]+scenario_jobcoeff_1610_iotable_2020_xlsx_3[[#This Row],[2032]]</f>
        <v>-58.865554654370996</v>
      </c>
      <c r="J28">
        <f>scenario_jobcoeff_4506_iotable_2020_xlsx_3[[#This Row],[2033]]+scenario_jobcoeff_1610_iotable_2020_xlsx_3[[#This Row],[2033]]</f>
        <v>-90.427933015094951</v>
      </c>
      <c r="K28">
        <f>scenario_jobcoeff_4506_iotable_2020_xlsx_3[[#This Row],[2034]]+scenario_jobcoeff_1610_iotable_2020_xlsx_3[[#This Row],[2034]]</f>
        <v>-85.652714062199749</v>
      </c>
      <c r="L28">
        <f>scenario_jobcoeff_4506_iotable_2020_xlsx_3[[#This Row],[2035]]+scenario_jobcoeff_1610_iotable_2020_xlsx_3[[#This Row],[2035]]</f>
        <v>-123.87780820503423</v>
      </c>
      <c r="M28">
        <f>scenario_jobcoeff_4506_iotable_2020_xlsx_3[[#This Row],[2036]]+scenario_jobcoeff_1610_iotable_2020_xlsx_3[[#This Row],[2036]]</f>
        <v>-152.5047184531534</v>
      </c>
      <c r="N28">
        <f>scenario_jobcoeff_4506_iotable_2020_xlsx_3[[#This Row],[2037]]+scenario_jobcoeff_1610_iotable_2020_xlsx_3[[#This Row],[2037]]</f>
        <v>-177.33758496688264</v>
      </c>
      <c r="O28">
        <f>scenario_jobcoeff_4506_iotable_2020_xlsx_3[[#This Row],[2038]]+scenario_jobcoeff_1610_iotable_2020_xlsx_3[[#This Row],[2038]]</f>
        <v>-177.33758496688264</v>
      </c>
      <c r="P28">
        <f>scenario_jobcoeff_4506_iotable_2020_xlsx_3[[#This Row],[2039]]+scenario_jobcoeff_1610_iotable_2020_xlsx_3[[#This Row],[2039]]</f>
        <v>-177.33758496688264</v>
      </c>
      <c r="Q28">
        <f>scenario_jobcoeff_4506_iotable_2020_xlsx_3[[#This Row],[2040]]+scenario_jobcoeff_1610_iotable_2020_xlsx_3[[#This Row],[2040]]</f>
        <v>-199.17158297866888</v>
      </c>
      <c r="R28">
        <f>scenario_jobcoeff_4506_iotable_2020_xlsx_3[[#This Row],[2041]]+scenario_jobcoeff_1610_iotable_2020_xlsx_3[[#This Row],[2041]]</f>
        <v>-199.17158297866888</v>
      </c>
      <c r="S28">
        <f>scenario_jobcoeff_4506_iotable_2020_xlsx_3[[#This Row],[2042]]+scenario_jobcoeff_1610_iotable_2020_xlsx_3[[#This Row],[2042]]</f>
        <v>-223.16656369105851</v>
      </c>
      <c r="T28">
        <f>scenario_jobcoeff_4506_iotable_2020_xlsx_3[[#This Row],[2043]]+scenario_jobcoeff_1610_iotable_2020_xlsx_3[[#This Row],[2043]]</f>
        <v>-223.16656369105851</v>
      </c>
      <c r="U28">
        <f>scenario_jobcoeff_4506_iotable_2020_xlsx_3[[#This Row],[2044]]+scenario_jobcoeff_1610_iotable_2020_xlsx_3[[#This Row],[2044]]</f>
        <v>-246.30165456782356</v>
      </c>
      <c r="V28">
        <f>scenario_jobcoeff_4506_iotable_2020_xlsx_3[[#This Row],[2045]]+scenario_jobcoeff_1610_iotable_2020_xlsx_3[[#This Row],[2045]]</f>
        <v>-246.30165456782356</v>
      </c>
      <c r="W28">
        <f>scenario_jobcoeff_4506_iotable_2020_xlsx_3[[#This Row],[2046]]+scenario_jobcoeff_1610_iotable_2020_xlsx_3[[#This Row],[2046]]</f>
        <v>-265.90031169058625</v>
      </c>
      <c r="X28">
        <f>scenario_jobcoeff_4506_iotable_2020_xlsx_3[[#This Row],[2047]]+scenario_jobcoeff_1610_iotable_2020_xlsx_3[[#This Row],[2047]]</f>
        <v>-265.90031169058625</v>
      </c>
      <c r="Y28">
        <f>scenario_jobcoeff_4506_iotable_2020_xlsx_3[[#This Row],[2048]]+scenario_jobcoeff_1610_iotable_2020_xlsx_3[[#This Row],[2048]]</f>
        <v>-265.90031169058625</v>
      </c>
      <c r="Z28">
        <f>scenario_jobcoeff_4506_iotable_2020_xlsx_3[[#This Row],[2049]]+scenario_jobcoeff_1610_iotable_2020_xlsx_3[[#This Row],[2049]]</f>
        <v>-265.90031169058625</v>
      </c>
      <c r="AA28">
        <f>scenario_jobcoeff_4506_iotable_2020_xlsx_3[[#This Row],[2050]]+scenario_jobcoeff_1610_iotable_2020_xlsx_3[[#This Row],[2050]]</f>
        <v>-265.90031169058625</v>
      </c>
    </row>
    <row r="29" spans="1:27" x14ac:dyDescent="0.2">
      <c r="A29" t="s">
        <v>180</v>
      </c>
      <c r="B29" t="s">
        <v>181</v>
      </c>
      <c r="C29">
        <f>scenario_jobcoeff_4506_iotable_2020_xlsx_3[[#This Row],[2026]]+scenario_jobcoeff_1610_iotable_2020_xlsx_3[[#This Row],[2026]]</f>
        <v>3.5936131032170771</v>
      </c>
      <c r="D29">
        <f>scenario_jobcoeff_4506_iotable_2020_xlsx_3[[#This Row],[2027]]+scenario_jobcoeff_1610_iotable_2020_xlsx_3[[#This Row],[2027]]</f>
        <v>-13.672551617146432</v>
      </c>
      <c r="E29">
        <f>scenario_jobcoeff_4506_iotable_2020_xlsx_3[[#This Row],[2028]]+scenario_jobcoeff_1610_iotable_2020_xlsx_3[[#This Row],[2028]]</f>
        <v>-12.469936103436062</v>
      </c>
      <c r="F29">
        <f>scenario_jobcoeff_4506_iotable_2020_xlsx_3[[#This Row],[2029]]+scenario_jobcoeff_1610_iotable_2020_xlsx_3[[#This Row],[2029]]</f>
        <v>-18.520310494139345</v>
      </c>
      <c r="G29">
        <f>scenario_jobcoeff_4506_iotable_2020_xlsx_3[[#This Row],[2030]]+scenario_jobcoeff_1610_iotable_2020_xlsx_3[[#This Row],[2030]]</f>
        <v>-78.159470814571975</v>
      </c>
      <c r="H29">
        <f>scenario_jobcoeff_4506_iotable_2020_xlsx_3[[#This Row],[2031]]+scenario_jobcoeff_1610_iotable_2020_xlsx_3[[#This Row],[2031]]</f>
        <v>-76.536902420391158</v>
      </c>
      <c r="I29">
        <f>scenario_jobcoeff_4506_iotable_2020_xlsx_3[[#This Row],[2032]]+scenario_jobcoeff_1610_iotable_2020_xlsx_3[[#This Row],[2032]]</f>
        <v>-74.270841264012475</v>
      </c>
      <c r="J29">
        <f>scenario_jobcoeff_4506_iotable_2020_xlsx_3[[#This Row],[2033]]+scenario_jobcoeff_1610_iotable_2020_xlsx_3[[#This Row],[2033]]</f>
        <v>-103.42314049664468</v>
      </c>
      <c r="K29">
        <f>scenario_jobcoeff_4506_iotable_2020_xlsx_3[[#This Row],[2034]]+scenario_jobcoeff_1610_iotable_2020_xlsx_3[[#This Row],[2034]]</f>
        <v>-101.31445244243085</v>
      </c>
      <c r="L29">
        <f>scenario_jobcoeff_4506_iotable_2020_xlsx_3[[#This Row],[2035]]+scenario_jobcoeff_1610_iotable_2020_xlsx_3[[#This Row],[2035]]</f>
        <v>-137.45422700270404</v>
      </c>
      <c r="M29">
        <f>scenario_jobcoeff_4506_iotable_2020_xlsx_3[[#This Row],[2036]]+scenario_jobcoeff_1610_iotable_2020_xlsx_3[[#This Row],[2036]]</f>
        <v>-162.73743913196262</v>
      </c>
      <c r="N29">
        <f>scenario_jobcoeff_4506_iotable_2020_xlsx_3[[#This Row],[2037]]+scenario_jobcoeff_1610_iotable_2020_xlsx_3[[#This Row],[2037]]</f>
        <v>-184.7549674491238</v>
      </c>
      <c r="O29">
        <f>scenario_jobcoeff_4506_iotable_2020_xlsx_3[[#This Row],[2038]]+scenario_jobcoeff_1610_iotable_2020_xlsx_3[[#This Row],[2038]]</f>
        <v>-184.7549674491238</v>
      </c>
      <c r="P29">
        <f>scenario_jobcoeff_4506_iotable_2020_xlsx_3[[#This Row],[2039]]+scenario_jobcoeff_1610_iotable_2020_xlsx_3[[#This Row],[2039]]</f>
        <v>-184.7549674491238</v>
      </c>
      <c r="Q29">
        <f>scenario_jobcoeff_4506_iotable_2020_xlsx_3[[#This Row],[2040]]+scenario_jobcoeff_1610_iotable_2020_xlsx_3[[#This Row],[2040]]</f>
        <v>-204.09890318490289</v>
      </c>
      <c r="R29">
        <f>scenario_jobcoeff_4506_iotable_2020_xlsx_3[[#This Row],[2041]]+scenario_jobcoeff_1610_iotable_2020_xlsx_3[[#This Row],[2041]]</f>
        <v>-204.09890318490289</v>
      </c>
      <c r="S29">
        <f>scenario_jobcoeff_4506_iotable_2020_xlsx_3[[#This Row],[2042]]+scenario_jobcoeff_1610_iotable_2020_xlsx_3[[#This Row],[2042]]</f>
        <v>-225.40374495359094</v>
      </c>
      <c r="T29">
        <f>scenario_jobcoeff_4506_iotable_2020_xlsx_3[[#This Row],[2043]]+scenario_jobcoeff_1610_iotable_2020_xlsx_3[[#This Row],[2043]]</f>
        <v>-225.40374495359094</v>
      </c>
      <c r="U29">
        <f>scenario_jobcoeff_4506_iotable_2020_xlsx_3[[#This Row],[2044]]+scenario_jobcoeff_1610_iotable_2020_xlsx_3[[#This Row],[2044]]</f>
        <v>-245.80413303243182</v>
      </c>
      <c r="V29">
        <f>scenario_jobcoeff_4506_iotable_2020_xlsx_3[[#This Row],[2045]]+scenario_jobcoeff_1610_iotable_2020_xlsx_3[[#This Row],[2045]]</f>
        <v>-245.80413303243182</v>
      </c>
      <c r="W29">
        <f>scenario_jobcoeff_4506_iotable_2020_xlsx_3[[#This Row],[2046]]+scenario_jobcoeff_1610_iotable_2020_xlsx_3[[#This Row],[2046]]</f>
        <v>-263.1302334677805</v>
      </c>
      <c r="X29">
        <f>scenario_jobcoeff_4506_iotable_2020_xlsx_3[[#This Row],[2047]]+scenario_jobcoeff_1610_iotable_2020_xlsx_3[[#This Row],[2047]]</f>
        <v>-263.1302334677805</v>
      </c>
      <c r="Y29">
        <f>scenario_jobcoeff_4506_iotable_2020_xlsx_3[[#This Row],[2048]]+scenario_jobcoeff_1610_iotable_2020_xlsx_3[[#This Row],[2048]]</f>
        <v>-263.1302334677805</v>
      </c>
      <c r="Z29">
        <f>scenario_jobcoeff_4506_iotable_2020_xlsx_3[[#This Row],[2049]]+scenario_jobcoeff_1610_iotable_2020_xlsx_3[[#This Row],[2049]]</f>
        <v>-263.1302334677805</v>
      </c>
      <c r="AA29">
        <f>scenario_jobcoeff_4506_iotable_2020_xlsx_3[[#This Row],[2050]]+scenario_jobcoeff_1610_iotable_2020_xlsx_3[[#This Row],[2050]]</f>
        <v>-263.1302334677805</v>
      </c>
    </row>
    <row r="30" spans="1:27" x14ac:dyDescent="0.2">
      <c r="A30" t="s">
        <v>178</v>
      </c>
      <c r="B30" t="s">
        <v>179</v>
      </c>
      <c r="C30">
        <f>scenario_jobcoeff_4506_iotable_2020_xlsx_3[[#This Row],[2026]]+scenario_jobcoeff_1610_iotable_2020_xlsx_3[[#This Row],[2026]]</f>
        <v>14.248336903342055</v>
      </c>
      <c r="D30">
        <f>scenario_jobcoeff_4506_iotable_2020_xlsx_3[[#This Row],[2027]]+scenario_jobcoeff_1610_iotable_2020_xlsx_3[[#This Row],[2027]]</f>
        <v>5.5558116983992853</v>
      </c>
      <c r="E30">
        <f>scenario_jobcoeff_4506_iotable_2020_xlsx_3[[#This Row],[2028]]+scenario_jobcoeff_1610_iotable_2020_xlsx_3[[#This Row],[2028]]</f>
        <v>6.7717969416738235</v>
      </c>
      <c r="F30">
        <f>scenario_jobcoeff_4506_iotable_2020_xlsx_3[[#This Row],[2029]]+scenario_jobcoeff_1610_iotable_2020_xlsx_3[[#This Row],[2029]]</f>
        <v>4.1603960610364901</v>
      </c>
      <c r="G30">
        <f>scenario_jobcoeff_4506_iotable_2020_xlsx_3[[#This Row],[2030]]+scenario_jobcoeff_1610_iotable_2020_xlsx_3[[#This Row],[2030]]</f>
        <v>-26.421697960359261</v>
      </c>
      <c r="H30">
        <f>scenario_jobcoeff_4506_iotable_2020_xlsx_3[[#This Row],[2031]]+scenario_jobcoeff_1610_iotable_2020_xlsx_3[[#This Row],[2031]]</f>
        <v>-24.781091132130094</v>
      </c>
      <c r="I30">
        <f>scenario_jobcoeff_4506_iotable_2020_xlsx_3[[#This Row],[2032]]+scenario_jobcoeff_1610_iotable_2020_xlsx_3[[#This Row],[2032]]</f>
        <v>-22.489837697345507</v>
      </c>
      <c r="J30">
        <f>scenario_jobcoeff_4506_iotable_2020_xlsx_3[[#This Row],[2033]]+scenario_jobcoeff_1610_iotable_2020_xlsx_3[[#This Row],[2033]]</f>
        <v>-35.38683562013982</v>
      </c>
      <c r="K30">
        <f>scenario_jobcoeff_4506_iotable_2020_xlsx_3[[#This Row],[2034]]+scenario_jobcoeff_1610_iotable_2020_xlsx_3[[#This Row],[2034]]</f>
        <v>-33.254704837390875</v>
      </c>
      <c r="L30">
        <f>scenario_jobcoeff_4506_iotable_2020_xlsx_3[[#This Row],[2035]]+scenario_jobcoeff_1610_iotable_2020_xlsx_3[[#This Row],[2035]]</f>
        <v>-48.808718976732578</v>
      </c>
      <c r="M30">
        <f>scenario_jobcoeff_4506_iotable_2020_xlsx_3[[#This Row],[2036]]+scenario_jobcoeff_1610_iotable_2020_xlsx_3[[#This Row],[2036]]</f>
        <v>-60.597205782075889</v>
      </c>
      <c r="N30">
        <f>scenario_jobcoeff_4506_iotable_2020_xlsx_3[[#This Row],[2037]]+scenario_jobcoeff_1610_iotable_2020_xlsx_3[[#This Row],[2037]]</f>
        <v>-70.816619804291861</v>
      </c>
      <c r="O30">
        <f>scenario_jobcoeff_4506_iotable_2020_xlsx_3[[#This Row],[2038]]+scenario_jobcoeff_1610_iotable_2020_xlsx_3[[#This Row],[2038]]</f>
        <v>-70.816619804291861</v>
      </c>
      <c r="P30">
        <f>scenario_jobcoeff_4506_iotable_2020_xlsx_3[[#This Row],[2039]]+scenario_jobcoeff_1610_iotable_2020_xlsx_3[[#This Row],[2039]]</f>
        <v>-70.816619804291861</v>
      </c>
      <c r="Q30">
        <f>scenario_jobcoeff_4506_iotable_2020_xlsx_3[[#This Row],[2040]]+scenario_jobcoeff_1610_iotable_2020_xlsx_3[[#This Row],[2040]]</f>
        <v>-79.803072108082873</v>
      </c>
      <c r="R30">
        <f>scenario_jobcoeff_4506_iotable_2020_xlsx_3[[#This Row],[2041]]+scenario_jobcoeff_1610_iotable_2020_xlsx_3[[#This Row],[2041]]</f>
        <v>-79.803072108082873</v>
      </c>
      <c r="S30">
        <f>scenario_jobcoeff_4506_iotable_2020_xlsx_3[[#This Row],[2042]]+scenario_jobcoeff_1610_iotable_2020_xlsx_3[[#This Row],[2042]]</f>
        <v>-89.675299189907847</v>
      </c>
      <c r="T30">
        <f>scenario_jobcoeff_4506_iotable_2020_xlsx_3[[#This Row],[2043]]+scenario_jobcoeff_1610_iotable_2020_xlsx_3[[#This Row],[2043]]</f>
        <v>-89.675299189907847</v>
      </c>
      <c r="U30">
        <f>scenario_jobcoeff_4506_iotable_2020_xlsx_3[[#This Row],[2044]]+scenario_jobcoeff_1610_iotable_2020_xlsx_3[[#This Row],[2044]]</f>
        <v>-99.204820133154215</v>
      </c>
      <c r="V30">
        <f>scenario_jobcoeff_4506_iotable_2020_xlsx_3[[#This Row],[2045]]+scenario_jobcoeff_1610_iotable_2020_xlsx_3[[#This Row],[2045]]</f>
        <v>-99.204820133154215</v>
      </c>
      <c r="W30">
        <f>scenario_jobcoeff_4506_iotable_2020_xlsx_3[[#This Row],[2046]]+scenario_jobcoeff_1610_iotable_2020_xlsx_3[[#This Row],[2046]]</f>
        <v>-107.2741900691276</v>
      </c>
      <c r="X30">
        <f>scenario_jobcoeff_4506_iotable_2020_xlsx_3[[#This Row],[2047]]+scenario_jobcoeff_1610_iotable_2020_xlsx_3[[#This Row],[2047]]</f>
        <v>-107.2741900691276</v>
      </c>
      <c r="Y30">
        <f>scenario_jobcoeff_4506_iotable_2020_xlsx_3[[#This Row],[2048]]+scenario_jobcoeff_1610_iotable_2020_xlsx_3[[#This Row],[2048]]</f>
        <v>-107.2741900691276</v>
      </c>
      <c r="Z30">
        <f>scenario_jobcoeff_4506_iotable_2020_xlsx_3[[#This Row],[2049]]+scenario_jobcoeff_1610_iotable_2020_xlsx_3[[#This Row],[2049]]</f>
        <v>-107.2741900691276</v>
      </c>
      <c r="AA30">
        <f>scenario_jobcoeff_4506_iotable_2020_xlsx_3[[#This Row],[2050]]+scenario_jobcoeff_1610_iotable_2020_xlsx_3[[#This Row],[2050]]</f>
        <v>-107.2741900691276</v>
      </c>
    </row>
    <row r="31" spans="1:27" x14ac:dyDescent="0.2">
      <c r="A31" t="s">
        <v>108</v>
      </c>
      <c r="B31" t="s">
        <v>109</v>
      </c>
      <c r="C31">
        <f>scenario_jobcoeff_4506_iotable_2020_xlsx_3[[#This Row],[2026]]+scenario_jobcoeff_1610_iotable_2020_xlsx_3[[#This Row],[2026]]</f>
        <v>84.980774091736848</v>
      </c>
      <c r="D31">
        <f>scenario_jobcoeff_4506_iotable_2020_xlsx_3[[#This Row],[2027]]+scenario_jobcoeff_1610_iotable_2020_xlsx_3[[#This Row],[2027]]</f>
        <v>90.963732728804203</v>
      </c>
      <c r="E31">
        <f>scenario_jobcoeff_4506_iotable_2020_xlsx_3[[#This Row],[2028]]+scenario_jobcoeff_1610_iotable_2020_xlsx_3[[#This Row],[2028]]</f>
        <v>94.779144310249947</v>
      </c>
      <c r="F31">
        <f>scenario_jobcoeff_4506_iotable_2020_xlsx_3[[#This Row],[2029]]+scenario_jobcoeff_1610_iotable_2020_xlsx_3[[#This Row],[2029]]</f>
        <v>99.8883615545233</v>
      </c>
      <c r="G31">
        <f>scenario_jobcoeff_4506_iotable_2020_xlsx_3[[#This Row],[2030]]+scenario_jobcoeff_1610_iotable_2020_xlsx_3[[#This Row],[2030]]</f>
        <v>116.69177927581718</v>
      </c>
      <c r="H31">
        <f>scenario_jobcoeff_4506_iotable_2020_xlsx_3[[#This Row],[2031]]+scenario_jobcoeff_1610_iotable_2020_xlsx_3[[#This Row],[2031]]</f>
        <v>121.83953113189088</v>
      </c>
      <c r="I31">
        <f>scenario_jobcoeff_4506_iotable_2020_xlsx_3[[#This Row],[2032]]+scenario_jobcoeff_1610_iotable_2020_xlsx_3[[#This Row],[2032]]</f>
        <v>129.02882470223301</v>
      </c>
      <c r="J31">
        <f>scenario_jobcoeff_4506_iotable_2020_xlsx_3[[#This Row],[2033]]+scenario_jobcoeff_1610_iotable_2020_xlsx_3[[#This Row],[2033]]</f>
        <v>151.46576946841708</v>
      </c>
      <c r="K31">
        <f>scenario_jobcoeff_4506_iotable_2020_xlsx_3[[#This Row],[2034]]+scenario_jobcoeff_1610_iotable_2020_xlsx_3[[#This Row],[2034]]</f>
        <v>158.15578197198226</v>
      </c>
      <c r="L31">
        <f>scenario_jobcoeff_4506_iotable_2020_xlsx_3[[#This Row],[2035]]+scenario_jobcoeff_1610_iotable_2020_xlsx_3[[#This Row],[2035]]</f>
        <v>188.98073572757713</v>
      </c>
      <c r="M31">
        <f>scenario_jobcoeff_4506_iotable_2020_xlsx_3[[#This Row],[2036]]+scenario_jobcoeff_1610_iotable_2020_xlsx_3[[#This Row],[2036]]</f>
        <v>204.25874788694696</v>
      </c>
      <c r="N31">
        <f>scenario_jobcoeff_4506_iotable_2020_xlsx_3[[#This Row],[2037]]+scenario_jobcoeff_1610_iotable_2020_xlsx_3[[#This Row],[2037]]</f>
        <v>217.88518685885788</v>
      </c>
      <c r="O31">
        <f>scenario_jobcoeff_4506_iotable_2020_xlsx_3[[#This Row],[2038]]+scenario_jobcoeff_1610_iotable_2020_xlsx_3[[#This Row],[2038]]</f>
        <v>217.88518685885788</v>
      </c>
      <c r="P31">
        <f>scenario_jobcoeff_4506_iotable_2020_xlsx_3[[#This Row],[2039]]+scenario_jobcoeff_1610_iotable_2020_xlsx_3[[#This Row],[2039]]</f>
        <v>217.88518685885788</v>
      </c>
      <c r="Q31">
        <f>scenario_jobcoeff_4506_iotable_2020_xlsx_3[[#This Row],[2040]]+scenario_jobcoeff_1610_iotable_2020_xlsx_3[[#This Row],[2040]]</f>
        <v>229.80162365811012</v>
      </c>
      <c r="R31">
        <f>scenario_jobcoeff_4506_iotable_2020_xlsx_3[[#This Row],[2041]]+scenario_jobcoeff_1610_iotable_2020_xlsx_3[[#This Row],[2041]]</f>
        <v>229.80162365811012</v>
      </c>
      <c r="S31">
        <f>scenario_jobcoeff_4506_iotable_2020_xlsx_3[[#This Row],[2042]]+scenario_jobcoeff_1610_iotable_2020_xlsx_3[[#This Row],[2042]]</f>
        <v>243.10062922689582</v>
      </c>
      <c r="T31">
        <f>scenario_jobcoeff_4506_iotable_2020_xlsx_3[[#This Row],[2043]]+scenario_jobcoeff_1610_iotable_2020_xlsx_3[[#This Row],[2043]]</f>
        <v>243.10062922689582</v>
      </c>
      <c r="U31">
        <f>scenario_jobcoeff_4506_iotable_2020_xlsx_3[[#This Row],[2044]]+scenario_jobcoeff_1610_iotable_2020_xlsx_3[[#This Row],[2044]]</f>
        <v>255.30546730308316</v>
      </c>
      <c r="V31">
        <f>scenario_jobcoeff_4506_iotable_2020_xlsx_3[[#This Row],[2045]]+scenario_jobcoeff_1610_iotable_2020_xlsx_3[[#This Row],[2045]]</f>
        <v>255.30546730308316</v>
      </c>
      <c r="W31">
        <f>scenario_jobcoeff_4506_iotable_2020_xlsx_3[[#This Row],[2046]]+scenario_jobcoeff_1610_iotable_2020_xlsx_3[[#This Row],[2046]]</f>
        <v>265.83795685036245</v>
      </c>
      <c r="X31">
        <f>scenario_jobcoeff_4506_iotable_2020_xlsx_3[[#This Row],[2047]]+scenario_jobcoeff_1610_iotable_2020_xlsx_3[[#This Row],[2047]]</f>
        <v>265.83795685036245</v>
      </c>
      <c r="Y31">
        <f>scenario_jobcoeff_4506_iotable_2020_xlsx_3[[#This Row],[2048]]+scenario_jobcoeff_1610_iotable_2020_xlsx_3[[#This Row],[2048]]</f>
        <v>265.83795685036245</v>
      </c>
      <c r="Z31">
        <f>scenario_jobcoeff_4506_iotable_2020_xlsx_3[[#This Row],[2049]]+scenario_jobcoeff_1610_iotable_2020_xlsx_3[[#This Row],[2049]]</f>
        <v>265.83795685036245</v>
      </c>
      <c r="AA31">
        <f>scenario_jobcoeff_4506_iotable_2020_xlsx_3[[#This Row],[2050]]+scenario_jobcoeff_1610_iotable_2020_xlsx_3[[#This Row],[2050]]</f>
        <v>265.83795685036245</v>
      </c>
    </row>
    <row r="32" spans="1:27" x14ac:dyDescent="0.2">
      <c r="A32" t="s">
        <v>116</v>
      </c>
      <c r="B32" t="s">
        <v>117</v>
      </c>
      <c r="C32">
        <f>scenario_jobcoeff_4506_iotable_2020_xlsx_3[[#This Row],[2026]]+scenario_jobcoeff_1610_iotable_2020_xlsx_3[[#This Row],[2026]]</f>
        <v>73.047351419861187</v>
      </c>
      <c r="D32">
        <f>scenario_jobcoeff_4506_iotable_2020_xlsx_3[[#This Row],[2027]]+scenario_jobcoeff_1610_iotable_2020_xlsx_3[[#This Row],[2027]]</f>
        <v>75.322176099213536</v>
      </c>
      <c r="E32">
        <f>scenario_jobcoeff_4506_iotable_2020_xlsx_3[[#This Row],[2028]]+scenario_jobcoeff_1610_iotable_2020_xlsx_3[[#This Row],[2028]]</f>
        <v>78.772270126720613</v>
      </c>
      <c r="F32">
        <f>scenario_jobcoeff_4506_iotable_2020_xlsx_3[[#This Row],[2029]]+scenario_jobcoeff_1610_iotable_2020_xlsx_3[[#This Row],[2029]]</f>
        <v>82.13817919530544</v>
      </c>
      <c r="G32">
        <f>scenario_jobcoeff_4506_iotable_2020_xlsx_3[[#This Row],[2030]]+scenario_jobcoeff_1610_iotable_2020_xlsx_3[[#This Row],[2030]]</f>
        <v>86.702418564438958</v>
      </c>
      <c r="H32">
        <f>scenario_jobcoeff_4506_iotable_2020_xlsx_3[[#This Row],[2031]]+scenario_jobcoeff_1610_iotable_2020_xlsx_3[[#This Row],[2031]]</f>
        <v>91.357284115535975</v>
      </c>
      <c r="I32">
        <f>scenario_jobcoeff_4506_iotable_2020_xlsx_3[[#This Row],[2032]]+scenario_jobcoeff_1610_iotable_2020_xlsx_3[[#This Row],[2032]]</f>
        <v>97.858218098556947</v>
      </c>
      <c r="J32">
        <f>scenario_jobcoeff_4506_iotable_2020_xlsx_3[[#This Row],[2033]]+scenario_jobcoeff_1610_iotable_2020_xlsx_3[[#This Row],[2033]]</f>
        <v>112.21675226434461</v>
      </c>
      <c r="K32">
        <f>scenario_jobcoeff_4506_iotable_2020_xlsx_3[[#This Row],[2034]]+scenario_jobcoeff_1610_iotable_2020_xlsx_3[[#This Row],[2034]]</f>
        <v>118.26621028212206</v>
      </c>
      <c r="L32">
        <f>scenario_jobcoeff_4506_iotable_2020_xlsx_3[[#This Row],[2035]]+scenario_jobcoeff_1610_iotable_2020_xlsx_3[[#This Row],[2035]]</f>
        <v>138.63291487522321</v>
      </c>
      <c r="M32">
        <f>scenario_jobcoeff_4506_iotable_2020_xlsx_3[[#This Row],[2036]]+scenario_jobcoeff_1610_iotable_2020_xlsx_3[[#This Row],[2036]]</f>
        <v>147.52075745571059</v>
      </c>
      <c r="N32">
        <f>scenario_jobcoeff_4506_iotable_2020_xlsx_3[[#This Row],[2037]]+scenario_jobcoeff_1610_iotable_2020_xlsx_3[[#This Row],[2037]]</f>
        <v>155.53499132992519</v>
      </c>
      <c r="O32">
        <f>scenario_jobcoeff_4506_iotable_2020_xlsx_3[[#This Row],[2038]]+scenario_jobcoeff_1610_iotable_2020_xlsx_3[[#This Row],[2038]]</f>
        <v>155.53499132992519</v>
      </c>
      <c r="P32">
        <f>scenario_jobcoeff_4506_iotable_2020_xlsx_3[[#This Row],[2039]]+scenario_jobcoeff_1610_iotable_2020_xlsx_3[[#This Row],[2039]]</f>
        <v>155.53499132992519</v>
      </c>
      <c r="Q32">
        <f>scenario_jobcoeff_4506_iotable_2020_xlsx_3[[#This Row],[2040]]+scenario_jobcoeff_1610_iotable_2020_xlsx_3[[#This Row],[2040]]</f>
        <v>162.52886853178077</v>
      </c>
      <c r="R32">
        <f>scenario_jobcoeff_4506_iotable_2020_xlsx_3[[#This Row],[2041]]+scenario_jobcoeff_1610_iotable_2020_xlsx_3[[#This Row],[2041]]</f>
        <v>162.52886853178077</v>
      </c>
      <c r="S32">
        <f>scenario_jobcoeff_4506_iotable_2020_xlsx_3[[#This Row],[2042]]+scenario_jobcoeff_1610_iotable_2020_xlsx_3[[#This Row],[2042]]</f>
        <v>170.38058595964998</v>
      </c>
      <c r="T32">
        <f>scenario_jobcoeff_4506_iotable_2020_xlsx_3[[#This Row],[2043]]+scenario_jobcoeff_1610_iotable_2020_xlsx_3[[#This Row],[2043]]</f>
        <v>170.38058595964998</v>
      </c>
      <c r="U32">
        <f>scenario_jobcoeff_4506_iotable_2020_xlsx_3[[#This Row],[2044]]+scenario_jobcoeff_1610_iotable_2020_xlsx_3[[#This Row],[2044]]</f>
        <v>177.44742255959517</v>
      </c>
      <c r="V32">
        <f>scenario_jobcoeff_4506_iotable_2020_xlsx_3[[#This Row],[2045]]+scenario_jobcoeff_1610_iotable_2020_xlsx_3[[#This Row],[2045]]</f>
        <v>177.44742255959517</v>
      </c>
      <c r="W32">
        <f>scenario_jobcoeff_4506_iotable_2020_xlsx_3[[#This Row],[2046]]+scenario_jobcoeff_1610_iotable_2020_xlsx_3[[#This Row],[2046]]</f>
        <v>183.59160378046158</v>
      </c>
      <c r="X32">
        <f>scenario_jobcoeff_4506_iotable_2020_xlsx_3[[#This Row],[2047]]+scenario_jobcoeff_1610_iotable_2020_xlsx_3[[#This Row],[2047]]</f>
        <v>183.59160378046158</v>
      </c>
      <c r="Y32">
        <f>scenario_jobcoeff_4506_iotable_2020_xlsx_3[[#This Row],[2048]]+scenario_jobcoeff_1610_iotable_2020_xlsx_3[[#This Row],[2048]]</f>
        <v>183.59160378046158</v>
      </c>
      <c r="Z32">
        <f>scenario_jobcoeff_4506_iotable_2020_xlsx_3[[#This Row],[2049]]+scenario_jobcoeff_1610_iotable_2020_xlsx_3[[#This Row],[2049]]</f>
        <v>183.59160378046158</v>
      </c>
      <c r="AA32">
        <f>scenario_jobcoeff_4506_iotable_2020_xlsx_3[[#This Row],[2050]]+scenario_jobcoeff_1610_iotable_2020_xlsx_3[[#This Row],[2050]]</f>
        <v>183.59160378046158</v>
      </c>
    </row>
    <row r="33" spans="1:27" x14ac:dyDescent="0.2">
      <c r="A33" t="s">
        <v>304</v>
      </c>
      <c r="B33" t="s">
        <v>305</v>
      </c>
      <c r="C33">
        <f>scenario_jobcoeff_4506_iotable_2020_xlsx_3[[#This Row],[2026]]+scenario_jobcoeff_1610_iotable_2020_xlsx_3[[#This Row],[2026]]</f>
        <v>2.241582093340394E-2</v>
      </c>
      <c r="D33">
        <f>scenario_jobcoeff_4506_iotable_2020_xlsx_3[[#This Row],[2027]]+scenario_jobcoeff_1610_iotable_2020_xlsx_3[[#This Row],[2027]]</f>
        <v>-5.6243571805810022E-2</v>
      </c>
      <c r="E33">
        <f>scenario_jobcoeff_4506_iotable_2020_xlsx_3[[#This Row],[2028]]+scenario_jobcoeff_1610_iotable_2020_xlsx_3[[#This Row],[2028]]</f>
        <v>-5.0468150339016027E-2</v>
      </c>
      <c r="F33">
        <f>scenario_jobcoeff_4506_iotable_2020_xlsx_3[[#This Row],[2029]]+scenario_jobcoeff_1610_iotable_2020_xlsx_3[[#This Row],[2029]]</f>
        <v>-7.7820627176986013E-2</v>
      </c>
      <c r="G33">
        <f>scenario_jobcoeff_4506_iotable_2020_xlsx_3[[#This Row],[2030]]+scenario_jobcoeff_1610_iotable_2020_xlsx_3[[#This Row],[2030]]</f>
        <v>-0.34978924437633918</v>
      </c>
      <c r="H33">
        <f>scenario_jobcoeff_4506_iotable_2020_xlsx_3[[#This Row],[2031]]+scenario_jobcoeff_1610_iotable_2020_xlsx_3[[#This Row],[2031]]</f>
        <v>-0.34199704792763252</v>
      </c>
      <c r="I33">
        <f>scenario_jobcoeff_4506_iotable_2020_xlsx_3[[#This Row],[2032]]+scenario_jobcoeff_1610_iotable_2020_xlsx_3[[#This Row],[2032]]</f>
        <v>-0.33111455215203806</v>
      </c>
      <c r="J33">
        <f>scenario_jobcoeff_4506_iotable_2020_xlsx_3[[#This Row],[2033]]+scenario_jobcoeff_1610_iotable_2020_xlsx_3[[#This Row],[2033]]</f>
        <v>-0.46305885818896259</v>
      </c>
      <c r="K33">
        <f>scenario_jobcoeff_4506_iotable_2020_xlsx_3[[#This Row],[2034]]+scenario_jobcoeff_1610_iotable_2020_xlsx_3[[#This Row],[2034]]</f>
        <v>-0.45293212847673331</v>
      </c>
      <c r="L33">
        <f>scenario_jobcoeff_4506_iotable_2020_xlsx_3[[#This Row],[2035]]+scenario_jobcoeff_1610_iotable_2020_xlsx_3[[#This Row],[2035]]</f>
        <v>-0.616290978551153</v>
      </c>
      <c r="M33">
        <f>scenario_jobcoeff_4506_iotable_2020_xlsx_3[[#This Row],[2036]]+scenario_jobcoeff_1610_iotable_2020_xlsx_3[[#This Row],[2036]]</f>
        <v>-0.73101675774154273</v>
      </c>
      <c r="N33">
        <f>scenario_jobcoeff_4506_iotable_2020_xlsx_3[[#This Row],[2037]]+scenario_jobcoeff_1610_iotable_2020_xlsx_3[[#This Row],[2037]]</f>
        <v>-0.83090152486044955</v>
      </c>
      <c r="O33">
        <f>scenario_jobcoeff_4506_iotable_2020_xlsx_3[[#This Row],[2038]]+scenario_jobcoeff_1610_iotable_2020_xlsx_3[[#This Row],[2038]]</f>
        <v>-0.83090152486044955</v>
      </c>
      <c r="P33">
        <f>scenario_jobcoeff_4506_iotable_2020_xlsx_3[[#This Row],[2039]]+scenario_jobcoeff_1610_iotable_2020_xlsx_3[[#This Row],[2039]]</f>
        <v>-0.83090152486044955</v>
      </c>
      <c r="Q33">
        <f>scenario_jobcoeff_4506_iotable_2020_xlsx_3[[#This Row],[2040]]+scenario_jobcoeff_1610_iotable_2020_xlsx_3[[#This Row],[2040]]</f>
        <v>-0.91866114542169475</v>
      </c>
      <c r="R33">
        <f>scenario_jobcoeff_4506_iotable_2020_xlsx_3[[#This Row],[2041]]+scenario_jobcoeff_1610_iotable_2020_xlsx_3[[#This Row],[2041]]</f>
        <v>-0.91866114542169475</v>
      </c>
      <c r="S33">
        <f>scenario_jobcoeff_4506_iotable_2020_xlsx_3[[#This Row],[2042]]+scenario_jobcoeff_1610_iotable_2020_xlsx_3[[#This Row],[2042]]</f>
        <v>-1.0153047709547891</v>
      </c>
      <c r="T33">
        <f>scenario_jobcoeff_4506_iotable_2020_xlsx_3[[#This Row],[2043]]+scenario_jobcoeff_1610_iotable_2020_xlsx_3[[#This Row],[2043]]</f>
        <v>-1.0153047709547891</v>
      </c>
      <c r="U33">
        <f>scenario_jobcoeff_4506_iotable_2020_xlsx_3[[#This Row],[2044]]+scenario_jobcoeff_1610_iotable_2020_xlsx_3[[#This Row],[2044]]</f>
        <v>-1.1078827118335013</v>
      </c>
      <c r="V33">
        <f>scenario_jobcoeff_4506_iotable_2020_xlsx_3[[#This Row],[2045]]+scenario_jobcoeff_1610_iotable_2020_xlsx_3[[#This Row],[2045]]</f>
        <v>-1.1078827118335013</v>
      </c>
      <c r="W33">
        <f>scenario_jobcoeff_4506_iotable_2020_xlsx_3[[#This Row],[2046]]+scenario_jobcoeff_1610_iotable_2020_xlsx_3[[#This Row],[2046]]</f>
        <v>-1.186497688794738</v>
      </c>
      <c r="X33">
        <f>scenario_jobcoeff_4506_iotable_2020_xlsx_3[[#This Row],[2047]]+scenario_jobcoeff_1610_iotable_2020_xlsx_3[[#This Row],[2047]]</f>
        <v>-1.186497688794738</v>
      </c>
      <c r="Y33">
        <f>scenario_jobcoeff_4506_iotable_2020_xlsx_3[[#This Row],[2048]]+scenario_jobcoeff_1610_iotable_2020_xlsx_3[[#This Row],[2048]]</f>
        <v>-1.186497688794738</v>
      </c>
      <c r="Z33">
        <f>scenario_jobcoeff_4506_iotable_2020_xlsx_3[[#This Row],[2049]]+scenario_jobcoeff_1610_iotable_2020_xlsx_3[[#This Row],[2049]]</f>
        <v>-1.186497688794738</v>
      </c>
      <c r="AA33">
        <f>scenario_jobcoeff_4506_iotable_2020_xlsx_3[[#This Row],[2050]]+scenario_jobcoeff_1610_iotable_2020_xlsx_3[[#This Row],[2050]]</f>
        <v>-1.186497688794738</v>
      </c>
    </row>
    <row r="34" spans="1:27" x14ac:dyDescent="0.2">
      <c r="A34" t="s">
        <v>212</v>
      </c>
      <c r="B34" t="s">
        <v>213</v>
      </c>
      <c r="C34">
        <f>scenario_jobcoeff_4506_iotable_2020_xlsx_3[[#This Row],[2026]]+scenario_jobcoeff_1610_iotable_2020_xlsx_3[[#This Row],[2026]]</f>
        <v>12.548793360242545</v>
      </c>
      <c r="D34">
        <f>scenario_jobcoeff_4506_iotable_2020_xlsx_3[[#This Row],[2027]]+scenario_jobcoeff_1610_iotable_2020_xlsx_3[[#This Row],[2027]]</f>
        <v>11.057885012121528</v>
      </c>
      <c r="E34">
        <f>scenario_jobcoeff_4506_iotable_2020_xlsx_3[[#This Row],[2028]]+scenario_jobcoeff_1610_iotable_2020_xlsx_3[[#This Row],[2028]]</f>
        <v>11.762417138862688</v>
      </c>
      <c r="F34">
        <f>scenario_jobcoeff_4506_iotable_2020_xlsx_3[[#This Row],[2029]]+scenario_jobcoeff_1610_iotable_2020_xlsx_3[[#This Row],[2029]]</f>
        <v>11.667580992785981</v>
      </c>
      <c r="G34">
        <f>scenario_jobcoeff_4506_iotable_2020_xlsx_3[[#This Row],[2030]]+scenario_jobcoeff_1610_iotable_2020_xlsx_3[[#This Row],[2030]]</f>
        <v>5.969622400347518</v>
      </c>
      <c r="H34">
        <f>scenario_jobcoeff_4506_iotable_2020_xlsx_3[[#This Row],[2031]]+scenario_jobcoeff_1610_iotable_2020_xlsx_3[[#This Row],[2031]]</f>
        <v>6.9201768780694373</v>
      </c>
      <c r="I34">
        <f>scenario_jobcoeff_4506_iotable_2020_xlsx_3[[#This Row],[2032]]+scenario_jobcoeff_1610_iotable_2020_xlsx_3[[#This Row],[2032]]</f>
        <v>8.2477107969554275</v>
      </c>
      <c r="J34">
        <f>scenario_jobcoeff_4506_iotable_2020_xlsx_3[[#This Row],[2033]]+scenario_jobcoeff_1610_iotable_2020_xlsx_3[[#This Row],[2033]]</f>
        <v>7.4812601567600829</v>
      </c>
      <c r="K34">
        <f>scenario_jobcoeff_4506_iotable_2020_xlsx_3[[#This Row],[2034]]+scenario_jobcoeff_1610_iotable_2020_xlsx_3[[#This Row],[2034]]</f>
        <v>8.7165996834267503</v>
      </c>
      <c r="L34">
        <f>scenario_jobcoeff_4506_iotable_2020_xlsx_3[[#This Row],[2035]]+scenario_jobcoeff_1610_iotable_2020_xlsx_3[[#This Row],[2035]]</f>
        <v>8.1936820786353799</v>
      </c>
      <c r="M34">
        <f>scenario_jobcoeff_4506_iotable_2020_xlsx_3[[#This Row],[2036]]+scenario_jobcoeff_1610_iotable_2020_xlsx_3[[#This Row],[2036]]</f>
        <v>6.9355092659381512</v>
      </c>
      <c r="N34">
        <f>scenario_jobcoeff_4506_iotable_2020_xlsx_3[[#This Row],[2037]]+scenario_jobcoeff_1610_iotable_2020_xlsx_3[[#This Row],[2037]]</f>
        <v>5.8855216101149637</v>
      </c>
      <c r="O34">
        <f>scenario_jobcoeff_4506_iotable_2020_xlsx_3[[#This Row],[2038]]+scenario_jobcoeff_1610_iotable_2020_xlsx_3[[#This Row],[2038]]</f>
        <v>5.8855216101149637</v>
      </c>
      <c r="P34">
        <f>scenario_jobcoeff_4506_iotable_2020_xlsx_3[[#This Row],[2039]]+scenario_jobcoeff_1610_iotable_2020_xlsx_3[[#This Row],[2039]]</f>
        <v>5.8855216101149637</v>
      </c>
      <c r="Q34">
        <f>scenario_jobcoeff_4506_iotable_2020_xlsx_3[[#This Row],[2040]]+scenario_jobcoeff_1610_iotable_2020_xlsx_3[[#This Row],[2040]]</f>
        <v>4.9551793061229148</v>
      </c>
      <c r="R34">
        <f>scenario_jobcoeff_4506_iotable_2020_xlsx_3[[#This Row],[2041]]+scenario_jobcoeff_1610_iotable_2020_xlsx_3[[#This Row],[2041]]</f>
        <v>4.9551793061229148</v>
      </c>
      <c r="S34">
        <f>scenario_jobcoeff_4506_iotable_2020_xlsx_3[[#This Row],[2042]]+scenario_jobcoeff_1610_iotable_2020_xlsx_3[[#This Row],[2042]]</f>
        <v>3.9553084687055886</v>
      </c>
      <c r="T34">
        <f>scenario_jobcoeff_4506_iotable_2020_xlsx_3[[#This Row],[2043]]+scenario_jobcoeff_1610_iotable_2020_xlsx_3[[#This Row],[2043]]</f>
        <v>3.9553084687055886</v>
      </c>
      <c r="U34">
        <f>scenario_jobcoeff_4506_iotable_2020_xlsx_3[[#This Row],[2044]]+scenario_jobcoeff_1610_iotable_2020_xlsx_3[[#This Row],[2044]]</f>
        <v>2.9227184166497722</v>
      </c>
      <c r="V34">
        <f>scenario_jobcoeff_4506_iotable_2020_xlsx_3[[#This Row],[2045]]+scenario_jobcoeff_1610_iotable_2020_xlsx_3[[#This Row],[2045]]</f>
        <v>2.9227184166497722</v>
      </c>
      <c r="W34">
        <f>scenario_jobcoeff_4506_iotable_2020_xlsx_3[[#This Row],[2046]]+scenario_jobcoeff_1610_iotable_2020_xlsx_3[[#This Row],[2046]]</f>
        <v>2.0694246687770175</v>
      </c>
      <c r="X34">
        <f>scenario_jobcoeff_4506_iotable_2020_xlsx_3[[#This Row],[2047]]+scenario_jobcoeff_1610_iotable_2020_xlsx_3[[#This Row],[2047]]</f>
        <v>2.0694246687770175</v>
      </c>
      <c r="Y34">
        <f>scenario_jobcoeff_4506_iotable_2020_xlsx_3[[#This Row],[2048]]+scenario_jobcoeff_1610_iotable_2020_xlsx_3[[#This Row],[2048]]</f>
        <v>2.0694246687770175</v>
      </c>
      <c r="Z34">
        <f>scenario_jobcoeff_4506_iotable_2020_xlsx_3[[#This Row],[2049]]+scenario_jobcoeff_1610_iotable_2020_xlsx_3[[#This Row],[2049]]</f>
        <v>2.0694246687770175</v>
      </c>
      <c r="AA34">
        <f>scenario_jobcoeff_4506_iotable_2020_xlsx_3[[#This Row],[2050]]+scenario_jobcoeff_1610_iotable_2020_xlsx_3[[#This Row],[2050]]</f>
        <v>2.0694246687770175</v>
      </c>
    </row>
    <row r="35" spans="1:27" x14ac:dyDescent="0.2">
      <c r="A35" t="s">
        <v>132</v>
      </c>
      <c r="B35" t="s">
        <v>133</v>
      </c>
      <c r="C35">
        <f>scenario_jobcoeff_4506_iotable_2020_xlsx_3[[#This Row],[2026]]+scenario_jobcoeff_1610_iotable_2020_xlsx_3[[#This Row],[2026]]</f>
        <v>49.819266044124731</v>
      </c>
      <c r="D35">
        <f>scenario_jobcoeff_4506_iotable_2020_xlsx_3[[#This Row],[2027]]+scenario_jobcoeff_1610_iotable_2020_xlsx_3[[#This Row],[2027]]</f>
        <v>41.837735182463746</v>
      </c>
      <c r="E35">
        <f>scenario_jobcoeff_4506_iotable_2020_xlsx_3[[#This Row],[2028]]+scenario_jobcoeff_1610_iotable_2020_xlsx_3[[#This Row],[2028]]</f>
        <v>44.757349494669086</v>
      </c>
      <c r="F35">
        <f>scenario_jobcoeff_4506_iotable_2020_xlsx_3[[#This Row],[2029]]+scenario_jobcoeff_1610_iotable_2020_xlsx_3[[#This Row],[2029]]</f>
        <v>43.643089384292203</v>
      </c>
      <c r="G35">
        <f>scenario_jobcoeff_4506_iotable_2020_xlsx_3[[#This Row],[2030]]+scenario_jobcoeff_1610_iotable_2020_xlsx_3[[#This Row],[2030]]</f>
        <v>13.916874335683517</v>
      </c>
      <c r="H35">
        <f>scenario_jobcoeff_4506_iotable_2020_xlsx_3[[#This Row],[2031]]+scenario_jobcoeff_1610_iotable_2020_xlsx_3[[#This Row],[2031]]</f>
        <v>17.856016856443816</v>
      </c>
      <c r="I35">
        <f>scenario_jobcoeff_4506_iotable_2020_xlsx_3[[#This Row],[2032]]+scenario_jobcoeff_1610_iotable_2020_xlsx_3[[#This Row],[2032]]</f>
        <v>23.357379934726211</v>
      </c>
      <c r="J35">
        <f>scenario_jobcoeff_4506_iotable_2020_xlsx_3[[#This Row],[2033]]+scenario_jobcoeff_1610_iotable_2020_xlsx_3[[#This Row],[2033]]</f>
        <v>16.770688305412008</v>
      </c>
      <c r="K35">
        <f>scenario_jobcoeff_4506_iotable_2020_xlsx_3[[#This Row],[2034]]+scenario_jobcoeff_1610_iotable_2020_xlsx_3[[#This Row],[2034]]</f>
        <v>21.889993480567028</v>
      </c>
      <c r="L35">
        <f>scenario_jobcoeff_4506_iotable_2020_xlsx_3[[#This Row],[2035]]+scenario_jobcoeff_1610_iotable_2020_xlsx_3[[#This Row],[2035]]</f>
        <v>15.405732410154116</v>
      </c>
      <c r="M35">
        <f>scenario_jobcoeff_4506_iotable_2020_xlsx_3[[#This Row],[2036]]+scenario_jobcoeff_1610_iotable_2020_xlsx_3[[#This Row],[2036]]</f>
        <v>7.3580366772867194</v>
      </c>
      <c r="N35">
        <f>scenario_jobcoeff_4506_iotable_2020_xlsx_3[[#This Row],[2037]]+scenario_jobcoeff_1610_iotable_2020_xlsx_3[[#This Row],[2037]]</f>
        <v>0.52954167409009756</v>
      </c>
      <c r="O35">
        <f>scenario_jobcoeff_4506_iotable_2020_xlsx_3[[#This Row],[2038]]+scenario_jobcoeff_1610_iotable_2020_xlsx_3[[#This Row],[2038]]</f>
        <v>0.52954167409009756</v>
      </c>
      <c r="P35">
        <f>scenario_jobcoeff_4506_iotable_2020_xlsx_3[[#This Row],[2039]]+scenario_jobcoeff_1610_iotable_2020_xlsx_3[[#This Row],[2039]]</f>
        <v>0.52954167409009756</v>
      </c>
      <c r="Q35">
        <f>scenario_jobcoeff_4506_iotable_2020_xlsx_3[[#This Row],[2040]]+scenario_jobcoeff_1610_iotable_2020_xlsx_3[[#This Row],[2040]]</f>
        <v>-5.5006764700391386</v>
      </c>
      <c r="R35">
        <f>scenario_jobcoeff_4506_iotable_2020_xlsx_3[[#This Row],[2041]]+scenario_jobcoeff_1610_iotable_2020_xlsx_3[[#This Row],[2041]]</f>
        <v>-5.5006764700391386</v>
      </c>
      <c r="S35">
        <f>scenario_jobcoeff_4506_iotable_2020_xlsx_3[[#This Row],[2042]]+scenario_jobcoeff_1610_iotable_2020_xlsx_3[[#This Row],[2042]]</f>
        <v>-12.044669653332278</v>
      </c>
      <c r="T35">
        <f>scenario_jobcoeff_4506_iotable_2020_xlsx_3[[#This Row],[2043]]+scenario_jobcoeff_1610_iotable_2020_xlsx_3[[#This Row],[2043]]</f>
        <v>-12.044669653332278</v>
      </c>
      <c r="U35">
        <f>scenario_jobcoeff_4506_iotable_2020_xlsx_3[[#This Row],[2044]]+scenario_jobcoeff_1610_iotable_2020_xlsx_3[[#This Row],[2044]]</f>
        <v>-18.606629471366119</v>
      </c>
      <c r="V35">
        <f>scenario_jobcoeff_4506_iotable_2020_xlsx_3[[#This Row],[2045]]+scenario_jobcoeff_1610_iotable_2020_xlsx_3[[#This Row],[2045]]</f>
        <v>-18.606629471366119</v>
      </c>
      <c r="W35">
        <f>scenario_jobcoeff_4506_iotable_2020_xlsx_3[[#This Row],[2046]]+scenario_jobcoeff_1610_iotable_2020_xlsx_3[[#This Row],[2046]]</f>
        <v>-24.086508519769268</v>
      </c>
      <c r="X35">
        <f>scenario_jobcoeff_4506_iotable_2020_xlsx_3[[#This Row],[2047]]+scenario_jobcoeff_1610_iotable_2020_xlsx_3[[#This Row],[2047]]</f>
        <v>-24.086508519769268</v>
      </c>
      <c r="Y35">
        <f>scenario_jobcoeff_4506_iotable_2020_xlsx_3[[#This Row],[2048]]+scenario_jobcoeff_1610_iotable_2020_xlsx_3[[#This Row],[2048]]</f>
        <v>-24.086508519769268</v>
      </c>
      <c r="Z35">
        <f>scenario_jobcoeff_4506_iotable_2020_xlsx_3[[#This Row],[2049]]+scenario_jobcoeff_1610_iotable_2020_xlsx_3[[#This Row],[2049]]</f>
        <v>-24.086508519769268</v>
      </c>
      <c r="AA35">
        <f>scenario_jobcoeff_4506_iotable_2020_xlsx_3[[#This Row],[2050]]+scenario_jobcoeff_1610_iotable_2020_xlsx_3[[#This Row],[2050]]</f>
        <v>-24.086508519769268</v>
      </c>
    </row>
    <row r="36" spans="1:27" x14ac:dyDescent="0.2">
      <c r="A36" t="s">
        <v>84</v>
      </c>
      <c r="B36" t="s">
        <v>85</v>
      </c>
      <c r="C36">
        <f>scenario_jobcoeff_4506_iotable_2020_xlsx_3[[#This Row],[2026]]+scenario_jobcoeff_1610_iotable_2020_xlsx_3[[#This Row],[2026]]</f>
        <v>93.083814011021516</v>
      </c>
      <c r="D36">
        <f>scenario_jobcoeff_4506_iotable_2020_xlsx_3[[#This Row],[2027]]+scenario_jobcoeff_1610_iotable_2020_xlsx_3[[#This Row],[2027]]</f>
        <v>86.185553498506266</v>
      </c>
      <c r="E36">
        <f>scenario_jobcoeff_4506_iotable_2020_xlsx_3[[#This Row],[2028]]+scenario_jobcoeff_1610_iotable_2020_xlsx_3[[#This Row],[2028]]</f>
        <v>91.164287452478675</v>
      </c>
      <c r="F36">
        <f>scenario_jobcoeff_4506_iotable_2020_xlsx_3[[#This Row],[2029]]+scenario_jobcoeff_1610_iotable_2020_xlsx_3[[#This Row],[2029]]</f>
        <v>91.949137551316184</v>
      </c>
      <c r="G36">
        <f>scenario_jobcoeff_4506_iotable_2020_xlsx_3[[#This Row],[2030]]+scenario_jobcoeff_1610_iotable_2020_xlsx_3[[#This Row],[2030]]</f>
        <v>64.016588310826123</v>
      </c>
      <c r="H36">
        <f>scenario_jobcoeff_4506_iotable_2020_xlsx_3[[#This Row],[2031]]+scenario_jobcoeff_1610_iotable_2020_xlsx_3[[#This Row],[2031]]</f>
        <v>70.733894269924505</v>
      </c>
      <c r="I36">
        <f>scenario_jobcoeff_4506_iotable_2020_xlsx_3[[#This Row],[2032]]+scenario_jobcoeff_1610_iotable_2020_xlsx_3[[#This Row],[2032]]</f>
        <v>80.115209821253487</v>
      </c>
      <c r="J36">
        <f>scenario_jobcoeff_4506_iotable_2020_xlsx_3[[#This Row],[2033]]+scenario_jobcoeff_1610_iotable_2020_xlsx_3[[#This Row],[2033]]</f>
        <v>81.579092119985631</v>
      </c>
      <c r="K36">
        <f>scenario_jobcoeff_4506_iotable_2020_xlsx_3[[#This Row],[2034]]+scenario_jobcoeff_1610_iotable_2020_xlsx_3[[#This Row],[2034]]</f>
        <v>90.308895364798047</v>
      </c>
      <c r="L36">
        <f>scenario_jobcoeff_4506_iotable_2020_xlsx_3[[#This Row],[2035]]+scenario_jobcoeff_1610_iotable_2020_xlsx_3[[#This Row],[2035]]</f>
        <v>95.323064541960861</v>
      </c>
      <c r="M36">
        <f>scenario_jobcoeff_4506_iotable_2020_xlsx_3[[#This Row],[2036]]+scenario_jobcoeff_1610_iotable_2020_xlsx_3[[#This Row],[2036]]</f>
        <v>92.148638271786524</v>
      </c>
      <c r="N36">
        <f>scenario_jobcoeff_4506_iotable_2020_xlsx_3[[#This Row],[2037]]+scenario_jobcoeff_1610_iotable_2020_xlsx_3[[#This Row],[2037]]</f>
        <v>89.726267061874267</v>
      </c>
      <c r="O36">
        <f>scenario_jobcoeff_4506_iotable_2020_xlsx_3[[#This Row],[2038]]+scenario_jobcoeff_1610_iotable_2020_xlsx_3[[#This Row],[2038]]</f>
        <v>89.726267061874267</v>
      </c>
      <c r="P36">
        <f>scenario_jobcoeff_4506_iotable_2020_xlsx_3[[#This Row],[2039]]+scenario_jobcoeff_1610_iotable_2020_xlsx_3[[#This Row],[2039]]</f>
        <v>89.726267061874267</v>
      </c>
      <c r="Q36">
        <f>scenario_jobcoeff_4506_iotable_2020_xlsx_3[[#This Row],[2040]]+scenario_jobcoeff_1610_iotable_2020_xlsx_3[[#This Row],[2040]]</f>
        <v>87.539223737605909</v>
      </c>
      <c r="R36">
        <f>scenario_jobcoeff_4506_iotable_2020_xlsx_3[[#This Row],[2041]]+scenario_jobcoeff_1610_iotable_2020_xlsx_3[[#This Row],[2041]]</f>
        <v>87.539223737605909</v>
      </c>
      <c r="S36">
        <f>scenario_jobcoeff_4506_iotable_2020_xlsx_3[[#This Row],[2042]]+scenario_jobcoeff_1610_iotable_2020_xlsx_3[[#This Row],[2042]]</f>
        <v>85.316049928057964</v>
      </c>
      <c r="T36">
        <f>scenario_jobcoeff_4506_iotable_2020_xlsx_3[[#This Row],[2043]]+scenario_jobcoeff_1610_iotable_2020_xlsx_3[[#This Row],[2043]]</f>
        <v>85.316049928057964</v>
      </c>
      <c r="U36">
        <f>scenario_jobcoeff_4506_iotable_2020_xlsx_3[[#This Row],[2044]]+scenario_jobcoeff_1610_iotable_2020_xlsx_3[[#This Row],[2044]]</f>
        <v>82.624369753624308</v>
      </c>
      <c r="V36">
        <f>scenario_jobcoeff_4506_iotable_2020_xlsx_3[[#This Row],[2045]]+scenario_jobcoeff_1610_iotable_2020_xlsx_3[[#This Row],[2045]]</f>
        <v>82.624369753624308</v>
      </c>
      <c r="W36">
        <f>scenario_jobcoeff_4506_iotable_2020_xlsx_3[[#This Row],[2046]]+scenario_jobcoeff_1610_iotable_2020_xlsx_3[[#This Row],[2046]]</f>
        <v>80.515703619718522</v>
      </c>
      <c r="X36">
        <f>scenario_jobcoeff_4506_iotable_2020_xlsx_3[[#This Row],[2047]]+scenario_jobcoeff_1610_iotable_2020_xlsx_3[[#This Row],[2047]]</f>
        <v>80.515703619718522</v>
      </c>
      <c r="Y36">
        <f>scenario_jobcoeff_4506_iotable_2020_xlsx_3[[#This Row],[2048]]+scenario_jobcoeff_1610_iotable_2020_xlsx_3[[#This Row],[2048]]</f>
        <v>80.515703619718522</v>
      </c>
      <c r="Z36">
        <f>scenario_jobcoeff_4506_iotable_2020_xlsx_3[[#This Row],[2049]]+scenario_jobcoeff_1610_iotable_2020_xlsx_3[[#This Row],[2049]]</f>
        <v>80.515703619718522</v>
      </c>
      <c r="AA36">
        <f>scenario_jobcoeff_4506_iotable_2020_xlsx_3[[#This Row],[2050]]+scenario_jobcoeff_1610_iotable_2020_xlsx_3[[#This Row],[2050]]</f>
        <v>80.515703619718522</v>
      </c>
    </row>
    <row r="37" spans="1:27" x14ac:dyDescent="0.2">
      <c r="A37" t="s">
        <v>302</v>
      </c>
      <c r="B37" t="s">
        <v>303</v>
      </c>
      <c r="C37">
        <f>scenario_jobcoeff_4506_iotable_2020_xlsx_3[[#This Row],[2026]]+scenario_jobcoeff_1610_iotable_2020_xlsx_3[[#This Row],[2026]]</f>
        <v>-390.55231121806429</v>
      </c>
      <c r="D37">
        <f>scenario_jobcoeff_4506_iotable_2020_xlsx_3[[#This Row],[2027]]+scenario_jobcoeff_1610_iotable_2020_xlsx_3[[#This Row],[2027]]</f>
        <v>-713.21946349803568</v>
      </c>
      <c r="E37">
        <f>scenario_jobcoeff_4506_iotable_2020_xlsx_3[[#This Row],[2028]]+scenario_jobcoeff_1610_iotable_2020_xlsx_3[[#This Row],[2028]]</f>
        <v>-713.21041118403593</v>
      </c>
      <c r="F37">
        <f>scenario_jobcoeff_4506_iotable_2020_xlsx_3[[#This Row],[2029]]+scenario_jobcoeff_1610_iotable_2020_xlsx_3[[#This Row],[2029]]</f>
        <v>-842.27084118493224</v>
      </c>
      <c r="G37">
        <f>scenario_jobcoeff_4506_iotable_2020_xlsx_3[[#This Row],[2030]]+scenario_jobcoeff_1610_iotable_2020_xlsx_3[[#This Row],[2030]]</f>
        <v>-1936.2949941781808</v>
      </c>
      <c r="H37">
        <f>scenario_jobcoeff_4506_iotable_2020_xlsx_3[[#This Row],[2031]]+scenario_jobcoeff_1610_iotable_2020_xlsx_3[[#This Row],[2031]]</f>
        <v>-1936.2827807995732</v>
      </c>
      <c r="I37">
        <f>scenario_jobcoeff_4506_iotable_2020_xlsx_3[[#This Row],[2032]]+scenario_jobcoeff_1610_iotable_2020_xlsx_3[[#This Row],[2032]]</f>
        <v>-1936.2657237294659</v>
      </c>
      <c r="J37">
        <f>scenario_jobcoeff_4506_iotable_2020_xlsx_3[[#This Row],[2033]]+scenario_jobcoeff_1610_iotable_2020_xlsx_3[[#This Row],[2033]]</f>
        <v>-2546.5376799409551</v>
      </c>
      <c r="K37">
        <f>scenario_jobcoeff_4506_iotable_2020_xlsx_3[[#This Row],[2034]]+scenario_jobcoeff_1610_iotable_2020_xlsx_3[[#This Row],[2034]]</f>
        <v>-2546.5218074478967</v>
      </c>
      <c r="L37">
        <f>scenario_jobcoeff_4506_iotable_2020_xlsx_3[[#This Row],[2035]]+scenario_jobcoeff_1610_iotable_2020_xlsx_3[[#This Row],[2035]]</f>
        <v>-3319.0475356954612</v>
      </c>
      <c r="M37">
        <f>scenario_jobcoeff_4506_iotable_2020_xlsx_3[[#This Row],[2036]]+scenario_jobcoeff_1610_iotable_2020_xlsx_3[[#This Row],[2036]]</f>
        <v>-3826.1299723709499</v>
      </c>
      <c r="N37">
        <f>scenario_jobcoeff_4506_iotable_2020_xlsx_3[[#This Row],[2037]]+scenario_jobcoeff_1610_iotable_2020_xlsx_3[[#This Row],[2037]]</f>
        <v>-4269.423735854436</v>
      </c>
      <c r="O37">
        <f>scenario_jobcoeff_4506_iotable_2020_xlsx_3[[#This Row],[2038]]+scenario_jobcoeff_1610_iotable_2020_xlsx_3[[#This Row],[2038]]</f>
        <v>-4269.423735854436</v>
      </c>
      <c r="P37">
        <f>scenario_jobcoeff_4506_iotable_2020_xlsx_3[[#This Row],[2039]]+scenario_jobcoeff_1610_iotable_2020_xlsx_3[[#This Row],[2039]]</f>
        <v>-4269.423735854436</v>
      </c>
      <c r="Q37">
        <f>scenario_jobcoeff_4506_iotable_2020_xlsx_3[[#This Row],[2040]]+scenario_jobcoeff_1610_iotable_2020_xlsx_3[[#This Row],[2040]]</f>
        <v>-4658.5944901721041</v>
      </c>
      <c r="R37">
        <f>scenario_jobcoeff_4506_iotable_2020_xlsx_3[[#This Row],[2041]]+scenario_jobcoeff_1610_iotable_2020_xlsx_3[[#This Row],[2041]]</f>
        <v>-4658.5944901721041</v>
      </c>
      <c r="S37">
        <f>scenario_jobcoeff_4506_iotable_2020_xlsx_3[[#This Row],[2042]]+scenario_jobcoeff_1610_iotable_2020_xlsx_3[[#This Row],[2042]]</f>
        <v>-5088.142491720012</v>
      </c>
      <c r="T37">
        <f>scenario_jobcoeff_4506_iotable_2020_xlsx_3[[#This Row],[2043]]+scenario_jobcoeff_1610_iotable_2020_xlsx_3[[#This Row],[2043]]</f>
        <v>-5088.142491720012</v>
      </c>
      <c r="U37">
        <f>scenario_jobcoeff_4506_iotable_2020_xlsx_3[[#This Row],[2044]]+scenario_jobcoeff_1610_iotable_2020_xlsx_3[[#This Row],[2044]]</f>
        <v>-5496.6437366062682</v>
      </c>
      <c r="V37">
        <f>scenario_jobcoeff_4506_iotable_2020_xlsx_3[[#This Row],[2045]]+scenario_jobcoeff_1610_iotable_2020_xlsx_3[[#This Row],[2045]]</f>
        <v>-5496.6437366062682</v>
      </c>
      <c r="W37">
        <f>scenario_jobcoeff_4506_iotable_2020_xlsx_3[[#This Row],[2046]]+scenario_jobcoeff_1610_iotable_2020_xlsx_3[[#This Row],[2046]]</f>
        <v>-5844.4707564344471</v>
      </c>
      <c r="X37">
        <f>scenario_jobcoeff_4506_iotable_2020_xlsx_3[[#This Row],[2047]]+scenario_jobcoeff_1610_iotable_2020_xlsx_3[[#This Row],[2047]]</f>
        <v>-5844.4707564344471</v>
      </c>
      <c r="Y37">
        <f>scenario_jobcoeff_4506_iotable_2020_xlsx_3[[#This Row],[2048]]+scenario_jobcoeff_1610_iotable_2020_xlsx_3[[#This Row],[2048]]</f>
        <v>-5844.4707564344471</v>
      </c>
      <c r="Z37">
        <f>scenario_jobcoeff_4506_iotable_2020_xlsx_3[[#This Row],[2049]]+scenario_jobcoeff_1610_iotable_2020_xlsx_3[[#This Row],[2049]]</f>
        <v>-5844.4707564344471</v>
      </c>
      <c r="AA37">
        <f>scenario_jobcoeff_4506_iotable_2020_xlsx_3[[#This Row],[2050]]+scenario_jobcoeff_1610_iotable_2020_xlsx_3[[#This Row],[2050]]</f>
        <v>-5844.4707564344471</v>
      </c>
    </row>
    <row r="38" spans="1:27" x14ac:dyDescent="0.2">
      <c r="A38" t="s">
        <v>170</v>
      </c>
      <c r="B38" t="s">
        <v>171</v>
      </c>
      <c r="C38">
        <f>scenario_jobcoeff_4506_iotable_2020_xlsx_3[[#This Row],[2026]]+scenario_jobcoeff_1610_iotable_2020_xlsx_3[[#This Row],[2026]]</f>
        <v>28.881534765302078</v>
      </c>
      <c r="D38">
        <f>scenario_jobcoeff_4506_iotable_2020_xlsx_3[[#This Row],[2027]]+scenario_jobcoeff_1610_iotable_2020_xlsx_3[[#This Row],[2027]]</f>
        <v>30.75628071708589</v>
      </c>
      <c r="E38">
        <f>scenario_jobcoeff_4506_iotable_2020_xlsx_3[[#This Row],[2028]]+scenario_jobcoeff_1610_iotable_2020_xlsx_3[[#This Row],[2028]]</f>
        <v>32.062412871899049</v>
      </c>
      <c r="F38">
        <f>scenario_jobcoeff_4506_iotable_2020_xlsx_3[[#This Row],[2029]]+scenario_jobcoeff_1610_iotable_2020_xlsx_3[[#This Row],[2029]]</f>
        <v>33.742092735804313</v>
      </c>
      <c r="G38">
        <f>scenario_jobcoeff_4506_iotable_2020_xlsx_3[[#This Row],[2030]]+scenario_jobcoeff_1610_iotable_2020_xlsx_3[[#This Row],[2030]]</f>
        <v>38.906484035040847</v>
      </c>
      <c r="H38">
        <f>scenario_jobcoeff_4506_iotable_2020_xlsx_3[[#This Row],[2031]]+scenario_jobcoeff_1610_iotable_2020_xlsx_3[[#This Row],[2031]]</f>
        <v>40.668717042067904</v>
      </c>
      <c r="I38">
        <f>scenario_jobcoeff_4506_iotable_2020_xlsx_3[[#This Row],[2032]]+scenario_jobcoeff_1610_iotable_2020_xlsx_3[[#This Row],[2032]]</f>
        <v>43.12983225917305</v>
      </c>
      <c r="J38">
        <f>scenario_jobcoeff_4506_iotable_2020_xlsx_3[[#This Row],[2033]]+scenario_jobcoeff_1610_iotable_2020_xlsx_3[[#This Row],[2033]]</f>
        <v>50.482705944591444</v>
      </c>
      <c r="K38">
        <f>scenario_jobcoeff_4506_iotable_2020_xlsx_3[[#This Row],[2034]]+scenario_jobcoeff_1610_iotable_2020_xlsx_3[[#This Row],[2034]]</f>
        <v>52.772901972066293</v>
      </c>
      <c r="L38">
        <f>scenario_jobcoeff_4506_iotable_2020_xlsx_3[[#This Row],[2035]]+scenario_jobcoeff_1610_iotable_2020_xlsx_3[[#This Row],[2035]]</f>
        <v>62.910044520928743</v>
      </c>
      <c r="M38">
        <f>scenario_jobcoeff_4506_iotable_2020_xlsx_3[[#This Row],[2036]]+scenario_jobcoeff_1610_iotable_2020_xlsx_3[[#This Row],[2036]]</f>
        <v>67.867658034004847</v>
      </c>
      <c r="N38">
        <f>scenario_jobcoeff_4506_iotable_2020_xlsx_3[[#This Row],[2037]]+scenario_jobcoeff_1610_iotable_2020_xlsx_3[[#This Row],[2037]]</f>
        <v>72.294168637478109</v>
      </c>
      <c r="O38">
        <f>scenario_jobcoeff_4506_iotable_2020_xlsx_3[[#This Row],[2038]]+scenario_jobcoeff_1610_iotable_2020_xlsx_3[[#This Row],[2038]]</f>
        <v>72.294168637478109</v>
      </c>
      <c r="P38">
        <f>scenario_jobcoeff_4506_iotable_2020_xlsx_3[[#This Row],[2039]]+scenario_jobcoeff_1610_iotable_2020_xlsx_3[[#This Row],[2039]]</f>
        <v>72.294168637478109</v>
      </c>
      <c r="Q38">
        <f>scenario_jobcoeff_4506_iotable_2020_xlsx_3[[#This Row],[2040]]+scenario_jobcoeff_1610_iotable_2020_xlsx_3[[#This Row],[2040]]</f>
        <v>76.164380199659973</v>
      </c>
      <c r="R38">
        <f>scenario_jobcoeff_4506_iotable_2020_xlsx_3[[#This Row],[2041]]+scenario_jobcoeff_1610_iotable_2020_xlsx_3[[#This Row],[2041]]</f>
        <v>76.164380199659973</v>
      </c>
      <c r="S38">
        <f>scenario_jobcoeff_4506_iotable_2020_xlsx_3[[#This Row],[2042]]+scenario_jobcoeff_1610_iotable_2020_xlsx_3[[#This Row],[2042]]</f>
        <v>80.486187502624631</v>
      </c>
      <c r="T38">
        <f>scenario_jobcoeff_4506_iotable_2020_xlsx_3[[#This Row],[2043]]+scenario_jobcoeff_1610_iotable_2020_xlsx_3[[#This Row],[2043]]</f>
        <v>80.486187502624631</v>
      </c>
      <c r="U38">
        <f>scenario_jobcoeff_4506_iotable_2020_xlsx_3[[#This Row],[2044]]+scenario_jobcoeff_1610_iotable_2020_xlsx_3[[#This Row],[2044]]</f>
        <v>84.444739378084677</v>
      </c>
      <c r="V38">
        <f>scenario_jobcoeff_4506_iotable_2020_xlsx_3[[#This Row],[2045]]+scenario_jobcoeff_1610_iotable_2020_xlsx_3[[#This Row],[2045]]</f>
        <v>84.444739378084677</v>
      </c>
      <c r="W38">
        <f>scenario_jobcoeff_4506_iotable_2020_xlsx_3[[#This Row],[2046]]+scenario_jobcoeff_1610_iotable_2020_xlsx_3[[#This Row],[2046]]</f>
        <v>87.86340267961684</v>
      </c>
      <c r="X38">
        <f>scenario_jobcoeff_4506_iotable_2020_xlsx_3[[#This Row],[2047]]+scenario_jobcoeff_1610_iotable_2020_xlsx_3[[#This Row],[2047]]</f>
        <v>87.86340267961684</v>
      </c>
      <c r="Y38">
        <f>scenario_jobcoeff_4506_iotable_2020_xlsx_3[[#This Row],[2048]]+scenario_jobcoeff_1610_iotable_2020_xlsx_3[[#This Row],[2048]]</f>
        <v>87.86340267961684</v>
      </c>
      <c r="Z38">
        <f>scenario_jobcoeff_4506_iotable_2020_xlsx_3[[#This Row],[2049]]+scenario_jobcoeff_1610_iotable_2020_xlsx_3[[#This Row],[2049]]</f>
        <v>87.86340267961684</v>
      </c>
      <c r="AA38">
        <f>scenario_jobcoeff_4506_iotable_2020_xlsx_3[[#This Row],[2050]]+scenario_jobcoeff_1610_iotable_2020_xlsx_3[[#This Row],[2050]]</f>
        <v>87.86340267961684</v>
      </c>
    </row>
    <row r="39" spans="1:27" x14ac:dyDescent="0.2">
      <c r="A39" t="s">
        <v>252</v>
      </c>
      <c r="B39" t="s">
        <v>253</v>
      </c>
      <c r="C39">
        <f>scenario_jobcoeff_4506_iotable_2020_xlsx_3[[#This Row],[2026]]+scenario_jobcoeff_1610_iotable_2020_xlsx_3[[#This Row],[2026]]</f>
        <v>3.9084570421863054</v>
      </c>
      <c r="D39">
        <f>scenario_jobcoeff_4506_iotable_2020_xlsx_3[[#This Row],[2027]]+scenario_jobcoeff_1610_iotable_2020_xlsx_3[[#This Row],[2027]]</f>
        <v>1.2584033330055009</v>
      </c>
      <c r="E39">
        <f>scenario_jobcoeff_4506_iotable_2020_xlsx_3[[#This Row],[2028]]+scenario_jobcoeff_1610_iotable_2020_xlsx_3[[#This Row],[2028]]</f>
        <v>1.6077466993290859</v>
      </c>
      <c r="F39">
        <f>scenario_jobcoeff_4506_iotable_2020_xlsx_3[[#This Row],[2029]]+scenario_jobcoeff_1610_iotable_2020_xlsx_3[[#This Row],[2029]]</f>
        <v>0.79640818814592507</v>
      </c>
      <c r="G39">
        <f>scenario_jobcoeff_4506_iotable_2020_xlsx_3[[#This Row],[2030]]+scenario_jobcoeff_1610_iotable_2020_xlsx_3[[#This Row],[2030]]</f>
        <v>-8.5075247174848094</v>
      </c>
      <c r="H39">
        <f>scenario_jobcoeff_4506_iotable_2020_xlsx_3[[#This Row],[2031]]+scenario_jobcoeff_1610_iotable_2020_xlsx_3[[#This Row],[2031]]</f>
        <v>-8.036190780369223</v>
      </c>
      <c r="I39">
        <f>scenario_jobcoeff_4506_iotable_2020_xlsx_3[[#This Row],[2032]]+scenario_jobcoeff_1610_iotable_2020_xlsx_3[[#This Row],[2032]]</f>
        <v>-7.3779309927318071</v>
      </c>
      <c r="J39">
        <f>scenario_jobcoeff_4506_iotable_2020_xlsx_3[[#This Row],[2033]]+scenario_jobcoeff_1610_iotable_2020_xlsx_3[[#This Row],[2033]]</f>
        <v>-11.372068155072958</v>
      </c>
      <c r="K39">
        <f>scenario_jobcoeff_4506_iotable_2020_xlsx_3[[#This Row],[2034]]+scenario_jobcoeff_1610_iotable_2020_xlsx_3[[#This Row],[2034]]</f>
        <v>-10.759523102238381</v>
      </c>
      <c r="L39">
        <f>scenario_jobcoeff_4506_iotable_2020_xlsx_3[[#This Row],[2035]]+scenario_jobcoeff_1610_iotable_2020_xlsx_3[[#This Row],[2035]]</f>
        <v>-15.593821085684549</v>
      </c>
      <c r="M39">
        <f>scenario_jobcoeff_4506_iotable_2020_xlsx_3[[#This Row],[2036]]+scenario_jobcoeff_1610_iotable_2020_xlsx_3[[#This Row],[2036]]</f>
        <v>-19.220633556594272</v>
      </c>
      <c r="N39">
        <f>scenario_jobcoeff_4506_iotable_2020_xlsx_3[[#This Row],[2037]]+scenario_jobcoeff_1610_iotable_2020_xlsx_3[[#This Row],[2037]]</f>
        <v>-22.366463948399726</v>
      </c>
      <c r="O39">
        <f>scenario_jobcoeff_4506_iotable_2020_xlsx_3[[#This Row],[2038]]+scenario_jobcoeff_1610_iotable_2020_xlsx_3[[#This Row],[2038]]</f>
        <v>-22.366463948399726</v>
      </c>
      <c r="P39">
        <f>scenario_jobcoeff_4506_iotable_2020_xlsx_3[[#This Row],[2039]]+scenario_jobcoeff_1610_iotable_2020_xlsx_3[[#This Row],[2039]]</f>
        <v>-22.366463948399726</v>
      </c>
      <c r="Q39">
        <f>scenario_jobcoeff_4506_iotable_2020_xlsx_3[[#This Row],[2040]]+scenario_jobcoeff_1610_iotable_2020_xlsx_3[[#This Row],[2040]]</f>
        <v>-25.132450076162858</v>
      </c>
      <c r="R39">
        <f>scenario_jobcoeff_4506_iotable_2020_xlsx_3[[#This Row],[2041]]+scenario_jobcoeff_1610_iotable_2020_xlsx_3[[#This Row],[2041]]</f>
        <v>-25.132450076162858</v>
      </c>
      <c r="S39">
        <f>scenario_jobcoeff_4506_iotable_2020_xlsx_3[[#This Row],[2042]]+scenario_jobcoeff_1610_iotable_2020_xlsx_3[[#This Row],[2042]]</f>
        <v>-28.172028690982525</v>
      </c>
      <c r="T39">
        <f>scenario_jobcoeff_4506_iotable_2020_xlsx_3[[#This Row],[2043]]+scenario_jobcoeff_1610_iotable_2020_xlsx_3[[#This Row],[2043]]</f>
        <v>-28.172028690982525</v>
      </c>
      <c r="U39">
        <f>scenario_jobcoeff_4506_iotable_2020_xlsx_3[[#This Row],[2044]]+scenario_jobcoeff_1610_iotable_2020_xlsx_3[[#This Row],[2044]]</f>
        <v>-31.103185686448185</v>
      </c>
      <c r="V39">
        <f>scenario_jobcoeff_4506_iotable_2020_xlsx_3[[#This Row],[2045]]+scenario_jobcoeff_1610_iotable_2020_xlsx_3[[#This Row],[2045]]</f>
        <v>-31.103185686448185</v>
      </c>
      <c r="W39">
        <f>scenario_jobcoeff_4506_iotable_2020_xlsx_3[[#This Row],[2046]]+scenario_jobcoeff_1610_iotable_2020_xlsx_3[[#This Row],[2046]]</f>
        <v>-33.586127357931261</v>
      </c>
      <c r="X39">
        <f>scenario_jobcoeff_4506_iotable_2020_xlsx_3[[#This Row],[2047]]+scenario_jobcoeff_1610_iotable_2020_xlsx_3[[#This Row],[2047]]</f>
        <v>-33.586127357931261</v>
      </c>
      <c r="Y39">
        <f>scenario_jobcoeff_4506_iotable_2020_xlsx_3[[#This Row],[2048]]+scenario_jobcoeff_1610_iotable_2020_xlsx_3[[#This Row],[2048]]</f>
        <v>-33.586127357931261</v>
      </c>
      <c r="Z39">
        <f>scenario_jobcoeff_4506_iotable_2020_xlsx_3[[#This Row],[2049]]+scenario_jobcoeff_1610_iotable_2020_xlsx_3[[#This Row],[2049]]</f>
        <v>-33.586127357931261</v>
      </c>
      <c r="AA39">
        <f>scenario_jobcoeff_4506_iotable_2020_xlsx_3[[#This Row],[2050]]+scenario_jobcoeff_1610_iotable_2020_xlsx_3[[#This Row],[2050]]</f>
        <v>-33.586127357931261</v>
      </c>
    </row>
    <row r="40" spans="1:27" x14ac:dyDescent="0.2">
      <c r="A40" t="s">
        <v>216</v>
      </c>
      <c r="B40" t="s">
        <v>217</v>
      </c>
      <c r="C40">
        <f>scenario_jobcoeff_4506_iotable_2020_xlsx_3[[#This Row],[2026]]+scenario_jobcoeff_1610_iotable_2020_xlsx_3[[#This Row],[2026]]</f>
        <v>13.730414123050247</v>
      </c>
      <c r="D40">
        <f>scenario_jobcoeff_4506_iotable_2020_xlsx_3[[#This Row],[2027]]+scenario_jobcoeff_1610_iotable_2020_xlsx_3[[#This Row],[2027]]</f>
        <v>14.031711021297031</v>
      </c>
      <c r="E40">
        <f>scenario_jobcoeff_4506_iotable_2020_xlsx_3[[#This Row],[2028]]+scenario_jobcoeff_1610_iotable_2020_xlsx_3[[#This Row],[2028]]</f>
        <v>14.687717539438379</v>
      </c>
      <c r="F40">
        <f>scenario_jobcoeff_4506_iotable_2020_xlsx_3[[#This Row],[2029]]+scenario_jobcoeff_1610_iotable_2020_xlsx_3[[#This Row],[2029]]</f>
        <v>15.275220192619893</v>
      </c>
      <c r="G40">
        <f>scenario_jobcoeff_4506_iotable_2020_xlsx_3[[#This Row],[2030]]+scenario_jobcoeff_1610_iotable_2020_xlsx_3[[#This Row],[2030]]</f>
        <v>15.698090925828595</v>
      </c>
      <c r="H40">
        <f>scenario_jobcoeff_4506_iotable_2020_xlsx_3[[#This Row],[2031]]+scenario_jobcoeff_1610_iotable_2020_xlsx_3[[#This Row],[2031]]</f>
        <v>16.583174670864288</v>
      </c>
      <c r="I40">
        <f>scenario_jobcoeff_4506_iotable_2020_xlsx_3[[#This Row],[2032]]+scenario_jobcoeff_1610_iotable_2020_xlsx_3[[#This Row],[2032]]</f>
        <v>17.819272885251163</v>
      </c>
      <c r="J40">
        <f>scenario_jobcoeff_4506_iotable_2020_xlsx_3[[#This Row],[2033]]+scenario_jobcoeff_1610_iotable_2020_xlsx_3[[#This Row],[2033]]</f>
        <v>20.301194638855836</v>
      </c>
      <c r="K40">
        <f>scenario_jobcoeff_4506_iotable_2020_xlsx_3[[#This Row],[2034]]+scenario_jobcoeff_1610_iotable_2020_xlsx_3[[#This Row],[2034]]</f>
        <v>21.451448475198934</v>
      </c>
      <c r="L40">
        <f>scenario_jobcoeff_4506_iotable_2020_xlsx_3[[#This Row],[2035]]+scenario_jobcoeff_1610_iotable_2020_xlsx_3[[#This Row],[2035]]</f>
        <v>25.009773110238964</v>
      </c>
      <c r="M40">
        <f>scenario_jobcoeff_4506_iotable_2020_xlsx_3[[#This Row],[2036]]+scenario_jobcoeff_1610_iotable_2020_xlsx_3[[#This Row],[2036]]</f>
        <v>26.493465101177669</v>
      </c>
      <c r="N40">
        <f>scenario_jobcoeff_4506_iotable_2020_xlsx_3[[#This Row],[2037]]+scenario_jobcoeff_1610_iotable_2020_xlsx_3[[#This Row],[2037]]</f>
        <v>27.836993630621354</v>
      </c>
      <c r="O40">
        <f>scenario_jobcoeff_4506_iotable_2020_xlsx_3[[#This Row],[2038]]+scenario_jobcoeff_1610_iotable_2020_xlsx_3[[#This Row],[2038]]</f>
        <v>27.836993630621354</v>
      </c>
      <c r="P40">
        <f>scenario_jobcoeff_4506_iotable_2020_xlsx_3[[#This Row],[2039]]+scenario_jobcoeff_1610_iotable_2020_xlsx_3[[#This Row],[2039]]</f>
        <v>27.836993630621354</v>
      </c>
      <c r="Q40">
        <f>scenario_jobcoeff_4506_iotable_2020_xlsx_3[[#This Row],[2040]]+scenario_jobcoeff_1610_iotable_2020_xlsx_3[[#This Row],[2040]]</f>
        <v>29.008524607152054</v>
      </c>
      <c r="R40">
        <f>scenario_jobcoeff_4506_iotable_2020_xlsx_3[[#This Row],[2041]]+scenario_jobcoeff_1610_iotable_2020_xlsx_3[[#This Row],[2041]]</f>
        <v>29.008524607152054</v>
      </c>
      <c r="S40">
        <f>scenario_jobcoeff_4506_iotable_2020_xlsx_3[[#This Row],[2042]]+scenario_jobcoeff_1610_iotable_2020_xlsx_3[[#This Row],[2042]]</f>
        <v>30.32674302984989</v>
      </c>
      <c r="T40">
        <f>scenario_jobcoeff_4506_iotable_2020_xlsx_3[[#This Row],[2043]]+scenario_jobcoeff_1610_iotable_2020_xlsx_3[[#This Row],[2043]]</f>
        <v>30.32674302984989</v>
      </c>
      <c r="U40">
        <f>scenario_jobcoeff_4506_iotable_2020_xlsx_3[[#This Row],[2044]]+scenario_jobcoeff_1610_iotable_2020_xlsx_3[[#This Row],[2044]]</f>
        <v>31.504284188630745</v>
      </c>
      <c r="V40">
        <f>scenario_jobcoeff_4506_iotable_2020_xlsx_3[[#This Row],[2045]]+scenario_jobcoeff_1610_iotable_2020_xlsx_3[[#This Row],[2045]]</f>
        <v>31.504284188630745</v>
      </c>
      <c r="W40">
        <f>scenario_jobcoeff_4506_iotable_2020_xlsx_3[[#This Row],[2046]]+scenario_jobcoeff_1610_iotable_2020_xlsx_3[[#This Row],[2046]]</f>
        <v>32.531069373161657</v>
      </c>
      <c r="X40">
        <f>scenario_jobcoeff_4506_iotable_2020_xlsx_3[[#This Row],[2047]]+scenario_jobcoeff_1610_iotable_2020_xlsx_3[[#This Row],[2047]]</f>
        <v>32.531069373161657</v>
      </c>
      <c r="Y40">
        <f>scenario_jobcoeff_4506_iotable_2020_xlsx_3[[#This Row],[2048]]+scenario_jobcoeff_1610_iotable_2020_xlsx_3[[#This Row],[2048]]</f>
        <v>32.531069373161657</v>
      </c>
      <c r="Z40">
        <f>scenario_jobcoeff_4506_iotable_2020_xlsx_3[[#This Row],[2049]]+scenario_jobcoeff_1610_iotable_2020_xlsx_3[[#This Row],[2049]]</f>
        <v>32.531069373161657</v>
      </c>
      <c r="AA40">
        <f>scenario_jobcoeff_4506_iotable_2020_xlsx_3[[#This Row],[2050]]+scenario_jobcoeff_1610_iotable_2020_xlsx_3[[#This Row],[2050]]</f>
        <v>32.531069373161657</v>
      </c>
    </row>
    <row r="41" spans="1:27" x14ac:dyDescent="0.2">
      <c r="A41" t="s">
        <v>36</v>
      </c>
      <c r="B41" t="s">
        <v>37</v>
      </c>
      <c r="C41">
        <f>scenario_jobcoeff_4506_iotable_2020_xlsx_3[[#This Row],[2026]]+scenario_jobcoeff_1610_iotable_2020_xlsx_3[[#This Row],[2026]]</f>
        <v>345.13946727018885</v>
      </c>
      <c r="D41">
        <f>scenario_jobcoeff_4506_iotable_2020_xlsx_3[[#This Row],[2027]]+scenario_jobcoeff_1610_iotable_2020_xlsx_3[[#This Row],[2027]]</f>
        <v>373.26958208223311</v>
      </c>
      <c r="E41">
        <f>scenario_jobcoeff_4506_iotable_2020_xlsx_3[[#This Row],[2028]]+scenario_jobcoeff_1610_iotable_2020_xlsx_3[[#This Row],[2028]]</f>
        <v>388.53772807287856</v>
      </c>
      <c r="F41">
        <f>scenario_jobcoeff_4506_iotable_2020_xlsx_3[[#This Row],[2029]]+scenario_jobcoeff_1610_iotable_2020_xlsx_3[[#This Row],[2029]]</f>
        <v>410.65853616769255</v>
      </c>
      <c r="G41">
        <f>scenario_jobcoeff_4506_iotable_2020_xlsx_3[[#This Row],[2030]]+scenario_jobcoeff_1610_iotable_2020_xlsx_3[[#This Row],[2030]]</f>
        <v>492.10071252343175</v>
      </c>
      <c r="H41">
        <f>scenario_jobcoeff_4506_iotable_2020_xlsx_3[[#This Row],[2031]]+scenario_jobcoeff_1610_iotable_2020_xlsx_3[[#This Row],[2031]]</f>
        <v>512.70048929308962</v>
      </c>
      <c r="I41">
        <f>scenario_jobcoeff_4506_iotable_2020_xlsx_3[[#This Row],[2032]]+scenario_jobcoeff_1610_iotable_2020_xlsx_3[[#This Row],[2032]]</f>
        <v>541.46991074564994</v>
      </c>
      <c r="J41">
        <f>scenario_jobcoeff_4506_iotable_2020_xlsx_3[[#This Row],[2033]]+scenario_jobcoeff_1610_iotable_2020_xlsx_3[[#This Row],[2033]]</f>
        <v>639.17733550852131</v>
      </c>
      <c r="K41">
        <f>scenario_jobcoeff_4506_iotable_2020_xlsx_3[[#This Row],[2034]]+scenario_jobcoeff_1610_iotable_2020_xlsx_3[[#This Row],[2034]]</f>
        <v>665.94878215412075</v>
      </c>
      <c r="L41">
        <f>scenario_jobcoeff_4506_iotable_2020_xlsx_3[[#This Row],[2035]]+scenario_jobcoeff_1610_iotable_2020_xlsx_3[[#This Row],[2035]]</f>
        <v>799.3286855728586</v>
      </c>
      <c r="M41">
        <f>scenario_jobcoeff_4506_iotable_2020_xlsx_3[[#This Row],[2036]]+scenario_jobcoeff_1610_iotable_2020_xlsx_3[[#This Row],[2036]]</f>
        <v>867.04866502401364</v>
      </c>
      <c r="N41">
        <f>scenario_jobcoeff_4506_iotable_2020_xlsx_3[[#This Row],[2037]]+scenario_jobcoeff_1610_iotable_2020_xlsx_3[[#This Row],[2037]]</f>
        <v>927.33157280837463</v>
      </c>
      <c r="O41">
        <f>scenario_jobcoeff_4506_iotable_2020_xlsx_3[[#This Row],[2038]]+scenario_jobcoeff_1610_iotable_2020_xlsx_3[[#This Row],[2038]]</f>
        <v>927.33157280837463</v>
      </c>
      <c r="P41">
        <f>scenario_jobcoeff_4506_iotable_2020_xlsx_3[[#This Row],[2039]]+scenario_jobcoeff_1610_iotable_2020_xlsx_3[[#This Row],[2039]]</f>
        <v>927.33157280837463</v>
      </c>
      <c r="Q41">
        <f>scenario_jobcoeff_4506_iotable_2020_xlsx_3[[#This Row],[2040]]+scenario_jobcoeff_1610_iotable_2020_xlsx_3[[#This Row],[2040]]</f>
        <v>980.06904251090896</v>
      </c>
      <c r="R41">
        <f>scenario_jobcoeff_4506_iotable_2020_xlsx_3[[#This Row],[2041]]+scenario_jobcoeff_1610_iotable_2020_xlsx_3[[#This Row],[2041]]</f>
        <v>980.06904251090896</v>
      </c>
      <c r="S41">
        <f>scenario_jobcoeff_4506_iotable_2020_xlsx_3[[#This Row],[2042]]+scenario_jobcoeff_1610_iotable_2020_xlsx_3[[#This Row],[2042]]</f>
        <v>1038.8632422689091</v>
      </c>
      <c r="T41">
        <f>scenario_jobcoeff_4506_iotable_2020_xlsx_3[[#This Row],[2043]]+scenario_jobcoeff_1610_iotable_2020_xlsx_3[[#This Row],[2043]]</f>
        <v>1038.8632422689091</v>
      </c>
      <c r="U41">
        <f>scenario_jobcoeff_4506_iotable_2020_xlsx_3[[#This Row],[2044]]+scenario_jobcoeff_1610_iotable_2020_xlsx_3[[#This Row],[2044]]</f>
        <v>1093.0057081113209</v>
      </c>
      <c r="V41">
        <f>scenario_jobcoeff_4506_iotable_2020_xlsx_3[[#This Row],[2045]]+scenario_jobcoeff_1610_iotable_2020_xlsx_3[[#This Row],[2045]]</f>
        <v>1093.0057081113209</v>
      </c>
      <c r="W41">
        <f>scenario_jobcoeff_4506_iotable_2020_xlsx_3[[#This Row],[2046]]+scenario_jobcoeff_1610_iotable_2020_xlsx_3[[#This Row],[2046]]</f>
        <v>1139.6683873790528</v>
      </c>
      <c r="X41">
        <f>scenario_jobcoeff_4506_iotable_2020_xlsx_3[[#This Row],[2047]]+scenario_jobcoeff_1610_iotable_2020_xlsx_3[[#This Row],[2047]]</f>
        <v>1139.6683873790528</v>
      </c>
      <c r="Y41">
        <f>scenario_jobcoeff_4506_iotable_2020_xlsx_3[[#This Row],[2048]]+scenario_jobcoeff_1610_iotable_2020_xlsx_3[[#This Row],[2048]]</f>
        <v>1139.6683873790528</v>
      </c>
      <c r="Z41">
        <f>scenario_jobcoeff_4506_iotable_2020_xlsx_3[[#This Row],[2049]]+scenario_jobcoeff_1610_iotable_2020_xlsx_3[[#This Row],[2049]]</f>
        <v>1139.6683873790528</v>
      </c>
      <c r="AA41">
        <f>scenario_jobcoeff_4506_iotable_2020_xlsx_3[[#This Row],[2050]]+scenario_jobcoeff_1610_iotable_2020_xlsx_3[[#This Row],[2050]]</f>
        <v>1139.6683873790528</v>
      </c>
    </row>
    <row r="42" spans="1:27" x14ac:dyDescent="0.2">
      <c r="A42" t="s">
        <v>198</v>
      </c>
      <c r="B42" t="s">
        <v>199</v>
      </c>
      <c r="C42">
        <f>scenario_jobcoeff_4506_iotable_2020_xlsx_3[[#This Row],[2026]]+scenario_jobcoeff_1610_iotable_2020_xlsx_3[[#This Row],[2026]]</f>
        <v>17.653442523289257</v>
      </c>
      <c r="D42">
        <f>scenario_jobcoeff_4506_iotable_2020_xlsx_3[[#This Row],[2027]]+scenario_jobcoeff_1610_iotable_2020_xlsx_3[[#This Row],[2027]]</f>
        <v>16.423242182839004</v>
      </c>
      <c r="E42">
        <f>scenario_jobcoeff_4506_iotable_2020_xlsx_3[[#This Row],[2028]]+scenario_jobcoeff_1610_iotable_2020_xlsx_3[[#This Row],[2028]]</f>
        <v>17.362824573485597</v>
      </c>
      <c r="F42">
        <f>scenario_jobcoeff_4506_iotable_2020_xlsx_3[[#This Row],[2029]]+scenario_jobcoeff_1610_iotable_2020_xlsx_3[[#This Row],[2029]]</f>
        <v>17.539594192854317</v>
      </c>
      <c r="G42">
        <f>scenario_jobcoeff_4506_iotable_2020_xlsx_3[[#This Row],[2030]]+scenario_jobcoeff_1610_iotable_2020_xlsx_3[[#This Row],[2030]]</f>
        <v>12.511063603648388</v>
      </c>
      <c r="H42">
        <f>scenario_jobcoeff_4506_iotable_2020_xlsx_3[[#This Row],[2031]]+scenario_jobcoeff_1610_iotable_2020_xlsx_3[[#This Row],[2031]]</f>
        <v>13.778747808127413</v>
      </c>
      <c r="I42">
        <f>scenario_jobcoeff_4506_iotable_2020_xlsx_3[[#This Row],[2032]]+scenario_jobcoeff_1610_iotable_2020_xlsx_3[[#This Row],[2032]]</f>
        <v>15.549181612105791</v>
      </c>
      <c r="J42">
        <f>scenario_jobcoeff_4506_iotable_2020_xlsx_3[[#This Row],[2033]]+scenario_jobcoeff_1610_iotable_2020_xlsx_3[[#This Row],[2033]]</f>
        <v>15.960932994349879</v>
      </c>
      <c r="K42">
        <f>scenario_jobcoeff_4506_iotable_2020_xlsx_3[[#This Row],[2034]]+scenario_jobcoeff_1610_iotable_2020_xlsx_3[[#This Row],[2034]]</f>
        <v>17.60841395606921</v>
      </c>
      <c r="L42">
        <f>scenario_jobcoeff_4506_iotable_2020_xlsx_3[[#This Row],[2035]]+scenario_jobcoeff_1610_iotable_2020_xlsx_3[[#This Row],[2035]]</f>
        <v>18.726196271707778</v>
      </c>
      <c r="M42">
        <f>scenario_jobcoeff_4506_iotable_2020_xlsx_3[[#This Row],[2036]]+scenario_jobcoeff_1610_iotable_2020_xlsx_3[[#This Row],[2036]]</f>
        <v>18.239698783292212</v>
      </c>
      <c r="N42">
        <f>scenario_jobcoeff_4506_iotable_2020_xlsx_3[[#This Row],[2037]]+scenario_jobcoeff_1610_iotable_2020_xlsx_3[[#This Row],[2037]]</f>
        <v>17.880966881121502</v>
      </c>
      <c r="O42">
        <f>scenario_jobcoeff_4506_iotable_2020_xlsx_3[[#This Row],[2038]]+scenario_jobcoeff_1610_iotable_2020_xlsx_3[[#This Row],[2038]]</f>
        <v>17.880966881121502</v>
      </c>
      <c r="P42">
        <f>scenario_jobcoeff_4506_iotable_2020_xlsx_3[[#This Row],[2039]]+scenario_jobcoeff_1610_iotable_2020_xlsx_3[[#This Row],[2039]]</f>
        <v>17.880966881121502</v>
      </c>
      <c r="Q42">
        <f>scenario_jobcoeff_4506_iotable_2020_xlsx_3[[#This Row],[2040]]+scenario_jobcoeff_1610_iotable_2020_xlsx_3[[#This Row],[2040]]</f>
        <v>17.554629949630623</v>
      </c>
      <c r="R42">
        <f>scenario_jobcoeff_4506_iotable_2020_xlsx_3[[#This Row],[2041]]+scenario_jobcoeff_1610_iotable_2020_xlsx_3[[#This Row],[2041]]</f>
        <v>17.554629949630623</v>
      </c>
      <c r="S42">
        <f>scenario_jobcoeff_4506_iotable_2020_xlsx_3[[#This Row],[2042]]+scenario_jobcoeff_1610_iotable_2020_xlsx_3[[#This Row],[2042]]</f>
        <v>17.230438754951855</v>
      </c>
      <c r="T42">
        <f>scenario_jobcoeff_4506_iotable_2020_xlsx_3[[#This Row],[2043]]+scenario_jobcoeff_1610_iotable_2020_xlsx_3[[#This Row],[2043]]</f>
        <v>17.230438754951855</v>
      </c>
      <c r="U42">
        <f>scenario_jobcoeff_4506_iotable_2020_xlsx_3[[#This Row],[2044]]+scenario_jobcoeff_1610_iotable_2020_xlsx_3[[#This Row],[2044]]</f>
        <v>16.813158603564318</v>
      </c>
      <c r="V42">
        <f>scenario_jobcoeff_4506_iotable_2020_xlsx_3[[#This Row],[2045]]+scenario_jobcoeff_1610_iotable_2020_xlsx_3[[#This Row],[2045]]</f>
        <v>16.813158603564318</v>
      </c>
      <c r="W42">
        <f>scenario_jobcoeff_4506_iotable_2020_xlsx_3[[#This Row],[2046]]+scenario_jobcoeff_1610_iotable_2020_xlsx_3[[#This Row],[2046]]</f>
        <v>16.492434141632941</v>
      </c>
      <c r="X42">
        <f>scenario_jobcoeff_4506_iotable_2020_xlsx_3[[#This Row],[2047]]+scenario_jobcoeff_1610_iotable_2020_xlsx_3[[#This Row],[2047]]</f>
        <v>16.492434141632941</v>
      </c>
      <c r="Y42">
        <f>scenario_jobcoeff_4506_iotable_2020_xlsx_3[[#This Row],[2048]]+scenario_jobcoeff_1610_iotable_2020_xlsx_3[[#This Row],[2048]]</f>
        <v>16.492434141632941</v>
      </c>
      <c r="Z42">
        <f>scenario_jobcoeff_4506_iotable_2020_xlsx_3[[#This Row],[2049]]+scenario_jobcoeff_1610_iotable_2020_xlsx_3[[#This Row],[2049]]</f>
        <v>16.492434141632941</v>
      </c>
      <c r="AA42">
        <f>scenario_jobcoeff_4506_iotable_2020_xlsx_3[[#This Row],[2050]]+scenario_jobcoeff_1610_iotable_2020_xlsx_3[[#This Row],[2050]]</f>
        <v>16.492434141632941</v>
      </c>
    </row>
    <row r="43" spans="1:27" x14ac:dyDescent="0.2">
      <c r="A43" t="s">
        <v>274</v>
      </c>
      <c r="B43" t="s">
        <v>275</v>
      </c>
      <c r="C43">
        <f>scenario_jobcoeff_4506_iotable_2020_xlsx_3[[#This Row],[2026]]+scenario_jobcoeff_1610_iotable_2020_xlsx_3[[#This Row],[2026]]</f>
        <v>2.0326739538935605</v>
      </c>
      <c r="D43">
        <f>scenario_jobcoeff_4506_iotable_2020_xlsx_3[[#This Row],[2027]]+scenario_jobcoeff_1610_iotable_2020_xlsx_3[[#This Row],[2027]]</f>
        <v>1.1431430408867422</v>
      </c>
      <c r="E43">
        <f>scenario_jobcoeff_4506_iotable_2020_xlsx_3[[#This Row],[2028]]+scenario_jobcoeff_1610_iotable_2020_xlsx_3[[#This Row],[2028]]</f>
        <v>1.2957807733667286</v>
      </c>
      <c r="F43">
        <f>scenario_jobcoeff_4506_iotable_2020_xlsx_3[[#This Row],[2029]]+scenario_jobcoeff_1610_iotable_2020_xlsx_3[[#This Row],[2029]]</f>
        <v>1.048624854742545</v>
      </c>
      <c r="G43">
        <f>scenario_jobcoeff_4506_iotable_2020_xlsx_3[[#This Row],[2030]]+scenario_jobcoeff_1610_iotable_2020_xlsx_3[[#This Row],[2030]]</f>
        <v>-2.1066664300612876</v>
      </c>
      <c r="H43">
        <f>scenario_jobcoeff_4506_iotable_2020_xlsx_3[[#This Row],[2031]]+scenario_jobcoeff_1610_iotable_2020_xlsx_3[[#This Row],[2031]]</f>
        <v>-1.9007276593918929</v>
      </c>
      <c r="I43">
        <f>scenario_jobcoeff_4506_iotable_2020_xlsx_3[[#This Row],[2032]]+scenario_jobcoeff_1610_iotable_2020_xlsx_3[[#This Row],[2032]]</f>
        <v>-1.613115839464947</v>
      </c>
      <c r="J43">
        <f>scenario_jobcoeff_4506_iotable_2020_xlsx_3[[#This Row],[2033]]+scenario_jobcoeff_1610_iotable_2020_xlsx_3[[#This Row],[2033]]</f>
        <v>-2.8507014461518576</v>
      </c>
      <c r="K43">
        <f>scenario_jobcoeff_4506_iotable_2020_xlsx_3[[#This Row],[2034]]+scenario_jobcoeff_1610_iotable_2020_xlsx_3[[#This Row],[2034]]</f>
        <v>-2.5830636521658139</v>
      </c>
      <c r="L43">
        <f>scenario_jobcoeff_4506_iotable_2020_xlsx_3[[#This Row],[2035]]+scenario_jobcoeff_1610_iotable_2020_xlsx_3[[#This Row],[2035]]</f>
        <v>-4.0527874917932891</v>
      </c>
      <c r="M43">
        <f>scenario_jobcoeff_4506_iotable_2020_xlsx_3[[#This Row],[2036]]+scenario_jobcoeff_1610_iotable_2020_xlsx_3[[#This Row],[2036]]</f>
        <v>-5.2157081378825882</v>
      </c>
      <c r="N43">
        <f>scenario_jobcoeff_4506_iotable_2020_xlsx_3[[#This Row],[2037]]+scenario_jobcoeff_1610_iotable_2020_xlsx_3[[#This Row],[2037]]</f>
        <v>-6.2215261111677886</v>
      </c>
      <c r="O43">
        <f>scenario_jobcoeff_4506_iotable_2020_xlsx_3[[#This Row],[2038]]+scenario_jobcoeff_1610_iotable_2020_xlsx_3[[#This Row],[2038]]</f>
        <v>-6.2215261111677886</v>
      </c>
      <c r="P43">
        <f>scenario_jobcoeff_4506_iotable_2020_xlsx_3[[#This Row],[2039]]+scenario_jobcoeff_1610_iotable_2020_xlsx_3[[#This Row],[2039]]</f>
        <v>-6.2215261111677886</v>
      </c>
      <c r="Q43">
        <f>scenario_jobcoeff_4506_iotable_2020_xlsx_3[[#This Row],[2040]]+scenario_jobcoeff_1610_iotable_2020_xlsx_3[[#This Row],[2040]]</f>
        <v>-7.106393195743701</v>
      </c>
      <c r="R43">
        <f>scenario_jobcoeff_4506_iotable_2020_xlsx_3[[#This Row],[2041]]+scenario_jobcoeff_1610_iotable_2020_xlsx_3[[#This Row],[2041]]</f>
        <v>-7.106393195743701</v>
      </c>
      <c r="S43">
        <f>scenario_jobcoeff_4506_iotable_2020_xlsx_3[[#This Row],[2042]]+scenario_jobcoeff_1610_iotable_2020_xlsx_3[[#This Row],[2042]]</f>
        <v>-8.0772188348150511</v>
      </c>
      <c r="T43">
        <f>scenario_jobcoeff_4506_iotable_2020_xlsx_3[[#This Row],[2043]]+scenario_jobcoeff_1610_iotable_2020_xlsx_3[[#This Row],[2043]]</f>
        <v>-8.0772188348150511</v>
      </c>
      <c r="U43">
        <f>scenario_jobcoeff_4506_iotable_2020_xlsx_3[[#This Row],[2044]]+scenario_jobcoeff_1610_iotable_2020_xlsx_3[[#This Row],[2044]]</f>
        <v>-9.0181772924253831</v>
      </c>
      <c r="V43">
        <f>scenario_jobcoeff_4506_iotable_2020_xlsx_3[[#This Row],[2045]]+scenario_jobcoeff_1610_iotable_2020_xlsx_3[[#This Row],[2045]]</f>
        <v>-9.0181772924253831</v>
      </c>
      <c r="W43">
        <f>scenario_jobcoeff_4506_iotable_2020_xlsx_3[[#This Row],[2046]]+scenario_jobcoeff_1610_iotable_2020_xlsx_3[[#This Row],[2046]]</f>
        <v>-9.8137597565298478</v>
      </c>
      <c r="X43">
        <f>scenario_jobcoeff_4506_iotable_2020_xlsx_3[[#This Row],[2047]]+scenario_jobcoeff_1610_iotable_2020_xlsx_3[[#This Row],[2047]]</f>
        <v>-9.8137597565298478</v>
      </c>
      <c r="Y43">
        <f>scenario_jobcoeff_4506_iotable_2020_xlsx_3[[#This Row],[2048]]+scenario_jobcoeff_1610_iotable_2020_xlsx_3[[#This Row],[2048]]</f>
        <v>-9.8137597565298478</v>
      </c>
      <c r="Z43">
        <f>scenario_jobcoeff_4506_iotable_2020_xlsx_3[[#This Row],[2049]]+scenario_jobcoeff_1610_iotable_2020_xlsx_3[[#This Row],[2049]]</f>
        <v>-9.8137597565298478</v>
      </c>
      <c r="AA43">
        <f>scenario_jobcoeff_4506_iotable_2020_xlsx_3[[#This Row],[2050]]+scenario_jobcoeff_1610_iotable_2020_xlsx_3[[#This Row],[2050]]</f>
        <v>-9.8137597565298478</v>
      </c>
    </row>
    <row r="44" spans="1:27" x14ac:dyDescent="0.2">
      <c r="A44" t="s">
        <v>224</v>
      </c>
      <c r="B44" t="s">
        <v>225</v>
      </c>
      <c r="C44">
        <f>scenario_jobcoeff_4506_iotable_2020_xlsx_3[[#This Row],[2026]]+scenario_jobcoeff_1610_iotable_2020_xlsx_3[[#This Row],[2026]]</f>
        <v>7.2474067706873173</v>
      </c>
      <c r="D44">
        <f>scenario_jobcoeff_4506_iotable_2020_xlsx_3[[#This Row],[2027]]+scenario_jobcoeff_1610_iotable_2020_xlsx_3[[#This Row],[2027]]</f>
        <v>4.5988987525144118</v>
      </c>
      <c r="E44">
        <f>scenario_jobcoeff_4506_iotable_2020_xlsx_3[[#This Row],[2028]]+scenario_jobcoeff_1610_iotable_2020_xlsx_3[[#This Row],[2028]]</f>
        <v>5.1120321558717325</v>
      </c>
      <c r="F44">
        <f>scenario_jobcoeff_4506_iotable_2020_xlsx_3[[#This Row],[2029]]+scenario_jobcoeff_1610_iotable_2020_xlsx_3[[#This Row],[2029]]</f>
        <v>4.4179072676350462</v>
      </c>
      <c r="G44">
        <f>scenario_jobcoeff_4506_iotable_2020_xlsx_3[[#This Row],[2030]]+scenario_jobcoeff_1610_iotable_2020_xlsx_3[[#This Row],[2030]]</f>
        <v>-5.0302639202505155</v>
      </c>
      <c r="H44">
        <f>scenario_jobcoeff_4506_iotable_2020_xlsx_3[[#This Row],[2031]]+scenario_jobcoeff_1610_iotable_2020_xlsx_3[[#This Row],[2031]]</f>
        <v>-4.3379445273987862</v>
      </c>
      <c r="I44">
        <f>scenario_jobcoeff_4506_iotable_2020_xlsx_3[[#This Row],[2032]]+scenario_jobcoeff_1610_iotable_2020_xlsx_3[[#This Row],[2032]]</f>
        <v>-3.3710588851198899</v>
      </c>
      <c r="J44">
        <f>scenario_jobcoeff_4506_iotable_2020_xlsx_3[[#This Row],[2033]]+scenario_jobcoeff_1610_iotable_2020_xlsx_3[[#This Row],[2033]]</f>
        <v>-6.8848783508345655</v>
      </c>
      <c r="K44">
        <f>scenario_jobcoeff_4506_iotable_2020_xlsx_3[[#This Row],[2034]]+scenario_jobcoeff_1610_iotable_2020_xlsx_3[[#This Row],[2034]]</f>
        <v>-5.9851408490794817</v>
      </c>
      <c r="L44">
        <f>scenario_jobcoeff_4506_iotable_2020_xlsx_3[[#This Row],[2035]]+scenario_jobcoeff_1610_iotable_2020_xlsx_3[[#This Row],[2035]]</f>
        <v>-10.107421322976677</v>
      </c>
      <c r="M44">
        <f>scenario_jobcoeff_4506_iotable_2020_xlsx_3[[#This Row],[2036]]+scenario_jobcoeff_1610_iotable_2020_xlsx_3[[#This Row],[2036]]</f>
        <v>-13.479585295758209</v>
      </c>
      <c r="N44">
        <f>scenario_jobcoeff_4506_iotable_2020_xlsx_3[[#This Row],[2037]]+scenario_jobcoeff_1610_iotable_2020_xlsx_3[[#This Row],[2037]]</f>
        <v>-16.391196387390167</v>
      </c>
      <c r="O44">
        <f>scenario_jobcoeff_4506_iotable_2020_xlsx_3[[#This Row],[2038]]+scenario_jobcoeff_1610_iotable_2020_xlsx_3[[#This Row],[2038]]</f>
        <v>-16.391196387390167</v>
      </c>
      <c r="P44">
        <f>scenario_jobcoeff_4506_iotable_2020_xlsx_3[[#This Row],[2039]]+scenario_jobcoeff_1610_iotable_2020_xlsx_3[[#This Row],[2039]]</f>
        <v>-16.391196387390167</v>
      </c>
      <c r="Q44">
        <f>scenario_jobcoeff_4506_iotable_2020_xlsx_3[[#This Row],[2040]]+scenario_jobcoeff_1610_iotable_2020_xlsx_3[[#This Row],[2040]]</f>
        <v>-18.953547702650908</v>
      </c>
      <c r="R44">
        <f>scenario_jobcoeff_4506_iotable_2020_xlsx_3[[#This Row],[2041]]+scenario_jobcoeff_1610_iotable_2020_xlsx_3[[#This Row],[2041]]</f>
        <v>-18.953547702650908</v>
      </c>
      <c r="S44">
        <f>scenario_jobcoeff_4506_iotable_2020_xlsx_3[[#This Row],[2042]]+scenario_jobcoeff_1610_iotable_2020_xlsx_3[[#This Row],[2042]]</f>
        <v>-21.762087483171953</v>
      </c>
      <c r="T44">
        <f>scenario_jobcoeff_4506_iotable_2020_xlsx_3[[#This Row],[2043]]+scenario_jobcoeff_1610_iotable_2020_xlsx_3[[#This Row],[2043]]</f>
        <v>-21.762087483171953</v>
      </c>
      <c r="U44">
        <f>scenario_jobcoeff_4506_iotable_2020_xlsx_3[[#This Row],[2044]]+scenario_jobcoeff_1610_iotable_2020_xlsx_3[[#This Row],[2044]]</f>
        <v>-24.492523157117105</v>
      </c>
      <c r="V44">
        <f>scenario_jobcoeff_4506_iotable_2020_xlsx_3[[#This Row],[2045]]+scenario_jobcoeff_1610_iotable_2020_xlsx_3[[#This Row],[2045]]</f>
        <v>-24.492523157117105</v>
      </c>
      <c r="W44">
        <f>scenario_jobcoeff_4506_iotable_2020_xlsx_3[[#This Row],[2046]]+scenario_jobcoeff_1610_iotable_2020_xlsx_3[[#This Row],[2046]]</f>
        <v>-26.798528561301929</v>
      </c>
      <c r="X44">
        <f>scenario_jobcoeff_4506_iotable_2020_xlsx_3[[#This Row],[2047]]+scenario_jobcoeff_1610_iotable_2020_xlsx_3[[#This Row],[2047]]</f>
        <v>-26.798528561301929</v>
      </c>
      <c r="Y44">
        <f>scenario_jobcoeff_4506_iotable_2020_xlsx_3[[#This Row],[2048]]+scenario_jobcoeff_1610_iotable_2020_xlsx_3[[#This Row],[2048]]</f>
        <v>-26.798528561301929</v>
      </c>
      <c r="Z44">
        <f>scenario_jobcoeff_4506_iotable_2020_xlsx_3[[#This Row],[2049]]+scenario_jobcoeff_1610_iotable_2020_xlsx_3[[#This Row],[2049]]</f>
        <v>-26.798528561301929</v>
      </c>
      <c r="AA44">
        <f>scenario_jobcoeff_4506_iotable_2020_xlsx_3[[#This Row],[2050]]+scenario_jobcoeff_1610_iotable_2020_xlsx_3[[#This Row],[2050]]</f>
        <v>-26.798528561301929</v>
      </c>
    </row>
    <row r="45" spans="1:27" x14ac:dyDescent="0.2">
      <c r="A45" t="s">
        <v>264</v>
      </c>
      <c r="B45" t="s">
        <v>265</v>
      </c>
      <c r="C45">
        <f>scenario_jobcoeff_4506_iotable_2020_xlsx_3[[#This Row],[2026]]+scenario_jobcoeff_1610_iotable_2020_xlsx_3[[#This Row],[2026]]</f>
        <v>4.0386993422715731</v>
      </c>
      <c r="D45">
        <f>scenario_jobcoeff_4506_iotable_2020_xlsx_3[[#This Row],[2027]]+scenario_jobcoeff_1610_iotable_2020_xlsx_3[[#This Row],[2027]]</f>
        <v>3.8259959010078122</v>
      </c>
      <c r="E45">
        <f>scenario_jobcoeff_4506_iotable_2020_xlsx_3[[#This Row],[2028]]+scenario_jobcoeff_1610_iotable_2020_xlsx_3[[#This Row],[2028]]</f>
        <v>4.0368651020653488</v>
      </c>
      <c r="F45">
        <f>scenario_jobcoeff_4506_iotable_2020_xlsx_3[[#This Row],[2029]]+scenario_jobcoeff_1610_iotable_2020_xlsx_3[[#This Row],[2029]]</f>
        <v>4.1018927712317819</v>
      </c>
      <c r="G45">
        <f>scenario_jobcoeff_4506_iotable_2020_xlsx_3[[#This Row],[2030]]+scenario_jobcoeff_1610_iotable_2020_xlsx_3[[#This Row],[2030]]</f>
        <v>3.1882685740913828</v>
      </c>
      <c r="H45">
        <f>scenario_jobcoeff_4506_iotable_2020_xlsx_3[[#This Row],[2031]]+scenario_jobcoeff_1610_iotable_2020_xlsx_3[[#This Row],[2031]]</f>
        <v>3.4727732200413706</v>
      </c>
      <c r="I45">
        <f>scenario_jobcoeff_4506_iotable_2020_xlsx_3[[#This Row],[2032]]+scenario_jobcoeff_1610_iotable_2020_xlsx_3[[#This Row],[2032]]</f>
        <v>3.8701092764496487</v>
      </c>
      <c r="J45">
        <f>scenario_jobcoeff_4506_iotable_2020_xlsx_3[[#This Row],[2033]]+scenario_jobcoeff_1610_iotable_2020_xlsx_3[[#This Row],[2033]]</f>
        <v>4.0824126835047139</v>
      </c>
      <c r="K45">
        <f>scenario_jobcoeff_4506_iotable_2020_xlsx_3[[#This Row],[2034]]+scenario_jobcoeff_1610_iotable_2020_xlsx_3[[#This Row],[2034]]</f>
        <v>4.4521546003537384</v>
      </c>
      <c r="L45">
        <f>scenario_jobcoeff_4506_iotable_2020_xlsx_3[[#This Row],[2035]]+scenario_jobcoeff_1610_iotable_2020_xlsx_3[[#This Row],[2035]]</f>
        <v>4.8547892297573352</v>
      </c>
      <c r="M45">
        <f>scenario_jobcoeff_4506_iotable_2020_xlsx_3[[#This Row],[2036]]+scenario_jobcoeff_1610_iotable_2020_xlsx_3[[#This Row],[2036]]</f>
        <v>4.8452255830109738</v>
      </c>
      <c r="N45">
        <f>scenario_jobcoeff_4506_iotable_2020_xlsx_3[[#This Row],[2037]]+scenario_jobcoeff_1610_iotable_2020_xlsx_3[[#This Row],[2037]]</f>
        <v>4.8518045339335014</v>
      </c>
      <c r="O45">
        <f>scenario_jobcoeff_4506_iotable_2020_xlsx_3[[#This Row],[2038]]+scenario_jobcoeff_1610_iotable_2020_xlsx_3[[#This Row],[2038]]</f>
        <v>4.8518045339335014</v>
      </c>
      <c r="P45">
        <f>scenario_jobcoeff_4506_iotable_2020_xlsx_3[[#This Row],[2039]]+scenario_jobcoeff_1610_iotable_2020_xlsx_3[[#This Row],[2039]]</f>
        <v>4.8518045339335014</v>
      </c>
      <c r="Q45">
        <f>scenario_jobcoeff_4506_iotable_2020_xlsx_3[[#This Row],[2040]]+scenario_jobcoeff_1610_iotable_2020_xlsx_3[[#This Row],[2040]]</f>
        <v>4.8550209172730128</v>
      </c>
      <c r="R45">
        <f>scenario_jobcoeff_4506_iotable_2020_xlsx_3[[#This Row],[2041]]+scenario_jobcoeff_1610_iotable_2020_xlsx_3[[#This Row],[2041]]</f>
        <v>4.8550209172730128</v>
      </c>
      <c r="S45">
        <f>scenario_jobcoeff_4506_iotable_2020_xlsx_3[[#This Row],[2042]]+scenario_jobcoeff_1610_iotable_2020_xlsx_3[[#This Row],[2042]]</f>
        <v>4.866651369912999</v>
      </c>
      <c r="T45">
        <f>scenario_jobcoeff_4506_iotable_2020_xlsx_3[[#This Row],[2043]]+scenario_jobcoeff_1610_iotable_2020_xlsx_3[[#This Row],[2043]]</f>
        <v>4.866651369912999</v>
      </c>
      <c r="U45">
        <f>scenario_jobcoeff_4506_iotable_2020_xlsx_3[[#This Row],[2044]]+scenario_jobcoeff_1610_iotable_2020_xlsx_3[[#This Row],[2044]]</f>
        <v>4.8532549793615942</v>
      </c>
      <c r="V45">
        <f>scenario_jobcoeff_4506_iotable_2020_xlsx_3[[#This Row],[2045]]+scenario_jobcoeff_1610_iotable_2020_xlsx_3[[#This Row],[2045]]</f>
        <v>4.8532549793615942</v>
      </c>
      <c r="W45">
        <f>scenario_jobcoeff_4506_iotable_2020_xlsx_3[[#This Row],[2046]]+scenario_jobcoeff_1610_iotable_2020_xlsx_3[[#This Row],[2046]]</f>
        <v>4.84960859605183</v>
      </c>
      <c r="X45">
        <f>scenario_jobcoeff_4506_iotable_2020_xlsx_3[[#This Row],[2047]]+scenario_jobcoeff_1610_iotable_2020_xlsx_3[[#This Row],[2047]]</f>
        <v>4.84960859605183</v>
      </c>
      <c r="Y45">
        <f>scenario_jobcoeff_4506_iotable_2020_xlsx_3[[#This Row],[2048]]+scenario_jobcoeff_1610_iotable_2020_xlsx_3[[#This Row],[2048]]</f>
        <v>4.84960859605183</v>
      </c>
      <c r="Z45">
        <f>scenario_jobcoeff_4506_iotable_2020_xlsx_3[[#This Row],[2049]]+scenario_jobcoeff_1610_iotable_2020_xlsx_3[[#This Row],[2049]]</f>
        <v>4.84960859605183</v>
      </c>
      <c r="AA45">
        <f>scenario_jobcoeff_4506_iotable_2020_xlsx_3[[#This Row],[2050]]+scenario_jobcoeff_1610_iotable_2020_xlsx_3[[#This Row],[2050]]</f>
        <v>4.84960859605183</v>
      </c>
    </row>
    <row r="46" spans="1:27" x14ac:dyDescent="0.2">
      <c r="A46" t="s">
        <v>214</v>
      </c>
      <c r="B46" t="s">
        <v>215</v>
      </c>
      <c r="C46">
        <f>scenario_jobcoeff_4506_iotable_2020_xlsx_3[[#This Row],[2026]]+scenario_jobcoeff_1610_iotable_2020_xlsx_3[[#This Row],[2026]]</f>
        <v>14.114334929339789</v>
      </c>
      <c r="D46">
        <f>scenario_jobcoeff_4506_iotable_2020_xlsx_3[[#This Row],[2027]]+scenario_jobcoeff_1610_iotable_2020_xlsx_3[[#This Row],[2027]]</f>
        <v>14.390813729169832</v>
      </c>
      <c r="E46">
        <f>scenario_jobcoeff_4506_iotable_2020_xlsx_3[[#This Row],[2028]]+scenario_jobcoeff_1610_iotable_2020_xlsx_3[[#This Row],[2028]]</f>
        <v>15.06713889168514</v>
      </c>
      <c r="F46">
        <f>scenario_jobcoeff_4506_iotable_2020_xlsx_3[[#This Row],[2029]]+scenario_jobcoeff_1610_iotable_2020_xlsx_3[[#This Row],[2029]]</f>
        <v>15.659178306236631</v>
      </c>
      <c r="G46">
        <f>scenario_jobcoeff_4506_iotable_2020_xlsx_3[[#This Row],[2030]]+scenario_jobcoeff_1610_iotable_2020_xlsx_3[[#This Row],[2030]]</f>
        <v>15.979358965078333</v>
      </c>
      <c r="H46">
        <f>scenario_jobcoeff_4506_iotable_2020_xlsx_3[[#This Row],[2031]]+scenario_jobcoeff_1610_iotable_2020_xlsx_3[[#This Row],[2031]]</f>
        <v>16.891856617383581</v>
      </c>
      <c r="I46">
        <f>scenario_jobcoeff_4506_iotable_2020_xlsx_3[[#This Row],[2032]]+scenario_jobcoeff_1610_iotable_2020_xlsx_3[[#This Row],[2032]]</f>
        <v>18.166240792862077</v>
      </c>
      <c r="J46">
        <f>scenario_jobcoeff_4506_iotable_2020_xlsx_3[[#This Row],[2033]]+scenario_jobcoeff_1610_iotable_2020_xlsx_3[[#This Row],[2033]]</f>
        <v>20.660443330794305</v>
      </c>
      <c r="K46">
        <f>scenario_jobcoeff_4506_iotable_2020_xlsx_3[[#This Row],[2034]]+scenario_jobcoeff_1610_iotable_2020_xlsx_3[[#This Row],[2034]]</f>
        <v>21.846324250091786</v>
      </c>
      <c r="L46">
        <f>scenario_jobcoeff_4506_iotable_2020_xlsx_3[[#This Row],[2035]]+scenario_jobcoeff_1610_iotable_2020_xlsx_3[[#This Row],[2035]]</f>
        <v>25.43309548843753</v>
      </c>
      <c r="M46">
        <f>scenario_jobcoeff_4506_iotable_2020_xlsx_3[[#This Row],[2036]]+scenario_jobcoeff_1610_iotable_2020_xlsx_3[[#This Row],[2036]]</f>
        <v>26.909072481215507</v>
      </c>
      <c r="N46">
        <f>scenario_jobcoeff_4506_iotable_2020_xlsx_3[[#This Row],[2037]]+scenario_jobcoeff_1610_iotable_2020_xlsx_3[[#This Row],[2037]]</f>
        <v>28.24729603880915</v>
      </c>
      <c r="O46">
        <f>scenario_jobcoeff_4506_iotable_2020_xlsx_3[[#This Row],[2038]]+scenario_jobcoeff_1610_iotable_2020_xlsx_3[[#This Row],[2038]]</f>
        <v>28.24729603880915</v>
      </c>
      <c r="P46">
        <f>scenario_jobcoeff_4506_iotable_2020_xlsx_3[[#This Row],[2039]]+scenario_jobcoeff_1610_iotable_2020_xlsx_3[[#This Row],[2039]]</f>
        <v>28.24729603880915</v>
      </c>
      <c r="Q46">
        <f>scenario_jobcoeff_4506_iotable_2020_xlsx_3[[#This Row],[2040]]+scenario_jobcoeff_1610_iotable_2020_xlsx_3[[#This Row],[2040]]</f>
        <v>29.413923136340756</v>
      </c>
      <c r="R46">
        <f>scenario_jobcoeff_4506_iotable_2020_xlsx_3[[#This Row],[2041]]+scenario_jobcoeff_1610_iotable_2020_xlsx_3[[#This Row],[2041]]</f>
        <v>29.413923136340756</v>
      </c>
      <c r="S46">
        <f>scenario_jobcoeff_4506_iotable_2020_xlsx_3[[#This Row],[2042]]+scenario_jobcoeff_1610_iotable_2020_xlsx_3[[#This Row],[2042]]</f>
        <v>30.727507484607223</v>
      </c>
      <c r="T46">
        <f>scenario_jobcoeff_4506_iotable_2020_xlsx_3[[#This Row],[2043]]+scenario_jobcoeff_1610_iotable_2020_xlsx_3[[#This Row],[2043]]</f>
        <v>30.727507484607223</v>
      </c>
      <c r="U46">
        <f>scenario_jobcoeff_4506_iotable_2020_xlsx_3[[#This Row],[2044]]+scenario_jobcoeff_1610_iotable_2020_xlsx_3[[#This Row],[2044]]</f>
        <v>31.898285048754911</v>
      </c>
      <c r="V46">
        <f>scenario_jobcoeff_4506_iotable_2020_xlsx_3[[#This Row],[2045]]+scenario_jobcoeff_1610_iotable_2020_xlsx_3[[#This Row],[2045]]</f>
        <v>31.898285048754911</v>
      </c>
      <c r="W46">
        <f>scenario_jobcoeff_4506_iotable_2020_xlsx_3[[#This Row],[2046]]+scenario_jobcoeff_1610_iotable_2020_xlsx_3[[#This Row],[2046]]</f>
        <v>32.920058975333042</v>
      </c>
      <c r="X46">
        <f>scenario_jobcoeff_4506_iotable_2020_xlsx_3[[#This Row],[2047]]+scenario_jobcoeff_1610_iotable_2020_xlsx_3[[#This Row],[2047]]</f>
        <v>32.920058975333042</v>
      </c>
      <c r="Y46">
        <f>scenario_jobcoeff_4506_iotable_2020_xlsx_3[[#This Row],[2048]]+scenario_jobcoeff_1610_iotable_2020_xlsx_3[[#This Row],[2048]]</f>
        <v>32.920058975333042</v>
      </c>
      <c r="Z46">
        <f>scenario_jobcoeff_4506_iotable_2020_xlsx_3[[#This Row],[2049]]+scenario_jobcoeff_1610_iotable_2020_xlsx_3[[#This Row],[2049]]</f>
        <v>32.920058975333042</v>
      </c>
      <c r="AA46">
        <f>scenario_jobcoeff_4506_iotable_2020_xlsx_3[[#This Row],[2050]]+scenario_jobcoeff_1610_iotable_2020_xlsx_3[[#This Row],[2050]]</f>
        <v>32.920058975333042</v>
      </c>
    </row>
    <row r="47" spans="1:27" x14ac:dyDescent="0.2">
      <c r="A47" t="s">
        <v>174</v>
      </c>
      <c r="B47" t="s">
        <v>175</v>
      </c>
      <c r="C47">
        <f>scenario_jobcoeff_4506_iotable_2020_xlsx_3[[#This Row],[2026]]+scenario_jobcoeff_1610_iotable_2020_xlsx_3[[#This Row],[2026]]</f>
        <v>19.782351427117398</v>
      </c>
      <c r="D47">
        <f>scenario_jobcoeff_4506_iotable_2020_xlsx_3[[#This Row],[2027]]+scenario_jobcoeff_1610_iotable_2020_xlsx_3[[#This Row],[2027]]</f>
        <v>14.876735888329833</v>
      </c>
      <c r="E47">
        <f>scenario_jobcoeff_4506_iotable_2020_xlsx_3[[#This Row],[2028]]+scenario_jobcoeff_1610_iotable_2020_xlsx_3[[#This Row],[2028]]</f>
        <v>16.139261622394773</v>
      </c>
      <c r="F47">
        <f>scenario_jobcoeff_4506_iotable_2020_xlsx_3[[#This Row],[2029]]+scenario_jobcoeff_1610_iotable_2020_xlsx_3[[#This Row],[2029]]</f>
        <v>15.075755010078097</v>
      </c>
      <c r="G47">
        <f>scenario_jobcoeff_4506_iotable_2020_xlsx_3[[#This Row],[2030]]+scenario_jobcoeff_1610_iotable_2020_xlsx_3[[#This Row],[2030]]</f>
        <v>-2.7091443031338116</v>
      </c>
      <c r="H47">
        <f>scenario_jobcoeff_4506_iotable_2020_xlsx_3[[#This Row],[2031]]+scenario_jobcoeff_1610_iotable_2020_xlsx_3[[#This Row],[2031]]</f>
        <v>-1.005745062412629</v>
      </c>
      <c r="I47">
        <f>scenario_jobcoeff_4506_iotable_2020_xlsx_3[[#This Row],[2032]]+scenario_jobcoeff_1610_iotable_2020_xlsx_3[[#This Row],[2032]]</f>
        <v>1.3732035643735472</v>
      </c>
      <c r="J47">
        <f>scenario_jobcoeff_4506_iotable_2020_xlsx_3[[#This Row],[2033]]+scenario_jobcoeff_1610_iotable_2020_xlsx_3[[#This Row],[2033]]</f>
        <v>-4.2255164081478185</v>
      </c>
      <c r="K47">
        <f>scenario_jobcoeff_4506_iotable_2020_xlsx_3[[#This Row],[2034]]+scenario_jobcoeff_1610_iotable_2020_xlsx_3[[#This Row],[2034]]</f>
        <v>-2.0117806769775868</v>
      </c>
      <c r="L47">
        <f>scenario_jobcoeff_4506_iotable_2020_xlsx_3[[#This Row],[2035]]+scenario_jobcoeff_1610_iotable_2020_xlsx_3[[#This Row],[2035]]</f>
        <v>-8.2974965820628199</v>
      </c>
      <c r="M47">
        <f>scenario_jobcoeff_4506_iotable_2020_xlsx_3[[#This Row],[2036]]+scenario_jobcoeff_1610_iotable_2020_xlsx_3[[#This Row],[2036]]</f>
        <v>-14.062894637406444</v>
      </c>
      <c r="N47">
        <f>scenario_jobcoeff_4506_iotable_2020_xlsx_3[[#This Row],[2037]]+scenario_jobcoeff_1610_iotable_2020_xlsx_3[[#This Row],[2037]]</f>
        <v>-19.013592293651115</v>
      </c>
      <c r="O47">
        <f>scenario_jobcoeff_4506_iotable_2020_xlsx_3[[#This Row],[2038]]+scenario_jobcoeff_1610_iotable_2020_xlsx_3[[#This Row],[2038]]</f>
        <v>-19.013592293651115</v>
      </c>
      <c r="P47">
        <f>scenario_jobcoeff_4506_iotable_2020_xlsx_3[[#This Row],[2039]]+scenario_jobcoeff_1610_iotable_2020_xlsx_3[[#This Row],[2039]]</f>
        <v>-19.013592293651115</v>
      </c>
      <c r="Q47">
        <f>scenario_jobcoeff_4506_iotable_2020_xlsx_3[[#This Row],[2040]]+scenario_jobcoeff_1610_iotable_2020_xlsx_3[[#This Row],[2040]]</f>
        <v>-23.375167118124295</v>
      </c>
      <c r="R47">
        <f>scenario_jobcoeff_4506_iotable_2020_xlsx_3[[#This Row],[2041]]+scenario_jobcoeff_1610_iotable_2020_xlsx_3[[#This Row],[2041]]</f>
        <v>-23.375167118124295</v>
      </c>
      <c r="S47">
        <f>scenario_jobcoeff_4506_iotable_2020_xlsx_3[[#This Row],[2042]]+scenario_jobcoeff_1610_iotable_2020_xlsx_3[[#This Row],[2042]]</f>
        <v>-28.140888873908892</v>
      </c>
      <c r="T47">
        <f>scenario_jobcoeff_4506_iotable_2020_xlsx_3[[#This Row],[2043]]+scenario_jobcoeff_1610_iotable_2020_xlsx_3[[#This Row],[2043]]</f>
        <v>-28.140888873908892</v>
      </c>
      <c r="U47">
        <f>scenario_jobcoeff_4506_iotable_2020_xlsx_3[[#This Row],[2044]]+scenario_jobcoeff_1610_iotable_2020_xlsx_3[[#This Row],[2044]]</f>
        <v>-32.819520552710046</v>
      </c>
      <c r="V47">
        <f>scenario_jobcoeff_4506_iotable_2020_xlsx_3[[#This Row],[2045]]+scenario_jobcoeff_1610_iotable_2020_xlsx_3[[#This Row],[2045]]</f>
        <v>-32.819520552710046</v>
      </c>
      <c r="W47">
        <f>scenario_jobcoeff_4506_iotable_2020_xlsx_3[[#This Row],[2046]]+scenario_jobcoeff_1610_iotable_2020_xlsx_3[[#This Row],[2046]]</f>
        <v>-36.756781578708967</v>
      </c>
      <c r="X47">
        <f>scenario_jobcoeff_4506_iotable_2020_xlsx_3[[#This Row],[2047]]+scenario_jobcoeff_1610_iotable_2020_xlsx_3[[#This Row],[2047]]</f>
        <v>-36.756781578708967</v>
      </c>
      <c r="Y47">
        <f>scenario_jobcoeff_4506_iotable_2020_xlsx_3[[#This Row],[2048]]+scenario_jobcoeff_1610_iotable_2020_xlsx_3[[#This Row],[2048]]</f>
        <v>-36.756781578708967</v>
      </c>
      <c r="Z47">
        <f>scenario_jobcoeff_4506_iotable_2020_xlsx_3[[#This Row],[2049]]+scenario_jobcoeff_1610_iotable_2020_xlsx_3[[#This Row],[2049]]</f>
        <v>-36.756781578708967</v>
      </c>
      <c r="AA47">
        <f>scenario_jobcoeff_4506_iotable_2020_xlsx_3[[#This Row],[2050]]+scenario_jobcoeff_1610_iotable_2020_xlsx_3[[#This Row],[2050]]</f>
        <v>-36.756781578708967</v>
      </c>
    </row>
    <row r="48" spans="1:27" x14ac:dyDescent="0.2">
      <c r="A48" t="s">
        <v>124</v>
      </c>
      <c r="B48" t="s">
        <v>125</v>
      </c>
      <c r="C48">
        <f>scenario_jobcoeff_4506_iotable_2020_xlsx_3[[#This Row],[2026]]+scenario_jobcoeff_1610_iotable_2020_xlsx_3[[#This Row],[2026]]</f>
        <v>51.094097207661967</v>
      </c>
      <c r="D48">
        <f>scenario_jobcoeff_4506_iotable_2020_xlsx_3[[#This Row],[2027]]+scenario_jobcoeff_1610_iotable_2020_xlsx_3[[#This Row],[2027]]</f>
        <v>39.432605629081181</v>
      </c>
      <c r="E48">
        <f>scenario_jobcoeff_4506_iotable_2020_xlsx_3[[#This Row],[2028]]+scenario_jobcoeff_1610_iotable_2020_xlsx_3[[#This Row],[2028]]</f>
        <v>42.633513717513232</v>
      </c>
      <c r="F48">
        <f>scenario_jobcoeff_4506_iotable_2020_xlsx_3[[#This Row],[2029]]+scenario_jobcoeff_1610_iotable_2020_xlsx_3[[#This Row],[2029]]</f>
        <v>40.247510565236276</v>
      </c>
      <c r="G48">
        <f>scenario_jobcoeff_4506_iotable_2020_xlsx_3[[#This Row],[2030]]+scenario_jobcoeff_1610_iotable_2020_xlsx_3[[#This Row],[2030]]</f>
        <v>-2.2124745014925509</v>
      </c>
      <c r="H48">
        <f>scenario_jobcoeff_4506_iotable_2020_xlsx_3[[#This Row],[2031]]+scenario_jobcoeff_1610_iotable_2020_xlsx_3[[#This Row],[2031]]</f>
        <v>2.1061894752790948</v>
      </c>
      <c r="I48">
        <f>scenario_jobcoeff_4506_iotable_2020_xlsx_3[[#This Row],[2032]]+scenario_jobcoeff_1610_iotable_2020_xlsx_3[[#This Row],[2032]]</f>
        <v>8.1375880408568122</v>
      </c>
      <c r="J48">
        <f>scenario_jobcoeff_4506_iotable_2020_xlsx_3[[#This Row],[2033]]+scenario_jobcoeff_1610_iotable_2020_xlsx_3[[#This Row],[2033]]</f>
        <v>-4.5895672227960631</v>
      </c>
      <c r="K48">
        <f>scenario_jobcoeff_4506_iotable_2020_xlsx_3[[#This Row],[2034]]+scenario_jobcoeff_1610_iotable_2020_xlsx_3[[#This Row],[2034]]</f>
        <v>1.0229636083492721</v>
      </c>
      <c r="L48">
        <f>scenario_jobcoeff_4506_iotable_2020_xlsx_3[[#This Row],[2035]]+scenario_jobcoeff_1610_iotable_2020_xlsx_3[[#This Row],[2035]]</f>
        <v>-13.055794298826072</v>
      </c>
      <c r="M48">
        <f>scenario_jobcoeff_4506_iotable_2020_xlsx_3[[#This Row],[2036]]+scenario_jobcoeff_1610_iotable_2020_xlsx_3[[#This Row],[2036]]</f>
        <v>-26.453670158731938</v>
      </c>
      <c r="N48">
        <f>scenario_jobcoeff_4506_iotable_2020_xlsx_3[[#This Row],[2037]]+scenario_jobcoeff_1610_iotable_2020_xlsx_3[[#This Row],[2037]]</f>
        <v>-37.939394686391779</v>
      </c>
      <c r="O48">
        <f>scenario_jobcoeff_4506_iotable_2020_xlsx_3[[#This Row],[2038]]+scenario_jobcoeff_1610_iotable_2020_xlsx_3[[#This Row],[2038]]</f>
        <v>-37.939394686391779</v>
      </c>
      <c r="P48">
        <f>scenario_jobcoeff_4506_iotable_2020_xlsx_3[[#This Row],[2039]]+scenario_jobcoeff_1610_iotable_2020_xlsx_3[[#This Row],[2039]]</f>
        <v>-37.939394686391779</v>
      </c>
      <c r="Q48">
        <f>scenario_jobcoeff_4506_iotable_2020_xlsx_3[[#This Row],[2040]]+scenario_jobcoeff_1610_iotable_2020_xlsx_3[[#This Row],[2040]]</f>
        <v>-48.061640735011309</v>
      </c>
      <c r="R48">
        <f>scenario_jobcoeff_4506_iotable_2020_xlsx_3[[#This Row],[2041]]+scenario_jobcoeff_1610_iotable_2020_xlsx_3[[#This Row],[2041]]</f>
        <v>-48.061640735011309</v>
      </c>
      <c r="S48">
        <f>scenario_jobcoeff_4506_iotable_2020_xlsx_3[[#This Row],[2042]]+scenario_jobcoeff_1610_iotable_2020_xlsx_3[[#This Row],[2042]]</f>
        <v>-59.111442601532815</v>
      </c>
      <c r="T48">
        <f>scenario_jobcoeff_4506_iotable_2020_xlsx_3[[#This Row],[2043]]+scenario_jobcoeff_1610_iotable_2020_xlsx_3[[#This Row],[2043]]</f>
        <v>-59.111442601532815</v>
      </c>
      <c r="U48">
        <f>scenario_jobcoeff_4506_iotable_2020_xlsx_3[[#This Row],[2044]]+scenario_jobcoeff_1610_iotable_2020_xlsx_3[[#This Row],[2044]]</f>
        <v>-69.991051863516333</v>
      </c>
      <c r="V48">
        <f>scenario_jobcoeff_4506_iotable_2020_xlsx_3[[#This Row],[2045]]+scenario_jobcoeff_1610_iotable_2020_xlsx_3[[#This Row],[2045]]</f>
        <v>-69.991051863516333</v>
      </c>
      <c r="W48">
        <f>scenario_jobcoeff_4506_iotable_2020_xlsx_3[[#This Row],[2046]]+scenario_jobcoeff_1610_iotable_2020_xlsx_3[[#This Row],[2046]]</f>
        <v>-79.136936332513301</v>
      </c>
      <c r="X48">
        <f>scenario_jobcoeff_4506_iotable_2020_xlsx_3[[#This Row],[2047]]+scenario_jobcoeff_1610_iotable_2020_xlsx_3[[#This Row],[2047]]</f>
        <v>-79.136936332513301</v>
      </c>
      <c r="Y48">
        <f>scenario_jobcoeff_4506_iotable_2020_xlsx_3[[#This Row],[2048]]+scenario_jobcoeff_1610_iotable_2020_xlsx_3[[#This Row],[2048]]</f>
        <v>-79.136936332513301</v>
      </c>
      <c r="Z48">
        <f>scenario_jobcoeff_4506_iotable_2020_xlsx_3[[#This Row],[2049]]+scenario_jobcoeff_1610_iotable_2020_xlsx_3[[#This Row],[2049]]</f>
        <v>-79.136936332513301</v>
      </c>
      <c r="AA48">
        <f>scenario_jobcoeff_4506_iotable_2020_xlsx_3[[#This Row],[2050]]+scenario_jobcoeff_1610_iotable_2020_xlsx_3[[#This Row],[2050]]</f>
        <v>-79.136936332513301</v>
      </c>
    </row>
    <row r="49" spans="1:27" x14ac:dyDescent="0.2">
      <c r="A49" t="s">
        <v>166</v>
      </c>
      <c r="B49" t="s">
        <v>167</v>
      </c>
      <c r="C49">
        <f>scenario_jobcoeff_4506_iotable_2020_xlsx_3[[#This Row],[2026]]+scenario_jobcoeff_1610_iotable_2020_xlsx_3[[#This Row],[2026]]</f>
        <v>27.863741166822397</v>
      </c>
      <c r="D49">
        <f>scenario_jobcoeff_4506_iotable_2020_xlsx_3[[#This Row],[2027]]+scenario_jobcoeff_1610_iotable_2020_xlsx_3[[#This Row],[2027]]</f>
        <v>27.856424146299183</v>
      </c>
      <c r="E49">
        <f>scenario_jobcoeff_4506_iotable_2020_xlsx_3[[#This Row],[2028]]+scenario_jobcoeff_1610_iotable_2020_xlsx_3[[#This Row],[2028]]</f>
        <v>29.224463650537739</v>
      </c>
      <c r="F49">
        <f>scenario_jobcoeff_4506_iotable_2020_xlsx_3[[#This Row],[2029]]+scenario_jobcoeff_1610_iotable_2020_xlsx_3[[#This Row],[2029]]</f>
        <v>30.195387528464686</v>
      </c>
      <c r="G49">
        <f>scenario_jobcoeff_4506_iotable_2020_xlsx_3[[#This Row],[2030]]+scenario_jobcoeff_1610_iotable_2020_xlsx_3[[#This Row],[2030]]</f>
        <v>28.92207076492986</v>
      </c>
      <c r="H49">
        <f>scenario_jobcoeff_4506_iotable_2020_xlsx_3[[#This Row],[2031]]+scenario_jobcoeff_1610_iotable_2020_xlsx_3[[#This Row],[2031]]</f>
        <v>30.767829144280803</v>
      </c>
      <c r="I49">
        <f>scenario_jobcoeff_4506_iotable_2020_xlsx_3[[#This Row],[2032]]+scenario_jobcoeff_1610_iotable_2020_xlsx_3[[#This Row],[2032]]</f>
        <v>33.345594976838626</v>
      </c>
      <c r="J49">
        <f>scenario_jobcoeff_4506_iotable_2020_xlsx_3[[#This Row],[2033]]+scenario_jobcoeff_1610_iotable_2020_xlsx_3[[#This Row],[2033]]</f>
        <v>37.319141159660241</v>
      </c>
      <c r="K49">
        <f>scenario_jobcoeff_4506_iotable_2020_xlsx_3[[#This Row],[2034]]+scenario_jobcoeff_1610_iotable_2020_xlsx_3[[#This Row],[2034]]</f>
        <v>39.717886666759384</v>
      </c>
      <c r="L49">
        <f>scenario_jobcoeff_4506_iotable_2020_xlsx_3[[#This Row],[2035]]+scenario_jobcoeff_1610_iotable_2020_xlsx_3[[#This Row],[2035]]</f>
        <v>45.616509691525494</v>
      </c>
      <c r="M49">
        <f>scenario_jobcoeff_4506_iotable_2020_xlsx_3[[#This Row],[2036]]+scenario_jobcoeff_1610_iotable_2020_xlsx_3[[#This Row],[2036]]</f>
        <v>47.711646502303068</v>
      </c>
      <c r="N49">
        <f>scenario_jobcoeff_4506_iotable_2020_xlsx_3[[#This Row],[2037]]+scenario_jobcoeff_1610_iotable_2020_xlsx_3[[#This Row],[2037]]</f>
        <v>49.640149362008437</v>
      </c>
      <c r="O49">
        <f>scenario_jobcoeff_4506_iotable_2020_xlsx_3[[#This Row],[2038]]+scenario_jobcoeff_1610_iotable_2020_xlsx_3[[#This Row],[2038]]</f>
        <v>49.640149362008437</v>
      </c>
      <c r="P49">
        <f>scenario_jobcoeff_4506_iotable_2020_xlsx_3[[#This Row],[2039]]+scenario_jobcoeff_1610_iotable_2020_xlsx_3[[#This Row],[2039]]</f>
        <v>49.640149362008437</v>
      </c>
      <c r="Q49">
        <f>scenario_jobcoeff_4506_iotable_2020_xlsx_3[[#This Row],[2040]]+scenario_jobcoeff_1610_iotable_2020_xlsx_3[[#This Row],[2040]]</f>
        <v>51.31659137123895</v>
      </c>
      <c r="R49">
        <f>scenario_jobcoeff_4506_iotable_2020_xlsx_3[[#This Row],[2041]]+scenario_jobcoeff_1610_iotable_2020_xlsx_3[[#This Row],[2041]]</f>
        <v>51.31659137123895</v>
      </c>
      <c r="S49">
        <f>scenario_jobcoeff_4506_iotable_2020_xlsx_3[[#This Row],[2042]]+scenario_jobcoeff_1610_iotable_2020_xlsx_3[[#This Row],[2042]]</f>
        <v>53.219391415897498</v>
      </c>
      <c r="T49">
        <f>scenario_jobcoeff_4506_iotable_2020_xlsx_3[[#This Row],[2043]]+scenario_jobcoeff_1610_iotable_2020_xlsx_3[[#This Row],[2043]]</f>
        <v>53.219391415897498</v>
      </c>
      <c r="U49">
        <f>scenario_jobcoeff_4506_iotable_2020_xlsx_3[[#This Row],[2044]]+scenario_jobcoeff_1610_iotable_2020_xlsx_3[[#This Row],[2044]]</f>
        <v>54.870287017525044</v>
      </c>
      <c r="V49">
        <f>scenario_jobcoeff_4506_iotable_2020_xlsx_3[[#This Row],[2045]]+scenario_jobcoeff_1610_iotable_2020_xlsx_3[[#This Row],[2045]]</f>
        <v>54.870287017525044</v>
      </c>
      <c r="W49">
        <f>scenario_jobcoeff_4506_iotable_2020_xlsx_3[[#This Row],[2046]]+scenario_jobcoeff_1610_iotable_2020_xlsx_3[[#This Row],[2046]]</f>
        <v>56.326323996645002</v>
      </c>
      <c r="X49">
        <f>scenario_jobcoeff_4506_iotable_2020_xlsx_3[[#This Row],[2047]]+scenario_jobcoeff_1610_iotable_2020_xlsx_3[[#This Row],[2047]]</f>
        <v>56.326323996645002</v>
      </c>
      <c r="Y49">
        <f>scenario_jobcoeff_4506_iotable_2020_xlsx_3[[#This Row],[2048]]+scenario_jobcoeff_1610_iotable_2020_xlsx_3[[#This Row],[2048]]</f>
        <v>56.326323996645002</v>
      </c>
      <c r="Z49">
        <f>scenario_jobcoeff_4506_iotable_2020_xlsx_3[[#This Row],[2049]]+scenario_jobcoeff_1610_iotable_2020_xlsx_3[[#This Row],[2049]]</f>
        <v>56.326323996645002</v>
      </c>
      <c r="AA49">
        <f>scenario_jobcoeff_4506_iotable_2020_xlsx_3[[#This Row],[2050]]+scenario_jobcoeff_1610_iotable_2020_xlsx_3[[#This Row],[2050]]</f>
        <v>56.326323996645002</v>
      </c>
    </row>
    <row r="50" spans="1:27" x14ac:dyDescent="0.2">
      <c r="A50" t="s">
        <v>44</v>
      </c>
      <c r="B50" t="s">
        <v>45</v>
      </c>
      <c r="C50">
        <f>scenario_jobcoeff_4506_iotable_2020_xlsx_3[[#This Row],[2026]]+scenario_jobcoeff_1610_iotable_2020_xlsx_3[[#This Row],[2026]]</f>
        <v>228.53556894550078</v>
      </c>
      <c r="D50">
        <f>scenario_jobcoeff_4506_iotable_2020_xlsx_3[[#This Row],[2027]]+scenario_jobcoeff_1610_iotable_2020_xlsx_3[[#This Row],[2027]]</f>
        <v>228.11662015352863</v>
      </c>
      <c r="E50">
        <f>scenario_jobcoeff_4506_iotable_2020_xlsx_3[[#This Row],[2028]]+scenario_jobcoeff_1610_iotable_2020_xlsx_3[[#This Row],[2028]]</f>
        <v>239.35847465388727</v>
      </c>
      <c r="F50">
        <f>scenario_jobcoeff_4506_iotable_2020_xlsx_3[[#This Row],[2029]]+scenario_jobcoeff_1610_iotable_2020_xlsx_3[[#This Row],[2029]]</f>
        <v>247.19350592782138</v>
      </c>
      <c r="G50">
        <f>scenario_jobcoeff_4506_iotable_2020_xlsx_3[[#This Row],[2030]]+scenario_jobcoeff_1610_iotable_2020_xlsx_3[[#This Row],[2030]]</f>
        <v>235.51343710929368</v>
      </c>
      <c r="H50">
        <f>scenario_jobcoeff_4506_iotable_2020_xlsx_3[[#This Row],[2031]]+scenario_jobcoeff_1610_iotable_2020_xlsx_3[[#This Row],[2031]]</f>
        <v>250.68094292999018</v>
      </c>
      <c r="I50">
        <f>scenario_jobcoeff_4506_iotable_2020_xlsx_3[[#This Row],[2032]]+scenario_jobcoeff_1610_iotable_2020_xlsx_3[[#This Row],[2032]]</f>
        <v>271.8637145793661</v>
      </c>
      <c r="J50">
        <f>scenario_jobcoeff_4506_iotable_2020_xlsx_3[[#This Row],[2033]]+scenario_jobcoeff_1610_iotable_2020_xlsx_3[[#This Row],[2033]]</f>
        <v>303.8376201252612</v>
      </c>
      <c r="K50">
        <f>scenario_jobcoeff_4506_iotable_2020_xlsx_3[[#This Row],[2034]]+scenario_jobcoeff_1610_iotable_2020_xlsx_3[[#This Row],[2034]]</f>
        <v>323.54929357522269</v>
      </c>
      <c r="L50">
        <f>scenario_jobcoeff_4506_iotable_2020_xlsx_3[[#This Row],[2035]]+scenario_jobcoeff_1610_iotable_2020_xlsx_3[[#This Row],[2035]]</f>
        <v>371.16205571187641</v>
      </c>
      <c r="M50">
        <f>scenario_jobcoeff_4506_iotable_2020_xlsx_3[[#This Row],[2036]]+scenario_jobcoeff_1610_iotable_2020_xlsx_3[[#This Row],[2036]]</f>
        <v>387.81491164243454</v>
      </c>
      <c r="N50">
        <f>scenario_jobcoeff_4506_iotable_2020_xlsx_3[[#This Row],[2037]]+scenario_jobcoeff_1610_iotable_2020_xlsx_3[[#This Row],[2037]]</f>
        <v>403.16939159069938</v>
      </c>
      <c r="O50">
        <f>scenario_jobcoeff_4506_iotable_2020_xlsx_3[[#This Row],[2038]]+scenario_jobcoeff_1610_iotable_2020_xlsx_3[[#This Row],[2038]]</f>
        <v>403.16939159069938</v>
      </c>
      <c r="P50">
        <f>scenario_jobcoeff_4506_iotable_2020_xlsx_3[[#This Row],[2039]]+scenario_jobcoeff_1610_iotable_2020_xlsx_3[[#This Row],[2039]]</f>
        <v>403.16939159069938</v>
      </c>
      <c r="Q50">
        <f>scenario_jobcoeff_4506_iotable_2020_xlsx_3[[#This Row],[2040]]+scenario_jobcoeff_1610_iotable_2020_xlsx_3[[#This Row],[2040]]</f>
        <v>416.51275259170825</v>
      </c>
      <c r="R50">
        <f>scenario_jobcoeff_4506_iotable_2020_xlsx_3[[#This Row],[2041]]+scenario_jobcoeff_1610_iotable_2020_xlsx_3[[#This Row],[2041]]</f>
        <v>416.51275259170825</v>
      </c>
      <c r="S50">
        <f>scenario_jobcoeff_4506_iotable_2020_xlsx_3[[#This Row],[2042]]+scenario_jobcoeff_1610_iotable_2020_xlsx_3[[#This Row],[2042]]</f>
        <v>431.6713059804664</v>
      </c>
      <c r="T50">
        <f>scenario_jobcoeff_4506_iotable_2020_xlsx_3[[#This Row],[2043]]+scenario_jobcoeff_1610_iotable_2020_xlsx_3[[#This Row],[2043]]</f>
        <v>431.6713059804664</v>
      </c>
      <c r="U50">
        <f>scenario_jobcoeff_4506_iotable_2020_xlsx_3[[#This Row],[2044]]+scenario_jobcoeff_1610_iotable_2020_xlsx_3[[#This Row],[2044]]</f>
        <v>444.78324332533339</v>
      </c>
      <c r="V50">
        <f>scenario_jobcoeff_4506_iotable_2020_xlsx_3[[#This Row],[2045]]+scenario_jobcoeff_1610_iotable_2020_xlsx_3[[#This Row],[2045]]</f>
        <v>444.78324332533339</v>
      </c>
      <c r="W50">
        <f>scenario_jobcoeff_4506_iotable_2020_xlsx_3[[#This Row],[2046]]+scenario_jobcoeff_1610_iotable_2020_xlsx_3[[#This Row],[2046]]</f>
        <v>456.36140545191392</v>
      </c>
      <c r="X50">
        <f>scenario_jobcoeff_4506_iotable_2020_xlsx_3[[#This Row],[2047]]+scenario_jobcoeff_1610_iotable_2020_xlsx_3[[#This Row],[2047]]</f>
        <v>456.36140545191392</v>
      </c>
      <c r="Y50">
        <f>scenario_jobcoeff_4506_iotable_2020_xlsx_3[[#This Row],[2048]]+scenario_jobcoeff_1610_iotable_2020_xlsx_3[[#This Row],[2048]]</f>
        <v>456.36140545191392</v>
      </c>
      <c r="Z50">
        <f>scenario_jobcoeff_4506_iotable_2020_xlsx_3[[#This Row],[2049]]+scenario_jobcoeff_1610_iotable_2020_xlsx_3[[#This Row],[2049]]</f>
        <v>456.36140545191392</v>
      </c>
      <c r="AA50">
        <f>scenario_jobcoeff_4506_iotable_2020_xlsx_3[[#This Row],[2050]]+scenario_jobcoeff_1610_iotable_2020_xlsx_3[[#This Row],[2050]]</f>
        <v>456.36140545191392</v>
      </c>
    </row>
    <row r="51" spans="1:27" x14ac:dyDescent="0.2">
      <c r="A51" t="s">
        <v>240</v>
      </c>
      <c r="B51" t="s">
        <v>241</v>
      </c>
      <c r="C51">
        <f>scenario_jobcoeff_4506_iotable_2020_xlsx_3[[#This Row],[2026]]+scenario_jobcoeff_1610_iotable_2020_xlsx_3[[#This Row],[2026]]</f>
        <v>5.9699418184590662</v>
      </c>
      <c r="D51">
        <f>scenario_jobcoeff_4506_iotable_2020_xlsx_3[[#This Row],[2027]]+scenario_jobcoeff_1610_iotable_2020_xlsx_3[[#This Row],[2027]]</f>
        <v>3.8215576124351882</v>
      </c>
      <c r="E51">
        <f>scenario_jobcoeff_4506_iotable_2020_xlsx_3[[#This Row],[2028]]+scenario_jobcoeff_1610_iotable_2020_xlsx_3[[#This Row],[2028]]</f>
        <v>4.2422652122067248</v>
      </c>
      <c r="F51">
        <f>scenario_jobcoeff_4506_iotable_2020_xlsx_3[[#This Row],[2029]]+scenario_jobcoeff_1610_iotable_2020_xlsx_3[[#This Row],[2029]]</f>
        <v>3.6823957659087911</v>
      </c>
      <c r="G51">
        <f>scenario_jobcoeff_4506_iotable_2020_xlsx_3[[#This Row],[2030]]+scenario_jobcoeff_1610_iotable_2020_xlsx_3[[#This Row],[2030]]</f>
        <v>-3.9857354533680613</v>
      </c>
      <c r="H51">
        <f>scenario_jobcoeff_4506_iotable_2020_xlsx_3[[#This Row],[2031]]+scenario_jobcoeff_1610_iotable_2020_xlsx_3[[#This Row],[2031]]</f>
        <v>-3.4181169195983561</v>
      </c>
      <c r="I51">
        <f>scenario_jobcoeff_4506_iotable_2020_xlsx_3[[#This Row],[2032]]+scenario_jobcoeff_1610_iotable_2020_xlsx_3[[#This Row],[2032]]</f>
        <v>-2.6253871242756013</v>
      </c>
      <c r="J51">
        <f>scenario_jobcoeff_4506_iotable_2020_xlsx_3[[#This Row],[2033]]+scenario_jobcoeff_1610_iotable_2020_xlsx_3[[#This Row],[2033]]</f>
        <v>-5.4626544476488803</v>
      </c>
      <c r="K51">
        <f>scenario_jobcoeff_4506_iotable_2020_xlsx_3[[#This Row],[2034]]+scenario_jobcoeff_1610_iotable_2020_xlsx_3[[#This Row],[2034]]</f>
        <v>-4.7249780416476277</v>
      </c>
      <c r="L51">
        <f>scenario_jobcoeff_4506_iotable_2020_xlsx_3[[#This Row],[2035]]+scenario_jobcoeff_1610_iotable_2020_xlsx_3[[#This Row],[2035]]</f>
        <v>-8.0495066878829249</v>
      </c>
      <c r="M51">
        <f>scenario_jobcoeff_4506_iotable_2020_xlsx_3[[#This Row],[2036]]+scenario_jobcoeff_1610_iotable_2020_xlsx_3[[#This Row],[2036]]</f>
        <v>-10.77801338090304</v>
      </c>
      <c r="N51">
        <f>scenario_jobcoeff_4506_iotable_2020_xlsx_3[[#This Row],[2037]]+scenario_jobcoeff_1610_iotable_2020_xlsx_3[[#This Row],[2037]]</f>
        <v>-13.133483681409352</v>
      </c>
      <c r="O51">
        <f>scenario_jobcoeff_4506_iotable_2020_xlsx_3[[#This Row],[2038]]+scenario_jobcoeff_1610_iotable_2020_xlsx_3[[#This Row],[2038]]</f>
        <v>-13.133483681409352</v>
      </c>
      <c r="P51">
        <f>scenario_jobcoeff_4506_iotable_2020_xlsx_3[[#This Row],[2039]]+scenario_jobcoeff_1610_iotable_2020_xlsx_3[[#This Row],[2039]]</f>
        <v>-13.133483681409352</v>
      </c>
      <c r="Q51">
        <f>scenario_jobcoeff_4506_iotable_2020_xlsx_3[[#This Row],[2040]]+scenario_jobcoeff_1610_iotable_2020_xlsx_3[[#This Row],[2040]]</f>
        <v>-15.206473396875214</v>
      </c>
      <c r="R51">
        <f>scenario_jobcoeff_4506_iotable_2020_xlsx_3[[#This Row],[2041]]+scenario_jobcoeff_1610_iotable_2020_xlsx_3[[#This Row],[2041]]</f>
        <v>-15.206473396875214</v>
      </c>
      <c r="S51">
        <f>scenario_jobcoeff_4506_iotable_2020_xlsx_3[[#This Row],[2042]]+scenario_jobcoeff_1610_iotable_2020_xlsx_3[[#This Row],[2042]]</f>
        <v>-17.478420584892092</v>
      </c>
      <c r="T51">
        <f>scenario_jobcoeff_4506_iotable_2020_xlsx_3[[#This Row],[2043]]+scenario_jobcoeff_1610_iotable_2020_xlsx_3[[#This Row],[2043]]</f>
        <v>-17.478420584892092</v>
      </c>
      <c r="U51">
        <f>scenario_jobcoeff_4506_iotable_2020_xlsx_3[[#This Row],[2044]]+scenario_jobcoeff_1610_iotable_2020_xlsx_3[[#This Row],[2044]]</f>
        <v>-19.687836951776475</v>
      </c>
      <c r="V51">
        <f>scenario_jobcoeff_4506_iotable_2020_xlsx_3[[#This Row],[2045]]+scenario_jobcoeff_1610_iotable_2020_xlsx_3[[#This Row],[2045]]</f>
        <v>-19.687836951776475</v>
      </c>
      <c r="W51">
        <f>scenario_jobcoeff_4506_iotable_2020_xlsx_3[[#This Row],[2046]]+scenario_jobcoeff_1610_iotable_2020_xlsx_3[[#This Row],[2046]]</f>
        <v>-21.553610421502064</v>
      </c>
      <c r="X51">
        <f>scenario_jobcoeff_4506_iotable_2020_xlsx_3[[#This Row],[2047]]+scenario_jobcoeff_1610_iotable_2020_xlsx_3[[#This Row],[2047]]</f>
        <v>-21.553610421502064</v>
      </c>
      <c r="Y51">
        <f>scenario_jobcoeff_4506_iotable_2020_xlsx_3[[#This Row],[2048]]+scenario_jobcoeff_1610_iotable_2020_xlsx_3[[#This Row],[2048]]</f>
        <v>-21.553610421502064</v>
      </c>
      <c r="Z51">
        <f>scenario_jobcoeff_4506_iotable_2020_xlsx_3[[#This Row],[2049]]+scenario_jobcoeff_1610_iotable_2020_xlsx_3[[#This Row],[2049]]</f>
        <v>-21.553610421502064</v>
      </c>
      <c r="AA51">
        <f>scenario_jobcoeff_4506_iotable_2020_xlsx_3[[#This Row],[2050]]+scenario_jobcoeff_1610_iotable_2020_xlsx_3[[#This Row],[2050]]</f>
        <v>-21.553610421502064</v>
      </c>
    </row>
    <row r="52" spans="1:27" x14ac:dyDescent="0.2">
      <c r="A52" t="s">
        <v>106</v>
      </c>
      <c r="B52" t="s">
        <v>107</v>
      </c>
      <c r="C52">
        <f>scenario_jobcoeff_4506_iotable_2020_xlsx_3[[#This Row],[2026]]+scenario_jobcoeff_1610_iotable_2020_xlsx_3[[#This Row],[2026]]</f>
        <v>27.105598258031321</v>
      </c>
      <c r="D52">
        <f>scenario_jobcoeff_4506_iotable_2020_xlsx_3[[#This Row],[2027]]+scenario_jobcoeff_1610_iotable_2020_xlsx_3[[#This Row],[2027]]</f>
        <v>-15.748805072468144</v>
      </c>
      <c r="E52">
        <f>scenario_jobcoeff_4506_iotable_2020_xlsx_3[[#This Row],[2028]]+scenario_jobcoeff_1610_iotable_2020_xlsx_3[[#This Row],[2028]]</f>
        <v>-11.87131105369356</v>
      </c>
      <c r="F52">
        <f>scenario_jobcoeff_4506_iotable_2020_xlsx_3[[#This Row],[2029]]+scenario_jobcoeff_1610_iotable_2020_xlsx_3[[#This Row],[2029]]</f>
        <v>-26.25284665568293</v>
      </c>
      <c r="G52">
        <f>scenario_jobcoeff_4506_iotable_2020_xlsx_3[[#This Row],[2030]]+scenario_jobcoeff_1610_iotable_2020_xlsx_3[[#This Row],[2030]]</f>
        <v>-175.09111698835153</v>
      </c>
      <c r="H52">
        <f>scenario_jobcoeff_4506_iotable_2020_xlsx_3[[#This Row],[2031]]+scenario_jobcoeff_1610_iotable_2020_xlsx_3[[#This Row],[2031]]</f>
        <v>-169.85960353142139</v>
      </c>
      <c r="I52">
        <f>scenario_jobcoeff_4506_iotable_2020_xlsx_3[[#This Row],[2032]]+scenario_jobcoeff_1610_iotable_2020_xlsx_3[[#This Row],[2032]]</f>
        <v>-162.55332943145845</v>
      </c>
      <c r="J52">
        <f>scenario_jobcoeff_4506_iotable_2020_xlsx_3[[#This Row],[2033]]+scenario_jobcoeff_1610_iotable_2020_xlsx_3[[#This Row],[2033]]</f>
        <v>-232.3072822277189</v>
      </c>
      <c r="K52">
        <f>scenario_jobcoeff_4506_iotable_2020_xlsx_3[[#This Row],[2034]]+scenario_jobcoeff_1610_iotable_2020_xlsx_3[[#This Row],[2034]]</f>
        <v>-225.50841324219485</v>
      </c>
      <c r="L52">
        <f>scenario_jobcoeff_4506_iotable_2020_xlsx_3[[#This Row],[2035]]+scenario_jobcoeff_1610_iotable_2020_xlsx_3[[#This Row],[2035]]</f>
        <v>-311.34671807499012</v>
      </c>
      <c r="M52">
        <f>scenario_jobcoeff_4506_iotable_2020_xlsx_3[[#This Row],[2036]]+scenario_jobcoeff_1610_iotable_2020_xlsx_3[[#This Row],[2036]]</f>
        <v>-372.72479564282048</v>
      </c>
      <c r="N52">
        <f>scenario_jobcoeff_4506_iotable_2020_xlsx_3[[#This Row],[2037]]+scenario_jobcoeff_1610_iotable_2020_xlsx_3[[#This Row],[2037]]</f>
        <v>-426.10715616977893</v>
      </c>
      <c r="O52">
        <f>scenario_jobcoeff_4506_iotable_2020_xlsx_3[[#This Row],[2038]]+scenario_jobcoeff_1610_iotable_2020_xlsx_3[[#This Row],[2038]]</f>
        <v>-426.10715616977893</v>
      </c>
      <c r="P52">
        <f>scenario_jobcoeff_4506_iotable_2020_xlsx_3[[#This Row],[2039]]+scenario_jobcoeff_1610_iotable_2020_xlsx_3[[#This Row],[2039]]</f>
        <v>-426.10715616977893</v>
      </c>
      <c r="Q52">
        <f>scenario_jobcoeff_4506_iotable_2020_xlsx_3[[#This Row],[2040]]+scenario_jobcoeff_1610_iotable_2020_xlsx_3[[#This Row],[2040]]</f>
        <v>-473.0189589101962</v>
      </c>
      <c r="R52">
        <f>scenario_jobcoeff_4506_iotable_2020_xlsx_3[[#This Row],[2041]]+scenario_jobcoeff_1610_iotable_2020_xlsx_3[[#This Row],[2041]]</f>
        <v>-473.0189589101962</v>
      </c>
      <c r="S52">
        <f>scenario_jobcoeff_4506_iotable_2020_xlsx_3[[#This Row],[2042]]+scenario_jobcoeff_1610_iotable_2020_xlsx_3[[#This Row],[2042]]</f>
        <v>-524.64941434231901</v>
      </c>
      <c r="T52">
        <f>scenario_jobcoeff_4506_iotable_2020_xlsx_3[[#This Row],[2043]]+scenario_jobcoeff_1610_iotable_2020_xlsx_3[[#This Row],[2043]]</f>
        <v>-524.64941434231901</v>
      </c>
      <c r="U52">
        <f>scenario_jobcoeff_4506_iotable_2020_xlsx_3[[#This Row],[2044]]+scenario_jobcoeff_1610_iotable_2020_xlsx_3[[#This Row],[2044]]</f>
        <v>-574.19970097936107</v>
      </c>
      <c r="V52">
        <f>scenario_jobcoeff_4506_iotable_2020_xlsx_3[[#This Row],[2045]]+scenario_jobcoeff_1610_iotable_2020_xlsx_3[[#This Row],[2045]]</f>
        <v>-574.19970097936107</v>
      </c>
      <c r="W52">
        <f>scenario_jobcoeff_4506_iotable_2020_xlsx_3[[#This Row],[2046]]+scenario_jobcoeff_1610_iotable_2020_xlsx_3[[#This Row],[2046]]</f>
        <v>-616.24768339009779</v>
      </c>
      <c r="X52">
        <f>scenario_jobcoeff_4506_iotable_2020_xlsx_3[[#This Row],[2047]]+scenario_jobcoeff_1610_iotable_2020_xlsx_3[[#This Row],[2047]]</f>
        <v>-616.24768339009779</v>
      </c>
      <c r="Y52">
        <f>scenario_jobcoeff_4506_iotable_2020_xlsx_3[[#This Row],[2048]]+scenario_jobcoeff_1610_iotable_2020_xlsx_3[[#This Row],[2048]]</f>
        <v>-616.24768339009779</v>
      </c>
      <c r="Z52">
        <f>scenario_jobcoeff_4506_iotable_2020_xlsx_3[[#This Row],[2049]]+scenario_jobcoeff_1610_iotable_2020_xlsx_3[[#This Row],[2049]]</f>
        <v>-616.24768339009779</v>
      </c>
      <c r="AA52">
        <f>scenario_jobcoeff_4506_iotable_2020_xlsx_3[[#This Row],[2050]]+scenario_jobcoeff_1610_iotable_2020_xlsx_3[[#This Row],[2050]]</f>
        <v>-616.24768339009779</v>
      </c>
    </row>
    <row r="53" spans="1:27" x14ac:dyDescent="0.2">
      <c r="A53" t="s">
        <v>222</v>
      </c>
      <c r="B53" t="s">
        <v>223</v>
      </c>
      <c r="C53">
        <f>scenario_jobcoeff_4506_iotable_2020_xlsx_3[[#This Row],[2026]]+scenario_jobcoeff_1610_iotable_2020_xlsx_3[[#This Row],[2026]]</f>
        <v>11.709066538318925</v>
      </c>
      <c r="D53">
        <f>scenario_jobcoeff_4506_iotable_2020_xlsx_3[[#This Row],[2027]]+scenario_jobcoeff_1610_iotable_2020_xlsx_3[[#This Row],[2027]]</f>
        <v>11.087672601028299</v>
      </c>
      <c r="E53">
        <f>scenario_jobcoeff_4506_iotable_2020_xlsx_3[[#This Row],[2028]]+scenario_jobcoeff_1610_iotable_2020_xlsx_3[[#This Row],[2028]]</f>
        <v>11.699308778770522</v>
      </c>
      <c r="F53">
        <f>scenario_jobcoeff_4506_iotable_2020_xlsx_3[[#This Row],[2029]]+scenario_jobcoeff_1610_iotable_2020_xlsx_3[[#This Row],[2029]]</f>
        <v>11.886149651996554</v>
      </c>
      <c r="G53">
        <f>scenario_jobcoeff_4506_iotable_2020_xlsx_3[[#This Row],[2030]]+scenario_jobcoeff_1610_iotable_2020_xlsx_3[[#This Row],[2030]]</f>
        <v>9.2210937013111192</v>
      </c>
      <c r="H53">
        <f>scenario_jobcoeff_4506_iotable_2020_xlsx_3[[#This Row],[2031]]+scenario_jobcoeff_1610_iotable_2020_xlsx_3[[#This Row],[2031]]</f>
        <v>10.046312999938209</v>
      </c>
      <c r="I53">
        <f>scenario_jobcoeff_4506_iotable_2020_xlsx_3[[#This Row],[2032]]+scenario_jobcoeff_1610_iotable_2020_xlsx_3[[#This Row],[2032]]</f>
        <v>11.19880518752144</v>
      </c>
      <c r="J53">
        <f>scenario_jobcoeff_4506_iotable_2020_xlsx_3[[#This Row],[2033]]+scenario_jobcoeff_1610_iotable_2020_xlsx_3[[#This Row],[2033]]</f>
        <v>11.806208261273706</v>
      </c>
      <c r="K53">
        <f>scenario_jobcoeff_4506_iotable_2020_xlsx_3[[#This Row],[2034]]+scenario_jobcoeff_1610_iotable_2020_xlsx_3[[#This Row],[2034]]</f>
        <v>12.878662330613665</v>
      </c>
      <c r="L53">
        <f>scenario_jobcoeff_4506_iotable_2020_xlsx_3[[#This Row],[2035]]+scenario_jobcoeff_1610_iotable_2020_xlsx_3[[#This Row],[2035]]</f>
        <v>14.035898635433732</v>
      </c>
      <c r="M53">
        <f>scenario_jobcoeff_4506_iotable_2020_xlsx_3[[#This Row],[2036]]+scenario_jobcoeff_1610_iotable_2020_xlsx_3[[#This Row],[2036]]</f>
        <v>14.001185012957553</v>
      </c>
      <c r="N53">
        <f>scenario_jobcoeff_4506_iotable_2020_xlsx_3[[#This Row],[2037]]+scenario_jobcoeff_1610_iotable_2020_xlsx_3[[#This Row],[2037]]</f>
        <v>14.014171029881116</v>
      </c>
      <c r="O53">
        <f>scenario_jobcoeff_4506_iotable_2020_xlsx_3[[#This Row],[2038]]+scenario_jobcoeff_1610_iotable_2020_xlsx_3[[#This Row],[2038]]</f>
        <v>14.014171029881116</v>
      </c>
      <c r="P53">
        <f>scenario_jobcoeff_4506_iotable_2020_xlsx_3[[#This Row],[2039]]+scenario_jobcoeff_1610_iotable_2020_xlsx_3[[#This Row],[2039]]</f>
        <v>14.014171029881116</v>
      </c>
      <c r="Q53">
        <f>scenario_jobcoeff_4506_iotable_2020_xlsx_3[[#This Row],[2040]]+scenario_jobcoeff_1610_iotable_2020_xlsx_3[[#This Row],[2040]]</f>
        <v>14.018148105204656</v>
      </c>
      <c r="R53">
        <f>scenario_jobcoeff_4506_iotable_2020_xlsx_3[[#This Row],[2041]]+scenario_jobcoeff_1610_iotable_2020_xlsx_3[[#This Row],[2041]]</f>
        <v>14.018148105204656</v>
      </c>
      <c r="S53">
        <f>scenario_jobcoeff_4506_iotable_2020_xlsx_3[[#This Row],[2042]]+scenario_jobcoeff_1610_iotable_2020_xlsx_3[[#This Row],[2042]]</f>
        <v>14.045975283889394</v>
      </c>
      <c r="T53">
        <f>scenario_jobcoeff_4506_iotable_2020_xlsx_3[[#This Row],[2043]]+scenario_jobcoeff_1610_iotable_2020_xlsx_3[[#This Row],[2043]]</f>
        <v>14.045975283889394</v>
      </c>
      <c r="U53">
        <f>scenario_jobcoeff_4506_iotable_2020_xlsx_3[[#This Row],[2044]]+scenario_jobcoeff_1610_iotable_2020_xlsx_3[[#This Row],[2044]]</f>
        <v>14.0015003769985</v>
      </c>
      <c r="V53">
        <f>scenario_jobcoeff_4506_iotable_2020_xlsx_3[[#This Row],[2045]]+scenario_jobcoeff_1610_iotable_2020_xlsx_3[[#This Row],[2045]]</f>
        <v>14.0015003769985</v>
      </c>
      <c r="W53">
        <f>scenario_jobcoeff_4506_iotable_2020_xlsx_3[[#This Row],[2046]]+scenario_jobcoeff_1610_iotable_2020_xlsx_3[[#This Row],[2046]]</f>
        <v>13.986140267321019</v>
      </c>
      <c r="X53">
        <f>scenario_jobcoeff_4506_iotable_2020_xlsx_3[[#This Row],[2047]]+scenario_jobcoeff_1610_iotable_2020_xlsx_3[[#This Row],[2047]]</f>
        <v>13.986140267321019</v>
      </c>
      <c r="Y53">
        <f>scenario_jobcoeff_4506_iotable_2020_xlsx_3[[#This Row],[2048]]+scenario_jobcoeff_1610_iotable_2020_xlsx_3[[#This Row],[2048]]</f>
        <v>13.986140267321019</v>
      </c>
      <c r="Z53">
        <f>scenario_jobcoeff_4506_iotable_2020_xlsx_3[[#This Row],[2049]]+scenario_jobcoeff_1610_iotable_2020_xlsx_3[[#This Row],[2049]]</f>
        <v>13.986140267321019</v>
      </c>
      <c r="AA53">
        <f>scenario_jobcoeff_4506_iotable_2020_xlsx_3[[#This Row],[2050]]+scenario_jobcoeff_1610_iotable_2020_xlsx_3[[#This Row],[2050]]</f>
        <v>13.986140267321019</v>
      </c>
    </row>
    <row r="54" spans="1:27" x14ac:dyDescent="0.2">
      <c r="A54" t="s">
        <v>104</v>
      </c>
      <c r="B54" t="s">
        <v>105</v>
      </c>
      <c r="C54">
        <f>scenario_jobcoeff_4506_iotable_2020_xlsx_3[[#This Row],[2026]]+scenario_jobcoeff_1610_iotable_2020_xlsx_3[[#This Row],[2026]]</f>
        <v>86.170996627803234</v>
      </c>
      <c r="D54">
        <f>scenario_jobcoeff_4506_iotable_2020_xlsx_3[[#This Row],[2027]]+scenario_jobcoeff_1610_iotable_2020_xlsx_3[[#This Row],[2027]]</f>
        <v>90.450024797587304</v>
      </c>
      <c r="E54">
        <f>scenario_jobcoeff_4506_iotable_2020_xlsx_3[[#This Row],[2028]]+scenario_jobcoeff_1610_iotable_2020_xlsx_3[[#This Row],[2028]]</f>
        <v>94.425129787027501</v>
      </c>
      <c r="F54">
        <f>scenario_jobcoeff_4506_iotable_2020_xlsx_3[[#This Row],[2029]]+scenario_jobcoeff_1610_iotable_2020_xlsx_3[[#This Row],[2029]]</f>
        <v>98.966453901306835</v>
      </c>
      <c r="G54">
        <f>scenario_jobcoeff_4506_iotable_2020_xlsx_3[[#This Row],[2030]]+scenario_jobcoeff_1610_iotable_2020_xlsx_3[[#This Row],[2030]]</f>
        <v>109.84688686876643</v>
      </c>
      <c r="H54">
        <f>scenario_jobcoeff_4506_iotable_2020_xlsx_3[[#This Row],[2031]]+scenario_jobcoeff_1610_iotable_2020_xlsx_3[[#This Row],[2031]]</f>
        <v>115.21009701023297</v>
      </c>
      <c r="I54">
        <f>scenario_jobcoeff_4506_iotable_2020_xlsx_3[[#This Row],[2032]]+scenario_jobcoeff_1610_iotable_2020_xlsx_3[[#This Row],[2032]]</f>
        <v>122.70029724996397</v>
      </c>
      <c r="J54">
        <f>scenario_jobcoeff_4506_iotable_2020_xlsx_3[[#This Row],[2033]]+scenario_jobcoeff_1610_iotable_2020_xlsx_3[[#This Row],[2033]]</f>
        <v>142.37985171009325</v>
      </c>
      <c r="K54">
        <f>scenario_jobcoeff_4506_iotable_2020_xlsx_3[[#This Row],[2034]]+scenario_jobcoeff_1610_iotable_2020_xlsx_3[[#This Row],[2034]]</f>
        <v>149.34987355823748</v>
      </c>
      <c r="L54">
        <f>scenario_jobcoeff_4506_iotable_2020_xlsx_3[[#This Row],[2035]]+scenario_jobcoeff_1610_iotable_2020_xlsx_3[[#This Row],[2035]]</f>
        <v>176.78569182447609</v>
      </c>
      <c r="M54">
        <f>scenario_jobcoeff_4506_iotable_2020_xlsx_3[[#This Row],[2036]]+scenario_jobcoeff_1610_iotable_2020_xlsx_3[[#This Row],[2036]]</f>
        <v>189.63175646794622</v>
      </c>
      <c r="N54">
        <f>scenario_jobcoeff_4506_iotable_2020_xlsx_3[[#This Row],[2037]]+scenario_jobcoeff_1610_iotable_2020_xlsx_3[[#This Row],[2037]]</f>
        <v>201.14348669929822</v>
      </c>
      <c r="O54">
        <f>scenario_jobcoeff_4506_iotable_2020_xlsx_3[[#This Row],[2038]]+scenario_jobcoeff_1610_iotable_2020_xlsx_3[[#This Row],[2038]]</f>
        <v>201.14348669929822</v>
      </c>
      <c r="P54">
        <f>scenario_jobcoeff_4506_iotable_2020_xlsx_3[[#This Row],[2039]]+scenario_jobcoeff_1610_iotable_2020_xlsx_3[[#This Row],[2039]]</f>
        <v>201.14348669929822</v>
      </c>
      <c r="Q54">
        <f>scenario_jobcoeff_4506_iotable_2020_xlsx_3[[#This Row],[2040]]+scenario_jobcoeff_1610_iotable_2020_xlsx_3[[#This Row],[2040]]</f>
        <v>211.20146794630247</v>
      </c>
      <c r="R54">
        <f>scenario_jobcoeff_4506_iotable_2020_xlsx_3[[#This Row],[2041]]+scenario_jobcoeff_1610_iotable_2020_xlsx_3[[#This Row],[2041]]</f>
        <v>211.20146794630247</v>
      </c>
      <c r="S54">
        <f>scenario_jobcoeff_4506_iotable_2020_xlsx_3[[#This Row],[2042]]+scenario_jobcoeff_1610_iotable_2020_xlsx_3[[#This Row],[2042]]</f>
        <v>222.45531715058291</v>
      </c>
      <c r="T54">
        <f>scenario_jobcoeff_4506_iotable_2020_xlsx_3[[#This Row],[2043]]+scenario_jobcoeff_1610_iotable_2020_xlsx_3[[#This Row],[2043]]</f>
        <v>222.45531715058291</v>
      </c>
      <c r="U54">
        <f>scenario_jobcoeff_4506_iotable_2020_xlsx_3[[#This Row],[2044]]+scenario_jobcoeff_1610_iotable_2020_xlsx_3[[#This Row],[2044]]</f>
        <v>232.69668980674342</v>
      </c>
      <c r="V54">
        <f>scenario_jobcoeff_4506_iotable_2020_xlsx_3[[#This Row],[2045]]+scenario_jobcoeff_1610_iotable_2020_xlsx_3[[#This Row],[2045]]</f>
        <v>232.69668980674342</v>
      </c>
      <c r="W54">
        <f>scenario_jobcoeff_4506_iotable_2020_xlsx_3[[#This Row],[2046]]+scenario_jobcoeff_1610_iotable_2020_xlsx_3[[#This Row],[2046]]</f>
        <v>241.5632205474835</v>
      </c>
      <c r="X54">
        <f>scenario_jobcoeff_4506_iotable_2020_xlsx_3[[#This Row],[2047]]+scenario_jobcoeff_1610_iotable_2020_xlsx_3[[#This Row],[2047]]</f>
        <v>241.5632205474835</v>
      </c>
      <c r="Y54">
        <f>scenario_jobcoeff_4506_iotable_2020_xlsx_3[[#This Row],[2048]]+scenario_jobcoeff_1610_iotable_2020_xlsx_3[[#This Row],[2048]]</f>
        <v>241.5632205474835</v>
      </c>
      <c r="Z54">
        <f>scenario_jobcoeff_4506_iotable_2020_xlsx_3[[#This Row],[2049]]+scenario_jobcoeff_1610_iotable_2020_xlsx_3[[#This Row],[2049]]</f>
        <v>241.5632205474835</v>
      </c>
      <c r="AA54">
        <f>scenario_jobcoeff_4506_iotable_2020_xlsx_3[[#This Row],[2050]]+scenario_jobcoeff_1610_iotable_2020_xlsx_3[[#This Row],[2050]]</f>
        <v>241.5632205474835</v>
      </c>
    </row>
    <row r="55" spans="1:27" x14ac:dyDescent="0.2">
      <c r="A55" t="s">
        <v>286</v>
      </c>
      <c r="B55" t="s">
        <v>287</v>
      </c>
      <c r="C55">
        <f>scenario_jobcoeff_4506_iotable_2020_xlsx_3[[#This Row],[2026]]+scenario_jobcoeff_1610_iotable_2020_xlsx_3[[#This Row],[2026]]</f>
        <v>1.5153380159474603</v>
      </c>
      <c r="D55">
        <f>scenario_jobcoeff_4506_iotable_2020_xlsx_3[[#This Row],[2027]]+scenario_jobcoeff_1610_iotable_2020_xlsx_3[[#This Row],[2027]]</f>
        <v>1.4871183234196756</v>
      </c>
      <c r="E55">
        <f>scenario_jobcoeff_4506_iotable_2020_xlsx_3[[#This Row],[2028]]+scenario_jobcoeff_1610_iotable_2020_xlsx_3[[#This Row],[2028]]</f>
        <v>1.5631712213673006</v>
      </c>
      <c r="F55">
        <f>scenario_jobcoeff_4506_iotable_2020_xlsx_3[[#This Row],[2029]]+scenario_jobcoeff_1610_iotable_2020_xlsx_3[[#This Row],[2029]]</f>
        <v>1.6060222526843757</v>
      </c>
      <c r="G55">
        <f>scenario_jobcoeff_4506_iotable_2020_xlsx_3[[#This Row],[2030]]+scenario_jobcoeff_1610_iotable_2020_xlsx_3[[#This Row],[2030]]</f>
        <v>1.4409344210097614</v>
      </c>
      <c r="H55">
        <f>scenario_jobcoeff_4506_iotable_2020_xlsx_3[[#This Row],[2031]]+scenario_jobcoeff_1610_iotable_2020_xlsx_3[[#This Row],[2031]]</f>
        <v>1.5435449620254484</v>
      </c>
      <c r="I55">
        <f>scenario_jobcoeff_4506_iotable_2020_xlsx_3[[#This Row],[2032]]+scenario_jobcoeff_1610_iotable_2020_xlsx_3[[#This Row],[2032]]</f>
        <v>1.6868497139635239</v>
      </c>
      <c r="J55">
        <f>scenario_jobcoeff_4506_iotable_2020_xlsx_3[[#This Row],[2033]]+scenario_jobcoeff_1610_iotable_2020_xlsx_3[[#This Row],[2033]]</f>
        <v>1.8551437024821149</v>
      </c>
      <c r="K55">
        <f>scenario_jobcoeff_4506_iotable_2020_xlsx_3[[#This Row],[2034]]+scenario_jobcoeff_1610_iotable_2020_xlsx_3[[#This Row],[2034]]</f>
        <v>1.9884962458030595</v>
      </c>
      <c r="L55">
        <f>scenario_jobcoeff_4506_iotable_2020_xlsx_3[[#This Row],[2035]]+scenario_jobcoeff_1610_iotable_2020_xlsx_3[[#This Row],[2035]]</f>
        <v>2.2498234180884658</v>
      </c>
      <c r="M55">
        <f>scenario_jobcoeff_4506_iotable_2020_xlsx_3[[#This Row],[2036]]+scenario_jobcoeff_1610_iotable_2020_xlsx_3[[#This Row],[2036]]</f>
        <v>2.3225874046469226</v>
      </c>
      <c r="N55">
        <f>scenario_jobcoeff_4506_iotable_2020_xlsx_3[[#This Row],[2037]]+scenario_jobcoeff_1610_iotable_2020_xlsx_3[[#This Row],[2037]]</f>
        <v>2.3915862576833864</v>
      </c>
      <c r="O55">
        <f>scenario_jobcoeff_4506_iotable_2020_xlsx_3[[#This Row],[2038]]+scenario_jobcoeff_1610_iotable_2020_xlsx_3[[#This Row],[2038]]</f>
        <v>2.3915862576833864</v>
      </c>
      <c r="P55">
        <f>scenario_jobcoeff_4506_iotable_2020_xlsx_3[[#This Row],[2039]]+scenario_jobcoeff_1610_iotable_2020_xlsx_3[[#This Row],[2039]]</f>
        <v>2.3915862576833864</v>
      </c>
      <c r="Q55">
        <f>scenario_jobcoeff_4506_iotable_2020_xlsx_3[[#This Row],[2040]]+scenario_jobcoeff_1610_iotable_2020_xlsx_3[[#This Row],[2040]]</f>
        <v>2.4512377701550512</v>
      </c>
      <c r="R55">
        <f>scenario_jobcoeff_4506_iotable_2020_xlsx_3[[#This Row],[2041]]+scenario_jobcoeff_1610_iotable_2020_xlsx_3[[#This Row],[2041]]</f>
        <v>2.4512377701550512</v>
      </c>
      <c r="S55">
        <f>scenario_jobcoeff_4506_iotable_2020_xlsx_3[[#This Row],[2042]]+scenario_jobcoeff_1610_iotable_2020_xlsx_3[[#This Row],[2042]]</f>
        <v>2.5199925938193921</v>
      </c>
      <c r="T55">
        <f>scenario_jobcoeff_4506_iotable_2020_xlsx_3[[#This Row],[2043]]+scenario_jobcoeff_1610_iotable_2020_xlsx_3[[#This Row],[2043]]</f>
        <v>2.5199925938193921</v>
      </c>
      <c r="U55">
        <f>scenario_jobcoeff_4506_iotable_2020_xlsx_3[[#This Row],[2044]]+scenario_jobcoeff_1610_iotable_2020_xlsx_3[[#This Row],[2044]]</f>
        <v>2.5765576998477511</v>
      </c>
      <c r="V55">
        <f>scenario_jobcoeff_4506_iotable_2020_xlsx_3[[#This Row],[2045]]+scenario_jobcoeff_1610_iotable_2020_xlsx_3[[#This Row],[2045]]</f>
        <v>2.5765576998477511</v>
      </c>
      <c r="W55">
        <f>scenario_jobcoeff_4506_iotable_2020_xlsx_3[[#This Row],[2046]]+scenario_jobcoeff_1610_iotable_2020_xlsx_3[[#This Row],[2046]]</f>
        <v>2.6275201491374744</v>
      </c>
      <c r="X55">
        <f>scenario_jobcoeff_4506_iotable_2020_xlsx_3[[#This Row],[2047]]+scenario_jobcoeff_1610_iotable_2020_xlsx_3[[#This Row],[2047]]</f>
        <v>2.6275201491374744</v>
      </c>
      <c r="Y55">
        <f>scenario_jobcoeff_4506_iotable_2020_xlsx_3[[#This Row],[2048]]+scenario_jobcoeff_1610_iotable_2020_xlsx_3[[#This Row],[2048]]</f>
        <v>2.6275201491374744</v>
      </c>
      <c r="Z55">
        <f>scenario_jobcoeff_4506_iotable_2020_xlsx_3[[#This Row],[2049]]+scenario_jobcoeff_1610_iotable_2020_xlsx_3[[#This Row],[2049]]</f>
        <v>2.6275201491374744</v>
      </c>
      <c r="AA55">
        <f>scenario_jobcoeff_4506_iotable_2020_xlsx_3[[#This Row],[2050]]+scenario_jobcoeff_1610_iotable_2020_xlsx_3[[#This Row],[2050]]</f>
        <v>2.6275201491374744</v>
      </c>
    </row>
    <row r="56" spans="1:27" x14ac:dyDescent="0.2">
      <c r="A56" t="s">
        <v>220</v>
      </c>
      <c r="B56" t="s">
        <v>221</v>
      </c>
      <c r="C56">
        <f>scenario_jobcoeff_4506_iotable_2020_xlsx_3[[#This Row],[2026]]+scenario_jobcoeff_1610_iotable_2020_xlsx_3[[#This Row],[2026]]</f>
        <v>13.236752762095056</v>
      </c>
      <c r="D56">
        <f>scenario_jobcoeff_4506_iotable_2020_xlsx_3[[#This Row],[2027]]+scenario_jobcoeff_1610_iotable_2020_xlsx_3[[#This Row],[2027]]</f>
        <v>13.378029798525031</v>
      </c>
      <c r="E56">
        <f>scenario_jobcoeff_4506_iotable_2020_xlsx_3[[#This Row],[2028]]+scenario_jobcoeff_1610_iotable_2020_xlsx_3[[#This Row],[2028]]</f>
        <v>14.019317455918445</v>
      </c>
      <c r="F56">
        <f>scenario_jobcoeff_4506_iotable_2020_xlsx_3[[#This Row],[2029]]+scenario_jobcoeff_1610_iotable_2020_xlsx_3[[#This Row],[2029]]</f>
        <v>14.532334410290375</v>
      </c>
      <c r="G56">
        <f>scenario_jobcoeff_4506_iotable_2020_xlsx_3[[#This Row],[2030]]+scenario_jobcoeff_1610_iotable_2020_xlsx_3[[#This Row],[2030]]</f>
        <v>14.426084210367931</v>
      </c>
      <c r="H56">
        <f>scenario_jobcoeff_4506_iotable_2020_xlsx_3[[#This Row],[2031]]+scenario_jobcoeff_1610_iotable_2020_xlsx_3[[#This Row],[2031]]</f>
        <v>15.291309274074738</v>
      </c>
      <c r="I56">
        <f>scenario_jobcoeff_4506_iotable_2020_xlsx_3[[#This Row],[2032]]+scenario_jobcoeff_1610_iotable_2020_xlsx_3[[#This Row],[2032]]</f>
        <v>16.499673072742883</v>
      </c>
      <c r="J56">
        <f>scenario_jobcoeff_4506_iotable_2020_xlsx_3[[#This Row],[2033]]+scenario_jobcoeff_1610_iotable_2020_xlsx_3[[#This Row],[2033]]</f>
        <v>18.636029794796116</v>
      </c>
      <c r="K56">
        <f>scenario_jobcoeff_4506_iotable_2020_xlsx_3[[#This Row],[2034]]+scenario_jobcoeff_1610_iotable_2020_xlsx_3[[#This Row],[2034]]</f>
        <v>19.760475311292211</v>
      </c>
      <c r="L56">
        <f>scenario_jobcoeff_4506_iotable_2020_xlsx_3[[#This Row],[2035]]+scenario_jobcoeff_1610_iotable_2020_xlsx_3[[#This Row],[2035]]</f>
        <v>22.872010637396315</v>
      </c>
      <c r="M56">
        <f>scenario_jobcoeff_4506_iotable_2020_xlsx_3[[#This Row],[2036]]+scenario_jobcoeff_1610_iotable_2020_xlsx_3[[#This Row],[2036]]</f>
        <v>24.081553555779749</v>
      </c>
      <c r="N56">
        <f>scenario_jobcoeff_4506_iotable_2020_xlsx_3[[#This Row],[2037]]+scenario_jobcoeff_1610_iotable_2020_xlsx_3[[#This Row],[2037]]</f>
        <v>25.184376583398695</v>
      </c>
      <c r="O56">
        <f>scenario_jobcoeff_4506_iotable_2020_xlsx_3[[#This Row],[2038]]+scenario_jobcoeff_1610_iotable_2020_xlsx_3[[#This Row],[2038]]</f>
        <v>25.184376583398695</v>
      </c>
      <c r="P56">
        <f>scenario_jobcoeff_4506_iotable_2020_xlsx_3[[#This Row],[2039]]+scenario_jobcoeff_1610_iotable_2020_xlsx_3[[#This Row],[2039]]</f>
        <v>25.184376583398695</v>
      </c>
      <c r="Q56">
        <f>scenario_jobcoeff_4506_iotable_2020_xlsx_3[[#This Row],[2040]]+scenario_jobcoeff_1610_iotable_2020_xlsx_3[[#This Row],[2040]]</f>
        <v>26.144769187079508</v>
      </c>
      <c r="R56">
        <f>scenario_jobcoeff_4506_iotable_2020_xlsx_3[[#This Row],[2041]]+scenario_jobcoeff_1610_iotable_2020_xlsx_3[[#This Row],[2041]]</f>
        <v>26.144769187079508</v>
      </c>
      <c r="S56">
        <f>scenario_jobcoeff_4506_iotable_2020_xlsx_3[[#This Row],[2042]]+scenario_jobcoeff_1610_iotable_2020_xlsx_3[[#This Row],[2042]]</f>
        <v>27.229379002134461</v>
      </c>
      <c r="T56">
        <f>scenario_jobcoeff_4506_iotable_2020_xlsx_3[[#This Row],[2043]]+scenario_jobcoeff_1610_iotable_2020_xlsx_3[[#This Row],[2043]]</f>
        <v>27.229379002134461</v>
      </c>
      <c r="U56">
        <f>scenario_jobcoeff_4506_iotable_2020_xlsx_3[[#This Row],[2044]]+scenario_jobcoeff_1610_iotable_2020_xlsx_3[[#This Row],[2044]]</f>
        <v>28.186465467658067</v>
      </c>
      <c r="V56">
        <f>scenario_jobcoeff_4506_iotable_2020_xlsx_3[[#This Row],[2045]]+scenario_jobcoeff_1610_iotable_2020_xlsx_3[[#This Row],[2045]]</f>
        <v>28.186465467658067</v>
      </c>
      <c r="W56">
        <f>scenario_jobcoeff_4506_iotable_2020_xlsx_3[[#This Row],[2046]]+scenario_jobcoeff_1610_iotable_2020_xlsx_3[[#This Row],[2046]]</f>
        <v>29.024997990192315</v>
      </c>
      <c r="X56">
        <f>scenario_jobcoeff_4506_iotable_2020_xlsx_3[[#This Row],[2047]]+scenario_jobcoeff_1610_iotable_2020_xlsx_3[[#This Row],[2047]]</f>
        <v>29.024997990192315</v>
      </c>
      <c r="Y56">
        <f>scenario_jobcoeff_4506_iotable_2020_xlsx_3[[#This Row],[2048]]+scenario_jobcoeff_1610_iotable_2020_xlsx_3[[#This Row],[2048]]</f>
        <v>29.024997990192315</v>
      </c>
      <c r="Z56">
        <f>scenario_jobcoeff_4506_iotable_2020_xlsx_3[[#This Row],[2049]]+scenario_jobcoeff_1610_iotable_2020_xlsx_3[[#This Row],[2049]]</f>
        <v>29.024997990192315</v>
      </c>
      <c r="AA56">
        <f>scenario_jobcoeff_4506_iotable_2020_xlsx_3[[#This Row],[2050]]+scenario_jobcoeff_1610_iotable_2020_xlsx_3[[#This Row],[2050]]</f>
        <v>29.024997990192315</v>
      </c>
    </row>
    <row r="57" spans="1:27" x14ac:dyDescent="0.2">
      <c r="A57" t="s">
        <v>154</v>
      </c>
      <c r="B57" t="s">
        <v>155</v>
      </c>
      <c r="C57">
        <f>scenario_jobcoeff_4506_iotable_2020_xlsx_3[[#This Row],[2026]]+scenario_jobcoeff_1610_iotable_2020_xlsx_3[[#This Row],[2026]]</f>
        <v>-48.348060518997507</v>
      </c>
      <c r="D57">
        <f>scenario_jobcoeff_4506_iotable_2020_xlsx_3[[#This Row],[2027]]+scenario_jobcoeff_1610_iotable_2020_xlsx_3[[#This Row],[2027]]</f>
        <v>-59.35349766277119</v>
      </c>
      <c r="E57">
        <f>scenario_jobcoeff_4506_iotable_2020_xlsx_3[[#This Row],[2028]]+scenario_jobcoeff_1610_iotable_2020_xlsx_3[[#This Row],[2028]]</f>
        <v>-61.072390289020248</v>
      </c>
      <c r="F57">
        <f>scenario_jobcoeff_4506_iotable_2020_xlsx_3[[#This Row],[2029]]+scenario_jobcoeff_1610_iotable_2020_xlsx_3[[#This Row],[2029]]</f>
        <v>-66.698174090580039</v>
      </c>
      <c r="G57">
        <f>scenario_jobcoeff_4506_iotable_2020_xlsx_3[[#This Row],[2030]]+scenario_jobcoeff_1610_iotable_2020_xlsx_3[[#This Row],[2030]]</f>
        <v>-102.44384340388929</v>
      </c>
      <c r="H57">
        <f>scenario_jobcoeff_4506_iotable_2020_xlsx_3[[#This Row],[2031]]+scenario_jobcoeff_1610_iotable_2020_xlsx_3[[#This Row],[2031]]</f>
        <v>-104.76297268215505</v>
      </c>
      <c r="I57">
        <f>scenario_jobcoeff_4506_iotable_2020_xlsx_3[[#This Row],[2032]]+scenario_jobcoeff_1610_iotable_2020_xlsx_3[[#This Row],[2032]]</f>
        <v>-108.00184310077402</v>
      </c>
      <c r="J57">
        <f>scenario_jobcoeff_4506_iotable_2020_xlsx_3[[#This Row],[2033]]+scenario_jobcoeff_1610_iotable_2020_xlsx_3[[#This Row],[2033]]</f>
        <v>-133.8277282625171</v>
      </c>
      <c r="K57">
        <f>scenario_jobcoeff_4506_iotable_2020_xlsx_3[[#This Row],[2034]]+scenario_jobcoeff_1610_iotable_2020_xlsx_3[[#This Row],[2034]]</f>
        <v>-136.84166605570658</v>
      </c>
      <c r="L57">
        <f>scenario_jobcoeff_4506_iotable_2020_xlsx_3[[#This Row],[2035]]+scenario_jobcoeff_1610_iotable_2020_xlsx_3[[#This Row],[2035]]</f>
        <v>-170.62550431911833</v>
      </c>
      <c r="M57">
        <f>scenario_jobcoeff_4506_iotable_2020_xlsx_3[[#This Row],[2036]]+scenario_jobcoeff_1610_iotable_2020_xlsx_3[[#This Row],[2036]]</f>
        <v>-190.56831241337878</v>
      </c>
      <c r="N57">
        <f>scenario_jobcoeff_4506_iotable_2020_xlsx_3[[#This Row],[2037]]+scenario_jobcoeff_1610_iotable_2020_xlsx_3[[#This Row],[2037]]</f>
        <v>-208.12420999196064</v>
      </c>
      <c r="O57">
        <f>scenario_jobcoeff_4506_iotable_2020_xlsx_3[[#This Row],[2038]]+scenario_jobcoeff_1610_iotable_2020_xlsx_3[[#This Row],[2038]]</f>
        <v>-208.12420999196064</v>
      </c>
      <c r="P57">
        <f>scenario_jobcoeff_4506_iotable_2020_xlsx_3[[#This Row],[2039]]+scenario_jobcoeff_1610_iotable_2020_xlsx_3[[#This Row],[2039]]</f>
        <v>-208.12420999196064</v>
      </c>
      <c r="Q57">
        <f>scenario_jobcoeff_4506_iotable_2020_xlsx_3[[#This Row],[2040]]+scenario_jobcoeff_1610_iotable_2020_xlsx_3[[#This Row],[2040]]</f>
        <v>-223.51579101813087</v>
      </c>
      <c r="R57">
        <f>scenario_jobcoeff_4506_iotable_2020_xlsx_3[[#This Row],[2041]]+scenario_jobcoeff_1610_iotable_2020_xlsx_3[[#This Row],[2041]]</f>
        <v>-223.51579101813087</v>
      </c>
      <c r="S57">
        <f>scenario_jobcoeff_4506_iotable_2020_xlsx_3[[#This Row],[2042]]+scenario_jobcoeff_1610_iotable_2020_xlsx_3[[#This Row],[2042]]</f>
        <v>-240.57015996401645</v>
      </c>
      <c r="T57">
        <f>scenario_jobcoeff_4506_iotable_2020_xlsx_3[[#This Row],[2043]]+scenario_jobcoeff_1610_iotable_2020_xlsx_3[[#This Row],[2043]]</f>
        <v>-240.57015996401645</v>
      </c>
      <c r="U57">
        <f>scenario_jobcoeff_4506_iotable_2020_xlsx_3[[#This Row],[2044]]+scenario_jobcoeff_1610_iotable_2020_xlsx_3[[#This Row],[2044]]</f>
        <v>-256.5895066814395</v>
      </c>
      <c r="V57">
        <f>scenario_jobcoeff_4506_iotable_2020_xlsx_3[[#This Row],[2045]]+scenario_jobcoeff_1610_iotable_2020_xlsx_3[[#This Row],[2045]]</f>
        <v>-256.5895066814395</v>
      </c>
      <c r="W57">
        <f>scenario_jobcoeff_4506_iotable_2020_xlsx_3[[#This Row],[2046]]+scenario_jobcoeff_1610_iotable_2020_xlsx_3[[#This Row],[2046]]</f>
        <v>-270.29278866231459</v>
      </c>
      <c r="X57">
        <f>scenario_jobcoeff_4506_iotable_2020_xlsx_3[[#This Row],[2047]]+scenario_jobcoeff_1610_iotable_2020_xlsx_3[[#This Row],[2047]]</f>
        <v>-270.29278866231459</v>
      </c>
      <c r="Y57">
        <f>scenario_jobcoeff_4506_iotable_2020_xlsx_3[[#This Row],[2048]]+scenario_jobcoeff_1610_iotable_2020_xlsx_3[[#This Row],[2048]]</f>
        <v>-270.29278866231459</v>
      </c>
      <c r="Z57">
        <f>scenario_jobcoeff_4506_iotable_2020_xlsx_3[[#This Row],[2049]]+scenario_jobcoeff_1610_iotable_2020_xlsx_3[[#This Row],[2049]]</f>
        <v>-270.29278866231459</v>
      </c>
      <c r="AA57">
        <f>scenario_jobcoeff_4506_iotable_2020_xlsx_3[[#This Row],[2050]]+scenario_jobcoeff_1610_iotable_2020_xlsx_3[[#This Row],[2050]]</f>
        <v>-270.29278866231459</v>
      </c>
    </row>
    <row r="58" spans="1:27" x14ac:dyDescent="0.2">
      <c r="A58" t="s">
        <v>278</v>
      </c>
      <c r="B58" t="s">
        <v>279</v>
      </c>
      <c r="C58">
        <f>scenario_jobcoeff_4506_iotable_2020_xlsx_3[[#This Row],[2026]]+scenario_jobcoeff_1610_iotable_2020_xlsx_3[[#This Row],[2026]]</f>
        <v>2.4332095396200448</v>
      </c>
      <c r="D58">
        <f>scenario_jobcoeff_4506_iotable_2020_xlsx_3[[#This Row],[2027]]+scenario_jobcoeff_1610_iotable_2020_xlsx_3[[#This Row],[2027]]</f>
        <v>2.4925711648526079</v>
      </c>
      <c r="E58">
        <f>scenario_jobcoeff_4506_iotable_2020_xlsx_3[[#This Row],[2028]]+scenario_jobcoeff_1610_iotable_2020_xlsx_3[[#This Row],[2028]]</f>
        <v>2.6084694206633414</v>
      </c>
      <c r="F58">
        <f>scenario_jobcoeff_4506_iotable_2020_xlsx_3[[#This Row],[2029]]+scenario_jobcoeff_1610_iotable_2020_xlsx_3[[#This Row],[2029]]</f>
        <v>2.7147172432992348</v>
      </c>
      <c r="G58">
        <f>scenario_jobcoeff_4506_iotable_2020_xlsx_3[[#This Row],[2030]]+scenario_jobcoeff_1610_iotable_2020_xlsx_3[[#This Row],[2030]]</f>
        <v>2.8102134735392492</v>
      </c>
      <c r="H58">
        <f>scenario_jobcoeff_4506_iotable_2020_xlsx_3[[#This Row],[2031]]+scenario_jobcoeff_1610_iotable_2020_xlsx_3[[#This Row],[2031]]</f>
        <v>2.9665833562451507</v>
      </c>
      <c r="I58">
        <f>scenario_jobcoeff_4506_iotable_2020_xlsx_3[[#This Row],[2032]]+scenario_jobcoeff_1610_iotable_2020_xlsx_3[[#This Row],[2032]]</f>
        <v>3.1849678129485737</v>
      </c>
      <c r="J58">
        <f>scenario_jobcoeff_4506_iotable_2020_xlsx_3[[#This Row],[2033]]+scenario_jobcoeff_1610_iotable_2020_xlsx_3[[#This Row],[2033]]</f>
        <v>3.6350507781297079</v>
      </c>
      <c r="K58">
        <f>scenario_jobcoeff_4506_iotable_2020_xlsx_3[[#This Row],[2034]]+scenario_jobcoeff_1610_iotable_2020_xlsx_3[[#This Row],[2034]]</f>
        <v>3.8382689012506219</v>
      </c>
      <c r="L58">
        <f>scenario_jobcoeff_4506_iotable_2020_xlsx_3[[#This Row],[2035]]+scenario_jobcoeff_1610_iotable_2020_xlsx_3[[#This Row],[2035]]</f>
        <v>4.4816056767907959</v>
      </c>
      <c r="M58">
        <f>scenario_jobcoeff_4506_iotable_2020_xlsx_3[[#This Row],[2036]]+scenario_jobcoeff_1610_iotable_2020_xlsx_3[[#This Row],[2036]]</f>
        <v>4.7533681101928886</v>
      </c>
      <c r="N58">
        <f>scenario_jobcoeff_4506_iotable_2020_xlsx_3[[#This Row],[2037]]+scenario_jobcoeff_1610_iotable_2020_xlsx_3[[#This Row],[2037]]</f>
        <v>4.9991555009249549</v>
      </c>
      <c r="O58">
        <f>scenario_jobcoeff_4506_iotable_2020_xlsx_3[[#This Row],[2038]]+scenario_jobcoeff_1610_iotable_2020_xlsx_3[[#This Row],[2038]]</f>
        <v>4.9991555009249549</v>
      </c>
      <c r="P58">
        <f>scenario_jobcoeff_4506_iotable_2020_xlsx_3[[#This Row],[2039]]+scenario_jobcoeff_1610_iotable_2020_xlsx_3[[#This Row],[2039]]</f>
        <v>4.9991555009249549</v>
      </c>
      <c r="Q58">
        <f>scenario_jobcoeff_4506_iotable_2020_xlsx_3[[#This Row],[2040]]+scenario_jobcoeff_1610_iotable_2020_xlsx_3[[#This Row],[2040]]</f>
        <v>5.2135272830373536</v>
      </c>
      <c r="R58">
        <f>scenario_jobcoeff_4506_iotable_2020_xlsx_3[[#This Row],[2041]]+scenario_jobcoeff_1610_iotable_2020_xlsx_3[[#This Row],[2041]]</f>
        <v>5.2135272830373536</v>
      </c>
      <c r="S58">
        <f>scenario_jobcoeff_4506_iotable_2020_xlsx_3[[#This Row],[2042]]+scenario_jobcoeff_1610_iotable_2020_xlsx_3[[#This Row],[2042]]</f>
        <v>5.4545818991349613</v>
      </c>
      <c r="T58">
        <f>scenario_jobcoeff_4506_iotable_2020_xlsx_3[[#This Row],[2043]]+scenario_jobcoeff_1610_iotable_2020_xlsx_3[[#This Row],[2043]]</f>
        <v>5.4545818991349613</v>
      </c>
      <c r="U58">
        <f>scenario_jobcoeff_4506_iotable_2020_xlsx_3[[#This Row],[2044]]+scenario_jobcoeff_1610_iotable_2020_xlsx_3[[#This Row],[2044]]</f>
        <v>5.6703827967368738</v>
      </c>
      <c r="V58">
        <f>scenario_jobcoeff_4506_iotable_2020_xlsx_3[[#This Row],[2045]]+scenario_jobcoeff_1610_iotable_2020_xlsx_3[[#This Row],[2045]]</f>
        <v>5.6703827967368738</v>
      </c>
      <c r="W58">
        <f>scenario_jobcoeff_4506_iotable_2020_xlsx_3[[#This Row],[2046]]+scenario_jobcoeff_1610_iotable_2020_xlsx_3[[#This Row],[2046]]</f>
        <v>5.8583964187870254</v>
      </c>
      <c r="X58">
        <f>scenario_jobcoeff_4506_iotable_2020_xlsx_3[[#This Row],[2047]]+scenario_jobcoeff_1610_iotable_2020_xlsx_3[[#This Row],[2047]]</f>
        <v>5.8583964187870254</v>
      </c>
      <c r="Y58">
        <f>scenario_jobcoeff_4506_iotable_2020_xlsx_3[[#This Row],[2048]]+scenario_jobcoeff_1610_iotable_2020_xlsx_3[[#This Row],[2048]]</f>
        <v>5.8583964187870254</v>
      </c>
      <c r="Z58">
        <f>scenario_jobcoeff_4506_iotable_2020_xlsx_3[[#This Row],[2049]]+scenario_jobcoeff_1610_iotable_2020_xlsx_3[[#This Row],[2049]]</f>
        <v>5.8583964187870254</v>
      </c>
      <c r="AA58">
        <f>scenario_jobcoeff_4506_iotable_2020_xlsx_3[[#This Row],[2050]]+scenario_jobcoeff_1610_iotable_2020_xlsx_3[[#This Row],[2050]]</f>
        <v>5.8583964187870254</v>
      </c>
    </row>
    <row r="59" spans="1:27" x14ac:dyDescent="0.2">
      <c r="A59" t="s">
        <v>130</v>
      </c>
      <c r="B59" t="s">
        <v>131</v>
      </c>
      <c r="C59">
        <f>scenario_jobcoeff_4506_iotable_2020_xlsx_3[[#This Row],[2026]]+scenario_jobcoeff_1610_iotable_2020_xlsx_3[[#This Row],[2026]]</f>
        <v>58.134345884859037</v>
      </c>
      <c r="D59">
        <f>scenario_jobcoeff_4506_iotable_2020_xlsx_3[[#This Row],[2027]]+scenario_jobcoeff_1610_iotable_2020_xlsx_3[[#This Row],[2027]]</f>
        <v>56.726681046115999</v>
      </c>
      <c r="E59">
        <f>scenario_jobcoeff_4506_iotable_2020_xlsx_3[[#This Row],[2028]]+scenario_jobcoeff_1610_iotable_2020_xlsx_3[[#This Row],[2028]]</f>
        <v>59.6636898050253</v>
      </c>
      <c r="F59">
        <f>scenario_jobcoeff_4506_iotable_2020_xlsx_3[[#This Row],[2029]]+scenario_jobcoeff_1610_iotable_2020_xlsx_3[[#This Row],[2029]]</f>
        <v>61.191358756303039</v>
      </c>
      <c r="G59">
        <f>scenario_jobcoeff_4506_iotable_2020_xlsx_3[[#This Row],[2030]]+scenario_jobcoeff_1610_iotable_2020_xlsx_3[[#This Row],[2030]]</f>
        <v>53.738224897088102</v>
      </c>
      <c r="H59">
        <f>scenario_jobcoeff_4506_iotable_2020_xlsx_3[[#This Row],[2031]]+scenario_jobcoeff_1610_iotable_2020_xlsx_3[[#This Row],[2031]]</f>
        <v>57.700835998732607</v>
      </c>
      <c r="I59">
        <f>scenario_jobcoeff_4506_iotable_2020_xlsx_3[[#This Row],[2032]]+scenario_jobcoeff_1610_iotable_2020_xlsx_3[[#This Row],[2032]]</f>
        <v>63.234975038711077</v>
      </c>
      <c r="J59">
        <f>scenario_jobcoeff_4506_iotable_2020_xlsx_3[[#This Row],[2033]]+scenario_jobcoeff_1610_iotable_2020_xlsx_3[[#This Row],[2033]]</f>
        <v>69.132908605975402</v>
      </c>
      <c r="K59">
        <f>scenario_jobcoeff_4506_iotable_2020_xlsx_3[[#This Row],[2034]]+scenario_jobcoeff_1610_iotable_2020_xlsx_3[[#This Row],[2034]]</f>
        <v>74.282713522366137</v>
      </c>
      <c r="L59">
        <f>scenario_jobcoeff_4506_iotable_2020_xlsx_3[[#This Row],[2035]]+scenario_jobcoeff_1610_iotable_2020_xlsx_3[[#This Row],[2035]]</f>
        <v>83.613542200537069</v>
      </c>
      <c r="M59">
        <f>scenario_jobcoeff_4506_iotable_2020_xlsx_3[[#This Row],[2036]]+scenario_jobcoeff_1610_iotable_2020_xlsx_3[[#This Row],[2036]]</f>
        <v>85.923970777472107</v>
      </c>
      <c r="N59">
        <f>scenario_jobcoeff_4506_iotable_2020_xlsx_3[[#This Row],[2037]]+scenario_jobcoeff_1610_iotable_2020_xlsx_3[[#This Row],[2037]]</f>
        <v>88.151840426229271</v>
      </c>
      <c r="O59">
        <f>scenario_jobcoeff_4506_iotable_2020_xlsx_3[[#This Row],[2038]]+scenario_jobcoeff_1610_iotable_2020_xlsx_3[[#This Row],[2038]]</f>
        <v>88.151840426229271</v>
      </c>
      <c r="P59">
        <f>scenario_jobcoeff_4506_iotable_2020_xlsx_3[[#This Row],[2039]]+scenario_jobcoeff_1610_iotable_2020_xlsx_3[[#This Row],[2039]]</f>
        <v>88.151840426229271</v>
      </c>
      <c r="Q59">
        <f>scenario_jobcoeff_4506_iotable_2020_xlsx_3[[#This Row],[2040]]+scenario_jobcoeff_1610_iotable_2020_xlsx_3[[#This Row],[2040]]</f>
        <v>90.072055993521957</v>
      </c>
      <c r="R59">
        <f>scenario_jobcoeff_4506_iotable_2020_xlsx_3[[#This Row],[2041]]+scenario_jobcoeff_1610_iotable_2020_xlsx_3[[#This Row],[2041]]</f>
        <v>90.072055993521957</v>
      </c>
      <c r="S59">
        <f>scenario_jobcoeff_4506_iotable_2020_xlsx_3[[#This Row],[2042]]+scenario_jobcoeff_1610_iotable_2020_xlsx_3[[#This Row],[2042]]</f>
        <v>92.304043613444904</v>
      </c>
      <c r="T59">
        <f>scenario_jobcoeff_4506_iotable_2020_xlsx_3[[#This Row],[2043]]+scenario_jobcoeff_1610_iotable_2020_xlsx_3[[#This Row],[2043]]</f>
        <v>92.304043613444904</v>
      </c>
      <c r="U59">
        <f>scenario_jobcoeff_4506_iotable_2020_xlsx_3[[#This Row],[2044]]+scenario_jobcoeff_1610_iotable_2020_xlsx_3[[#This Row],[2044]]</f>
        <v>94.086025032950403</v>
      </c>
      <c r="V59">
        <f>scenario_jobcoeff_4506_iotable_2020_xlsx_3[[#This Row],[2045]]+scenario_jobcoeff_1610_iotable_2020_xlsx_3[[#This Row],[2045]]</f>
        <v>94.086025032950403</v>
      </c>
      <c r="W59">
        <f>scenario_jobcoeff_4506_iotable_2020_xlsx_3[[#This Row],[2046]]+scenario_jobcoeff_1610_iotable_2020_xlsx_3[[#This Row],[2046]]</f>
        <v>95.711418068263498</v>
      </c>
      <c r="X59">
        <f>scenario_jobcoeff_4506_iotable_2020_xlsx_3[[#This Row],[2047]]+scenario_jobcoeff_1610_iotable_2020_xlsx_3[[#This Row],[2047]]</f>
        <v>95.711418068263498</v>
      </c>
      <c r="Y59">
        <f>scenario_jobcoeff_4506_iotable_2020_xlsx_3[[#This Row],[2048]]+scenario_jobcoeff_1610_iotable_2020_xlsx_3[[#This Row],[2048]]</f>
        <v>95.711418068263498</v>
      </c>
      <c r="Z59">
        <f>scenario_jobcoeff_4506_iotable_2020_xlsx_3[[#This Row],[2049]]+scenario_jobcoeff_1610_iotable_2020_xlsx_3[[#This Row],[2049]]</f>
        <v>95.711418068263498</v>
      </c>
      <c r="AA59">
        <f>scenario_jobcoeff_4506_iotable_2020_xlsx_3[[#This Row],[2050]]+scenario_jobcoeff_1610_iotable_2020_xlsx_3[[#This Row],[2050]]</f>
        <v>95.711418068263498</v>
      </c>
    </row>
    <row r="60" spans="1:27" x14ac:dyDescent="0.2">
      <c r="A60" t="s">
        <v>266</v>
      </c>
      <c r="B60" t="s">
        <v>267</v>
      </c>
      <c r="C60">
        <f>scenario_jobcoeff_4506_iotable_2020_xlsx_3[[#This Row],[2026]]+scenario_jobcoeff_1610_iotable_2020_xlsx_3[[#This Row],[2026]]</f>
        <v>3.8905650802755409</v>
      </c>
      <c r="D60">
        <f>scenario_jobcoeff_4506_iotable_2020_xlsx_3[[#This Row],[2027]]+scenario_jobcoeff_1610_iotable_2020_xlsx_3[[#This Row],[2027]]</f>
        <v>3.7936125249366079</v>
      </c>
      <c r="E60">
        <f>scenario_jobcoeff_4506_iotable_2020_xlsx_3[[#This Row],[2028]]+scenario_jobcoeff_1610_iotable_2020_xlsx_3[[#This Row],[2028]]</f>
        <v>3.990331232626275</v>
      </c>
      <c r="F60">
        <f>scenario_jobcoeff_4506_iotable_2020_xlsx_3[[#This Row],[2029]]+scenario_jobcoeff_1610_iotable_2020_xlsx_3[[#This Row],[2029]]</f>
        <v>4.091586110446177</v>
      </c>
      <c r="G60">
        <f>scenario_jobcoeff_4506_iotable_2020_xlsx_3[[#This Row],[2030]]+scenario_jobcoeff_1610_iotable_2020_xlsx_3[[#This Row],[2030]]</f>
        <v>3.5833340288836144</v>
      </c>
      <c r="H60">
        <f>scenario_jobcoeff_4506_iotable_2020_xlsx_3[[#This Row],[2031]]+scenario_jobcoeff_1610_iotable_2020_xlsx_3[[#This Row],[2031]]</f>
        <v>3.8487468345579581</v>
      </c>
      <c r="I60">
        <f>scenario_jobcoeff_4506_iotable_2020_xlsx_3[[#This Row],[2032]]+scenario_jobcoeff_1610_iotable_2020_xlsx_3[[#This Row],[2032]]</f>
        <v>4.2194194370202682</v>
      </c>
      <c r="J60">
        <f>scenario_jobcoeff_4506_iotable_2020_xlsx_3[[#This Row],[2033]]+scenario_jobcoeff_1610_iotable_2020_xlsx_3[[#This Row],[2033]]</f>
        <v>4.6094120710794142</v>
      </c>
      <c r="K60">
        <f>scenario_jobcoeff_4506_iotable_2020_xlsx_3[[#This Row],[2034]]+scenario_jobcoeff_1610_iotable_2020_xlsx_3[[#This Row],[2034]]</f>
        <v>4.9543422538489414</v>
      </c>
      <c r="L60">
        <f>scenario_jobcoeff_4506_iotable_2020_xlsx_3[[#This Row],[2035]]+scenario_jobcoeff_1610_iotable_2020_xlsx_3[[#This Row],[2035]]</f>
        <v>5.5729258927038341</v>
      </c>
      <c r="M60">
        <f>scenario_jobcoeff_4506_iotable_2020_xlsx_3[[#This Row],[2036]]+scenario_jobcoeff_1610_iotable_2020_xlsx_3[[#This Row],[2036]]</f>
        <v>5.7234834498561726</v>
      </c>
      <c r="N60">
        <f>scenario_jobcoeff_4506_iotable_2020_xlsx_3[[#This Row],[2037]]+scenario_jobcoeff_1610_iotable_2020_xlsx_3[[#This Row],[2037]]</f>
        <v>5.8690387587223842</v>
      </c>
      <c r="O60">
        <f>scenario_jobcoeff_4506_iotable_2020_xlsx_3[[#This Row],[2038]]+scenario_jobcoeff_1610_iotable_2020_xlsx_3[[#This Row],[2038]]</f>
        <v>5.8690387587223842</v>
      </c>
      <c r="P60">
        <f>scenario_jobcoeff_4506_iotable_2020_xlsx_3[[#This Row],[2039]]+scenario_jobcoeff_1610_iotable_2020_xlsx_3[[#This Row],[2039]]</f>
        <v>5.8690387587223842</v>
      </c>
      <c r="Q60">
        <f>scenario_jobcoeff_4506_iotable_2020_xlsx_3[[#This Row],[2040]]+scenario_jobcoeff_1610_iotable_2020_xlsx_3[[#This Row],[2040]]</f>
        <v>5.9944351875096826</v>
      </c>
      <c r="R60">
        <f>scenario_jobcoeff_4506_iotable_2020_xlsx_3[[#This Row],[2041]]+scenario_jobcoeff_1610_iotable_2020_xlsx_3[[#This Row],[2041]]</f>
        <v>5.9944351875096826</v>
      </c>
      <c r="S60">
        <f>scenario_jobcoeff_4506_iotable_2020_xlsx_3[[#This Row],[2042]]+scenario_jobcoeff_1610_iotable_2020_xlsx_3[[#This Row],[2042]]</f>
        <v>6.1403799825548813</v>
      </c>
      <c r="T60">
        <f>scenario_jobcoeff_4506_iotable_2020_xlsx_3[[#This Row],[2043]]+scenario_jobcoeff_1610_iotable_2020_xlsx_3[[#This Row],[2043]]</f>
        <v>6.1403799825548813</v>
      </c>
      <c r="U60">
        <f>scenario_jobcoeff_4506_iotable_2020_xlsx_3[[#This Row],[2044]]+scenario_jobcoeff_1610_iotable_2020_xlsx_3[[#This Row],[2044]]</f>
        <v>6.2563577430533215</v>
      </c>
      <c r="V60">
        <f>scenario_jobcoeff_4506_iotable_2020_xlsx_3[[#This Row],[2045]]+scenario_jobcoeff_1610_iotable_2020_xlsx_3[[#This Row],[2045]]</f>
        <v>6.2563577430533215</v>
      </c>
      <c r="W60">
        <f>scenario_jobcoeff_4506_iotable_2020_xlsx_3[[#This Row],[2046]]+scenario_jobcoeff_1610_iotable_2020_xlsx_3[[#This Row],[2046]]</f>
        <v>6.3623490638549889</v>
      </c>
      <c r="X60">
        <f>scenario_jobcoeff_4506_iotable_2020_xlsx_3[[#This Row],[2047]]+scenario_jobcoeff_1610_iotable_2020_xlsx_3[[#This Row],[2047]]</f>
        <v>6.3623490638549889</v>
      </c>
      <c r="Y60">
        <f>scenario_jobcoeff_4506_iotable_2020_xlsx_3[[#This Row],[2048]]+scenario_jobcoeff_1610_iotable_2020_xlsx_3[[#This Row],[2048]]</f>
        <v>6.3623490638549889</v>
      </c>
      <c r="Z60">
        <f>scenario_jobcoeff_4506_iotable_2020_xlsx_3[[#This Row],[2049]]+scenario_jobcoeff_1610_iotable_2020_xlsx_3[[#This Row],[2049]]</f>
        <v>6.3623490638549889</v>
      </c>
      <c r="AA60">
        <f>scenario_jobcoeff_4506_iotable_2020_xlsx_3[[#This Row],[2050]]+scenario_jobcoeff_1610_iotable_2020_xlsx_3[[#This Row],[2050]]</f>
        <v>6.3623490638549889</v>
      </c>
    </row>
    <row r="61" spans="1:27" x14ac:dyDescent="0.2">
      <c r="A61" t="s">
        <v>184</v>
      </c>
      <c r="B61" t="s">
        <v>185</v>
      </c>
      <c r="C61">
        <f>scenario_jobcoeff_4506_iotable_2020_xlsx_3[[#This Row],[2026]]+scenario_jobcoeff_1610_iotable_2020_xlsx_3[[#This Row],[2026]]</f>
        <v>23.319905286495757</v>
      </c>
      <c r="D61">
        <f>scenario_jobcoeff_4506_iotable_2020_xlsx_3[[#This Row],[2027]]+scenario_jobcoeff_1610_iotable_2020_xlsx_3[[#This Row],[2027]]</f>
        <v>23.204817848170755</v>
      </c>
      <c r="E61">
        <f>scenario_jobcoeff_4506_iotable_2020_xlsx_3[[#This Row],[2028]]+scenario_jobcoeff_1610_iotable_2020_xlsx_3[[#This Row],[2028]]</f>
        <v>24.356242834290807</v>
      </c>
      <c r="F61">
        <f>scenario_jobcoeff_4506_iotable_2020_xlsx_3[[#This Row],[2029]]+scenario_jobcoeff_1610_iotable_2020_xlsx_3[[#This Row],[2029]]</f>
        <v>25.129859633096956</v>
      </c>
      <c r="G61">
        <f>scenario_jobcoeff_4506_iotable_2020_xlsx_3[[#This Row],[2030]]+scenario_jobcoeff_1610_iotable_2020_xlsx_3[[#This Row],[2030]]</f>
        <v>23.688830947929269</v>
      </c>
      <c r="H61">
        <f>scenario_jobcoeff_4506_iotable_2020_xlsx_3[[#This Row],[2031]]+scenario_jobcoeff_1610_iotable_2020_xlsx_3[[#This Row],[2031]]</f>
        <v>25.242333101734431</v>
      </c>
      <c r="I61">
        <f>scenario_jobcoeff_4506_iotable_2020_xlsx_3[[#This Row],[2032]]+scenario_jobcoeff_1610_iotable_2020_xlsx_3[[#This Row],[2032]]</f>
        <v>27.411937107157989</v>
      </c>
      <c r="J61">
        <f>scenario_jobcoeff_4506_iotable_2020_xlsx_3[[#This Row],[2033]]+scenario_jobcoeff_1610_iotable_2020_xlsx_3[[#This Row],[2033]]</f>
        <v>30.550284263874662</v>
      </c>
      <c r="K61">
        <f>scenario_jobcoeff_4506_iotable_2020_xlsx_3[[#This Row],[2034]]+scenario_jobcoeff_1610_iotable_2020_xlsx_3[[#This Row],[2034]]</f>
        <v>32.569213910028765</v>
      </c>
      <c r="L61">
        <f>scenario_jobcoeff_4506_iotable_2020_xlsx_3[[#This Row],[2035]]+scenario_jobcoeff_1610_iotable_2020_xlsx_3[[#This Row],[2035]]</f>
        <v>37.273042995507652</v>
      </c>
      <c r="M61">
        <f>scenario_jobcoeff_4506_iotable_2020_xlsx_3[[#This Row],[2036]]+scenario_jobcoeff_1610_iotable_2020_xlsx_3[[#This Row],[2036]]</f>
        <v>38.865246826287979</v>
      </c>
      <c r="N61">
        <f>scenario_jobcoeff_4506_iotable_2020_xlsx_3[[#This Row],[2037]]+scenario_jobcoeff_1610_iotable_2020_xlsx_3[[#This Row],[2037]]</f>
        <v>40.338736172825058</v>
      </c>
      <c r="O61">
        <f>scenario_jobcoeff_4506_iotable_2020_xlsx_3[[#This Row],[2038]]+scenario_jobcoeff_1610_iotable_2020_xlsx_3[[#This Row],[2038]]</f>
        <v>40.338736172825058</v>
      </c>
      <c r="P61">
        <f>scenario_jobcoeff_4506_iotable_2020_xlsx_3[[#This Row],[2039]]+scenario_jobcoeff_1610_iotable_2020_xlsx_3[[#This Row],[2039]]</f>
        <v>40.338736172825058</v>
      </c>
      <c r="Q61">
        <f>scenario_jobcoeff_4506_iotable_2020_xlsx_3[[#This Row],[2040]]+scenario_jobcoeff_1610_iotable_2020_xlsx_3[[#This Row],[2040]]</f>
        <v>41.618347742675617</v>
      </c>
      <c r="R61">
        <f>scenario_jobcoeff_4506_iotable_2020_xlsx_3[[#This Row],[2041]]+scenario_jobcoeff_1610_iotable_2020_xlsx_3[[#This Row],[2041]]</f>
        <v>41.618347742675617</v>
      </c>
      <c r="S61">
        <f>scenario_jobcoeff_4506_iotable_2020_xlsx_3[[#This Row],[2042]]+scenario_jobcoeff_1610_iotable_2020_xlsx_3[[#This Row],[2042]]</f>
        <v>43.074844522579859</v>
      </c>
      <c r="T61">
        <f>scenario_jobcoeff_4506_iotable_2020_xlsx_3[[#This Row],[2043]]+scenario_jobcoeff_1610_iotable_2020_xlsx_3[[#This Row],[2043]]</f>
        <v>43.074844522579859</v>
      </c>
      <c r="U61">
        <f>scenario_jobcoeff_4506_iotable_2020_xlsx_3[[#This Row],[2044]]+scenario_jobcoeff_1610_iotable_2020_xlsx_3[[#This Row],[2044]]</f>
        <v>44.326428975582125</v>
      </c>
      <c r="V61">
        <f>scenario_jobcoeff_4506_iotable_2020_xlsx_3[[#This Row],[2045]]+scenario_jobcoeff_1610_iotable_2020_xlsx_3[[#This Row],[2045]]</f>
        <v>44.326428975582125</v>
      </c>
      <c r="W61">
        <f>scenario_jobcoeff_4506_iotable_2020_xlsx_3[[#This Row],[2046]]+scenario_jobcoeff_1610_iotable_2020_xlsx_3[[#This Row],[2046]]</f>
        <v>45.434492008108386</v>
      </c>
      <c r="X61">
        <f>scenario_jobcoeff_4506_iotable_2020_xlsx_3[[#This Row],[2047]]+scenario_jobcoeff_1610_iotable_2020_xlsx_3[[#This Row],[2047]]</f>
        <v>45.434492008108386</v>
      </c>
      <c r="Y61">
        <f>scenario_jobcoeff_4506_iotable_2020_xlsx_3[[#This Row],[2048]]+scenario_jobcoeff_1610_iotable_2020_xlsx_3[[#This Row],[2048]]</f>
        <v>45.434492008108386</v>
      </c>
      <c r="Z61">
        <f>scenario_jobcoeff_4506_iotable_2020_xlsx_3[[#This Row],[2049]]+scenario_jobcoeff_1610_iotable_2020_xlsx_3[[#This Row],[2049]]</f>
        <v>45.434492008108386</v>
      </c>
      <c r="AA61">
        <f>scenario_jobcoeff_4506_iotable_2020_xlsx_3[[#This Row],[2050]]+scenario_jobcoeff_1610_iotable_2020_xlsx_3[[#This Row],[2050]]</f>
        <v>45.434492008108386</v>
      </c>
    </row>
    <row r="62" spans="1:27" x14ac:dyDescent="0.2">
      <c r="A62" t="s">
        <v>230</v>
      </c>
      <c r="B62" t="s">
        <v>231</v>
      </c>
      <c r="C62">
        <f>scenario_jobcoeff_4506_iotable_2020_xlsx_3[[#This Row],[2026]]+scenario_jobcoeff_1610_iotable_2020_xlsx_3[[#This Row],[2026]]</f>
        <v>9.8629149898724151</v>
      </c>
      <c r="D62">
        <f>scenario_jobcoeff_4506_iotable_2020_xlsx_3[[#This Row],[2027]]+scenario_jobcoeff_1610_iotable_2020_xlsx_3[[#This Row],[2027]]</f>
        <v>10.000172482239234</v>
      </c>
      <c r="E62">
        <f>scenario_jobcoeff_4506_iotable_2020_xlsx_3[[#This Row],[2028]]+scenario_jobcoeff_1610_iotable_2020_xlsx_3[[#This Row],[2028]]</f>
        <v>10.476104768349607</v>
      </c>
      <c r="F62">
        <f>scenario_jobcoeff_4506_iotable_2020_xlsx_3[[#This Row],[2029]]+scenario_jobcoeff_1610_iotable_2020_xlsx_3[[#This Row],[2029]]</f>
        <v>10.869804261805388</v>
      </c>
      <c r="G62">
        <f>scenario_jobcoeff_4506_iotable_2020_xlsx_3[[#This Row],[2030]]+scenario_jobcoeff_1610_iotable_2020_xlsx_3[[#This Row],[2030]]</f>
        <v>10.900833210742764</v>
      </c>
      <c r="H62">
        <f>scenario_jobcoeff_4506_iotable_2020_xlsx_3[[#This Row],[2031]]+scenario_jobcoeff_1610_iotable_2020_xlsx_3[[#This Row],[2031]]</f>
        <v>11.542960870338982</v>
      </c>
      <c r="I62">
        <f>scenario_jobcoeff_4506_iotable_2020_xlsx_3[[#This Row],[2032]]+scenario_jobcoeff_1610_iotable_2020_xlsx_3[[#This Row],[2032]]</f>
        <v>12.439749290516447</v>
      </c>
      <c r="J62">
        <f>scenario_jobcoeff_4506_iotable_2020_xlsx_3[[#This Row],[2033]]+scenario_jobcoeff_1610_iotable_2020_xlsx_3[[#This Row],[2033]]</f>
        <v>14.0865467915675</v>
      </c>
      <c r="K62">
        <f>scenario_jobcoeff_4506_iotable_2020_xlsx_3[[#This Row],[2034]]+scenario_jobcoeff_1610_iotable_2020_xlsx_3[[#This Row],[2034]]</f>
        <v>14.921055173418736</v>
      </c>
      <c r="L62">
        <f>scenario_jobcoeff_4506_iotable_2020_xlsx_3[[#This Row],[2035]]+scenario_jobcoeff_1610_iotable_2020_xlsx_3[[#This Row],[2035]]</f>
        <v>17.307880469925475</v>
      </c>
      <c r="M62">
        <f>scenario_jobcoeff_4506_iotable_2020_xlsx_3[[#This Row],[2036]]+scenario_jobcoeff_1610_iotable_2020_xlsx_3[[#This Row],[2036]]</f>
        <v>18.256476589738114</v>
      </c>
      <c r="N62">
        <f>scenario_jobcoeff_4506_iotable_2020_xlsx_3[[#This Row],[2037]]+scenario_jobcoeff_1610_iotable_2020_xlsx_3[[#This Row],[2037]]</f>
        <v>19.119463406487831</v>
      </c>
      <c r="O62">
        <f>scenario_jobcoeff_4506_iotable_2020_xlsx_3[[#This Row],[2038]]+scenario_jobcoeff_1610_iotable_2020_xlsx_3[[#This Row],[2038]]</f>
        <v>19.119463406487831</v>
      </c>
      <c r="P62">
        <f>scenario_jobcoeff_4506_iotable_2020_xlsx_3[[#This Row],[2039]]+scenario_jobcoeff_1610_iotable_2020_xlsx_3[[#This Row],[2039]]</f>
        <v>19.119463406487831</v>
      </c>
      <c r="Q62">
        <f>scenario_jobcoeff_4506_iotable_2020_xlsx_3[[#This Row],[2040]]+scenario_jobcoeff_1610_iotable_2020_xlsx_3[[#This Row],[2040]]</f>
        <v>19.871309071614171</v>
      </c>
      <c r="R62">
        <f>scenario_jobcoeff_4506_iotable_2020_xlsx_3[[#This Row],[2041]]+scenario_jobcoeff_1610_iotable_2020_xlsx_3[[#This Row],[2041]]</f>
        <v>19.871309071614171</v>
      </c>
      <c r="S62">
        <f>scenario_jobcoeff_4506_iotable_2020_xlsx_3[[#This Row],[2042]]+scenario_jobcoeff_1610_iotable_2020_xlsx_3[[#This Row],[2042]]</f>
        <v>20.719398296485579</v>
      </c>
      <c r="T62">
        <f>scenario_jobcoeff_4506_iotable_2020_xlsx_3[[#This Row],[2043]]+scenario_jobcoeff_1610_iotable_2020_xlsx_3[[#This Row],[2043]]</f>
        <v>20.719398296485579</v>
      </c>
      <c r="U62">
        <f>scenario_jobcoeff_4506_iotable_2020_xlsx_3[[#This Row],[2044]]+scenario_jobcoeff_1610_iotable_2020_xlsx_3[[#This Row],[2044]]</f>
        <v>21.470731840068552</v>
      </c>
      <c r="V62">
        <f>scenario_jobcoeff_4506_iotable_2020_xlsx_3[[#This Row],[2045]]+scenario_jobcoeff_1610_iotable_2020_xlsx_3[[#This Row],[2045]]</f>
        <v>21.470731840068552</v>
      </c>
      <c r="W62">
        <f>scenario_jobcoeff_4506_iotable_2020_xlsx_3[[#This Row],[2046]]+scenario_jobcoeff_1610_iotable_2020_xlsx_3[[#This Row],[2046]]</f>
        <v>22.12798622228015</v>
      </c>
      <c r="X62">
        <f>scenario_jobcoeff_4506_iotable_2020_xlsx_3[[#This Row],[2047]]+scenario_jobcoeff_1610_iotable_2020_xlsx_3[[#This Row],[2047]]</f>
        <v>22.12798622228015</v>
      </c>
      <c r="Y62">
        <f>scenario_jobcoeff_4506_iotable_2020_xlsx_3[[#This Row],[2048]]+scenario_jobcoeff_1610_iotable_2020_xlsx_3[[#This Row],[2048]]</f>
        <v>22.12798622228015</v>
      </c>
      <c r="Z62">
        <f>scenario_jobcoeff_4506_iotable_2020_xlsx_3[[#This Row],[2049]]+scenario_jobcoeff_1610_iotable_2020_xlsx_3[[#This Row],[2049]]</f>
        <v>22.12798622228015</v>
      </c>
      <c r="AA62">
        <f>scenario_jobcoeff_4506_iotable_2020_xlsx_3[[#This Row],[2050]]+scenario_jobcoeff_1610_iotable_2020_xlsx_3[[#This Row],[2050]]</f>
        <v>22.12798622228015</v>
      </c>
    </row>
    <row r="63" spans="1:27" x14ac:dyDescent="0.2">
      <c r="A63" t="s">
        <v>158</v>
      </c>
      <c r="B63" t="s">
        <v>159</v>
      </c>
      <c r="C63">
        <f>scenario_jobcoeff_4506_iotable_2020_xlsx_3[[#This Row],[2026]]+scenario_jobcoeff_1610_iotable_2020_xlsx_3[[#This Row],[2026]]</f>
        <v>29.662423095746316</v>
      </c>
      <c r="D63">
        <f>scenario_jobcoeff_4506_iotable_2020_xlsx_3[[#This Row],[2027]]+scenario_jobcoeff_1610_iotable_2020_xlsx_3[[#This Row],[2027]]</f>
        <v>28.348992170841157</v>
      </c>
      <c r="E63">
        <f>scenario_jobcoeff_4506_iotable_2020_xlsx_3[[#This Row],[2028]]+scenario_jobcoeff_1610_iotable_2020_xlsx_3[[#This Row],[2028]]</f>
        <v>29.882944727308946</v>
      </c>
      <c r="F63">
        <f>scenario_jobcoeff_4506_iotable_2020_xlsx_3[[#This Row],[2029]]+scenario_jobcoeff_1610_iotable_2020_xlsx_3[[#This Row],[2029]]</f>
        <v>30.449529623738137</v>
      </c>
      <c r="G63">
        <f>scenario_jobcoeff_4506_iotable_2020_xlsx_3[[#This Row],[2030]]+scenario_jobcoeff_1610_iotable_2020_xlsx_3[[#This Row],[2030]]</f>
        <v>24.596364874230154</v>
      </c>
      <c r="H63">
        <f>scenario_jobcoeff_4506_iotable_2020_xlsx_3[[#This Row],[2031]]+scenario_jobcoeff_1610_iotable_2020_xlsx_3[[#This Row],[2031]]</f>
        <v>26.665973080612396</v>
      </c>
      <c r="I63">
        <f>scenario_jobcoeff_4506_iotable_2020_xlsx_3[[#This Row],[2032]]+scenario_jobcoeff_1610_iotable_2020_xlsx_3[[#This Row],[2032]]</f>
        <v>29.556365117228516</v>
      </c>
      <c r="J63">
        <f>scenario_jobcoeff_4506_iotable_2020_xlsx_3[[#This Row],[2033]]+scenario_jobcoeff_1610_iotable_2020_xlsx_3[[#This Row],[2033]]</f>
        <v>31.543086474586339</v>
      </c>
      <c r="K63">
        <f>scenario_jobcoeff_4506_iotable_2020_xlsx_3[[#This Row],[2034]]+scenario_jobcoeff_1610_iotable_2020_xlsx_3[[#This Row],[2034]]</f>
        <v>34.232746964309108</v>
      </c>
      <c r="L63">
        <f>scenario_jobcoeff_4506_iotable_2020_xlsx_3[[#This Row],[2035]]+scenario_jobcoeff_1610_iotable_2020_xlsx_3[[#This Row],[2035]]</f>
        <v>37.721627390621897</v>
      </c>
      <c r="M63">
        <f>scenario_jobcoeff_4506_iotable_2020_xlsx_3[[#This Row],[2036]]+scenario_jobcoeff_1610_iotable_2020_xlsx_3[[#This Row],[2036]]</f>
        <v>38.019593764599279</v>
      </c>
      <c r="N63">
        <f>scenario_jobcoeff_4506_iotable_2020_xlsx_3[[#This Row],[2037]]+scenario_jobcoeff_1610_iotable_2020_xlsx_3[[#This Row],[2037]]</f>
        <v>38.388754330961518</v>
      </c>
      <c r="O63">
        <f>scenario_jobcoeff_4506_iotable_2020_xlsx_3[[#This Row],[2038]]+scenario_jobcoeff_1610_iotable_2020_xlsx_3[[#This Row],[2038]]</f>
        <v>38.388754330961518</v>
      </c>
      <c r="P63">
        <f>scenario_jobcoeff_4506_iotable_2020_xlsx_3[[#This Row],[2039]]+scenario_jobcoeff_1610_iotable_2020_xlsx_3[[#This Row],[2039]]</f>
        <v>38.388754330961518</v>
      </c>
      <c r="Q63">
        <f>scenario_jobcoeff_4506_iotable_2020_xlsx_3[[#This Row],[2040]]+scenario_jobcoeff_1610_iotable_2020_xlsx_3[[#This Row],[2040]]</f>
        <v>38.694225324484194</v>
      </c>
      <c r="R63">
        <f>scenario_jobcoeff_4506_iotable_2020_xlsx_3[[#This Row],[2041]]+scenario_jobcoeff_1610_iotable_2020_xlsx_3[[#This Row],[2041]]</f>
        <v>38.694225324484194</v>
      </c>
      <c r="S63">
        <f>scenario_jobcoeff_4506_iotable_2020_xlsx_3[[#This Row],[2042]]+scenario_jobcoeff_1610_iotable_2020_xlsx_3[[#This Row],[2042]]</f>
        <v>39.090169807653538</v>
      </c>
      <c r="T63">
        <f>scenario_jobcoeff_4506_iotable_2020_xlsx_3[[#This Row],[2043]]+scenario_jobcoeff_1610_iotable_2020_xlsx_3[[#This Row],[2043]]</f>
        <v>39.090169807653538</v>
      </c>
      <c r="U63">
        <f>scenario_jobcoeff_4506_iotable_2020_xlsx_3[[#This Row],[2044]]+scenario_jobcoeff_1610_iotable_2020_xlsx_3[[#This Row],[2044]]</f>
        <v>39.288802745522645</v>
      </c>
      <c r="V63">
        <f>scenario_jobcoeff_4506_iotable_2020_xlsx_3[[#This Row],[2045]]+scenario_jobcoeff_1610_iotable_2020_xlsx_3[[#This Row],[2045]]</f>
        <v>39.288802745522645</v>
      </c>
      <c r="W63">
        <f>scenario_jobcoeff_4506_iotable_2020_xlsx_3[[#This Row],[2046]]+scenario_jobcoeff_1610_iotable_2020_xlsx_3[[#This Row],[2046]]</f>
        <v>39.514384618780198</v>
      </c>
      <c r="X63">
        <f>scenario_jobcoeff_4506_iotable_2020_xlsx_3[[#This Row],[2047]]+scenario_jobcoeff_1610_iotable_2020_xlsx_3[[#This Row],[2047]]</f>
        <v>39.514384618780198</v>
      </c>
      <c r="Y63">
        <f>scenario_jobcoeff_4506_iotable_2020_xlsx_3[[#This Row],[2048]]+scenario_jobcoeff_1610_iotable_2020_xlsx_3[[#This Row],[2048]]</f>
        <v>39.514384618780198</v>
      </c>
      <c r="Z63">
        <f>scenario_jobcoeff_4506_iotable_2020_xlsx_3[[#This Row],[2049]]+scenario_jobcoeff_1610_iotable_2020_xlsx_3[[#This Row],[2049]]</f>
        <v>39.514384618780198</v>
      </c>
      <c r="AA63">
        <f>scenario_jobcoeff_4506_iotable_2020_xlsx_3[[#This Row],[2050]]+scenario_jobcoeff_1610_iotable_2020_xlsx_3[[#This Row],[2050]]</f>
        <v>39.514384618780198</v>
      </c>
    </row>
    <row r="64" spans="1:27" x14ac:dyDescent="0.2">
      <c r="A64" t="s">
        <v>200</v>
      </c>
      <c r="B64" t="s">
        <v>201</v>
      </c>
      <c r="C64">
        <f>scenario_jobcoeff_4506_iotable_2020_xlsx_3[[#This Row],[2026]]+scenario_jobcoeff_1610_iotable_2020_xlsx_3[[#This Row],[2026]]</f>
        <v>18.491820491237348</v>
      </c>
      <c r="D64">
        <f>scenario_jobcoeff_4506_iotable_2020_xlsx_3[[#This Row],[2027]]+scenario_jobcoeff_1610_iotable_2020_xlsx_3[[#This Row],[2027]]</f>
        <v>18.323052027659447</v>
      </c>
      <c r="E64">
        <f>scenario_jobcoeff_4506_iotable_2020_xlsx_3[[#This Row],[2028]]+scenario_jobcoeff_1610_iotable_2020_xlsx_3[[#This Row],[2028]]</f>
        <v>19.240696161562006</v>
      </c>
      <c r="F64">
        <f>scenario_jobcoeff_4506_iotable_2020_xlsx_3[[#This Row],[2029]]+scenario_jobcoeff_1610_iotable_2020_xlsx_3[[#This Row],[2029]]</f>
        <v>19.826421637894242</v>
      </c>
      <c r="G64">
        <f>scenario_jobcoeff_4506_iotable_2020_xlsx_3[[#This Row],[2030]]+scenario_jobcoeff_1610_iotable_2020_xlsx_3[[#This Row],[2030]]</f>
        <v>18.416739719925161</v>
      </c>
      <c r="H64">
        <f>scenario_jobcoeff_4506_iotable_2020_xlsx_3[[#This Row],[2031]]+scenario_jobcoeff_1610_iotable_2020_xlsx_3[[#This Row],[2031]]</f>
        <v>19.654824836740275</v>
      </c>
      <c r="I64">
        <f>scenario_jobcoeff_4506_iotable_2020_xlsx_3[[#This Row],[2032]]+scenario_jobcoeff_1610_iotable_2020_xlsx_3[[#This Row],[2032]]</f>
        <v>21.383920880745045</v>
      </c>
      <c r="J64">
        <f>scenario_jobcoeff_4506_iotable_2020_xlsx_3[[#This Row],[2033]]+scenario_jobcoeff_1610_iotable_2020_xlsx_3[[#This Row],[2033]]</f>
        <v>23.739340417679625</v>
      </c>
      <c r="K64">
        <f>scenario_jobcoeff_4506_iotable_2020_xlsx_3[[#This Row],[2034]]+scenario_jobcoeff_1610_iotable_2020_xlsx_3[[#This Row],[2034]]</f>
        <v>25.34835443846978</v>
      </c>
      <c r="L64">
        <f>scenario_jobcoeff_4506_iotable_2020_xlsx_3[[#This Row],[2035]]+scenario_jobcoeff_1610_iotable_2020_xlsx_3[[#This Row],[2035]]</f>
        <v>28.91265979855433</v>
      </c>
      <c r="M64">
        <f>scenario_jobcoeff_4506_iotable_2020_xlsx_3[[#This Row],[2036]]+scenario_jobcoeff_1610_iotable_2020_xlsx_3[[#This Row],[2036]]</f>
        <v>30.06050197354249</v>
      </c>
      <c r="N64">
        <f>scenario_jobcoeff_4506_iotable_2020_xlsx_3[[#This Row],[2037]]+scenario_jobcoeff_1610_iotable_2020_xlsx_3[[#This Row],[2037]]</f>
        <v>31.128965006876836</v>
      </c>
      <c r="O64">
        <f>scenario_jobcoeff_4506_iotable_2020_xlsx_3[[#This Row],[2038]]+scenario_jobcoeff_1610_iotable_2020_xlsx_3[[#This Row],[2038]]</f>
        <v>31.128965006876836</v>
      </c>
      <c r="P64">
        <f>scenario_jobcoeff_4506_iotable_2020_xlsx_3[[#This Row],[2039]]+scenario_jobcoeff_1610_iotable_2020_xlsx_3[[#This Row],[2039]]</f>
        <v>31.128965006876836</v>
      </c>
      <c r="Q64">
        <f>scenario_jobcoeff_4506_iotable_2020_xlsx_3[[#This Row],[2040]]+scenario_jobcoeff_1610_iotable_2020_xlsx_3[[#This Row],[2040]]</f>
        <v>32.055838592143971</v>
      </c>
      <c r="R64">
        <f>scenario_jobcoeff_4506_iotable_2020_xlsx_3[[#This Row],[2041]]+scenario_jobcoeff_1610_iotable_2020_xlsx_3[[#This Row],[2041]]</f>
        <v>32.055838592143971</v>
      </c>
      <c r="S64">
        <f>scenario_jobcoeff_4506_iotable_2020_xlsx_3[[#This Row],[2042]]+scenario_jobcoeff_1610_iotable_2020_xlsx_3[[#This Row],[2042]]</f>
        <v>33.114041480207234</v>
      </c>
      <c r="T64">
        <f>scenario_jobcoeff_4506_iotable_2020_xlsx_3[[#This Row],[2043]]+scenario_jobcoeff_1610_iotable_2020_xlsx_3[[#This Row],[2043]]</f>
        <v>33.114041480207234</v>
      </c>
      <c r="U64">
        <f>scenario_jobcoeff_4506_iotable_2020_xlsx_3[[#This Row],[2044]]+scenario_jobcoeff_1610_iotable_2020_xlsx_3[[#This Row],[2044]]</f>
        <v>34.013962682606618</v>
      </c>
      <c r="V64">
        <f>scenario_jobcoeff_4506_iotable_2020_xlsx_3[[#This Row],[2045]]+scenario_jobcoeff_1610_iotable_2020_xlsx_3[[#This Row],[2045]]</f>
        <v>34.013962682606618</v>
      </c>
      <c r="W64">
        <f>scenario_jobcoeff_4506_iotable_2020_xlsx_3[[#This Row],[2046]]+scenario_jobcoeff_1610_iotable_2020_xlsx_3[[#This Row],[2046]]</f>
        <v>34.813990873381471</v>
      </c>
      <c r="X64">
        <f>scenario_jobcoeff_4506_iotable_2020_xlsx_3[[#This Row],[2047]]+scenario_jobcoeff_1610_iotable_2020_xlsx_3[[#This Row],[2047]]</f>
        <v>34.813990873381471</v>
      </c>
      <c r="Y64">
        <f>scenario_jobcoeff_4506_iotable_2020_xlsx_3[[#This Row],[2048]]+scenario_jobcoeff_1610_iotable_2020_xlsx_3[[#This Row],[2048]]</f>
        <v>34.813990873381471</v>
      </c>
      <c r="Z64">
        <f>scenario_jobcoeff_4506_iotable_2020_xlsx_3[[#This Row],[2049]]+scenario_jobcoeff_1610_iotable_2020_xlsx_3[[#This Row],[2049]]</f>
        <v>34.813990873381471</v>
      </c>
      <c r="AA64">
        <f>scenario_jobcoeff_4506_iotable_2020_xlsx_3[[#This Row],[2050]]+scenario_jobcoeff_1610_iotable_2020_xlsx_3[[#This Row],[2050]]</f>
        <v>34.813990873381471</v>
      </c>
    </row>
    <row r="65" spans="1:27" x14ac:dyDescent="0.2">
      <c r="A65" t="s">
        <v>66</v>
      </c>
      <c r="B65" t="s">
        <v>67</v>
      </c>
      <c r="C65">
        <f>scenario_jobcoeff_4506_iotable_2020_xlsx_3[[#This Row],[2026]]+scenario_jobcoeff_1610_iotable_2020_xlsx_3[[#This Row],[2026]]</f>
        <v>184.04532614258844</v>
      </c>
      <c r="D65">
        <f>scenario_jobcoeff_4506_iotable_2020_xlsx_3[[#This Row],[2027]]+scenario_jobcoeff_1610_iotable_2020_xlsx_3[[#This Row],[2027]]</f>
        <v>192.82145777356661</v>
      </c>
      <c r="E65">
        <f>scenario_jobcoeff_4506_iotable_2020_xlsx_3[[#This Row],[2028]]+scenario_jobcoeff_1610_iotable_2020_xlsx_3[[#This Row],[2028]]</f>
        <v>201.33312769794588</v>
      </c>
      <c r="F65">
        <f>scenario_jobcoeff_4506_iotable_2020_xlsx_3[[#This Row],[2029]]+scenario_jobcoeff_1610_iotable_2020_xlsx_3[[#This Row],[2029]]</f>
        <v>210.9026861427339</v>
      </c>
      <c r="G65">
        <f>scenario_jobcoeff_4506_iotable_2020_xlsx_3[[#This Row],[2030]]+scenario_jobcoeff_1610_iotable_2020_xlsx_3[[#This Row],[2030]]</f>
        <v>232.89054226181756</v>
      </c>
      <c r="H65">
        <f>scenario_jobcoeff_4506_iotable_2020_xlsx_3[[#This Row],[2031]]+scenario_jobcoeff_1610_iotable_2020_xlsx_3[[#This Row],[2031]]</f>
        <v>244.37448408989877</v>
      </c>
      <c r="I65">
        <f>scenario_jobcoeff_4506_iotable_2020_xlsx_3[[#This Row],[2032]]+scenario_jobcoeff_1610_iotable_2020_xlsx_3[[#This Row],[2032]]</f>
        <v>260.41283081972313</v>
      </c>
      <c r="J65">
        <f>scenario_jobcoeff_4506_iotable_2020_xlsx_3[[#This Row],[2033]]+scenario_jobcoeff_1610_iotable_2020_xlsx_3[[#This Row],[2033]]</f>
        <v>301.82088248047444</v>
      </c>
      <c r="K65">
        <f>scenario_jobcoeff_4506_iotable_2020_xlsx_3[[#This Row],[2034]]+scenario_jobcoeff_1610_iotable_2020_xlsx_3[[#This Row],[2034]]</f>
        <v>316.74540032206994</v>
      </c>
      <c r="L65">
        <f>scenario_jobcoeff_4506_iotable_2020_xlsx_3[[#This Row],[2035]]+scenario_jobcoeff_1610_iotable_2020_xlsx_3[[#This Row],[2035]]</f>
        <v>374.56723276318326</v>
      </c>
      <c r="M65">
        <f>scenario_jobcoeff_4506_iotable_2020_xlsx_3[[#This Row],[2036]]+scenario_jobcoeff_1610_iotable_2020_xlsx_3[[#This Row],[2036]]</f>
        <v>401.46667313457533</v>
      </c>
      <c r="N65">
        <f>scenario_jobcoeff_4506_iotable_2020_xlsx_3[[#This Row],[2037]]+scenario_jobcoeff_1610_iotable_2020_xlsx_3[[#This Row],[2037]]</f>
        <v>425.58534995247743</v>
      </c>
      <c r="O65">
        <f>scenario_jobcoeff_4506_iotable_2020_xlsx_3[[#This Row],[2038]]+scenario_jobcoeff_1610_iotable_2020_xlsx_3[[#This Row],[2038]]</f>
        <v>425.58534995247743</v>
      </c>
      <c r="P65">
        <f>scenario_jobcoeff_4506_iotable_2020_xlsx_3[[#This Row],[2039]]+scenario_jobcoeff_1610_iotable_2020_xlsx_3[[#This Row],[2039]]</f>
        <v>425.58534995247743</v>
      </c>
      <c r="Q65">
        <f>scenario_jobcoeff_4506_iotable_2020_xlsx_3[[#This Row],[2040]]+scenario_jobcoeff_1610_iotable_2020_xlsx_3[[#This Row],[2040]]</f>
        <v>446.65599597036243</v>
      </c>
      <c r="R65">
        <f>scenario_jobcoeff_4506_iotable_2020_xlsx_3[[#This Row],[2041]]+scenario_jobcoeff_1610_iotable_2020_xlsx_3[[#This Row],[2041]]</f>
        <v>446.65599597036243</v>
      </c>
      <c r="S65">
        <f>scenario_jobcoeff_4506_iotable_2020_xlsx_3[[#This Row],[2042]]+scenario_jobcoeff_1610_iotable_2020_xlsx_3[[#This Row],[2042]]</f>
        <v>470.23894383854082</v>
      </c>
      <c r="T65">
        <f>scenario_jobcoeff_4506_iotable_2020_xlsx_3[[#This Row],[2043]]+scenario_jobcoeff_1610_iotable_2020_xlsx_3[[#This Row],[2043]]</f>
        <v>470.23894383854082</v>
      </c>
      <c r="U65">
        <f>scenario_jobcoeff_4506_iotable_2020_xlsx_3[[#This Row],[2044]]+scenario_jobcoeff_1610_iotable_2020_xlsx_3[[#This Row],[2044]]</f>
        <v>491.67913246498313</v>
      </c>
      <c r="V65">
        <f>scenario_jobcoeff_4506_iotable_2020_xlsx_3[[#This Row],[2045]]+scenario_jobcoeff_1610_iotable_2020_xlsx_3[[#This Row],[2045]]</f>
        <v>491.67913246498313</v>
      </c>
      <c r="W65">
        <f>scenario_jobcoeff_4506_iotable_2020_xlsx_3[[#This Row],[2046]]+scenario_jobcoeff_1610_iotable_2020_xlsx_3[[#This Row],[2046]]</f>
        <v>510.24809254942477</v>
      </c>
      <c r="X65">
        <f>scenario_jobcoeff_4506_iotable_2020_xlsx_3[[#This Row],[2047]]+scenario_jobcoeff_1610_iotable_2020_xlsx_3[[#This Row],[2047]]</f>
        <v>510.24809254942477</v>
      </c>
      <c r="Y65">
        <f>scenario_jobcoeff_4506_iotable_2020_xlsx_3[[#This Row],[2048]]+scenario_jobcoeff_1610_iotable_2020_xlsx_3[[#This Row],[2048]]</f>
        <v>510.24809254942477</v>
      </c>
      <c r="Z65">
        <f>scenario_jobcoeff_4506_iotable_2020_xlsx_3[[#This Row],[2049]]+scenario_jobcoeff_1610_iotable_2020_xlsx_3[[#This Row],[2049]]</f>
        <v>510.24809254942477</v>
      </c>
      <c r="AA65">
        <f>scenario_jobcoeff_4506_iotable_2020_xlsx_3[[#This Row],[2050]]+scenario_jobcoeff_1610_iotable_2020_xlsx_3[[#This Row],[2050]]</f>
        <v>510.24809254942477</v>
      </c>
    </row>
    <row r="66" spans="1:27" x14ac:dyDescent="0.2">
      <c r="A66" t="s">
        <v>114</v>
      </c>
      <c r="B66" t="s">
        <v>115</v>
      </c>
      <c r="C66">
        <f>scenario_jobcoeff_4506_iotable_2020_xlsx_3[[#This Row],[2026]]+scenario_jobcoeff_1610_iotable_2020_xlsx_3[[#This Row],[2026]]</f>
        <v>74.114580190910885</v>
      </c>
      <c r="D66">
        <f>scenario_jobcoeff_4506_iotable_2020_xlsx_3[[#This Row],[2027]]+scenario_jobcoeff_1610_iotable_2020_xlsx_3[[#This Row],[2027]]</f>
        <v>75.310566500449085</v>
      </c>
      <c r="E66">
        <f>scenario_jobcoeff_4506_iotable_2020_xlsx_3[[#This Row],[2028]]+scenario_jobcoeff_1610_iotable_2020_xlsx_3[[#This Row],[2028]]</f>
        <v>78.877164107710612</v>
      </c>
      <c r="F66">
        <f>scenario_jobcoeff_4506_iotable_2020_xlsx_3[[#This Row],[2029]]+scenario_jobcoeff_1610_iotable_2020_xlsx_3[[#This Row],[2029]]</f>
        <v>81.894471859911448</v>
      </c>
      <c r="G66">
        <f>scenario_jobcoeff_4506_iotable_2020_xlsx_3[[#This Row],[2030]]+scenario_jobcoeff_1610_iotable_2020_xlsx_3[[#This Row],[2030]]</f>
        <v>82.69454239576136</v>
      </c>
      <c r="H66">
        <f>scenario_jobcoeff_4506_iotable_2020_xlsx_3[[#This Row],[2031]]+scenario_jobcoeff_1610_iotable_2020_xlsx_3[[#This Row],[2031]]</f>
        <v>87.506594532399134</v>
      </c>
      <c r="I66">
        <f>scenario_jobcoeff_4506_iotable_2020_xlsx_3[[#This Row],[2032]]+scenario_jobcoeff_1610_iotable_2020_xlsx_3[[#This Row],[2032]]</f>
        <v>94.22705357031154</v>
      </c>
      <c r="J66">
        <f>scenario_jobcoeff_4506_iotable_2020_xlsx_3[[#This Row],[2033]]+scenario_jobcoeff_1610_iotable_2020_xlsx_3[[#This Row],[2033]]</f>
        <v>106.88462348359867</v>
      </c>
      <c r="K66">
        <f>scenario_jobcoeff_4506_iotable_2020_xlsx_3[[#This Row],[2034]]+scenario_jobcoeff_1610_iotable_2020_xlsx_3[[#This Row],[2034]]</f>
        <v>113.13836101057969</v>
      </c>
      <c r="L66">
        <f>scenario_jobcoeff_4506_iotable_2020_xlsx_3[[#This Row],[2035]]+scenario_jobcoeff_1610_iotable_2020_xlsx_3[[#This Row],[2035]]</f>
        <v>131.42581760471771</v>
      </c>
      <c r="M66">
        <f>scenario_jobcoeff_4506_iotable_2020_xlsx_3[[#This Row],[2036]]+scenario_jobcoeff_1610_iotable_2020_xlsx_3[[#This Row],[2036]]</f>
        <v>138.79758546317493</v>
      </c>
      <c r="N66">
        <f>scenario_jobcoeff_4506_iotable_2020_xlsx_3[[#This Row],[2037]]+scenario_jobcoeff_1610_iotable_2020_xlsx_3[[#This Row],[2037]]</f>
        <v>145.49471201152051</v>
      </c>
      <c r="O66">
        <f>scenario_jobcoeff_4506_iotable_2020_xlsx_3[[#This Row],[2038]]+scenario_jobcoeff_1610_iotable_2020_xlsx_3[[#This Row],[2038]]</f>
        <v>145.49471201152051</v>
      </c>
      <c r="P66">
        <f>scenario_jobcoeff_4506_iotable_2020_xlsx_3[[#This Row],[2039]]+scenario_jobcoeff_1610_iotable_2020_xlsx_3[[#This Row],[2039]]</f>
        <v>145.49471201152051</v>
      </c>
      <c r="Q66">
        <f>scenario_jobcoeff_4506_iotable_2020_xlsx_3[[#This Row],[2040]]+scenario_jobcoeff_1610_iotable_2020_xlsx_3[[#This Row],[2040]]</f>
        <v>151.33087762555954</v>
      </c>
      <c r="R66">
        <f>scenario_jobcoeff_4506_iotable_2020_xlsx_3[[#This Row],[2041]]+scenario_jobcoeff_1610_iotable_2020_xlsx_3[[#This Row],[2041]]</f>
        <v>151.33087762555954</v>
      </c>
      <c r="S66">
        <f>scenario_jobcoeff_4506_iotable_2020_xlsx_3[[#This Row],[2042]]+scenario_jobcoeff_1610_iotable_2020_xlsx_3[[#This Row],[2042]]</f>
        <v>157.90923186738644</v>
      </c>
      <c r="T66">
        <f>scenario_jobcoeff_4506_iotable_2020_xlsx_3[[#This Row],[2043]]+scenario_jobcoeff_1610_iotable_2020_xlsx_3[[#This Row],[2043]]</f>
        <v>157.90923186738644</v>
      </c>
      <c r="U66">
        <f>scenario_jobcoeff_4506_iotable_2020_xlsx_3[[#This Row],[2044]]+scenario_jobcoeff_1610_iotable_2020_xlsx_3[[#This Row],[2044]]</f>
        <v>163.75158766818697</v>
      </c>
      <c r="V66">
        <f>scenario_jobcoeff_4506_iotable_2020_xlsx_3[[#This Row],[2045]]+scenario_jobcoeff_1610_iotable_2020_xlsx_3[[#This Row],[2045]]</f>
        <v>163.75158766818697</v>
      </c>
      <c r="W66">
        <f>scenario_jobcoeff_4506_iotable_2020_xlsx_3[[#This Row],[2046]]+scenario_jobcoeff_1610_iotable_2020_xlsx_3[[#This Row],[2046]]</f>
        <v>168.85744531800043</v>
      </c>
      <c r="X66">
        <f>scenario_jobcoeff_4506_iotable_2020_xlsx_3[[#This Row],[2047]]+scenario_jobcoeff_1610_iotable_2020_xlsx_3[[#This Row],[2047]]</f>
        <v>168.85744531800043</v>
      </c>
      <c r="Y66">
        <f>scenario_jobcoeff_4506_iotable_2020_xlsx_3[[#This Row],[2048]]+scenario_jobcoeff_1610_iotable_2020_xlsx_3[[#This Row],[2048]]</f>
        <v>168.85744531800043</v>
      </c>
      <c r="Z66">
        <f>scenario_jobcoeff_4506_iotable_2020_xlsx_3[[#This Row],[2049]]+scenario_jobcoeff_1610_iotable_2020_xlsx_3[[#This Row],[2049]]</f>
        <v>168.85744531800043</v>
      </c>
      <c r="AA66">
        <f>scenario_jobcoeff_4506_iotable_2020_xlsx_3[[#This Row],[2050]]+scenario_jobcoeff_1610_iotable_2020_xlsx_3[[#This Row],[2050]]</f>
        <v>168.85744531800043</v>
      </c>
    </row>
    <row r="67" spans="1:27" x14ac:dyDescent="0.2">
      <c r="A67" t="s">
        <v>54</v>
      </c>
      <c r="B67" t="s">
        <v>55</v>
      </c>
      <c r="C67">
        <f>scenario_jobcoeff_4506_iotable_2020_xlsx_3[[#This Row],[2026]]+scenario_jobcoeff_1610_iotable_2020_xlsx_3[[#This Row],[2026]]</f>
        <v>187.19275305139919</v>
      </c>
      <c r="D67">
        <f>scenario_jobcoeff_4506_iotable_2020_xlsx_3[[#This Row],[2027]]+scenario_jobcoeff_1610_iotable_2020_xlsx_3[[#This Row],[2027]]</f>
        <v>185.0839789930553</v>
      </c>
      <c r="E67">
        <f>scenario_jobcoeff_4506_iotable_2020_xlsx_3[[#This Row],[2028]]+scenario_jobcoeff_1610_iotable_2020_xlsx_3[[#This Row],[2028]]</f>
        <v>194.39708734678248</v>
      </c>
      <c r="F67">
        <f>scenario_jobcoeff_4506_iotable_2020_xlsx_3[[#This Row],[2029]]+scenario_jobcoeff_1610_iotable_2020_xlsx_3[[#This Row],[2029]]</f>
        <v>200.18319391381152</v>
      </c>
      <c r="G67">
        <f>scenario_jobcoeff_4506_iotable_2020_xlsx_3[[#This Row],[2030]]+scenario_jobcoeff_1610_iotable_2020_xlsx_3[[#This Row],[2030]]</f>
        <v>184.53392835645101</v>
      </c>
      <c r="H67">
        <f>scenario_jobcoeff_4506_iotable_2020_xlsx_3[[#This Row],[2031]]+scenario_jobcoeff_1610_iotable_2020_xlsx_3[[#This Row],[2031]]</f>
        <v>197.09917060891286</v>
      </c>
      <c r="I67">
        <f>scenario_jobcoeff_4506_iotable_2020_xlsx_3[[#This Row],[2032]]+scenario_jobcoeff_1610_iotable_2020_xlsx_3[[#This Row],[2032]]</f>
        <v>214.64764960733845</v>
      </c>
      <c r="J67">
        <f>scenario_jobcoeff_4506_iotable_2020_xlsx_3[[#This Row],[2033]]+scenario_jobcoeff_1610_iotable_2020_xlsx_3[[#This Row],[2033]]</f>
        <v>237.80372846846223</v>
      </c>
      <c r="K67">
        <f>scenario_jobcoeff_4506_iotable_2020_xlsx_3[[#This Row],[2034]]+scenario_jobcoeff_1610_iotable_2020_xlsx_3[[#This Row],[2034]]</f>
        <v>254.1335031214719</v>
      </c>
      <c r="L67">
        <f>scenario_jobcoeff_4506_iotable_2020_xlsx_3[[#This Row],[2035]]+scenario_jobcoeff_1610_iotable_2020_xlsx_3[[#This Row],[2035]]</f>
        <v>289.35936055602252</v>
      </c>
      <c r="M67">
        <f>scenario_jobcoeff_4506_iotable_2020_xlsx_3[[#This Row],[2036]]+scenario_jobcoeff_1610_iotable_2020_xlsx_3[[#This Row],[2036]]</f>
        <v>300.38646046341756</v>
      </c>
      <c r="N67">
        <f>scenario_jobcoeff_4506_iotable_2020_xlsx_3[[#This Row],[2037]]+scenario_jobcoeff_1610_iotable_2020_xlsx_3[[#This Row],[2037]]</f>
        <v>310.68622513676979</v>
      </c>
      <c r="O67">
        <f>scenario_jobcoeff_4506_iotable_2020_xlsx_3[[#This Row],[2038]]+scenario_jobcoeff_1610_iotable_2020_xlsx_3[[#This Row],[2038]]</f>
        <v>310.68622513676979</v>
      </c>
      <c r="P67">
        <f>scenario_jobcoeff_4506_iotable_2020_xlsx_3[[#This Row],[2039]]+scenario_jobcoeff_1610_iotable_2020_xlsx_3[[#This Row],[2039]]</f>
        <v>310.68622513676979</v>
      </c>
      <c r="Q67">
        <f>scenario_jobcoeff_4506_iotable_2020_xlsx_3[[#This Row],[2040]]+scenario_jobcoeff_1610_iotable_2020_xlsx_3[[#This Row],[2040]]</f>
        <v>319.61542604919663</v>
      </c>
      <c r="R67">
        <f>scenario_jobcoeff_4506_iotable_2020_xlsx_3[[#This Row],[2041]]+scenario_jobcoeff_1610_iotable_2020_xlsx_3[[#This Row],[2041]]</f>
        <v>319.61542604919663</v>
      </c>
      <c r="S67">
        <f>scenario_jobcoeff_4506_iotable_2020_xlsx_3[[#This Row],[2042]]+scenario_jobcoeff_1610_iotable_2020_xlsx_3[[#This Row],[2042]]</f>
        <v>329.82792923945289</v>
      </c>
      <c r="T67">
        <f>scenario_jobcoeff_4506_iotable_2020_xlsx_3[[#This Row],[2043]]+scenario_jobcoeff_1610_iotable_2020_xlsx_3[[#This Row],[2043]]</f>
        <v>329.82792923945289</v>
      </c>
      <c r="U67">
        <f>scenario_jobcoeff_4506_iotable_2020_xlsx_3[[#This Row],[2044]]+scenario_jobcoeff_1610_iotable_2020_xlsx_3[[#This Row],[2044]]</f>
        <v>338.45987143052827</v>
      </c>
      <c r="V67">
        <f>scenario_jobcoeff_4506_iotable_2020_xlsx_3[[#This Row],[2045]]+scenario_jobcoeff_1610_iotable_2020_xlsx_3[[#This Row],[2045]]</f>
        <v>338.45987143052827</v>
      </c>
      <c r="W67">
        <f>scenario_jobcoeff_4506_iotable_2020_xlsx_3[[#This Row],[2046]]+scenario_jobcoeff_1610_iotable_2020_xlsx_3[[#This Row],[2046]]</f>
        <v>346.15246290441377</v>
      </c>
      <c r="X67">
        <f>scenario_jobcoeff_4506_iotable_2020_xlsx_3[[#This Row],[2047]]+scenario_jobcoeff_1610_iotable_2020_xlsx_3[[#This Row],[2047]]</f>
        <v>346.15246290441377</v>
      </c>
      <c r="Y67">
        <f>scenario_jobcoeff_4506_iotable_2020_xlsx_3[[#This Row],[2048]]+scenario_jobcoeff_1610_iotable_2020_xlsx_3[[#This Row],[2048]]</f>
        <v>346.15246290441377</v>
      </c>
      <c r="Z67">
        <f>scenario_jobcoeff_4506_iotable_2020_xlsx_3[[#This Row],[2049]]+scenario_jobcoeff_1610_iotable_2020_xlsx_3[[#This Row],[2049]]</f>
        <v>346.15246290441377</v>
      </c>
      <c r="AA67">
        <f>scenario_jobcoeff_4506_iotable_2020_xlsx_3[[#This Row],[2050]]+scenario_jobcoeff_1610_iotable_2020_xlsx_3[[#This Row],[2050]]</f>
        <v>346.15246290441377</v>
      </c>
    </row>
    <row r="68" spans="1:27" x14ac:dyDescent="0.2">
      <c r="A68" t="s">
        <v>68</v>
      </c>
      <c r="B68" t="s">
        <v>69</v>
      </c>
      <c r="C68">
        <f>scenario_jobcoeff_4506_iotable_2020_xlsx_3[[#This Row],[2026]]+scenario_jobcoeff_1610_iotable_2020_xlsx_3[[#This Row],[2026]]</f>
        <v>151.6028133727304</v>
      </c>
      <c r="D68">
        <f>scenario_jobcoeff_4506_iotable_2020_xlsx_3[[#This Row],[2027]]+scenario_jobcoeff_1610_iotable_2020_xlsx_3[[#This Row],[2027]]</f>
        <v>140.91943953665549</v>
      </c>
      <c r="E68">
        <f>scenario_jobcoeff_4506_iotable_2020_xlsx_3[[#This Row],[2028]]+scenario_jobcoeff_1610_iotable_2020_xlsx_3[[#This Row],[2028]]</f>
        <v>148.99536813299804</v>
      </c>
      <c r="F68">
        <f>scenario_jobcoeff_4506_iotable_2020_xlsx_3[[#This Row],[2029]]+scenario_jobcoeff_1610_iotable_2020_xlsx_3[[#This Row],[2029]]</f>
        <v>150.47093739174866</v>
      </c>
      <c r="G68">
        <f>scenario_jobcoeff_4506_iotable_2020_xlsx_3[[#This Row],[2030]]+scenario_jobcoeff_1610_iotable_2020_xlsx_3[[#This Row],[2030]]</f>
        <v>106.87823030253634</v>
      </c>
      <c r="H68">
        <f>scenario_jobcoeff_4506_iotable_2020_xlsx_3[[#This Row],[2031]]+scenario_jobcoeff_1610_iotable_2020_xlsx_3[[#This Row],[2031]]</f>
        <v>117.77427009638424</v>
      </c>
      <c r="I68">
        <f>scenario_jobcoeff_4506_iotable_2020_xlsx_3[[#This Row],[2032]]+scenario_jobcoeff_1610_iotable_2020_xlsx_3[[#This Row],[2032]]</f>
        <v>132.99155931744045</v>
      </c>
      <c r="J68">
        <f>scenario_jobcoeff_4506_iotable_2020_xlsx_3[[#This Row],[2033]]+scenario_jobcoeff_1610_iotable_2020_xlsx_3[[#This Row],[2033]]</f>
        <v>136.32351642849017</v>
      </c>
      <c r="K68">
        <f>scenario_jobcoeff_4506_iotable_2020_xlsx_3[[#This Row],[2034]]+scenario_jobcoeff_1610_iotable_2020_xlsx_3[[#This Row],[2034]]</f>
        <v>150.48399744976933</v>
      </c>
      <c r="L68">
        <f>scenario_jobcoeff_4506_iotable_2020_xlsx_3[[#This Row],[2035]]+scenario_jobcoeff_1610_iotable_2020_xlsx_3[[#This Row],[2035]]</f>
        <v>159.82937927677142</v>
      </c>
      <c r="M68">
        <f>scenario_jobcoeff_4506_iotable_2020_xlsx_3[[#This Row],[2036]]+scenario_jobcoeff_1610_iotable_2020_xlsx_3[[#This Row],[2036]]</f>
        <v>155.47570679126147</v>
      </c>
      <c r="N68">
        <f>scenario_jobcoeff_4506_iotable_2020_xlsx_3[[#This Row],[2037]]+scenario_jobcoeff_1610_iotable_2020_xlsx_3[[#This Row],[2037]]</f>
        <v>152.24186006537184</v>
      </c>
      <c r="O68">
        <f>scenario_jobcoeff_4506_iotable_2020_xlsx_3[[#This Row],[2038]]+scenario_jobcoeff_1610_iotable_2020_xlsx_3[[#This Row],[2038]]</f>
        <v>152.24186006537184</v>
      </c>
      <c r="P68">
        <f>scenario_jobcoeff_4506_iotable_2020_xlsx_3[[#This Row],[2039]]+scenario_jobcoeff_1610_iotable_2020_xlsx_3[[#This Row],[2039]]</f>
        <v>152.24186006537184</v>
      </c>
      <c r="Q68">
        <f>scenario_jobcoeff_4506_iotable_2020_xlsx_3[[#This Row],[2040]]+scenario_jobcoeff_1610_iotable_2020_xlsx_3[[#This Row],[2040]]</f>
        <v>149.30482610146225</v>
      </c>
      <c r="R68">
        <f>scenario_jobcoeff_4506_iotable_2020_xlsx_3[[#This Row],[2041]]+scenario_jobcoeff_1610_iotable_2020_xlsx_3[[#This Row],[2041]]</f>
        <v>149.30482610146225</v>
      </c>
      <c r="S68">
        <f>scenario_jobcoeff_4506_iotable_2020_xlsx_3[[#This Row],[2042]]+scenario_jobcoeff_1610_iotable_2020_xlsx_3[[#This Row],[2042]]</f>
        <v>146.37253027997627</v>
      </c>
      <c r="T68">
        <f>scenario_jobcoeff_4506_iotable_2020_xlsx_3[[#This Row],[2043]]+scenario_jobcoeff_1610_iotable_2020_xlsx_3[[#This Row],[2043]]</f>
        <v>146.37253027997627</v>
      </c>
      <c r="U68">
        <f>scenario_jobcoeff_4506_iotable_2020_xlsx_3[[#This Row],[2044]]+scenario_jobcoeff_1610_iotable_2020_xlsx_3[[#This Row],[2044]]</f>
        <v>142.64725733473244</v>
      </c>
      <c r="V68">
        <f>scenario_jobcoeff_4506_iotable_2020_xlsx_3[[#This Row],[2045]]+scenario_jobcoeff_1610_iotable_2020_xlsx_3[[#This Row],[2045]]</f>
        <v>142.64725733473244</v>
      </c>
      <c r="W68">
        <f>scenario_jobcoeff_4506_iotable_2020_xlsx_3[[#This Row],[2046]]+scenario_jobcoeff_1610_iotable_2020_xlsx_3[[#This Row],[2046]]</f>
        <v>139.77249683417392</v>
      </c>
      <c r="X68">
        <f>scenario_jobcoeff_4506_iotable_2020_xlsx_3[[#This Row],[2047]]+scenario_jobcoeff_1610_iotable_2020_xlsx_3[[#This Row],[2047]]</f>
        <v>139.77249683417392</v>
      </c>
      <c r="Y68">
        <f>scenario_jobcoeff_4506_iotable_2020_xlsx_3[[#This Row],[2048]]+scenario_jobcoeff_1610_iotable_2020_xlsx_3[[#This Row],[2048]]</f>
        <v>139.77249683417392</v>
      </c>
      <c r="Z68">
        <f>scenario_jobcoeff_4506_iotable_2020_xlsx_3[[#This Row],[2049]]+scenario_jobcoeff_1610_iotable_2020_xlsx_3[[#This Row],[2049]]</f>
        <v>139.77249683417392</v>
      </c>
      <c r="AA68">
        <f>scenario_jobcoeff_4506_iotable_2020_xlsx_3[[#This Row],[2050]]+scenario_jobcoeff_1610_iotable_2020_xlsx_3[[#This Row],[2050]]</f>
        <v>139.77249683417392</v>
      </c>
    </row>
    <row r="69" spans="1:27" x14ac:dyDescent="0.2">
      <c r="A69" t="s">
        <v>204</v>
      </c>
      <c r="B69" t="s">
        <v>205</v>
      </c>
      <c r="C69">
        <f>scenario_jobcoeff_4506_iotable_2020_xlsx_3[[#This Row],[2026]]+scenario_jobcoeff_1610_iotable_2020_xlsx_3[[#This Row],[2026]]</f>
        <v>17.343147295018152</v>
      </c>
      <c r="D69">
        <f>scenario_jobcoeff_4506_iotable_2020_xlsx_3[[#This Row],[2027]]+scenario_jobcoeff_1610_iotable_2020_xlsx_3[[#This Row],[2027]]</f>
        <v>17.521068841869333</v>
      </c>
      <c r="E69">
        <f>scenario_jobcoeff_4506_iotable_2020_xlsx_3[[#This Row],[2028]]+scenario_jobcoeff_1610_iotable_2020_xlsx_3[[#This Row],[2028]]</f>
        <v>18.361728026335822</v>
      </c>
      <c r="F69">
        <f>scenario_jobcoeff_4506_iotable_2020_xlsx_3[[#This Row],[2029]]+scenario_jobcoeff_1610_iotable_2020_xlsx_3[[#This Row],[2029]]</f>
        <v>19.031327122530332</v>
      </c>
      <c r="G69">
        <f>scenario_jobcoeff_4506_iotable_2020_xlsx_3[[#This Row],[2030]]+scenario_jobcoeff_1610_iotable_2020_xlsx_3[[#This Row],[2030]]</f>
        <v>18.867370007164947</v>
      </c>
      <c r="H69">
        <f>scenario_jobcoeff_4506_iotable_2020_xlsx_3[[#This Row],[2031]]+scenario_jobcoeff_1610_iotable_2020_xlsx_3[[#This Row],[2031]]</f>
        <v>20.001587059450294</v>
      </c>
      <c r="I69">
        <f>scenario_jobcoeff_4506_iotable_2020_xlsx_3[[#This Row],[2032]]+scenario_jobcoeff_1610_iotable_2020_xlsx_3[[#This Row],[2032]]</f>
        <v>21.585622108021354</v>
      </c>
      <c r="J69">
        <f>scenario_jobcoeff_4506_iotable_2020_xlsx_3[[#This Row],[2033]]+scenario_jobcoeff_1610_iotable_2020_xlsx_3[[#This Row],[2033]]</f>
        <v>24.372391406742658</v>
      </c>
      <c r="K69">
        <f>scenario_jobcoeff_4506_iotable_2020_xlsx_3[[#This Row],[2034]]+scenario_jobcoeff_1610_iotable_2020_xlsx_3[[#This Row],[2034]]</f>
        <v>25.846418608071922</v>
      </c>
      <c r="L69">
        <f>scenario_jobcoeff_4506_iotable_2020_xlsx_3[[#This Row],[2035]]+scenario_jobcoeff_1610_iotable_2020_xlsx_3[[#This Row],[2035]]</f>
        <v>29.907882458376392</v>
      </c>
      <c r="M69">
        <f>scenario_jobcoeff_4506_iotable_2020_xlsx_3[[#This Row],[2036]]+scenario_jobcoeff_1610_iotable_2020_xlsx_3[[#This Row],[2036]]</f>
        <v>31.482026112724888</v>
      </c>
      <c r="N69">
        <f>scenario_jobcoeff_4506_iotable_2020_xlsx_3[[#This Row],[2037]]+scenario_jobcoeff_1610_iotable_2020_xlsx_3[[#This Row],[2037]]</f>
        <v>32.917710182067431</v>
      </c>
      <c r="O69">
        <f>scenario_jobcoeff_4506_iotable_2020_xlsx_3[[#This Row],[2038]]+scenario_jobcoeff_1610_iotable_2020_xlsx_3[[#This Row],[2038]]</f>
        <v>32.917710182067431</v>
      </c>
      <c r="P69">
        <f>scenario_jobcoeff_4506_iotable_2020_xlsx_3[[#This Row],[2039]]+scenario_jobcoeff_1610_iotable_2020_xlsx_3[[#This Row],[2039]]</f>
        <v>32.917710182067431</v>
      </c>
      <c r="Q69">
        <f>scenario_jobcoeff_4506_iotable_2020_xlsx_3[[#This Row],[2040]]+scenario_jobcoeff_1610_iotable_2020_xlsx_3[[#This Row],[2040]]</f>
        <v>34.167904008604452</v>
      </c>
      <c r="R69">
        <f>scenario_jobcoeff_4506_iotable_2020_xlsx_3[[#This Row],[2041]]+scenario_jobcoeff_1610_iotable_2020_xlsx_3[[#This Row],[2041]]</f>
        <v>34.167904008604452</v>
      </c>
      <c r="S69">
        <f>scenario_jobcoeff_4506_iotable_2020_xlsx_3[[#This Row],[2042]]+scenario_jobcoeff_1610_iotable_2020_xlsx_3[[#This Row],[2042]]</f>
        <v>35.580022541009853</v>
      </c>
      <c r="T69">
        <f>scenario_jobcoeff_4506_iotable_2020_xlsx_3[[#This Row],[2043]]+scenario_jobcoeff_1610_iotable_2020_xlsx_3[[#This Row],[2043]]</f>
        <v>35.580022541009853</v>
      </c>
      <c r="U69">
        <f>scenario_jobcoeff_4506_iotable_2020_xlsx_3[[#This Row],[2044]]+scenario_jobcoeff_1610_iotable_2020_xlsx_3[[#This Row],[2044]]</f>
        <v>36.825446398083088</v>
      </c>
      <c r="V69">
        <f>scenario_jobcoeff_4506_iotable_2020_xlsx_3[[#This Row],[2045]]+scenario_jobcoeff_1610_iotable_2020_xlsx_3[[#This Row],[2045]]</f>
        <v>36.825446398083088</v>
      </c>
      <c r="W69">
        <f>scenario_jobcoeff_4506_iotable_2020_xlsx_3[[#This Row],[2046]]+scenario_jobcoeff_1610_iotable_2020_xlsx_3[[#This Row],[2046]]</f>
        <v>37.916827260451541</v>
      </c>
      <c r="X69">
        <f>scenario_jobcoeff_4506_iotable_2020_xlsx_3[[#This Row],[2047]]+scenario_jobcoeff_1610_iotable_2020_xlsx_3[[#This Row],[2047]]</f>
        <v>37.916827260451541</v>
      </c>
      <c r="Y69">
        <f>scenario_jobcoeff_4506_iotable_2020_xlsx_3[[#This Row],[2048]]+scenario_jobcoeff_1610_iotable_2020_xlsx_3[[#This Row],[2048]]</f>
        <v>37.916827260451541</v>
      </c>
      <c r="Z69">
        <f>scenario_jobcoeff_4506_iotable_2020_xlsx_3[[#This Row],[2049]]+scenario_jobcoeff_1610_iotable_2020_xlsx_3[[#This Row],[2049]]</f>
        <v>37.916827260451541</v>
      </c>
      <c r="AA69">
        <f>scenario_jobcoeff_4506_iotable_2020_xlsx_3[[#This Row],[2050]]+scenario_jobcoeff_1610_iotable_2020_xlsx_3[[#This Row],[2050]]</f>
        <v>37.916827260451541</v>
      </c>
    </row>
    <row r="70" spans="1:27" x14ac:dyDescent="0.2">
      <c r="A70" t="s">
        <v>164</v>
      </c>
      <c r="B70" t="s">
        <v>165</v>
      </c>
      <c r="C70">
        <f>scenario_jobcoeff_4506_iotable_2020_xlsx_3[[#This Row],[2026]]+scenario_jobcoeff_1610_iotable_2020_xlsx_3[[#This Row],[2026]]</f>
        <v>27.751215252499222</v>
      </c>
      <c r="D70">
        <f>scenario_jobcoeff_4506_iotable_2020_xlsx_3[[#This Row],[2027]]+scenario_jobcoeff_1610_iotable_2020_xlsx_3[[#This Row],[2027]]</f>
        <v>27.496427858541097</v>
      </c>
      <c r="E70">
        <f>scenario_jobcoeff_4506_iotable_2020_xlsx_3[[#This Row],[2028]]+scenario_jobcoeff_1610_iotable_2020_xlsx_3[[#This Row],[2028]]</f>
        <v>28.873653064861632</v>
      </c>
      <c r="F70">
        <f>scenario_jobcoeff_4506_iotable_2020_xlsx_3[[#This Row],[2029]]+scenario_jobcoeff_1610_iotable_2020_xlsx_3[[#This Row],[2029]]</f>
        <v>29.75212770442635</v>
      </c>
      <c r="G70">
        <f>scenario_jobcoeff_4506_iotable_2020_xlsx_3[[#This Row],[2030]]+scenario_jobcoeff_1610_iotable_2020_xlsx_3[[#This Row],[2030]]</f>
        <v>27.631369628532884</v>
      </c>
      <c r="H70">
        <f>scenario_jobcoeff_4506_iotable_2020_xlsx_3[[#This Row],[2031]]+scenario_jobcoeff_1610_iotable_2020_xlsx_3[[#This Row],[2031]]</f>
        <v>29.489521353642864</v>
      </c>
      <c r="I70">
        <f>scenario_jobcoeff_4506_iotable_2020_xlsx_3[[#This Row],[2032]]+scenario_jobcoeff_1610_iotable_2020_xlsx_3[[#This Row],[2032]]</f>
        <v>32.084595596448793</v>
      </c>
      <c r="J70">
        <f>scenario_jobcoeff_4506_iotable_2020_xlsx_3[[#This Row],[2033]]+scenario_jobcoeff_1610_iotable_2020_xlsx_3[[#This Row],[2033]]</f>
        <v>35.616845255699744</v>
      </c>
      <c r="K70">
        <f>scenario_jobcoeff_4506_iotable_2020_xlsx_3[[#This Row],[2034]]+scenario_jobcoeff_1610_iotable_2020_xlsx_3[[#This Row],[2034]]</f>
        <v>38.03169714096299</v>
      </c>
      <c r="L70">
        <f>scenario_jobcoeff_4506_iotable_2020_xlsx_3[[#This Row],[2035]]+scenario_jobcoeff_1610_iotable_2020_xlsx_3[[#This Row],[2035]]</f>
        <v>43.377523557372349</v>
      </c>
      <c r="M70">
        <f>scenario_jobcoeff_4506_iotable_2020_xlsx_3[[#This Row],[2036]]+scenario_jobcoeff_1610_iotable_2020_xlsx_3[[#This Row],[2036]]</f>
        <v>45.097886552737172</v>
      </c>
      <c r="N70">
        <f>scenario_jobcoeff_4506_iotable_2020_xlsx_3[[#This Row],[2037]]+scenario_jobcoeff_1610_iotable_2020_xlsx_3[[#This Row],[2037]]</f>
        <v>46.699410754715757</v>
      </c>
      <c r="O70">
        <f>scenario_jobcoeff_4506_iotable_2020_xlsx_3[[#This Row],[2038]]+scenario_jobcoeff_1610_iotable_2020_xlsx_3[[#This Row],[2038]]</f>
        <v>46.699410754715757</v>
      </c>
      <c r="P70">
        <f>scenario_jobcoeff_4506_iotable_2020_xlsx_3[[#This Row],[2039]]+scenario_jobcoeff_1610_iotable_2020_xlsx_3[[#This Row],[2039]]</f>
        <v>46.699410754715757</v>
      </c>
      <c r="Q70">
        <f>scenario_jobcoeff_4506_iotable_2020_xlsx_3[[#This Row],[2040]]+scenario_jobcoeff_1610_iotable_2020_xlsx_3[[#This Row],[2040]]</f>
        <v>48.088684463974374</v>
      </c>
      <c r="R70">
        <f>scenario_jobcoeff_4506_iotable_2020_xlsx_3[[#This Row],[2041]]+scenario_jobcoeff_1610_iotable_2020_xlsx_3[[#This Row],[2041]]</f>
        <v>48.088684463974374</v>
      </c>
      <c r="S70">
        <f>scenario_jobcoeff_4506_iotable_2020_xlsx_3[[#This Row],[2042]]+scenario_jobcoeff_1610_iotable_2020_xlsx_3[[#This Row],[2042]]</f>
        <v>49.67487365460817</v>
      </c>
      <c r="T70">
        <f>scenario_jobcoeff_4506_iotable_2020_xlsx_3[[#This Row],[2043]]+scenario_jobcoeff_1610_iotable_2020_xlsx_3[[#This Row],[2043]]</f>
        <v>49.67487365460817</v>
      </c>
      <c r="U70">
        <f>scenario_jobcoeff_4506_iotable_2020_xlsx_3[[#This Row],[2044]]+scenario_jobcoeff_1610_iotable_2020_xlsx_3[[#This Row],[2044]]</f>
        <v>51.023606927873445</v>
      </c>
      <c r="V70">
        <f>scenario_jobcoeff_4506_iotable_2020_xlsx_3[[#This Row],[2045]]+scenario_jobcoeff_1610_iotable_2020_xlsx_3[[#This Row],[2045]]</f>
        <v>51.023606927873445</v>
      </c>
      <c r="W70">
        <f>scenario_jobcoeff_4506_iotable_2020_xlsx_3[[#This Row],[2046]]+scenario_jobcoeff_1610_iotable_2020_xlsx_3[[#This Row],[2046]]</f>
        <v>52.222699205081177</v>
      </c>
      <c r="X70">
        <f>scenario_jobcoeff_4506_iotable_2020_xlsx_3[[#This Row],[2047]]+scenario_jobcoeff_1610_iotable_2020_xlsx_3[[#This Row],[2047]]</f>
        <v>52.222699205081177</v>
      </c>
      <c r="Y70">
        <f>scenario_jobcoeff_4506_iotable_2020_xlsx_3[[#This Row],[2048]]+scenario_jobcoeff_1610_iotable_2020_xlsx_3[[#This Row],[2048]]</f>
        <v>52.222699205081177</v>
      </c>
      <c r="Z70">
        <f>scenario_jobcoeff_4506_iotable_2020_xlsx_3[[#This Row],[2049]]+scenario_jobcoeff_1610_iotable_2020_xlsx_3[[#This Row],[2049]]</f>
        <v>52.222699205081177</v>
      </c>
      <c r="AA70">
        <f>scenario_jobcoeff_4506_iotable_2020_xlsx_3[[#This Row],[2050]]+scenario_jobcoeff_1610_iotable_2020_xlsx_3[[#This Row],[2050]]</f>
        <v>52.222699205081177</v>
      </c>
    </row>
    <row r="71" spans="1:27" x14ac:dyDescent="0.2">
      <c r="A71" t="s">
        <v>156</v>
      </c>
      <c r="B71" t="s">
        <v>157</v>
      </c>
      <c r="C71">
        <f>scenario_jobcoeff_4506_iotable_2020_xlsx_3[[#This Row],[2026]]+scenario_jobcoeff_1610_iotable_2020_xlsx_3[[#This Row],[2026]]</f>
        <v>27.774075058759188</v>
      </c>
      <c r="D71">
        <f>scenario_jobcoeff_4506_iotable_2020_xlsx_3[[#This Row],[2027]]+scenario_jobcoeff_1610_iotable_2020_xlsx_3[[#This Row],[2027]]</f>
        <v>23.294615148911749</v>
      </c>
      <c r="E71">
        <f>scenario_jobcoeff_4506_iotable_2020_xlsx_3[[#This Row],[2028]]+scenario_jobcoeff_1610_iotable_2020_xlsx_3[[#This Row],[2028]]</f>
        <v>24.924060601024298</v>
      </c>
      <c r="F71">
        <f>scenario_jobcoeff_4506_iotable_2020_xlsx_3[[#This Row],[2029]]+scenario_jobcoeff_1610_iotable_2020_xlsx_3[[#This Row],[2029]]</f>
        <v>24.292211214383244</v>
      </c>
      <c r="G71">
        <f>scenario_jobcoeff_4506_iotable_2020_xlsx_3[[#This Row],[2030]]+scenario_jobcoeff_1610_iotable_2020_xlsx_3[[#This Row],[2030]]</f>
        <v>7.6173492220787011</v>
      </c>
      <c r="H71">
        <f>scenario_jobcoeff_4506_iotable_2020_xlsx_3[[#This Row],[2031]]+scenario_jobcoeff_1610_iotable_2020_xlsx_3[[#This Row],[2031]]</f>
        <v>9.8157964069836439</v>
      </c>
      <c r="I71">
        <f>scenario_jobcoeff_4506_iotable_2020_xlsx_3[[#This Row],[2032]]+scenario_jobcoeff_1610_iotable_2020_xlsx_3[[#This Row],[2032]]</f>
        <v>12.886123542609987</v>
      </c>
      <c r="J71">
        <f>scenario_jobcoeff_4506_iotable_2020_xlsx_3[[#This Row],[2033]]+scenario_jobcoeff_1610_iotable_2020_xlsx_3[[#This Row],[2033]]</f>
        <v>9.1628922772581163</v>
      </c>
      <c r="K71">
        <f>scenario_jobcoeff_4506_iotable_2020_xlsx_3[[#This Row],[2034]]+scenario_jobcoeff_1610_iotable_2020_xlsx_3[[#This Row],[2034]]</f>
        <v>12.019991758090434</v>
      </c>
      <c r="L71">
        <f>scenario_jobcoeff_4506_iotable_2020_xlsx_3[[#This Row],[2035]]+scenario_jobcoeff_1610_iotable_2020_xlsx_3[[#This Row],[2035]]</f>
        <v>8.341383300817256</v>
      </c>
      <c r="M71">
        <f>scenario_jobcoeff_4506_iotable_2020_xlsx_3[[#This Row],[2036]]+scenario_jobcoeff_1610_iotable_2020_xlsx_3[[#This Row],[2036]]</f>
        <v>3.8107393031920225</v>
      </c>
      <c r="N71">
        <f>scenario_jobcoeff_4506_iotable_2020_xlsx_3[[#This Row],[2037]]+scenario_jobcoeff_1610_iotable_2020_xlsx_3[[#This Row],[2037]]</f>
        <v>-3.4533871687301598E-2</v>
      </c>
      <c r="O71">
        <f>scenario_jobcoeff_4506_iotable_2020_xlsx_3[[#This Row],[2038]]+scenario_jobcoeff_1610_iotable_2020_xlsx_3[[#This Row],[2038]]</f>
        <v>-3.4533871687301598E-2</v>
      </c>
      <c r="P71">
        <f>scenario_jobcoeff_4506_iotable_2020_xlsx_3[[#This Row],[2039]]+scenario_jobcoeff_1610_iotable_2020_xlsx_3[[#This Row],[2039]]</f>
        <v>-3.4533871687301598E-2</v>
      </c>
      <c r="Q71">
        <f>scenario_jobcoeff_4506_iotable_2020_xlsx_3[[#This Row],[2040]]+scenario_jobcoeff_1610_iotable_2020_xlsx_3[[#This Row],[2040]]</f>
        <v>-3.4301022501844898</v>
      </c>
      <c r="R71">
        <f>scenario_jobcoeff_4506_iotable_2020_xlsx_3[[#This Row],[2041]]+scenario_jobcoeff_1610_iotable_2020_xlsx_3[[#This Row],[2041]]</f>
        <v>-3.4301022501844898</v>
      </c>
      <c r="S71">
        <f>scenario_jobcoeff_4506_iotable_2020_xlsx_3[[#This Row],[2042]]+scenario_jobcoeff_1610_iotable_2020_xlsx_3[[#This Row],[2042]]</f>
        <v>-7.1155314836180992</v>
      </c>
      <c r="T71">
        <f>scenario_jobcoeff_4506_iotable_2020_xlsx_3[[#This Row],[2043]]+scenario_jobcoeff_1610_iotable_2020_xlsx_3[[#This Row],[2043]]</f>
        <v>-7.1155314836180992</v>
      </c>
      <c r="U71">
        <f>scenario_jobcoeff_4506_iotable_2020_xlsx_3[[#This Row],[2044]]+scenario_jobcoeff_1610_iotable_2020_xlsx_3[[#This Row],[2044]]</f>
        <v>-10.809360803725554</v>
      </c>
      <c r="V71">
        <f>scenario_jobcoeff_4506_iotable_2020_xlsx_3[[#This Row],[2045]]+scenario_jobcoeff_1610_iotable_2020_xlsx_3[[#This Row],[2045]]</f>
        <v>-10.809360803725554</v>
      </c>
      <c r="W71">
        <f>scenario_jobcoeff_4506_iotable_2020_xlsx_3[[#This Row],[2046]]+scenario_jobcoeff_1610_iotable_2020_xlsx_3[[#This Row],[2046]]</f>
        <v>-13.894587107176449</v>
      </c>
      <c r="X71">
        <f>scenario_jobcoeff_4506_iotable_2020_xlsx_3[[#This Row],[2047]]+scenario_jobcoeff_1610_iotable_2020_xlsx_3[[#This Row],[2047]]</f>
        <v>-13.894587107176449</v>
      </c>
      <c r="Y71">
        <f>scenario_jobcoeff_4506_iotable_2020_xlsx_3[[#This Row],[2048]]+scenario_jobcoeff_1610_iotable_2020_xlsx_3[[#This Row],[2048]]</f>
        <v>-13.894587107176449</v>
      </c>
      <c r="Z71">
        <f>scenario_jobcoeff_4506_iotable_2020_xlsx_3[[#This Row],[2049]]+scenario_jobcoeff_1610_iotable_2020_xlsx_3[[#This Row],[2049]]</f>
        <v>-13.894587107176449</v>
      </c>
      <c r="AA71">
        <f>scenario_jobcoeff_4506_iotable_2020_xlsx_3[[#This Row],[2050]]+scenario_jobcoeff_1610_iotable_2020_xlsx_3[[#This Row],[2050]]</f>
        <v>-13.894587107176449</v>
      </c>
    </row>
    <row r="72" spans="1:27" x14ac:dyDescent="0.2">
      <c r="A72" t="s">
        <v>118</v>
      </c>
      <c r="B72" t="s">
        <v>119</v>
      </c>
      <c r="C72">
        <f>scenario_jobcoeff_4506_iotable_2020_xlsx_3[[#This Row],[2026]]+scenario_jobcoeff_1610_iotable_2020_xlsx_3[[#This Row],[2026]]</f>
        <v>65.248802838076614</v>
      </c>
      <c r="D72">
        <f>scenario_jobcoeff_4506_iotable_2020_xlsx_3[[#This Row],[2027]]+scenario_jobcoeff_1610_iotable_2020_xlsx_3[[#This Row],[2027]]</f>
        <v>61.527520740512315</v>
      </c>
      <c r="E72">
        <f>scenario_jobcoeff_4506_iotable_2020_xlsx_3[[#This Row],[2028]]+scenario_jobcoeff_1610_iotable_2020_xlsx_3[[#This Row],[2028]]</f>
        <v>64.951232861334518</v>
      </c>
      <c r="F72">
        <f>scenario_jobcoeff_4506_iotable_2020_xlsx_3[[#This Row],[2029]]+scenario_jobcoeff_1610_iotable_2020_xlsx_3[[#This Row],[2029]]</f>
        <v>65.899918789362914</v>
      </c>
      <c r="G72">
        <f>scenario_jobcoeff_4506_iotable_2020_xlsx_3[[#This Row],[2030]]+scenario_jobcoeff_1610_iotable_2020_xlsx_3[[#This Row],[2030]]</f>
        <v>50.158194999849428</v>
      </c>
      <c r="H72">
        <f>scenario_jobcoeff_4506_iotable_2020_xlsx_3[[#This Row],[2031]]+scenario_jobcoeff_1610_iotable_2020_xlsx_3[[#This Row],[2031]]</f>
        <v>54.77746609247059</v>
      </c>
      <c r="I72">
        <f>scenario_jobcoeff_4506_iotable_2020_xlsx_3[[#This Row],[2032]]+scenario_jobcoeff_1610_iotable_2020_xlsx_3[[#This Row],[2032]]</f>
        <v>61.228689246645388</v>
      </c>
      <c r="J72">
        <f>scenario_jobcoeff_4506_iotable_2020_xlsx_3[[#This Row],[2033]]+scenario_jobcoeff_1610_iotable_2020_xlsx_3[[#This Row],[2033]]</f>
        <v>64.169186746883284</v>
      </c>
      <c r="K72">
        <f>scenario_jobcoeff_4506_iotable_2020_xlsx_3[[#This Row],[2034]]+scenario_jobcoeff_1610_iotable_2020_xlsx_3[[#This Row],[2034]]</f>
        <v>70.172386246589426</v>
      </c>
      <c r="L72">
        <f>scenario_jobcoeff_4506_iotable_2020_xlsx_3[[#This Row],[2035]]+scenario_jobcoeff_1610_iotable_2020_xlsx_3[[#This Row],[2035]]</f>
        <v>76.068468634484219</v>
      </c>
      <c r="M72">
        <f>scenario_jobcoeff_4506_iotable_2020_xlsx_3[[#This Row],[2036]]+scenario_jobcoeff_1610_iotable_2020_xlsx_3[[#This Row],[2036]]</f>
        <v>75.492340491411994</v>
      </c>
      <c r="N72">
        <f>scenario_jobcoeff_4506_iotable_2020_xlsx_3[[#This Row],[2037]]+scenario_jobcoeff_1610_iotable_2020_xlsx_3[[#This Row],[2037]]</f>
        <v>75.231247221949019</v>
      </c>
      <c r="O72">
        <f>scenario_jobcoeff_4506_iotable_2020_xlsx_3[[#This Row],[2038]]+scenario_jobcoeff_1610_iotable_2020_xlsx_3[[#This Row],[2038]]</f>
        <v>75.231247221949019</v>
      </c>
      <c r="P72">
        <f>scenario_jobcoeff_4506_iotable_2020_xlsx_3[[#This Row],[2039]]+scenario_jobcoeff_1610_iotable_2020_xlsx_3[[#This Row],[2039]]</f>
        <v>75.231247221949019</v>
      </c>
      <c r="Q72">
        <f>scenario_jobcoeff_4506_iotable_2020_xlsx_3[[#This Row],[2040]]+scenario_jobcoeff_1610_iotable_2020_xlsx_3[[#This Row],[2040]]</f>
        <v>74.960477994726517</v>
      </c>
      <c r="R72">
        <f>scenario_jobcoeff_4506_iotable_2020_xlsx_3[[#This Row],[2041]]+scenario_jobcoeff_1610_iotable_2020_xlsx_3[[#This Row],[2041]]</f>
        <v>74.960477994726517</v>
      </c>
      <c r="S72">
        <f>scenario_jobcoeff_4506_iotable_2020_xlsx_3[[#This Row],[2042]]+scenario_jobcoeff_1610_iotable_2020_xlsx_3[[#This Row],[2042]]</f>
        <v>74.792809927437929</v>
      </c>
      <c r="T72">
        <f>scenario_jobcoeff_4506_iotable_2020_xlsx_3[[#This Row],[2043]]+scenario_jobcoeff_1610_iotable_2020_xlsx_3[[#This Row],[2043]]</f>
        <v>74.792809927437929</v>
      </c>
      <c r="U72">
        <f>scenario_jobcoeff_4506_iotable_2020_xlsx_3[[#This Row],[2044]]+scenario_jobcoeff_1610_iotable_2020_xlsx_3[[#This Row],[2044]]</f>
        <v>74.23626988816909</v>
      </c>
      <c r="V72">
        <f>scenario_jobcoeff_4506_iotable_2020_xlsx_3[[#This Row],[2045]]+scenario_jobcoeff_1610_iotable_2020_xlsx_3[[#This Row],[2045]]</f>
        <v>74.23626988816909</v>
      </c>
      <c r="W72">
        <f>scenario_jobcoeff_4506_iotable_2020_xlsx_3[[#This Row],[2046]]+scenario_jobcoeff_1610_iotable_2020_xlsx_3[[#This Row],[2046]]</f>
        <v>73.888388820933642</v>
      </c>
      <c r="X72">
        <f>scenario_jobcoeff_4506_iotable_2020_xlsx_3[[#This Row],[2047]]+scenario_jobcoeff_1610_iotable_2020_xlsx_3[[#This Row],[2047]]</f>
        <v>73.888388820933642</v>
      </c>
      <c r="Y72">
        <f>scenario_jobcoeff_4506_iotable_2020_xlsx_3[[#This Row],[2048]]+scenario_jobcoeff_1610_iotable_2020_xlsx_3[[#This Row],[2048]]</f>
        <v>73.888388820933642</v>
      </c>
      <c r="Z72">
        <f>scenario_jobcoeff_4506_iotable_2020_xlsx_3[[#This Row],[2049]]+scenario_jobcoeff_1610_iotable_2020_xlsx_3[[#This Row],[2049]]</f>
        <v>73.888388820933642</v>
      </c>
      <c r="AA72">
        <f>scenario_jobcoeff_4506_iotable_2020_xlsx_3[[#This Row],[2050]]+scenario_jobcoeff_1610_iotable_2020_xlsx_3[[#This Row],[2050]]</f>
        <v>73.888388820933642</v>
      </c>
    </row>
    <row r="73" spans="1:27" x14ac:dyDescent="0.2">
      <c r="A73" t="s">
        <v>276</v>
      </c>
      <c r="B73" t="s">
        <v>277</v>
      </c>
      <c r="C73">
        <f>scenario_jobcoeff_4506_iotable_2020_xlsx_3[[#This Row],[2026]]+scenario_jobcoeff_1610_iotable_2020_xlsx_3[[#This Row],[2026]]</f>
        <v>2.485199391761622</v>
      </c>
      <c r="D73">
        <f>scenario_jobcoeff_4506_iotable_2020_xlsx_3[[#This Row],[2027]]+scenario_jobcoeff_1610_iotable_2020_xlsx_3[[#This Row],[2027]]</f>
        <v>2.3595162845198914</v>
      </c>
      <c r="E73">
        <f>scenario_jobcoeff_4506_iotable_2020_xlsx_3[[#This Row],[2028]]+scenario_jobcoeff_1610_iotable_2020_xlsx_3[[#This Row],[2028]]</f>
        <v>2.4889646450087706</v>
      </c>
      <c r="F73">
        <f>scenario_jobcoeff_4506_iotable_2020_xlsx_3[[#This Row],[2029]]+scenario_jobcoeff_1610_iotable_2020_xlsx_3[[#This Row],[2029]]</f>
        <v>2.5308403257152743</v>
      </c>
      <c r="G73">
        <f>scenario_jobcoeff_4506_iotable_2020_xlsx_3[[#This Row],[2030]]+scenario_jobcoeff_1610_iotable_2020_xlsx_3[[#This Row],[2030]]</f>
        <v>1.9865688109898247</v>
      </c>
      <c r="H73">
        <f>scenario_jobcoeff_4506_iotable_2020_xlsx_3[[#This Row],[2031]]+scenario_jobcoeff_1610_iotable_2020_xlsx_3[[#This Row],[2031]]</f>
        <v>2.1612204897793048</v>
      </c>
      <c r="I73">
        <f>scenario_jobcoeff_4506_iotable_2020_xlsx_3[[#This Row],[2032]]+scenario_jobcoeff_1610_iotable_2020_xlsx_3[[#This Row],[2032]]</f>
        <v>2.40513710162787</v>
      </c>
      <c r="J73">
        <f>scenario_jobcoeff_4506_iotable_2020_xlsx_3[[#This Row],[2033]]+scenario_jobcoeff_1610_iotable_2020_xlsx_3[[#This Row],[2033]]</f>
        <v>2.5447173009388111</v>
      </c>
      <c r="K73">
        <f>scenario_jobcoeff_4506_iotable_2020_xlsx_3[[#This Row],[2034]]+scenario_jobcoeff_1610_iotable_2020_xlsx_3[[#This Row],[2034]]</f>
        <v>2.7716944256212441</v>
      </c>
      <c r="L73">
        <f>scenario_jobcoeff_4506_iotable_2020_xlsx_3[[#This Row],[2035]]+scenario_jobcoeff_1610_iotable_2020_xlsx_3[[#This Row],[2035]]</f>
        <v>3.0305749042164702</v>
      </c>
      <c r="M73">
        <f>scenario_jobcoeff_4506_iotable_2020_xlsx_3[[#This Row],[2036]]+scenario_jobcoeff_1610_iotable_2020_xlsx_3[[#This Row],[2036]]</f>
        <v>3.0323909614784599</v>
      </c>
      <c r="N73">
        <f>scenario_jobcoeff_4506_iotable_2020_xlsx_3[[#This Row],[2037]]+scenario_jobcoeff_1610_iotable_2020_xlsx_3[[#This Row],[2037]]</f>
        <v>3.0431496562168858</v>
      </c>
      <c r="O73">
        <f>scenario_jobcoeff_4506_iotable_2020_xlsx_3[[#This Row],[2038]]+scenario_jobcoeff_1610_iotable_2020_xlsx_3[[#This Row],[2038]]</f>
        <v>3.0431496562168858</v>
      </c>
      <c r="P73">
        <f>scenario_jobcoeff_4506_iotable_2020_xlsx_3[[#This Row],[2039]]+scenario_jobcoeff_1610_iotable_2020_xlsx_3[[#This Row],[2039]]</f>
        <v>3.0431496562168858</v>
      </c>
      <c r="Q73">
        <f>scenario_jobcoeff_4506_iotable_2020_xlsx_3[[#This Row],[2040]]+scenario_jobcoeff_1610_iotable_2020_xlsx_3[[#This Row],[2040]]</f>
        <v>3.0510236714756349</v>
      </c>
      <c r="R73">
        <f>scenario_jobcoeff_4506_iotable_2020_xlsx_3[[#This Row],[2041]]+scenario_jobcoeff_1610_iotable_2020_xlsx_3[[#This Row],[2041]]</f>
        <v>3.0510236714756349</v>
      </c>
      <c r="S73">
        <f>scenario_jobcoeff_4506_iotable_2020_xlsx_3[[#This Row],[2042]]+scenario_jobcoeff_1610_iotable_2020_xlsx_3[[#This Row],[2042]]</f>
        <v>3.0646750092240582</v>
      </c>
      <c r="T73">
        <f>scenario_jobcoeff_4506_iotable_2020_xlsx_3[[#This Row],[2043]]+scenario_jobcoeff_1610_iotable_2020_xlsx_3[[#This Row],[2043]]</f>
        <v>3.0646750092240582</v>
      </c>
      <c r="U73">
        <f>scenario_jobcoeff_4506_iotable_2020_xlsx_3[[#This Row],[2044]]+scenario_jobcoeff_1610_iotable_2020_xlsx_3[[#This Row],[2044]]</f>
        <v>3.0626438018851552</v>
      </c>
      <c r="V73">
        <f>scenario_jobcoeff_4506_iotable_2020_xlsx_3[[#This Row],[2045]]+scenario_jobcoeff_1610_iotable_2020_xlsx_3[[#This Row],[2045]]</f>
        <v>3.0626438018851552</v>
      </c>
      <c r="W73">
        <f>scenario_jobcoeff_4506_iotable_2020_xlsx_3[[#This Row],[2046]]+scenario_jobcoeff_1610_iotable_2020_xlsx_3[[#This Row],[2046]]</f>
        <v>3.0656781579235197</v>
      </c>
      <c r="X73">
        <f>scenario_jobcoeff_4506_iotable_2020_xlsx_3[[#This Row],[2047]]+scenario_jobcoeff_1610_iotable_2020_xlsx_3[[#This Row],[2047]]</f>
        <v>3.0656781579235197</v>
      </c>
      <c r="Y73">
        <f>scenario_jobcoeff_4506_iotable_2020_xlsx_3[[#This Row],[2048]]+scenario_jobcoeff_1610_iotable_2020_xlsx_3[[#This Row],[2048]]</f>
        <v>3.0656781579235197</v>
      </c>
      <c r="Z73">
        <f>scenario_jobcoeff_4506_iotable_2020_xlsx_3[[#This Row],[2049]]+scenario_jobcoeff_1610_iotable_2020_xlsx_3[[#This Row],[2049]]</f>
        <v>3.0656781579235197</v>
      </c>
      <c r="AA73">
        <f>scenario_jobcoeff_4506_iotable_2020_xlsx_3[[#This Row],[2050]]+scenario_jobcoeff_1610_iotable_2020_xlsx_3[[#This Row],[2050]]</f>
        <v>3.0656781579235197</v>
      </c>
    </row>
    <row r="74" spans="1:27" x14ac:dyDescent="0.2">
      <c r="A74" t="s">
        <v>202</v>
      </c>
      <c r="B74" t="s">
        <v>203</v>
      </c>
      <c r="C74">
        <f>scenario_jobcoeff_4506_iotable_2020_xlsx_3[[#This Row],[2026]]+scenario_jobcoeff_1610_iotable_2020_xlsx_3[[#This Row],[2026]]</f>
        <v>16.776930403920709</v>
      </c>
      <c r="D74">
        <f>scenario_jobcoeff_4506_iotable_2020_xlsx_3[[#This Row],[2027]]+scenario_jobcoeff_1610_iotable_2020_xlsx_3[[#This Row],[2027]]</f>
        <v>16.422892717686029</v>
      </c>
      <c r="E74">
        <f>scenario_jobcoeff_4506_iotable_2020_xlsx_3[[#This Row],[2028]]+scenario_jobcoeff_1610_iotable_2020_xlsx_3[[#This Row],[2028]]</f>
        <v>17.267378522080921</v>
      </c>
      <c r="F74">
        <f>scenario_jobcoeff_4506_iotable_2020_xlsx_3[[#This Row],[2029]]+scenario_jobcoeff_1610_iotable_2020_xlsx_3[[#This Row],[2029]]</f>
        <v>17.726917915821293</v>
      </c>
      <c r="G74">
        <f>scenario_jobcoeff_4506_iotable_2020_xlsx_3[[#This Row],[2030]]+scenario_jobcoeff_1610_iotable_2020_xlsx_3[[#This Row],[2030]]</f>
        <v>15.75583946187929</v>
      </c>
      <c r="H74">
        <f>scenario_jobcoeff_4506_iotable_2020_xlsx_3[[#This Row],[2031]]+scenario_jobcoeff_1610_iotable_2020_xlsx_3[[#This Row],[2031]]</f>
        <v>16.895219388318171</v>
      </c>
      <c r="I74">
        <f>scenario_jobcoeff_4506_iotable_2020_xlsx_3[[#This Row],[2032]]+scenario_jobcoeff_1610_iotable_2020_xlsx_3[[#This Row],[2032]]</f>
        <v>18.486464850093721</v>
      </c>
      <c r="J74">
        <f>scenario_jobcoeff_4506_iotable_2020_xlsx_3[[#This Row],[2033]]+scenario_jobcoeff_1610_iotable_2020_xlsx_3[[#This Row],[2033]]</f>
        <v>20.278230416403524</v>
      </c>
      <c r="K74">
        <f>scenario_jobcoeff_4506_iotable_2020_xlsx_3[[#This Row],[2034]]+scenario_jobcoeff_1610_iotable_2020_xlsx_3[[#This Row],[2034]]</f>
        <v>21.758967283157077</v>
      </c>
      <c r="L74">
        <f>scenario_jobcoeff_4506_iotable_2020_xlsx_3[[#This Row],[2035]]+scenario_jobcoeff_1610_iotable_2020_xlsx_3[[#This Row],[2035]]</f>
        <v>24.563304712644932</v>
      </c>
      <c r="M74">
        <f>scenario_jobcoeff_4506_iotable_2020_xlsx_3[[#This Row],[2036]]+scenario_jobcoeff_1610_iotable_2020_xlsx_3[[#This Row],[2036]]</f>
        <v>25.307325894424384</v>
      </c>
      <c r="N74">
        <f>scenario_jobcoeff_4506_iotable_2020_xlsx_3[[#This Row],[2037]]+scenario_jobcoeff_1610_iotable_2020_xlsx_3[[#This Row],[2037]]</f>
        <v>26.017583193755456</v>
      </c>
      <c r="O74">
        <f>scenario_jobcoeff_4506_iotable_2020_xlsx_3[[#This Row],[2038]]+scenario_jobcoeff_1610_iotable_2020_xlsx_3[[#This Row],[2038]]</f>
        <v>26.017583193755456</v>
      </c>
      <c r="P74">
        <f>scenario_jobcoeff_4506_iotable_2020_xlsx_3[[#This Row],[2039]]+scenario_jobcoeff_1610_iotable_2020_xlsx_3[[#This Row],[2039]]</f>
        <v>26.017583193755456</v>
      </c>
      <c r="Q74">
        <f>scenario_jobcoeff_4506_iotable_2020_xlsx_3[[#This Row],[2040]]+scenario_jobcoeff_1610_iotable_2020_xlsx_3[[#This Row],[2040]]</f>
        <v>26.63087342482622</v>
      </c>
      <c r="R74">
        <f>scenario_jobcoeff_4506_iotable_2020_xlsx_3[[#This Row],[2041]]+scenario_jobcoeff_1610_iotable_2020_xlsx_3[[#This Row],[2041]]</f>
        <v>26.63087342482622</v>
      </c>
      <c r="S74">
        <f>scenario_jobcoeff_4506_iotable_2020_xlsx_3[[#This Row],[2042]]+scenario_jobcoeff_1610_iotable_2020_xlsx_3[[#This Row],[2042]]</f>
        <v>27.340154400517171</v>
      </c>
      <c r="T74">
        <f>scenario_jobcoeff_4506_iotable_2020_xlsx_3[[#This Row],[2043]]+scenario_jobcoeff_1610_iotable_2020_xlsx_3[[#This Row],[2043]]</f>
        <v>27.340154400517171</v>
      </c>
      <c r="U74">
        <f>scenario_jobcoeff_4506_iotable_2020_xlsx_3[[#This Row],[2044]]+scenario_jobcoeff_1610_iotable_2020_xlsx_3[[#This Row],[2044]]</f>
        <v>27.916735849095765</v>
      </c>
      <c r="V74">
        <f>scenario_jobcoeff_4506_iotable_2020_xlsx_3[[#This Row],[2045]]+scenario_jobcoeff_1610_iotable_2020_xlsx_3[[#This Row],[2045]]</f>
        <v>27.916735849095765</v>
      </c>
      <c r="W74">
        <f>scenario_jobcoeff_4506_iotable_2020_xlsx_3[[#This Row],[2046]]+scenario_jobcoeff_1610_iotable_2020_xlsx_3[[#This Row],[2046]]</f>
        <v>28.438756984071979</v>
      </c>
      <c r="X74">
        <f>scenario_jobcoeff_4506_iotable_2020_xlsx_3[[#This Row],[2047]]+scenario_jobcoeff_1610_iotable_2020_xlsx_3[[#This Row],[2047]]</f>
        <v>28.438756984071979</v>
      </c>
      <c r="Y74">
        <f>scenario_jobcoeff_4506_iotable_2020_xlsx_3[[#This Row],[2048]]+scenario_jobcoeff_1610_iotable_2020_xlsx_3[[#This Row],[2048]]</f>
        <v>28.438756984071979</v>
      </c>
      <c r="Z74">
        <f>scenario_jobcoeff_4506_iotable_2020_xlsx_3[[#This Row],[2049]]+scenario_jobcoeff_1610_iotable_2020_xlsx_3[[#This Row],[2049]]</f>
        <v>28.438756984071979</v>
      </c>
      <c r="AA74">
        <f>scenario_jobcoeff_4506_iotable_2020_xlsx_3[[#This Row],[2050]]+scenario_jobcoeff_1610_iotable_2020_xlsx_3[[#This Row],[2050]]</f>
        <v>28.438756984071979</v>
      </c>
    </row>
    <row r="75" spans="1:27" x14ac:dyDescent="0.2">
      <c r="A75" t="s">
        <v>300</v>
      </c>
      <c r="B75" t="s">
        <v>301</v>
      </c>
      <c r="C75">
        <f>scenario_jobcoeff_4506_iotable_2020_xlsx_3[[#This Row],[2026]]+scenario_jobcoeff_1610_iotable_2020_xlsx_3[[#This Row],[2026]]</f>
        <v>0.19096896092839599</v>
      </c>
      <c r="D75">
        <f>scenario_jobcoeff_4506_iotable_2020_xlsx_3[[#This Row],[2027]]+scenario_jobcoeff_1610_iotable_2020_xlsx_3[[#This Row],[2027]]</f>
        <v>0.14419334925135538</v>
      </c>
      <c r="E75">
        <f>scenario_jobcoeff_4506_iotable_2020_xlsx_3[[#This Row],[2028]]+scenario_jobcoeff_1610_iotable_2020_xlsx_3[[#This Row],[2028]]</f>
        <v>0.15634662555028245</v>
      </c>
      <c r="F75">
        <f>scenario_jobcoeff_4506_iotable_2020_xlsx_3[[#This Row],[2029]]+scenario_jobcoeff_1610_iotable_2020_xlsx_3[[#This Row],[2029]]</f>
        <v>0.14628779324007413</v>
      </c>
      <c r="G75">
        <f>scenario_jobcoeff_4506_iotable_2020_xlsx_3[[#This Row],[2030]]+scenario_jobcoeff_1610_iotable_2020_xlsx_3[[#This Row],[2030]]</f>
        <v>-2.3398183118533755E-2</v>
      </c>
      <c r="H75">
        <f>scenario_jobcoeff_4506_iotable_2020_xlsx_3[[#This Row],[2031]]+scenario_jobcoeff_1610_iotable_2020_xlsx_3[[#This Row],[2031]]</f>
        <v>-7.0009873534910283E-3</v>
      </c>
      <c r="I75">
        <f>scenario_jobcoeff_4506_iotable_2020_xlsx_3[[#This Row],[2032]]+scenario_jobcoeff_1610_iotable_2020_xlsx_3[[#This Row],[2032]]</f>
        <v>1.5899155734442671E-2</v>
      </c>
      <c r="J75">
        <f>scenario_jobcoeff_4506_iotable_2020_xlsx_3[[#This Row],[2033]]+scenario_jobcoeff_1610_iotable_2020_xlsx_3[[#This Row],[2033]]</f>
        <v>-3.7150253088765295E-2</v>
      </c>
      <c r="K75">
        <f>scenario_jobcoeff_4506_iotable_2020_xlsx_3[[#This Row],[2034]]+scenario_jobcoeff_1610_iotable_2020_xlsx_3[[#This Row],[2034]]</f>
        <v>-1.584047597468119E-2</v>
      </c>
      <c r="L75">
        <f>scenario_jobcoeff_4506_iotable_2020_xlsx_3[[#This Row],[2035]]+scenario_jobcoeff_1610_iotable_2020_xlsx_3[[#This Row],[2035]]</f>
        <v>-7.5278409759922948E-2</v>
      </c>
      <c r="M75">
        <f>scenario_jobcoeff_4506_iotable_2020_xlsx_3[[#This Row],[2036]]+scenario_jobcoeff_1610_iotable_2020_xlsx_3[[#This Row],[2036]]</f>
        <v>-0.13007514041582158</v>
      </c>
      <c r="N75">
        <f>scenario_jobcoeff_4506_iotable_2020_xlsx_3[[#This Row],[2037]]+scenario_jobcoeff_1610_iotable_2020_xlsx_3[[#This Row],[2037]]</f>
        <v>-0.17711773121516783</v>
      </c>
      <c r="O75">
        <f>scenario_jobcoeff_4506_iotable_2020_xlsx_3[[#This Row],[2038]]+scenario_jobcoeff_1610_iotable_2020_xlsx_3[[#This Row],[2038]]</f>
        <v>-0.17711773121516783</v>
      </c>
      <c r="P75">
        <f>scenario_jobcoeff_4506_iotable_2020_xlsx_3[[#This Row],[2039]]+scenario_jobcoeff_1610_iotable_2020_xlsx_3[[#This Row],[2039]]</f>
        <v>-0.17711773121516783</v>
      </c>
      <c r="Q75">
        <f>scenario_jobcoeff_4506_iotable_2020_xlsx_3[[#This Row],[2040]]+scenario_jobcoeff_1610_iotable_2020_xlsx_3[[#This Row],[2040]]</f>
        <v>-0.21856424980397471</v>
      </c>
      <c r="R75">
        <f>scenario_jobcoeff_4506_iotable_2020_xlsx_3[[#This Row],[2041]]+scenario_jobcoeff_1610_iotable_2020_xlsx_3[[#This Row],[2041]]</f>
        <v>-0.21856424980397471</v>
      </c>
      <c r="S75">
        <f>scenario_jobcoeff_4506_iotable_2020_xlsx_3[[#This Row],[2042]]+scenario_jobcoeff_1610_iotable_2020_xlsx_3[[#This Row],[2042]]</f>
        <v>-0.26384525982289775</v>
      </c>
      <c r="T75">
        <f>scenario_jobcoeff_4506_iotable_2020_xlsx_3[[#This Row],[2043]]+scenario_jobcoeff_1610_iotable_2020_xlsx_3[[#This Row],[2043]]</f>
        <v>-0.26384525982289775</v>
      </c>
      <c r="U75">
        <f>scenario_jobcoeff_4506_iotable_2020_xlsx_3[[#This Row],[2044]]+scenario_jobcoeff_1610_iotable_2020_xlsx_3[[#This Row],[2044]]</f>
        <v>-0.30831706186223662</v>
      </c>
      <c r="V75">
        <f>scenario_jobcoeff_4506_iotable_2020_xlsx_3[[#This Row],[2045]]+scenario_jobcoeff_1610_iotable_2020_xlsx_3[[#This Row],[2045]]</f>
        <v>-0.30831706186223662</v>
      </c>
      <c r="W75">
        <f>scenario_jobcoeff_4506_iotable_2020_xlsx_3[[#This Row],[2046]]+scenario_jobcoeff_1610_iotable_2020_xlsx_3[[#This Row],[2046]]</f>
        <v>-0.3457362972590271</v>
      </c>
      <c r="X75">
        <f>scenario_jobcoeff_4506_iotable_2020_xlsx_3[[#This Row],[2047]]+scenario_jobcoeff_1610_iotable_2020_xlsx_3[[#This Row],[2047]]</f>
        <v>-0.3457362972590271</v>
      </c>
      <c r="Y75">
        <f>scenario_jobcoeff_4506_iotable_2020_xlsx_3[[#This Row],[2048]]+scenario_jobcoeff_1610_iotable_2020_xlsx_3[[#This Row],[2048]]</f>
        <v>-0.3457362972590271</v>
      </c>
      <c r="Z75">
        <f>scenario_jobcoeff_4506_iotable_2020_xlsx_3[[#This Row],[2049]]+scenario_jobcoeff_1610_iotable_2020_xlsx_3[[#This Row],[2049]]</f>
        <v>-0.3457362972590271</v>
      </c>
      <c r="AA75">
        <f>scenario_jobcoeff_4506_iotable_2020_xlsx_3[[#This Row],[2050]]+scenario_jobcoeff_1610_iotable_2020_xlsx_3[[#This Row],[2050]]</f>
        <v>-0.3457362972590271</v>
      </c>
    </row>
    <row r="76" spans="1:27" x14ac:dyDescent="0.2">
      <c r="A76" t="s">
        <v>30</v>
      </c>
      <c r="B76" t="s">
        <v>31</v>
      </c>
      <c r="C76">
        <f>scenario_jobcoeff_4506_iotable_2020_xlsx_3[[#This Row],[2026]]+scenario_jobcoeff_1610_iotable_2020_xlsx_3[[#This Row],[2026]]</f>
        <v>419.68561169811568</v>
      </c>
      <c r="D76">
        <f>scenario_jobcoeff_4506_iotable_2020_xlsx_3[[#This Row],[2027]]+scenario_jobcoeff_1610_iotable_2020_xlsx_3[[#This Row],[2027]]</f>
        <v>440.44095412003628</v>
      </c>
      <c r="E76">
        <f>scenario_jobcoeff_4506_iotable_2020_xlsx_3[[#This Row],[2028]]+scenario_jobcoeff_1610_iotable_2020_xlsx_3[[#This Row],[2028]]</f>
        <v>459.80629254667156</v>
      </c>
      <c r="F76">
        <f>scenario_jobcoeff_4506_iotable_2020_xlsx_3[[#This Row],[2029]]+scenario_jobcoeff_1610_iotable_2020_xlsx_3[[#This Row],[2029]]</f>
        <v>481.89381305903566</v>
      </c>
      <c r="G76">
        <f>scenario_jobcoeff_4506_iotable_2020_xlsx_3[[#This Row],[2030]]+scenario_jobcoeff_1610_iotable_2020_xlsx_3[[#This Row],[2030]]</f>
        <v>534.59232509616504</v>
      </c>
      <c r="H76">
        <f>scenario_jobcoeff_4506_iotable_2020_xlsx_3[[#This Row],[2031]]+scenario_jobcoeff_1610_iotable_2020_xlsx_3[[#This Row],[2031]]</f>
        <v>560.72003234378883</v>
      </c>
      <c r="I76">
        <f>scenario_jobcoeff_4506_iotable_2020_xlsx_3[[#This Row],[2032]]+scenario_jobcoeff_1610_iotable_2020_xlsx_3[[#This Row],[2032]]</f>
        <v>597.20970064462063</v>
      </c>
      <c r="J76">
        <f>scenario_jobcoeff_4506_iotable_2020_xlsx_3[[#This Row],[2033]]+scenario_jobcoeff_1610_iotable_2020_xlsx_3[[#This Row],[2033]]</f>
        <v>692.91032082002039</v>
      </c>
      <c r="K76">
        <f>scenario_jobcoeff_4506_iotable_2020_xlsx_3[[#This Row],[2034]]+scenario_jobcoeff_1610_iotable_2020_xlsx_3[[#This Row],[2034]]</f>
        <v>726.86585967721226</v>
      </c>
      <c r="L76">
        <f>scenario_jobcoeff_4506_iotable_2020_xlsx_3[[#This Row],[2035]]+scenario_jobcoeff_1610_iotable_2020_xlsx_3[[#This Row],[2035]]</f>
        <v>860.30675359180282</v>
      </c>
      <c r="M76">
        <f>scenario_jobcoeff_4506_iotable_2020_xlsx_3[[#This Row],[2036]]+scenario_jobcoeff_1610_iotable_2020_xlsx_3[[#This Row],[2036]]</f>
        <v>922.74595086108059</v>
      </c>
      <c r="N76">
        <f>scenario_jobcoeff_4506_iotable_2020_xlsx_3[[#This Row],[2037]]+scenario_jobcoeff_1610_iotable_2020_xlsx_3[[#This Row],[2037]]</f>
        <v>978.70264391719559</v>
      </c>
      <c r="O76">
        <f>scenario_jobcoeff_4506_iotable_2020_xlsx_3[[#This Row],[2038]]+scenario_jobcoeff_1610_iotable_2020_xlsx_3[[#This Row],[2038]]</f>
        <v>978.70264391719559</v>
      </c>
      <c r="P76">
        <f>scenario_jobcoeff_4506_iotable_2020_xlsx_3[[#This Row],[2039]]+scenario_jobcoeff_1610_iotable_2020_xlsx_3[[#This Row],[2039]]</f>
        <v>978.70264391719559</v>
      </c>
      <c r="Q76">
        <f>scenario_jobcoeff_4506_iotable_2020_xlsx_3[[#This Row],[2040]]+scenario_jobcoeff_1610_iotable_2020_xlsx_3[[#This Row],[2040]]</f>
        <v>1027.5923722576613</v>
      </c>
      <c r="R76">
        <f>scenario_jobcoeff_4506_iotable_2020_xlsx_3[[#This Row],[2041]]+scenario_jobcoeff_1610_iotable_2020_xlsx_3[[#This Row],[2041]]</f>
        <v>1027.5923722576613</v>
      </c>
      <c r="S76">
        <f>scenario_jobcoeff_4506_iotable_2020_xlsx_3[[#This Row],[2042]]+scenario_jobcoeff_1610_iotable_2020_xlsx_3[[#This Row],[2042]]</f>
        <v>1082.2966178779168</v>
      </c>
      <c r="T76">
        <f>scenario_jobcoeff_4506_iotable_2020_xlsx_3[[#This Row],[2043]]+scenario_jobcoeff_1610_iotable_2020_xlsx_3[[#This Row],[2043]]</f>
        <v>1082.2966178779168</v>
      </c>
      <c r="U76">
        <f>scenario_jobcoeff_4506_iotable_2020_xlsx_3[[#This Row],[2044]]+scenario_jobcoeff_1610_iotable_2020_xlsx_3[[#This Row],[2044]]</f>
        <v>1132.0743378722568</v>
      </c>
      <c r="V76">
        <f>scenario_jobcoeff_4506_iotable_2020_xlsx_3[[#This Row],[2045]]+scenario_jobcoeff_1610_iotable_2020_xlsx_3[[#This Row],[2045]]</f>
        <v>1132.0743378722568</v>
      </c>
      <c r="W76">
        <f>scenario_jobcoeff_4506_iotable_2020_xlsx_3[[#This Row],[2046]]+scenario_jobcoeff_1610_iotable_2020_xlsx_3[[#This Row],[2046]]</f>
        <v>1175.1713406064546</v>
      </c>
      <c r="X76">
        <f>scenario_jobcoeff_4506_iotable_2020_xlsx_3[[#This Row],[2047]]+scenario_jobcoeff_1610_iotable_2020_xlsx_3[[#This Row],[2047]]</f>
        <v>1175.1713406064546</v>
      </c>
      <c r="Y76">
        <f>scenario_jobcoeff_4506_iotable_2020_xlsx_3[[#This Row],[2048]]+scenario_jobcoeff_1610_iotable_2020_xlsx_3[[#This Row],[2048]]</f>
        <v>1175.1713406064546</v>
      </c>
      <c r="Z76">
        <f>scenario_jobcoeff_4506_iotable_2020_xlsx_3[[#This Row],[2049]]+scenario_jobcoeff_1610_iotable_2020_xlsx_3[[#This Row],[2049]]</f>
        <v>1175.1713406064546</v>
      </c>
      <c r="AA76">
        <f>scenario_jobcoeff_4506_iotable_2020_xlsx_3[[#This Row],[2050]]+scenario_jobcoeff_1610_iotable_2020_xlsx_3[[#This Row],[2050]]</f>
        <v>1175.1713406064546</v>
      </c>
    </row>
    <row r="77" spans="1:27" x14ac:dyDescent="0.2">
      <c r="A77" t="s">
        <v>234</v>
      </c>
      <c r="B77" t="s">
        <v>235</v>
      </c>
      <c r="C77">
        <f>scenario_jobcoeff_4506_iotable_2020_xlsx_3[[#This Row],[2026]]+scenario_jobcoeff_1610_iotable_2020_xlsx_3[[#This Row],[2026]]</f>
        <v>8.9484902784731091</v>
      </c>
      <c r="D77">
        <f>scenario_jobcoeff_4506_iotable_2020_xlsx_3[[#This Row],[2027]]+scenario_jobcoeff_1610_iotable_2020_xlsx_3[[#This Row],[2027]]</f>
        <v>8.8314406925245663</v>
      </c>
      <c r="E77">
        <f>scenario_jobcoeff_4506_iotable_2020_xlsx_3[[#This Row],[2028]]+scenario_jobcoeff_1610_iotable_2020_xlsx_3[[#This Row],[2028]]</f>
        <v>9.2776063330745195</v>
      </c>
      <c r="F77">
        <f>scenario_jobcoeff_4506_iotable_2020_xlsx_3[[#This Row],[2029]]+scenario_jobcoeff_1610_iotable_2020_xlsx_3[[#This Row],[2029]]</f>
        <v>9.5483933422741138</v>
      </c>
      <c r="G77">
        <f>scenario_jobcoeff_4506_iotable_2020_xlsx_3[[#This Row],[2030]]+scenario_jobcoeff_1610_iotable_2020_xlsx_3[[#This Row],[2030]]</f>
        <v>8.7443497738303044</v>
      </c>
      <c r="H77">
        <f>scenario_jobcoeff_4506_iotable_2020_xlsx_3[[#This Row],[2031]]+scenario_jobcoeff_1610_iotable_2020_xlsx_3[[#This Row],[2031]]</f>
        <v>9.3463162865458251</v>
      </c>
      <c r="I77">
        <f>scenario_jobcoeff_4506_iotable_2020_xlsx_3[[#This Row],[2032]]+scenario_jobcoeff_1610_iotable_2020_xlsx_3[[#This Row],[2032]]</f>
        <v>10.187016091125727</v>
      </c>
      <c r="J77">
        <f>scenario_jobcoeff_4506_iotable_2020_xlsx_3[[#This Row],[2033]]+scenario_jobcoeff_1610_iotable_2020_xlsx_3[[#This Row],[2033]]</f>
        <v>11.266052707764651</v>
      </c>
      <c r="K77">
        <f>scenario_jobcoeff_4506_iotable_2020_xlsx_3[[#This Row],[2034]]+scenario_jobcoeff_1610_iotable_2020_xlsx_3[[#This Row],[2034]]</f>
        <v>12.04836770844652</v>
      </c>
      <c r="L77">
        <f>scenario_jobcoeff_4506_iotable_2020_xlsx_3[[#This Row],[2035]]+scenario_jobcoeff_1610_iotable_2020_xlsx_3[[#This Row],[2035]]</f>
        <v>13.697576207683838</v>
      </c>
      <c r="M77">
        <f>scenario_jobcoeff_4506_iotable_2020_xlsx_3[[#This Row],[2036]]+scenario_jobcoeff_1610_iotable_2020_xlsx_3[[#This Row],[2036]]</f>
        <v>14.200671608259954</v>
      </c>
      <c r="N77">
        <f>scenario_jobcoeff_4506_iotable_2020_xlsx_3[[#This Row],[2037]]+scenario_jobcoeff_1610_iotable_2020_xlsx_3[[#This Row],[2037]]</f>
        <v>14.672090223364213</v>
      </c>
      <c r="O77">
        <f>scenario_jobcoeff_4506_iotable_2020_xlsx_3[[#This Row],[2038]]+scenario_jobcoeff_1610_iotable_2020_xlsx_3[[#This Row],[2038]]</f>
        <v>14.672090223364213</v>
      </c>
      <c r="P77">
        <f>scenario_jobcoeff_4506_iotable_2020_xlsx_3[[#This Row],[2039]]+scenario_jobcoeff_1610_iotable_2020_xlsx_3[[#This Row],[2039]]</f>
        <v>14.672090223364213</v>
      </c>
      <c r="Q77">
        <f>scenario_jobcoeff_4506_iotable_2020_xlsx_3[[#This Row],[2040]]+scenario_jobcoeff_1610_iotable_2020_xlsx_3[[#This Row],[2040]]</f>
        <v>15.080536748869561</v>
      </c>
      <c r="R77">
        <f>scenario_jobcoeff_4506_iotable_2020_xlsx_3[[#This Row],[2041]]+scenario_jobcoeff_1610_iotable_2020_xlsx_3[[#This Row],[2041]]</f>
        <v>15.080536748869561</v>
      </c>
      <c r="S77">
        <f>scenario_jobcoeff_4506_iotable_2020_xlsx_3[[#This Row],[2042]]+scenario_jobcoeff_1610_iotable_2020_xlsx_3[[#This Row],[2042]]</f>
        <v>15.548457540719717</v>
      </c>
      <c r="T77">
        <f>scenario_jobcoeff_4506_iotable_2020_xlsx_3[[#This Row],[2043]]+scenario_jobcoeff_1610_iotable_2020_xlsx_3[[#This Row],[2043]]</f>
        <v>15.548457540719717</v>
      </c>
      <c r="U77">
        <f>scenario_jobcoeff_4506_iotable_2020_xlsx_3[[#This Row],[2044]]+scenario_jobcoeff_1610_iotable_2020_xlsx_3[[#This Row],[2044]]</f>
        <v>15.941703248091816</v>
      </c>
      <c r="V77">
        <f>scenario_jobcoeff_4506_iotable_2020_xlsx_3[[#This Row],[2045]]+scenario_jobcoeff_1610_iotable_2020_xlsx_3[[#This Row],[2045]]</f>
        <v>15.941703248091816</v>
      </c>
      <c r="W77">
        <f>scenario_jobcoeff_4506_iotable_2020_xlsx_3[[#This Row],[2046]]+scenario_jobcoeff_1610_iotable_2020_xlsx_3[[#This Row],[2046]]</f>
        <v>16.292960428690154</v>
      </c>
      <c r="X77">
        <f>scenario_jobcoeff_4506_iotable_2020_xlsx_3[[#This Row],[2047]]+scenario_jobcoeff_1610_iotable_2020_xlsx_3[[#This Row],[2047]]</f>
        <v>16.292960428690154</v>
      </c>
      <c r="Y77">
        <f>scenario_jobcoeff_4506_iotable_2020_xlsx_3[[#This Row],[2048]]+scenario_jobcoeff_1610_iotable_2020_xlsx_3[[#This Row],[2048]]</f>
        <v>16.292960428690154</v>
      </c>
      <c r="Z77">
        <f>scenario_jobcoeff_4506_iotable_2020_xlsx_3[[#This Row],[2049]]+scenario_jobcoeff_1610_iotable_2020_xlsx_3[[#This Row],[2049]]</f>
        <v>16.292960428690154</v>
      </c>
      <c r="AA77">
        <f>scenario_jobcoeff_4506_iotable_2020_xlsx_3[[#This Row],[2050]]+scenario_jobcoeff_1610_iotable_2020_xlsx_3[[#This Row],[2050]]</f>
        <v>16.292960428690154</v>
      </c>
    </row>
    <row r="78" spans="1:27" x14ac:dyDescent="0.2">
      <c r="A78" t="s">
        <v>78</v>
      </c>
      <c r="B78" t="s">
        <v>79</v>
      </c>
      <c r="C78">
        <f>scenario_jobcoeff_4506_iotable_2020_xlsx_3[[#This Row],[2026]]+scenario_jobcoeff_1610_iotable_2020_xlsx_3[[#This Row],[2026]]</f>
        <v>128.15133276539484</v>
      </c>
      <c r="D78">
        <f>scenario_jobcoeff_4506_iotable_2020_xlsx_3[[#This Row],[2027]]+scenario_jobcoeff_1610_iotable_2020_xlsx_3[[#This Row],[2027]]</f>
        <v>138.06587364454214</v>
      </c>
      <c r="E78">
        <f>scenario_jobcoeff_4506_iotable_2020_xlsx_3[[#This Row],[2028]]+scenario_jobcoeff_1610_iotable_2020_xlsx_3[[#This Row],[2028]]</f>
        <v>143.76649902158334</v>
      </c>
      <c r="F78">
        <f>scenario_jobcoeff_4506_iotable_2020_xlsx_3[[#This Row],[2029]]+scenario_jobcoeff_1610_iotable_2020_xlsx_3[[#This Row],[2029]]</f>
        <v>151.79035497528648</v>
      </c>
      <c r="G78">
        <f>scenario_jobcoeff_4506_iotable_2020_xlsx_3[[#This Row],[2030]]+scenario_jobcoeff_1610_iotable_2020_xlsx_3[[#This Row],[2030]]</f>
        <v>180.20346491304744</v>
      </c>
      <c r="H78">
        <f>scenario_jobcoeff_4506_iotable_2020_xlsx_3[[#This Row],[2031]]+scenario_jobcoeff_1610_iotable_2020_xlsx_3[[#This Row],[2031]]</f>
        <v>187.89474650587758</v>
      </c>
      <c r="I78">
        <f>scenario_jobcoeff_4506_iotable_2020_xlsx_3[[#This Row],[2032]]+scenario_jobcoeff_1610_iotable_2020_xlsx_3[[#This Row],[2032]]</f>
        <v>198.63630570473123</v>
      </c>
      <c r="J78">
        <f>scenario_jobcoeff_4506_iotable_2020_xlsx_3[[#This Row],[2033]]+scenario_jobcoeff_1610_iotable_2020_xlsx_3[[#This Row],[2033]]</f>
        <v>234.00429332176617</v>
      </c>
      <c r="K78">
        <f>scenario_jobcoeff_4506_iotable_2020_xlsx_3[[#This Row],[2034]]+scenario_jobcoeff_1610_iotable_2020_xlsx_3[[#This Row],[2034]]</f>
        <v>243.99987420116778</v>
      </c>
      <c r="L78">
        <f>scenario_jobcoeff_4506_iotable_2020_xlsx_3[[#This Row],[2035]]+scenario_jobcoeff_1610_iotable_2020_xlsx_3[[#This Row],[2035]]</f>
        <v>292.39093420678694</v>
      </c>
      <c r="M78">
        <f>scenario_jobcoeff_4506_iotable_2020_xlsx_3[[#This Row],[2036]]+scenario_jobcoeff_1610_iotable_2020_xlsx_3[[#This Row],[2036]]</f>
        <v>316.75076158023234</v>
      </c>
      <c r="N78">
        <f>scenario_jobcoeff_4506_iotable_2020_xlsx_3[[#This Row],[2037]]+scenario_jobcoeff_1610_iotable_2020_xlsx_3[[#This Row],[2037]]</f>
        <v>338.45013864421554</v>
      </c>
      <c r="O78">
        <f>scenario_jobcoeff_4506_iotable_2020_xlsx_3[[#This Row],[2038]]+scenario_jobcoeff_1610_iotable_2020_xlsx_3[[#This Row],[2038]]</f>
        <v>338.45013864421554</v>
      </c>
      <c r="P78">
        <f>scenario_jobcoeff_4506_iotable_2020_xlsx_3[[#This Row],[2039]]+scenario_jobcoeff_1610_iotable_2020_xlsx_3[[#This Row],[2039]]</f>
        <v>338.45013864421554</v>
      </c>
      <c r="Q78">
        <f>scenario_jobcoeff_4506_iotable_2020_xlsx_3[[#This Row],[2040]]+scenario_jobcoeff_1610_iotable_2020_xlsx_3[[#This Row],[2040]]</f>
        <v>357.43098245891787</v>
      </c>
      <c r="R78">
        <f>scenario_jobcoeff_4506_iotable_2020_xlsx_3[[#This Row],[2041]]+scenario_jobcoeff_1610_iotable_2020_xlsx_3[[#This Row],[2041]]</f>
        <v>357.43098245891787</v>
      </c>
      <c r="S78">
        <f>scenario_jobcoeff_4506_iotable_2020_xlsx_3[[#This Row],[2042]]+scenario_jobcoeff_1610_iotable_2020_xlsx_3[[#This Row],[2042]]</f>
        <v>378.59958782654508</v>
      </c>
      <c r="T78">
        <f>scenario_jobcoeff_4506_iotable_2020_xlsx_3[[#This Row],[2043]]+scenario_jobcoeff_1610_iotable_2020_xlsx_3[[#This Row],[2043]]</f>
        <v>378.59958782654508</v>
      </c>
      <c r="U78">
        <f>scenario_jobcoeff_4506_iotable_2020_xlsx_3[[#This Row],[2044]]+scenario_jobcoeff_1610_iotable_2020_xlsx_3[[#This Row],[2044]]</f>
        <v>398.06976598894653</v>
      </c>
      <c r="V78">
        <f>scenario_jobcoeff_4506_iotable_2020_xlsx_3[[#This Row],[2045]]+scenario_jobcoeff_1610_iotable_2020_xlsx_3[[#This Row],[2045]]</f>
        <v>398.06976598894653</v>
      </c>
      <c r="W78">
        <f>scenario_jobcoeff_4506_iotable_2020_xlsx_3[[#This Row],[2046]]+scenario_jobcoeff_1610_iotable_2020_xlsx_3[[#This Row],[2046]]</f>
        <v>414.85786723101859</v>
      </c>
      <c r="X78">
        <f>scenario_jobcoeff_4506_iotable_2020_xlsx_3[[#This Row],[2047]]+scenario_jobcoeff_1610_iotable_2020_xlsx_3[[#This Row],[2047]]</f>
        <v>414.85786723101859</v>
      </c>
      <c r="Y78">
        <f>scenario_jobcoeff_4506_iotable_2020_xlsx_3[[#This Row],[2048]]+scenario_jobcoeff_1610_iotable_2020_xlsx_3[[#This Row],[2048]]</f>
        <v>414.85786723101859</v>
      </c>
      <c r="Z78">
        <f>scenario_jobcoeff_4506_iotable_2020_xlsx_3[[#This Row],[2049]]+scenario_jobcoeff_1610_iotable_2020_xlsx_3[[#This Row],[2049]]</f>
        <v>414.85786723101859</v>
      </c>
      <c r="AA78">
        <f>scenario_jobcoeff_4506_iotable_2020_xlsx_3[[#This Row],[2050]]+scenario_jobcoeff_1610_iotable_2020_xlsx_3[[#This Row],[2050]]</f>
        <v>414.85786723101859</v>
      </c>
    </row>
    <row r="79" spans="1:27" x14ac:dyDescent="0.2">
      <c r="A79" t="s">
        <v>32</v>
      </c>
      <c r="B79" t="s">
        <v>33</v>
      </c>
      <c r="C79">
        <f>scenario_jobcoeff_4506_iotable_2020_xlsx_3[[#This Row],[2026]]+scenario_jobcoeff_1610_iotable_2020_xlsx_3[[#This Row],[2026]]</f>
        <v>392.07000983605303</v>
      </c>
      <c r="D79">
        <f>scenario_jobcoeff_4506_iotable_2020_xlsx_3[[#This Row],[2027]]+scenario_jobcoeff_1610_iotable_2020_xlsx_3[[#This Row],[2027]]</f>
        <v>408.73475827958913</v>
      </c>
      <c r="E79">
        <f>scenario_jobcoeff_4506_iotable_2020_xlsx_3[[#This Row],[2028]]+scenario_jobcoeff_1610_iotable_2020_xlsx_3[[#This Row],[2028]]</f>
        <v>426.98780037177374</v>
      </c>
      <c r="F79">
        <f>scenario_jobcoeff_4506_iotable_2020_xlsx_3[[#This Row],[2029]]+scenario_jobcoeff_1610_iotable_2020_xlsx_3[[#This Row],[2029]]</f>
        <v>446.64728541567143</v>
      </c>
      <c r="G79">
        <f>scenario_jobcoeff_4506_iotable_2020_xlsx_3[[#This Row],[2030]]+scenario_jobcoeff_1610_iotable_2020_xlsx_3[[#This Row],[2030]]</f>
        <v>486.49158518448399</v>
      </c>
      <c r="H79">
        <f>scenario_jobcoeff_4506_iotable_2020_xlsx_3[[#This Row],[2031]]+scenario_jobcoeff_1610_iotable_2020_xlsx_3[[#This Row],[2031]]</f>
        <v>511.11858264026841</v>
      </c>
      <c r="I79">
        <f>scenario_jobcoeff_4506_iotable_2020_xlsx_3[[#This Row],[2032]]+scenario_jobcoeff_1610_iotable_2020_xlsx_3[[#This Row],[2032]]</f>
        <v>545.51237616720493</v>
      </c>
      <c r="J79">
        <f>scenario_jobcoeff_4506_iotable_2020_xlsx_3[[#This Row],[2033]]+scenario_jobcoeff_1610_iotable_2020_xlsx_3[[#This Row],[2033]]</f>
        <v>630.23399636941008</v>
      </c>
      <c r="K79">
        <f>scenario_jobcoeff_4506_iotable_2020_xlsx_3[[#This Row],[2034]]+scenario_jobcoeff_1610_iotable_2020_xlsx_3[[#This Row],[2034]]</f>
        <v>662.23921447448947</v>
      </c>
      <c r="L79">
        <f>scenario_jobcoeff_4506_iotable_2020_xlsx_3[[#This Row],[2035]]+scenario_jobcoeff_1610_iotable_2020_xlsx_3[[#This Row],[2035]]</f>
        <v>781.07579176246429</v>
      </c>
      <c r="M79">
        <f>scenario_jobcoeff_4506_iotable_2020_xlsx_3[[#This Row],[2036]]+scenario_jobcoeff_1610_iotable_2020_xlsx_3[[#This Row],[2036]]</f>
        <v>835.37348568243397</v>
      </c>
      <c r="N79">
        <f>scenario_jobcoeff_4506_iotable_2020_xlsx_3[[#This Row],[2037]]+scenario_jobcoeff_1610_iotable_2020_xlsx_3[[#This Row],[2037]]</f>
        <v>884.13402596341973</v>
      </c>
      <c r="O79">
        <f>scenario_jobcoeff_4506_iotable_2020_xlsx_3[[#This Row],[2038]]+scenario_jobcoeff_1610_iotable_2020_xlsx_3[[#This Row],[2038]]</f>
        <v>884.13402596341973</v>
      </c>
      <c r="P79">
        <f>scenario_jobcoeff_4506_iotable_2020_xlsx_3[[#This Row],[2039]]+scenario_jobcoeff_1610_iotable_2020_xlsx_3[[#This Row],[2039]]</f>
        <v>884.13402596341973</v>
      </c>
      <c r="Q79">
        <f>scenario_jobcoeff_4506_iotable_2020_xlsx_3[[#This Row],[2040]]+scenario_jobcoeff_1610_iotable_2020_xlsx_3[[#This Row],[2040]]</f>
        <v>926.71970223788958</v>
      </c>
      <c r="R79">
        <f>scenario_jobcoeff_4506_iotable_2020_xlsx_3[[#This Row],[2041]]+scenario_jobcoeff_1610_iotable_2020_xlsx_3[[#This Row],[2041]]</f>
        <v>926.71970223788958</v>
      </c>
      <c r="S79">
        <f>scenario_jobcoeff_4506_iotable_2020_xlsx_3[[#This Row],[2042]]+scenario_jobcoeff_1610_iotable_2020_xlsx_3[[#This Row],[2042]]</f>
        <v>974.42320969548041</v>
      </c>
      <c r="T79">
        <f>scenario_jobcoeff_4506_iotable_2020_xlsx_3[[#This Row],[2043]]+scenario_jobcoeff_1610_iotable_2020_xlsx_3[[#This Row],[2043]]</f>
        <v>974.42320969548041</v>
      </c>
      <c r="U79">
        <f>scenario_jobcoeff_4506_iotable_2020_xlsx_3[[#This Row],[2044]]+scenario_jobcoeff_1610_iotable_2020_xlsx_3[[#This Row],[2044]]</f>
        <v>1017.6722328898423</v>
      </c>
      <c r="V79">
        <f>scenario_jobcoeff_4506_iotable_2020_xlsx_3[[#This Row],[2045]]+scenario_jobcoeff_1610_iotable_2020_xlsx_3[[#This Row],[2045]]</f>
        <v>1017.6722328898423</v>
      </c>
      <c r="W79">
        <f>scenario_jobcoeff_4506_iotable_2020_xlsx_3[[#This Row],[2046]]+scenario_jobcoeff_1610_iotable_2020_xlsx_3[[#This Row],[2046]]</f>
        <v>1055.1692994194284</v>
      </c>
      <c r="X79">
        <f>scenario_jobcoeff_4506_iotable_2020_xlsx_3[[#This Row],[2047]]+scenario_jobcoeff_1610_iotable_2020_xlsx_3[[#This Row],[2047]]</f>
        <v>1055.1692994194284</v>
      </c>
      <c r="Y79">
        <f>scenario_jobcoeff_4506_iotable_2020_xlsx_3[[#This Row],[2048]]+scenario_jobcoeff_1610_iotable_2020_xlsx_3[[#This Row],[2048]]</f>
        <v>1055.1692994194284</v>
      </c>
      <c r="Z79">
        <f>scenario_jobcoeff_4506_iotable_2020_xlsx_3[[#This Row],[2049]]+scenario_jobcoeff_1610_iotable_2020_xlsx_3[[#This Row],[2049]]</f>
        <v>1055.1692994194284</v>
      </c>
      <c r="AA79">
        <f>scenario_jobcoeff_4506_iotable_2020_xlsx_3[[#This Row],[2050]]+scenario_jobcoeff_1610_iotable_2020_xlsx_3[[#This Row],[2050]]</f>
        <v>1055.1692994194284</v>
      </c>
    </row>
    <row r="80" spans="1:27" x14ac:dyDescent="0.2">
      <c r="A80" t="s">
        <v>190</v>
      </c>
      <c r="B80" t="s">
        <v>191</v>
      </c>
      <c r="C80">
        <f>scenario_jobcoeff_4506_iotable_2020_xlsx_3[[#This Row],[2026]]+scenario_jobcoeff_1610_iotable_2020_xlsx_3[[#This Row],[2026]]</f>
        <v>17.385908851784826</v>
      </c>
      <c r="D80">
        <f>scenario_jobcoeff_4506_iotable_2020_xlsx_3[[#This Row],[2027]]+scenario_jobcoeff_1610_iotable_2020_xlsx_3[[#This Row],[2027]]</f>
        <v>14.146286091959023</v>
      </c>
      <c r="E80">
        <f>scenario_jobcoeff_4506_iotable_2020_xlsx_3[[#This Row],[2028]]+scenario_jobcoeff_1610_iotable_2020_xlsx_3[[#This Row],[2028]]</f>
        <v>15.192169749003908</v>
      </c>
      <c r="F80">
        <f>scenario_jobcoeff_4506_iotable_2020_xlsx_3[[#This Row],[2029]]+scenario_jobcoeff_1610_iotable_2020_xlsx_3[[#This Row],[2029]]</f>
        <v>14.64084179000475</v>
      </c>
      <c r="G80">
        <f>scenario_jobcoeff_4506_iotable_2020_xlsx_3[[#This Row],[2030]]+scenario_jobcoeff_1610_iotable_2020_xlsx_3[[#This Row],[2030]]</f>
        <v>2.7022708034617509</v>
      </c>
      <c r="H80">
        <f>scenario_jobcoeff_4506_iotable_2020_xlsx_3[[#This Row],[2031]]+scenario_jobcoeff_1610_iotable_2020_xlsx_3[[#This Row],[2031]]</f>
        <v>4.1133766361776409</v>
      </c>
      <c r="I80">
        <f>scenario_jobcoeff_4506_iotable_2020_xlsx_3[[#This Row],[2032]]+scenario_jobcoeff_1610_iotable_2020_xlsx_3[[#This Row],[2032]]</f>
        <v>6.0841115072159724</v>
      </c>
      <c r="J80">
        <f>scenario_jobcoeff_4506_iotable_2020_xlsx_3[[#This Row],[2033]]+scenario_jobcoeff_1610_iotable_2020_xlsx_3[[#This Row],[2033]]</f>
        <v>3.0050391668360135</v>
      </c>
      <c r="K80">
        <f>scenario_jobcoeff_4506_iotable_2020_xlsx_3[[#This Row],[2034]]+scenario_jobcoeff_1610_iotable_2020_xlsx_3[[#This Row],[2034]]</f>
        <v>4.8389107147787911</v>
      </c>
      <c r="L80">
        <f>scenario_jobcoeff_4506_iotable_2020_xlsx_3[[#This Row],[2035]]+scenario_jobcoeff_1610_iotable_2020_xlsx_3[[#This Row],[2035]]</f>
        <v>1.6052189241834895</v>
      </c>
      <c r="M80">
        <f>scenario_jobcoeff_4506_iotable_2020_xlsx_3[[#This Row],[2036]]+scenario_jobcoeff_1610_iotable_2020_xlsx_3[[#This Row],[2036]]</f>
        <v>-1.8755485496899098</v>
      </c>
      <c r="N80">
        <f>scenario_jobcoeff_4506_iotable_2020_xlsx_3[[#This Row],[2037]]+scenario_jobcoeff_1610_iotable_2020_xlsx_3[[#This Row],[2037]]</f>
        <v>-4.8443574514869994</v>
      </c>
      <c r="O80">
        <f>scenario_jobcoeff_4506_iotable_2020_xlsx_3[[#This Row],[2038]]+scenario_jobcoeff_1610_iotable_2020_xlsx_3[[#This Row],[2038]]</f>
        <v>-4.8443574514869994</v>
      </c>
      <c r="P80">
        <f>scenario_jobcoeff_4506_iotable_2020_xlsx_3[[#This Row],[2039]]+scenario_jobcoeff_1610_iotable_2020_xlsx_3[[#This Row],[2039]]</f>
        <v>-4.8443574514869994</v>
      </c>
      <c r="Q80">
        <f>scenario_jobcoeff_4506_iotable_2020_xlsx_3[[#This Row],[2040]]+scenario_jobcoeff_1610_iotable_2020_xlsx_3[[#This Row],[2040]]</f>
        <v>-7.4633891162838637</v>
      </c>
      <c r="R80">
        <f>scenario_jobcoeff_4506_iotable_2020_xlsx_3[[#This Row],[2041]]+scenario_jobcoeff_1610_iotable_2020_xlsx_3[[#This Row],[2041]]</f>
        <v>-7.4633891162838637</v>
      </c>
      <c r="S80">
        <f>scenario_jobcoeff_4506_iotable_2020_xlsx_3[[#This Row],[2042]]+scenario_jobcoeff_1610_iotable_2020_xlsx_3[[#This Row],[2042]]</f>
        <v>-10.314075380076972</v>
      </c>
      <c r="T80">
        <f>scenario_jobcoeff_4506_iotable_2020_xlsx_3[[#This Row],[2043]]+scenario_jobcoeff_1610_iotable_2020_xlsx_3[[#This Row],[2043]]</f>
        <v>-10.314075380076972</v>
      </c>
      <c r="U80">
        <f>scenario_jobcoeff_4506_iotable_2020_xlsx_3[[#This Row],[2044]]+scenario_jobcoeff_1610_iotable_2020_xlsx_3[[#This Row],[2044]]</f>
        <v>-13.146381603319867</v>
      </c>
      <c r="V80">
        <f>scenario_jobcoeff_4506_iotable_2020_xlsx_3[[#This Row],[2045]]+scenario_jobcoeff_1610_iotable_2020_xlsx_3[[#This Row],[2045]]</f>
        <v>-13.146381603319867</v>
      </c>
      <c r="W80">
        <f>scenario_jobcoeff_4506_iotable_2020_xlsx_3[[#This Row],[2046]]+scenario_jobcoeff_1610_iotable_2020_xlsx_3[[#This Row],[2046]]</f>
        <v>-15.519521004039433</v>
      </c>
      <c r="X80">
        <f>scenario_jobcoeff_4506_iotable_2020_xlsx_3[[#This Row],[2047]]+scenario_jobcoeff_1610_iotable_2020_xlsx_3[[#This Row],[2047]]</f>
        <v>-15.519521004039433</v>
      </c>
      <c r="Y80">
        <f>scenario_jobcoeff_4506_iotable_2020_xlsx_3[[#This Row],[2048]]+scenario_jobcoeff_1610_iotable_2020_xlsx_3[[#This Row],[2048]]</f>
        <v>-15.519521004039433</v>
      </c>
      <c r="Z80">
        <f>scenario_jobcoeff_4506_iotable_2020_xlsx_3[[#This Row],[2049]]+scenario_jobcoeff_1610_iotable_2020_xlsx_3[[#This Row],[2049]]</f>
        <v>-15.519521004039433</v>
      </c>
      <c r="AA80">
        <f>scenario_jobcoeff_4506_iotable_2020_xlsx_3[[#This Row],[2050]]+scenario_jobcoeff_1610_iotable_2020_xlsx_3[[#This Row],[2050]]</f>
        <v>-15.519521004039433</v>
      </c>
    </row>
    <row r="81" spans="1:27" x14ac:dyDescent="0.2">
      <c r="A81" t="s">
        <v>64</v>
      </c>
      <c r="B81" t="s">
        <v>65</v>
      </c>
      <c r="C81">
        <f>scenario_jobcoeff_4506_iotable_2020_xlsx_3[[#This Row],[2026]]+scenario_jobcoeff_1610_iotable_2020_xlsx_3[[#This Row],[2026]]</f>
        <v>191.54962641746425</v>
      </c>
      <c r="D81">
        <f>scenario_jobcoeff_4506_iotable_2020_xlsx_3[[#This Row],[2027]]+scenario_jobcoeff_1610_iotable_2020_xlsx_3[[#This Row],[2027]]</f>
        <v>206.45573299899027</v>
      </c>
      <c r="E81">
        <f>scenario_jobcoeff_4506_iotable_2020_xlsx_3[[#This Row],[2028]]+scenario_jobcoeff_1610_iotable_2020_xlsx_3[[#This Row],[2028]]</f>
        <v>214.97138596395268</v>
      </c>
      <c r="F81">
        <f>scenario_jobcoeff_4506_iotable_2020_xlsx_3[[#This Row],[2029]]+scenario_jobcoeff_1610_iotable_2020_xlsx_3[[#This Row],[2029]]</f>
        <v>226.99576999869848</v>
      </c>
      <c r="G81">
        <f>scenario_jobcoeff_4506_iotable_2020_xlsx_3[[#This Row],[2030]]+scenario_jobcoeff_1610_iotable_2020_xlsx_3[[#This Row],[2030]]</f>
        <v>269.76391645851299</v>
      </c>
      <c r="H81">
        <f>scenario_jobcoeff_4506_iotable_2020_xlsx_3[[#This Row],[2031]]+scenario_jobcoeff_1610_iotable_2020_xlsx_3[[#This Row],[2031]]</f>
        <v>281.25323220343563</v>
      </c>
      <c r="I81">
        <f>scenario_jobcoeff_4506_iotable_2020_xlsx_3[[#This Row],[2032]]+scenario_jobcoeff_1610_iotable_2020_xlsx_3[[#This Row],[2032]]</f>
        <v>297.29908408635907</v>
      </c>
      <c r="J81">
        <f>scenario_jobcoeff_4506_iotable_2020_xlsx_3[[#This Row],[2033]]+scenario_jobcoeff_1610_iotable_2020_xlsx_3[[#This Row],[2033]]</f>
        <v>350.31308770030478</v>
      </c>
      <c r="K81">
        <f>scenario_jobcoeff_4506_iotable_2020_xlsx_3[[#This Row],[2034]]+scenario_jobcoeff_1610_iotable_2020_xlsx_3[[#This Row],[2034]]</f>
        <v>365.24458947816368</v>
      </c>
      <c r="L81">
        <f>scenario_jobcoeff_4506_iotable_2020_xlsx_3[[#This Row],[2035]]+scenario_jobcoeff_1610_iotable_2020_xlsx_3[[#This Row],[2035]]</f>
        <v>437.7607010975359</v>
      </c>
      <c r="M81">
        <f>scenario_jobcoeff_4506_iotable_2020_xlsx_3[[#This Row],[2036]]+scenario_jobcoeff_1610_iotable_2020_xlsx_3[[#This Row],[2036]]</f>
        <v>474.30000449353554</v>
      </c>
      <c r="N81">
        <f>scenario_jobcoeff_4506_iotable_2020_xlsx_3[[#This Row],[2037]]+scenario_jobcoeff_1610_iotable_2020_xlsx_3[[#This Row],[2037]]</f>
        <v>506.84618762136449</v>
      </c>
      <c r="O81">
        <f>scenario_jobcoeff_4506_iotable_2020_xlsx_3[[#This Row],[2038]]+scenario_jobcoeff_1610_iotable_2020_xlsx_3[[#This Row],[2038]]</f>
        <v>506.84618762136449</v>
      </c>
      <c r="P81">
        <f>scenario_jobcoeff_4506_iotable_2020_xlsx_3[[#This Row],[2039]]+scenario_jobcoeff_1610_iotable_2020_xlsx_3[[#This Row],[2039]]</f>
        <v>506.84618762136449</v>
      </c>
      <c r="Q81">
        <f>scenario_jobcoeff_4506_iotable_2020_xlsx_3[[#This Row],[2040]]+scenario_jobcoeff_1610_iotable_2020_xlsx_3[[#This Row],[2040]]</f>
        <v>535.3153510606453</v>
      </c>
      <c r="R81">
        <f>scenario_jobcoeff_4506_iotable_2020_xlsx_3[[#This Row],[2041]]+scenario_jobcoeff_1610_iotable_2020_xlsx_3[[#This Row],[2041]]</f>
        <v>535.3153510606453</v>
      </c>
      <c r="S81">
        <f>scenario_jobcoeff_4506_iotable_2020_xlsx_3[[#This Row],[2042]]+scenario_jobcoeff_1610_iotable_2020_xlsx_3[[#This Row],[2042]]</f>
        <v>567.06458661102033</v>
      </c>
      <c r="T81">
        <f>scenario_jobcoeff_4506_iotable_2020_xlsx_3[[#This Row],[2043]]+scenario_jobcoeff_1610_iotable_2020_xlsx_3[[#This Row],[2043]]</f>
        <v>567.06458661102033</v>
      </c>
      <c r="U81">
        <f>scenario_jobcoeff_4506_iotable_2020_xlsx_3[[#This Row],[2044]]+scenario_jobcoeff_1610_iotable_2020_xlsx_3[[#This Row],[2044]]</f>
        <v>596.27045372896623</v>
      </c>
      <c r="V81">
        <f>scenario_jobcoeff_4506_iotable_2020_xlsx_3[[#This Row],[2045]]+scenario_jobcoeff_1610_iotable_2020_xlsx_3[[#This Row],[2045]]</f>
        <v>596.27045372896623</v>
      </c>
      <c r="W81">
        <f>scenario_jobcoeff_4506_iotable_2020_xlsx_3[[#This Row],[2046]]+scenario_jobcoeff_1610_iotable_2020_xlsx_3[[#This Row],[2046]]</f>
        <v>621.4518178295441</v>
      </c>
      <c r="X81">
        <f>scenario_jobcoeff_4506_iotable_2020_xlsx_3[[#This Row],[2047]]+scenario_jobcoeff_1610_iotable_2020_xlsx_3[[#This Row],[2047]]</f>
        <v>621.4518178295441</v>
      </c>
      <c r="Y81">
        <f>scenario_jobcoeff_4506_iotable_2020_xlsx_3[[#This Row],[2048]]+scenario_jobcoeff_1610_iotable_2020_xlsx_3[[#This Row],[2048]]</f>
        <v>621.4518178295441</v>
      </c>
      <c r="Z81">
        <f>scenario_jobcoeff_4506_iotable_2020_xlsx_3[[#This Row],[2049]]+scenario_jobcoeff_1610_iotable_2020_xlsx_3[[#This Row],[2049]]</f>
        <v>621.4518178295441</v>
      </c>
      <c r="AA81">
        <f>scenario_jobcoeff_4506_iotable_2020_xlsx_3[[#This Row],[2050]]+scenario_jobcoeff_1610_iotable_2020_xlsx_3[[#This Row],[2050]]</f>
        <v>621.4518178295441</v>
      </c>
    </row>
    <row r="82" spans="1:27" x14ac:dyDescent="0.2">
      <c r="A82" t="s">
        <v>244</v>
      </c>
      <c r="B82" t="s">
        <v>245</v>
      </c>
      <c r="C82">
        <f>scenario_jobcoeff_4506_iotable_2020_xlsx_3[[#This Row],[2026]]+scenario_jobcoeff_1610_iotable_2020_xlsx_3[[#This Row],[2026]]</f>
        <v>7.4174647938393043</v>
      </c>
      <c r="D82">
        <f>scenario_jobcoeff_4506_iotable_2020_xlsx_3[[#This Row],[2027]]+scenario_jobcoeff_1610_iotable_2020_xlsx_3[[#This Row],[2027]]</f>
        <v>7.0469209651765317</v>
      </c>
      <c r="E82">
        <f>scenario_jobcoeff_4506_iotable_2020_xlsx_3[[#This Row],[2028]]+scenario_jobcoeff_1610_iotable_2020_xlsx_3[[#This Row],[2028]]</f>
        <v>7.4330077274312636</v>
      </c>
      <c r="F82">
        <f>scenario_jobcoeff_4506_iotable_2020_xlsx_3[[#This Row],[2029]]+scenario_jobcoeff_1610_iotable_2020_xlsx_3[[#This Row],[2029]]</f>
        <v>7.5596293630861098</v>
      </c>
      <c r="G82">
        <f>scenario_jobcoeff_4506_iotable_2020_xlsx_3[[#This Row],[2030]]+scenario_jobcoeff_1610_iotable_2020_xlsx_3[[#This Row],[2030]]</f>
        <v>5.9509329537817264</v>
      </c>
      <c r="H82">
        <f>scenario_jobcoeff_4506_iotable_2020_xlsx_3[[#This Row],[2031]]+scenario_jobcoeff_1610_iotable_2020_xlsx_3[[#This Row],[2031]]</f>
        <v>6.4718410667274746</v>
      </c>
      <c r="I82">
        <f>scenario_jobcoeff_4506_iotable_2020_xlsx_3[[#This Row],[2032]]+scenario_jobcoeff_1610_iotable_2020_xlsx_3[[#This Row],[2032]]</f>
        <v>7.1993356025647746</v>
      </c>
      <c r="J82">
        <f>scenario_jobcoeff_4506_iotable_2020_xlsx_3[[#This Row],[2033]]+scenario_jobcoeff_1610_iotable_2020_xlsx_3[[#This Row],[2033]]</f>
        <v>7.6237985461772553</v>
      </c>
      <c r="K82">
        <f>scenario_jobcoeff_4506_iotable_2020_xlsx_3[[#This Row],[2034]]+scenario_jobcoeff_1610_iotable_2020_xlsx_3[[#This Row],[2034]]</f>
        <v>8.3007701419825004</v>
      </c>
      <c r="L82">
        <f>scenario_jobcoeff_4506_iotable_2020_xlsx_3[[#This Row],[2035]]+scenario_jobcoeff_1610_iotable_2020_xlsx_3[[#This Row],[2035]]</f>
        <v>9.0832215456515382</v>
      </c>
      <c r="M82">
        <f>scenario_jobcoeff_4506_iotable_2020_xlsx_3[[#This Row],[2036]]+scenario_jobcoeff_1610_iotable_2020_xlsx_3[[#This Row],[2036]]</f>
        <v>9.0954160301294351</v>
      </c>
      <c r="N82">
        <f>scenario_jobcoeff_4506_iotable_2020_xlsx_3[[#This Row],[2037]]+scenario_jobcoeff_1610_iotable_2020_xlsx_3[[#This Row],[2037]]</f>
        <v>9.1334297838268377</v>
      </c>
      <c r="O82">
        <f>scenario_jobcoeff_4506_iotable_2020_xlsx_3[[#This Row],[2038]]+scenario_jobcoeff_1610_iotable_2020_xlsx_3[[#This Row],[2038]]</f>
        <v>9.1334297838268377</v>
      </c>
      <c r="P82">
        <f>scenario_jobcoeff_4506_iotable_2020_xlsx_3[[#This Row],[2039]]+scenario_jobcoeff_1610_iotable_2020_xlsx_3[[#This Row],[2039]]</f>
        <v>9.1334297838268377</v>
      </c>
      <c r="Q82">
        <f>scenario_jobcoeff_4506_iotable_2020_xlsx_3[[#This Row],[2040]]+scenario_jobcoeff_1610_iotable_2020_xlsx_3[[#This Row],[2040]]</f>
        <v>9.1621163783688928</v>
      </c>
      <c r="R82">
        <f>scenario_jobcoeff_4506_iotable_2020_xlsx_3[[#This Row],[2041]]+scenario_jobcoeff_1610_iotable_2020_xlsx_3[[#This Row],[2041]]</f>
        <v>9.1621163783688928</v>
      </c>
      <c r="S82">
        <f>scenario_jobcoeff_4506_iotable_2020_xlsx_3[[#This Row],[2042]]+scenario_jobcoeff_1610_iotable_2020_xlsx_3[[#This Row],[2042]]</f>
        <v>9.2085738647867181</v>
      </c>
      <c r="T82">
        <f>scenario_jobcoeff_4506_iotable_2020_xlsx_3[[#This Row],[2043]]+scenario_jobcoeff_1610_iotable_2020_xlsx_3[[#This Row],[2043]]</f>
        <v>9.2085738647867181</v>
      </c>
      <c r="U82">
        <f>scenario_jobcoeff_4506_iotable_2020_xlsx_3[[#This Row],[2044]]+scenario_jobcoeff_1610_iotable_2020_xlsx_3[[#This Row],[2044]]</f>
        <v>9.2079759698683681</v>
      </c>
      <c r="V82">
        <f>scenario_jobcoeff_4506_iotable_2020_xlsx_3[[#This Row],[2045]]+scenario_jobcoeff_1610_iotable_2020_xlsx_3[[#This Row],[2045]]</f>
        <v>9.2079759698683681</v>
      </c>
      <c r="W82">
        <f>scenario_jobcoeff_4506_iotable_2020_xlsx_3[[#This Row],[2046]]+scenario_jobcoeff_1610_iotable_2020_xlsx_3[[#This Row],[2046]]</f>
        <v>9.2216753863158978</v>
      </c>
      <c r="X82">
        <f>scenario_jobcoeff_4506_iotable_2020_xlsx_3[[#This Row],[2047]]+scenario_jobcoeff_1610_iotable_2020_xlsx_3[[#This Row],[2047]]</f>
        <v>9.2216753863158978</v>
      </c>
      <c r="Y82">
        <f>scenario_jobcoeff_4506_iotable_2020_xlsx_3[[#This Row],[2048]]+scenario_jobcoeff_1610_iotable_2020_xlsx_3[[#This Row],[2048]]</f>
        <v>9.2216753863158978</v>
      </c>
      <c r="Z82">
        <f>scenario_jobcoeff_4506_iotable_2020_xlsx_3[[#This Row],[2049]]+scenario_jobcoeff_1610_iotable_2020_xlsx_3[[#This Row],[2049]]</f>
        <v>9.2216753863158978</v>
      </c>
      <c r="AA82">
        <f>scenario_jobcoeff_4506_iotable_2020_xlsx_3[[#This Row],[2050]]+scenario_jobcoeff_1610_iotable_2020_xlsx_3[[#This Row],[2050]]</f>
        <v>9.2216753863158978</v>
      </c>
    </row>
    <row r="83" spans="1:27" x14ac:dyDescent="0.2">
      <c r="A83" t="s">
        <v>92</v>
      </c>
      <c r="B83" t="s">
        <v>93</v>
      </c>
      <c r="C83">
        <f>scenario_jobcoeff_4506_iotable_2020_xlsx_3[[#This Row],[2026]]+scenario_jobcoeff_1610_iotable_2020_xlsx_3[[#This Row],[2026]]</f>
        <v>77.448462474884792</v>
      </c>
      <c r="D83">
        <f>scenario_jobcoeff_4506_iotable_2020_xlsx_3[[#This Row],[2027]]+scenario_jobcoeff_1610_iotable_2020_xlsx_3[[#This Row],[2027]]</f>
        <v>63.471489710796241</v>
      </c>
      <c r="E83">
        <f>scenario_jobcoeff_4506_iotable_2020_xlsx_3[[#This Row],[2028]]+scenario_jobcoeff_1610_iotable_2020_xlsx_3[[#This Row],[2028]]</f>
        <v>68.103542684571579</v>
      </c>
      <c r="F83">
        <f>scenario_jobcoeff_4506_iotable_2020_xlsx_3[[#This Row],[2029]]+scenario_jobcoeff_1610_iotable_2020_xlsx_3[[#This Row],[2029]]</f>
        <v>65.810119759084586</v>
      </c>
      <c r="G83">
        <f>scenario_jobcoeff_4506_iotable_2020_xlsx_3[[#This Row],[2030]]+scenario_jobcoeff_1610_iotable_2020_xlsx_3[[#This Row],[2030]]</f>
        <v>14.193303366868633</v>
      </c>
      <c r="H83">
        <f>scenario_jobcoeff_4506_iotable_2020_xlsx_3[[#This Row],[2031]]+scenario_jobcoeff_1610_iotable_2020_xlsx_3[[#This Row],[2031]]</f>
        <v>20.442867479201709</v>
      </c>
      <c r="I83">
        <f>scenario_jobcoeff_4506_iotable_2020_xlsx_3[[#This Row],[2032]]+scenario_jobcoeff_1610_iotable_2020_xlsx_3[[#This Row],[2032]]</f>
        <v>29.170939916731101</v>
      </c>
      <c r="J83">
        <f>scenario_jobcoeff_4506_iotable_2020_xlsx_3[[#This Row],[2033]]+scenario_jobcoeff_1610_iotable_2020_xlsx_3[[#This Row],[2033]]</f>
        <v>16.235559893693676</v>
      </c>
      <c r="K83">
        <f>scenario_jobcoeff_4506_iotable_2020_xlsx_3[[#This Row],[2034]]+scenario_jobcoeff_1610_iotable_2020_xlsx_3[[#This Row],[2034]]</f>
        <v>24.357486362237637</v>
      </c>
      <c r="L83">
        <f>scenario_jobcoeff_4506_iotable_2020_xlsx_3[[#This Row],[2035]]+scenario_jobcoeff_1610_iotable_2020_xlsx_3[[#This Row],[2035]]</f>
        <v>10.923794960297045</v>
      </c>
      <c r="M83">
        <f>scenario_jobcoeff_4506_iotable_2020_xlsx_3[[#This Row],[2036]]+scenario_jobcoeff_1610_iotable_2020_xlsx_3[[#This Row],[2036]]</f>
        <v>-3.9092269167124982</v>
      </c>
      <c r="N83">
        <f>scenario_jobcoeff_4506_iotable_2020_xlsx_3[[#This Row],[2037]]+scenario_jobcoeff_1610_iotable_2020_xlsx_3[[#This Row],[2037]]</f>
        <v>-16.548171436034181</v>
      </c>
      <c r="O83">
        <f>scenario_jobcoeff_4506_iotable_2020_xlsx_3[[#This Row],[2038]]+scenario_jobcoeff_1610_iotable_2020_xlsx_3[[#This Row],[2038]]</f>
        <v>-16.548171436034181</v>
      </c>
      <c r="P83">
        <f>scenario_jobcoeff_4506_iotable_2020_xlsx_3[[#This Row],[2039]]+scenario_jobcoeff_1610_iotable_2020_xlsx_3[[#This Row],[2039]]</f>
        <v>-16.548171436034181</v>
      </c>
      <c r="Q83">
        <f>scenario_jobcoeff_4506_iotable_2020_xlsx_3[[#This Row],[2040]]+scenario_jobcoeff_1610_iotable_2020_xlsx_3[[#This Row],[2040]]</f>
        <v>-27.700207077334028</v>
      </c>
      <c r="R83">
        <f>scenario_jobcoeff_4506_iotable_2020_xlsx_3[[#This Row],[2041]]+scenario_jobcoeff_1610_iotable_2020_xlsx_3[[#This Row],[2041]]</f>
        <v>-27.700207077334028</v>
      </c>
      <c r="S83">
        <f>scenario_jobcoeff_4506_iotable_2020_xlsx_3[[#This Row],[2042]]+scenario_jobcoeff_1610_iotable_2020_xlsx_3[[#This Row],[2042]]</f>
        <v>-39.831801722120986</v>
      </c>
      <c r="T83">
        <f>scenario_jobcoeff_4506_iotable_2020_xlsx_3[[#This Row],[2043]]+scenario_jobcoeff_1610_iotable_2020_xlsx_3[[#This Row],[2043]]</f>
        <v>-39.831801722120986</v>
      </c>
      <c r="U83">
        <f>scenario_jobcoeff_4506_iotable_2020_xlsx_3[[#This Row],[2044]]+scenario_jobcoeff_1610_iotable_2020_xlsx_3[[#This Row],[2044]]</f>
        <v>-51.906182537846007</v>
      </c>
      <c r="V83">
        <f>scenario_jobcoeff_4506_iotable_2020_xlsx_3[[#This Row],[2045]]+scenario_jobcoeff_1610_iotable_2020_xlsx_3[[#This Row],[2045]]</f>
        <v>-51.906182537846007</v>
      </c>
      <c r="W83">
        <f>scenario_jobcoeff_4506_iotable_2020_xlsx_3[[#This Row],[2046]]+scenario_jobcoeff_1610_iotable_2020_xlsx_3[[#This Row],[2046]]</f>
        <v>-62.016713437246437</v>
      </c>
      <c r="X83">
        <f>scenario_jobcoeff_4506_iotable_2020_xlsx_3[[#This Row],[2047]]+scenario_jobcoeff_1610_iotable_2020_xlsx_3[[#This Row],[2047]]</f>
        <v>-62.016713437246437</v>
      </c>
      <c r="Y83">
        <f>scenario_jobcoeff_4506_iotable_2020_xlsx_3[[#This Row],[2048]]+scenario_jobcoeff_1610_iotable_2020_xlsx_3[[#This Row],[2048]]</f>
        <v>-62.016713437246437</v>
      </c>
      <c r="Z83">
        <f>scenario_jobcoeff_4506_iotable_2020_xlsx_3[[#This Row],[2049]]+scenario_jobcoeff_1610_iotable_2020_xlsx_3[[#This Row],[2049]]</f>
        <v>-62.016713437246437</v>
      </c>
      <c r="AA83">
        <f>scenario_jobcoeff_4506_iotable_2020_xlsx_3[[#This Row],[2050]]+scenario_jobcoeff_1610_iotable_2020_xlsx_3[[#This Row],[2050]]</f>
        <v>-62.016713437246437</v>
      </c>
    </row>
    <row r="84" spans="1:27" x14ac:dyDescent="0.2">
      <c r="A84" t="s">
        <v>246</v>
      </c>
      <c r="B84" t="s">
        <v>247</v>
      </c>
      <c r="C84">
        <f>scenario_jobcoeff_4506_iotable_2020_xlsx_3[[#This Row],[2026]]+scenario_jobcoeff_1610_iotable_2020_xlsx_3[[#This Row],[2026]]</f>
        <v>8.0661517092120292</v>
      </c>
      <c r="D84">
        <f>scenario_jobcoeff_4506_iotable_2020_xlsx_3[[#This Row],[2027]]+scenario_jobcoeff_1610_iotable_2020_xlsx_3[[#This Row],[2027]]</f>
        <v>8.2457385590228149</v>
      </c>
      <c r="E84">
        <f>scenario_jobcoeff_4506_iotable_2020_xlsx_3[[#This Row],[2028]]+scenario_jobcoeff_1610_iotable_2020_xlsx_3[[#This Row],[2028]]</f>
        <v>8.6309664439739322</v>
      </c>
      <c r="F84">
        <f>scenario_jobcoeff_4506_iotable_2020_xlsx_3[[#This Row],[2029]]+scenario_jobcoeff_1610_iotable_2020_xlsx_3[[#This Row],[2029]]</f>
        <v>8.9770289740837725</v>
      </c>
      <c r="G84">
        <f>scenario_jobcoeff_4506_iotable_2020_xlsx_3[[#This Row],[2030]]+scenario_jobcoeff_1610_iotable_2020_xlsx_3[[#This Row],[2030]]</f>
        <v>9.2343564776768723</v>
      </c>
      <c r="H84">
        <f>scenario_jobcoeff_4506_iotable_2020_xlsx_3[[#This Row],[2031]]+scenario_jobcoeff_1610_iotable_2020_xlsx_3[[#This Row],[2031]]</f>
        <v>9.7541057936909095</v>
      </c>
      <c r="I84">
        <f>scenario_jobcoeff_4506_iotable_2020_xlsx_3[[#This Row],[2032]]+scenario_jobcoeff_1610_iotable_2020_xlsx_3[[#This Row],[2032]]</f>
        <v>10.479981966490627</v>
      </c>
      <c r="J84">
        <f>scenario_jobcoeff_4506_iotable_2020_xlsx_3[[#This Row],[2033]]+scenario_jobcoeff_1610_iotable_2020_xlsx_3[[#This Row],[2033]]</f>
        <v>11.942468429483696</v>
      </c>
      <c r="K84">
        <f>scenario_jobcoeff_4506_iotable_2020_xlsx_3[[#This Row],[2034]]+scenario_jobcoeff_1610_iotable_2020_xlsx_3[[#This Row],[2034]]</f>
        <v>12.617934054104044</v>
      </c>
      <c r="L84">
        <f>scenario_jobcoeff_4506_iotable_2020_xlsx_3[[#This Row],[2035]]+scenario_jobcoeff_1610_iotable_2020_xlsx_3[[#This Row],[2035]]</f>
        <v>14.71385405746668</v>
      </c>
      <c r="M84">
        <f>scenario_jobcoeff_4506_iotable_2020_xlsx_3[[#This Row],[2036]]+scenario_jobcoeff_1610_iotable_2020_xlsx_3[[#This Row],[2036]]</f>
        <v>15.589298855438983</v>
      </c>
      <c r="N84">
        <f>scenario_jobcoeff_4506_iotable_2020_xlsx_3[[#This Row],[2037]]+scenario_jobcoeff_1610_iotable_2020_xlsx_3[[#This Row],[2037]]</f>
        <v>16.381910186682745</v>
      </c>
      <c r="O84">
        <f>scenario_jobcoeff_4506_iotable_2020_xlsx_3[[#This Row],[2038]]+scenario_jobcoeff_1610_iotable_2020_xlsx_3[[#This Row],[2038]]</f>
        <v>16.381910186682745</v>
      </c>
      <c r="P84">
        <f>scenario_jobcoeff_4506_iotable_2020_xlsx_3[[#This Row],[2039]]+scenario_jobcoeff_1610_iotable_2020_xlsx_3[[#This Row],[2039]]</f>
        <v>16.381910186682745</v>
      </c>
      <c r="Q84">
        <f>scenario_jobcoeff_4506_iotable_2020_xlsx_3[[#This Row],[2040]]+scenario_jobcoeff_1610_iotable_2020_xlsx_3[[#This Row],[2040]]</f>
        <v>17.073073609755863</v>
      </c>
      <c r="R84">
        <f>scenario_jobcoeff_4506_iotable_2020_xlsx_3[[#This Row],[2041]]+scenario_jobcoeff_1610_iotable_2020_xlsx_3[[#This Row],[2041]]</f>
        <v>17.073073609755863</v>
      </c>
      <c r="S84">
        <f>scenario_jobcoeff_4506_iotable_2020_xlsx_3[[#This Row],[2042]]+scenario_jobcoeff_1610_iotable_2020_xlsx_3[[#This Row],[2042]]</f>
        <v>17.850708904849903</v>
      </c>
      <c r="T84">
        <f>scenario_jobcoeff_4506_iotable_2020_xlsx_3[[#This Row],[2043]]+scenario_jobcoeff_1610_iotable_2020_xlsx_3[[#This Row],[2043]]</f>
        <v>17.850708904849903</v>
      </c>
      <c r="U84">
        <f>scenario_jobcoeff_4506_iotable_2020_xlsx_3[[#This Row],[2044]]+scenario_jobcoeff_1610_iotable_2020_xlsx_3[[#This Row],[2044]]</f>
        <v>18.545560797437389</v>
      </c>
      <c r="V84">
        <f>scenario_jobcoeff_4506_iotable_2020_xlsx_3[[#This Row],[2045]]+scenario_jobcoeff_1610_iotable_2020_xlsx_3[[#This Row],[2045]]</f>
        <v>18.545560797437389</v>
      </c>
      <c r="W84">
        <f>scenario_jobcoeff_4506_iotable_2020_xlsx_3[[#This Row],[2046]]+scenario_jobcoeff_1610_iotable_2020_xlsx_3[[#This Row],[2046]]</f>
        <v>19.151384595141984</v>
      </c>
      <c r="X84">
        <f>scenario_jobcoeff_4506_iotable_2020_xlsx_3[[#This Row],[2047]]+scenario_jobcoeff_1610_iotable_2020_xlsx_3[[#This Row],[2047]]</f>
        <v>19.151384595141984</v>
      </c>
      <c r="Y84">
        <f>scenario_jobcoeff_4506_iotable_2020_xlsx_3[[#This Row],[2048]]+scenario_jobcoeff_1610_iotable_2020_xlsx_3[[#This Row],[2048]]</f>
        <v>19.151384595141984</v>
      </c>
      <c r="Z84">
        <f>scenario_jobcoeff_4506_iotable_2020_xlsx_3[[#This Row],[2049]]+scenario_jobcoeff_1610_iotable_2020_xlsx_3[[#This Row],[2049]]</f>
        <v>19.151384595141984</v>
      </c>
      <c r="AA84">
        <f>scenario_jobcoeff_4506_iotable_2020_xlsx_3[[#This Row],[2050]]+scenario_jobcoeff_1610_iotable_2020_xlsx_3[[#This Row],[2050]]</f>
        <v>19.151384595141984</v>
      </c>
    </row>
    <row r="85" spans="1:27" x14ac:dyDescent="0.2">
      <c r="A85" t="s">
        <v>162</v>
      </c>
      <c r="B85" t="s">
        <v>163</v>
      </c>
      <c r="C85">
        <f>scenario_jobcoeff_4506_iotable_2020_xlsx_3[[#This Row],[2026]]+scenario_jobcoeff_1610_iotable_2020_xlsx_3[[#This Row],[2026]]</f>
        <v>27.906751694740038</v>
      </c>
      <c r="D85">
        <f>scenario_jobcoeff_4506_iotable_2020_xlsx_3[[#This Row],[2027]]+scenario_jobcoeff_1610_iotable_2020_xlsx_3[[#This Row],[2027]]</f>
        <v>27.344268468638468</v>
      </c>
      <c r="E85">
        <f>scenario_jobcoeff_4506_iotable_2020_xlsx_3[[#This Row],[2028]]+scenario_jobcoeff_1610_iotable_2020_xlsx_3[[#This Row],[2028]]</f>
        <v>28.747415948647223</v>
      </c>
      <c r="F85">
        <f>scenario_jobcoeff_4506_iotable_2020_xlsx_3[[#This Row],[2029]]+scenario_jobcoeff_1610_iotable_2020_xlsx_3[[#This Row],[2029]]</f>
        <v>29.521265236364201</v>
      </c>
      <c r="G85">
        <f>scenario_jobcoeff_4506_iotable_2020_xlsx_3[[#This Row],[2030]]+scenario_jobcoeff_1610_iotable_2020_xlsx_3[[#This Row],[2030]]</f>
        <v>26.333594793754177</v>
      </c>
      <c r="H85">
        <f>scenario_jobcoeff_4506_iotable_2020_xlsx_3[[#This Row],[2031]]+scenario_jobcoeff_1610_iotable_2020_xlsx_3[[#This Row],[2031]]</f>
        <v>28.22672084067548</v>
      </c>
      <c r="I85">
        <f>scenario_jobcoeff_4506_iotable_2020_xlsx_3[[#This Row],[2032]]+scenario_jobcoeff_1610_iotable_2020_xlsx_3[[#This Row],[2032]]</f>
        <v>30.870639836289111</v>
      </c>
      <c r="J85">
        <f>scenario_jobcoeff_4506_iotable_2020_xlsx_3[[#This Row],[2033]]+scenario_jobcoeff_1610_iotable_2020_xlsx_3[[#This Row],[2033]]</f>
        <v>33.896463085447657</v>
      </c>
      <c r="K85">
        <f>scenario_jobcoeff_4506_iotable_2020_xlsx_3[[#This Row],[2034]]+scenario_jobcoeff_1610_iotable_2020_xlsx_3[[#This Row],[2034]]</f>
        <v>36.356767559872807</v>
      </c>
      <c r="L85">
        <f>scenario_jobcoeff_4506_iotable_2020_xlsx_3[[#This Row],[2035]]+scenario_jobcoeff_1610_iotable_2020_xlsx_3[[#This Row],[2035]]</f>
        <v>41.077976990135042</v>
      </c>
      <c r="M85">
        <f>scenario_jobcoeff_4506_iotable_2020_xlsx_3[[#This Row],[2036]]+scenario_jobcoeff_1610_iotable_2020_xlsx_3[[#This Row],[2036]]</f>
        <v>42.354689754749842</v>
      </c>
      <c r="N85">
        <f>scenario_jobcoeff_4506_iotable_2020_xlsx_3[[#This Row],[2037]]+scenario_jobcoeff_1610_iotable_2020_xlsx_3[[#This Row],[2037]]</f>
        <v>43.570208881068631</v>
      </c>
      <c r="O85">
        <f>scenario_jobcoeff_4506_iotable_2020_xlsx_3[[#This Row],[2038]]+scenario_jobcoeff_1610_iotable_2020_xlsx_3[[#This Row],[2038]]</f>
        <v>43.570208881068631</v>
      </c>
      <c r="P85">
        <f>scenario_jobcoeff_4506_iotable_2020_xlsx_3[[#This Row],[2039]]+scenario_jobcoeff_1610_iotable_2020_xlsx_3[[#This Row],[2039]]</f>
        <v>43.570208881068631</v>
      </c>
      <c r="Q85">
        <f>scenario_jobcoeff_4506_iotable_2020_xlsx_3[[#This Row],[2040]]+scenario_jobcoeff_1610_iotable_2020_xlsx_3[[#This Row],[2040]]</f>
        <v>44.620291459957336</v>
      </c>
      <c r="R85">
        <f>scenario_jobcoeff_4506_iotable_2020_xlsx_3[[#This Row],[2041]]+scenario_jobcoeff_1610_iotable_2020_xlsx_3[[#This Row],[2041]]</f>
        <v>44.620291459957336</v>
      </c>
      <c r="S85">
        <f>scenario_jobcoeff_4506_iotable_2020_xlsx_3[[#This Row],[2042]]+scenario_jobcoeff_1610_iotable_2020_xlsx_3[[#This Row],[2042]]</f>
        <v>45.833090780391927</v>
      </c>
      <c r="T85">
        <f>scenario_jobcoeff_4506_iotable_2020_xlsx_3[[#This Row],[2043]]+scenario_jobcoeff_1610_iotable_2020_xlsx_3[[#This Row],[2043]]</f>
        <v>45.833090780391927</v>
      </c>
      <c r="U85">
        <f>scenario_jobcoeff_4506_iotable_2020_xlsx_3[[#This Row],[2044]]+scenario_jobcoeff_1610_iotable_2020_xlsx_3[[#This Row],[2044]]</f>
        <v>46.823723740153596</v>
      </c>
      <c r="V85">
        <f>scenario_jobcoeff_4506_iotable_2020_xlsx_3[[#This Row],[2045]]+scenario_jobcoeff_1610_iotable_2020_xlsx_3[[#This Row],[2045]]</f>
        <v>46.823723740153596</v>
      </c>
      <c r="W85">
        <f>scenario_jobcoeff_4506_iotable_2020_xlsx_3[[#This Row],[2046]]+scenario_jobcoeff_1610_iotable_2020_xlsx_3[[#This Row],[2046]]</f>
        <v>47.71885761810119</v>
      </c>
      <c r="X85">
        <f>scenario_jobcoeff_4506_iotable_2020_xlsx_3[[#This Row],[2047]]+scenario_jobcoeff_1610_iotable_2020_xlsx_3[[#This Row],[2047]]</f>
        <v>47.71885761810119</v>
      </c>
      <c r="Y85">
        <f>scenario_jobcoeff_4506_iotable_2020_xlsx_3[[#This Row],[2048]]+scenario_jobcoeff_1610_iotable_2020_xlsx_3[[#This Row],[2048]]</f>
        <v>47.71885761810119</v>
      </c>
      <c r="Z85">
        <f>scenario_jobcoeff_4506_iotable_2020_xlsx_3[[#This Row],[2049]]+scenario_jobcoeff_1610_iotable_2020_xlsx_3[[#This Row],[2049]]</f>
        <v>47.71885761810119</v>
      </c>
      <c r="AA85">
        <f>scenario_jobcoeff_4506_iotable_2020_xlsx_3[[#This Row],[2050]]+scenario_jobcoeff_1610_iotable_2020_xlsx_3[[#This Row],[2050]]</f>
        <v>47.71885761810119</v>
      </c>
    </row>
    <row r="86" spans="1:27" x14ac:dyDescent="0.2">
      <c r="A86" t="s">
        <v>138</v>
      </c>
      <c r="B86" t="s">
        <v>139</v>
      </c>
      <c r="C86">
        <f>scenario_jobcoeff_4506_iotable_2020_xlsx_3[[#This Row],[2026]]+scenario_jobcoeff_1610_iotable_2020_xlsx_3[[#This Row],[2026]]</f>
        <v>53.120458366516395</v>
      </c>
      <c r="D86">
        <f>scenario_jobcoeff_4506_iotable_2020_xlsx_3[[#This Row],[2027]]+scenario_jobcoeff_1610_iotable_2020_xlsx_3[[#This Row],[2027]]</f>
        <v>53.181579683536242</v>
      </c>
      <c r="E86">
        <f>scenario_jobcoeff_4506_iotable_2020_xlsx_3[[#This Row],[2028]]+scenario_jobcoeff_1610_iotable_2020_xlsx_3[[#This Row],[2028]]</f>
        <v>55.785198466058489</v>
      </c>
      <c r="F86">
        <f>scenario_jobcoeff_4506_iotable_2020_xlsx_3[[#This Row],[2029]]+scenario_jobcoeff_1610_iotable_2020_xlsx_3[[#This Row],[2029]]</f>
        <v>57.663055417180956</v>
      </c>
      <c r="G86">
        <f>scenario_jobcoeff_4506_iotable_2020_xlsx_3[[#This Row],[2030]]+scenario_jobcoeff_1610_iotable_2020_xlsx_3[[#This Row],[2030]]</f>
        <v>55.494160079408879</v>
      </c>
      <c r="H86">
        <f>scenario_jobcoeff_4506_iotable_2020_xlsx_3[[#This Row],[2031]]+scenario_jobcoeff_1610_iotable_2020_xlsx_3[[#This Row],[2031]]</f>
        <v>59.00696155157889</v>
      </c>
      <c r="I86">
        <f>scenario_jobcoeff_4506_iotable_2020_xlsx_3[[#This Row],[2032]]+scenario_jobcoeff_1610_iotable_2020_xlsx_3[[#This Row],[2032]]</f>
        <v>63.912901415009394</v>
      </c>
      <c r="J86">
        <f>scenario_jobcoeff_4506_iotable_2020_xlsx_3[[#This Row],[2033]]+scenario_jobcoeff_1610_iotable_2020_xlsx_3[[#This Row],[2033]]</f>
        <v>71.617200757909586</v>
      </c>
      <c r="K86">
        <f>scenario_jobcoeff_4506_iotable_2020_xlsx_3[[#This Row],[2034]]+scenario_jobcoeff_1610_iotable_2020_xlsx_3[[#This Row],[2034]]</f>
        <v>76.182433587388687</v>
      </c>
      <c r="L86">
        <f>scenario_jobcoeff_4506_iotable_2020_xlsx_3[[#This Row],[2035]]+scenario_jobcoeff_1610_iotable_2020_xlsx_3[[#This Row],[2035]]</f>
        <v>87.588231763619319</v>
      </c>
      <c r="M86">
        <f>scenario_jobcoeff_4506_iotable_2020_xlsx_3[[#This Row],[2036]]+scenario_jobcoeff_1610_iotable_2020_xlsx_3[[#This Row],[2036]]</f>
        <v>91.693586055892467</v>
      </c>
      <c r="N86">
        <f>scenario_jobcoeff_4506_iotable_2020_xlsx_3[[#This Row],[2037]]+scenario_jobcoeff_1610_iotable_2020_xlsx_3[[#This Row],[2037]]</f>
        <v>95.466970335555231</v>
      </c>
      <c r="O86">
        <f>scenario_jobcoeff_4506_iotable_2020_xlsx_3[[#This Row],[2038]]+scenario_jobcoeff_1610_iotable_2020_xlsx_3[[#This Row],[2038]]</f>
        <v>95.466970335555231</v>
      </c>
      <c r="P86">
        <f>scenario_jobcoeff_4506_iotable_2020_xlsx_3[[#This Row],[2039]]+scenario_jobcoeff_1610_iotable_2020_xlsx_3[[#This Row],[2039]]</f>
        <v>95.466970335555231</v>
      </c>
      <c r="Q86">
        <f>scenario_jobcoeff_4506_iotable_2020_xlsx_3[[#This Row],[2040]]+scenario_jobcoeff_1610_iotable_2020_xlsx_3[[#This Row],[2040]]</f>
        <v>98.748050188739626</v>
      </c>
      <c r="R86">
        <f>scenario_jobcoeff_4506_iotable_2020_xlsx_3[[#This Row],[2041]]+scenario_jobcoeff_1610_iotable_2020_xlsx_3[[#This Row],[2041]]</f>
        <v>98.748050188739626</v>
      </c>
      <c r="S86">
        <f>scenario_jobcoeff_4506_iotable_2020_xlsx_3[[#This Row],[2042]]+scenario_jobcoeff_1610_iotable_2020_xlsx_3[[#This Row],[2042]]</f>
        <v>102.4693204392925</v>
      </c>
      <c r="T86">
        <f>scenario_jobcoeff_4506_iotable_2020_xlsx_3[[#This Row],[2043]]+scenario_jobcoeff_1610_iotable_2020_xlsx_3[[#This Row],[2043]]</f>
        <v>102.4693204392925</v>
      </c>
      <c r="U86">
        <f>scenario_jobcoeff_4506_iotable_2020_xlsx_3[[#This Row],[2044]]+scenario_jobcoeff_1610_iotable_2020_xlsx_3[[#This Row],[2044]]</f>
        <v>105.70627690897776</v>
      </c>
      <c r="V86">
        <f>scenario_jobcoeff_4506_iotable_2020_xlsx_3[[#This Row],[2045]]+scenario_jobcoeff_1610_iotable_2020_xlsx_3[[#This Row],[2045]]</f>
        <v>105.70627690897776</v>
      </c>
      <c r="W86">
        <f>scenario_jobcoeff_4506_iotable_2020_xlsx_3[[#This Row],[2046]]+scenario_jobcoeff_1610_iotable_2020_xlsx_3[[#This Row],[2046]]</f>
        <v>108.55827119719363</v>
      </c>
      <c r="X86">
        <f>scenario_jobcoeff_4506_iotable_2020_xlsx_3[[#This Row],[2047]]+scenario_jobcoeff_1610_iotable_2020_xlsx_3[[#This Row],[2047]]</f>
        <v>108.55827119719363</v>
      </c>
      <c r="Y86">
        <f>scenario_jobcoeff_4506_iotable_2020_xlsx_3[[#This Row],[2048]]+scenario_jobcoeff_1610_iotable_2020_xlsx_3[[#This Row],[2048]]</f>
        <v>108.55827119719363</v>
      </c>
      <c r="Z86">
        <f>scenario_jobcoeff_4506_iotable_2020_xlsx_3[[#This Row],[2049]]+scenario_jobcoeff_1610_iotable_2020_xlsx_3[[#This Row],[2049]]</f>
        <v>108.55827119719363</v>
      </c>
      <c r="AA86">
        <f>scenario_jobcoeff_4506_iotable_2020_xlsx_3[[#This Row],[2050]]+scenario_jobcoeff_1610_iotable_2020_xlsx_3[[#This Row],[2050]]</f>
        <v>108.55827119719363</v>
      </c>
    </row>
    <row r="87" spans="1:27" x14ac:dyDescent="0.2">
      <c r="A87" t="s">
        <v>256</v>
      </c>
      <c r="B87" t="s">
        <v>257</v>
      </c>
      <c r="C87">
        <f>scenario_jobcoeff_4506_iotable_2020_xlsx_3[[#This Row],[2026]]+scenario_jobcoeff_1610_iotable_2020_xlsx_3[[#This Row],[2026]]</f>
        <v>6.0767603805812787</v>
      </c>
      <c r="D87">
        <f>scenario_jobcoeff_4506_iotable_2020_xlsx_3[[#This Row],[2027]]+scenario_jobcoeff_1610_iotable_2020_xlsx_3[[#This Row],[2027]]</f>
        <v>5.7293581213135631</v>
      </c>
      <c r="E87">
        <f>scenario_jobcoeff_4506_iotable_2020_xlsx_3[[#This Row],[2028]]+scenario_jobcoeff_1610_iotable_2020_xlsx_3[[#This Row],[2028]]</f>
        <v>6.0482651540087069</v>
      </c>
      <c r="F87">
        <f>scenario_jobcoeff_4506_iotable_2020_xlsx_3[[#This Row],[2029]]+scenario_jobcoeff_1610_iotable_2020_xlsx_3[[#This Row],[2029]]</f>
        <v>6.1363209501154783</v>
      </c>
      <c r="G87">
        <f>scenario_jobcoeff_4506_iotable_2020_xlsx_3[[#This Row],[2030]]+scenario_jobcoeff_1610_iotable_2020_xlsx_3[[#This Row],[2030]]</f>
        <v>4.6673969106226068</v>
      </c>
      <c r="H87">
        <f>scenario_jobcoeff_4506_iotable_2020_xlsx_3[[#This Row],[2031]]+scenario_jobcoeff_1610_iotable_2020_xlsx_3[[#This Row],[2031]]</f>
        <v>5.097666157970572</v>
      </c>
      <c r="I87">
        <f>scenario_jobcoeff_4506_iotable_2020_xlsx_3[[#This Row],[2032]]+scenario_jobcoeff_1610_iotable_2020_xlsx_3[[#This Row],[2032]]</f>
        <v>5.6985754519616858</v>
      </c>
      <c r="J87">
        <f>scenario_jobcoeff_4506_iotable_2020_xlsx_3[[#This Row],[2033]]+scenario_jobcoeff_1610_iotable_2020_xlsx_3[[#This Row],[2033]]</f>
        <v>5.9710019262548908</v>
      </c>
      <c r="K87">
        <f>scenario_jobcoeff_4506_iotable_2020_xlsx_3[[#This Row],[2034]]+scenario_jobcoeff_1610_iotable_2020_xlsx_3[[#This Row],[2034]]</f>
        <v>6.5301793546037743</v>
      </c>
      <c r="L87">
        <f>scenario_jobcoeff_4506_iotable_2020_xlsx_3[[#This Row],[2035]]+scenario_jobcoeff_1610_iotable_2020_xlsx_3[[#This Row],[2035]]</f>
        <v>7.0775173659331116</v>
      </c>
      <c r="M87">
        <f>scenario_jobcoeff_4506_iotable_2020_xlsx_3[[#This Row],[2036]]+scenario_jobcoeff_1610_iotable_2020_xlsx_3[[#This Row],[2036]]</f>
        <v>7.0226309411253904</v>
      </c>
      <c r="N87">
        <f>scenario_jobcoeff_4506_iotable_2020_xlsx_3[[#This Row],[2037]]+scenario_jobcoeff_1610_iotable_2020_xlsx_3[[#This Row],[2037]]</f>
        <v>6.9972426622754202</v>
      </c>
      <c r="O87">
        <f>scenario_jobcoeff_4506_iotable_2020_xlsx_3[[#This Row],[2038]]+scenario_jobcoeff_1610_iotable_2020_xlsx_3[[#This Row],[2038]]</f>
        <v>6.9972426622754202</v>
      </c>
      <c r="P87">
        <f>scenario_jobcoeff_4506_iotable_2020_xlsx_3[[#This Row],[2039]]+scenario_jobcoeff_1610_iotable_2020_xlsx_3[[#This Row],[2039]]</f>
        <v>6.9972426622754202</v>
      </c>
      <c r="Q87">
        <f>scenario_jobcoeff_4506_iotable_2020_xlsx_3[[#This Row],[2040]]+scenario_jobcoeff_1610_iotable_2020_xlsx_3[[#This Row],[2040]]</f>
        <v>6.9710835377651215</v>
      </c>
      <c r="R87">
        <f>scenario_jobcoeff_4506_iotable_2020_xlsx_3[[#This Row],[2041]]+scenario_jobcoeff_1610_iotable_2020_xlsx_3[[#This Row],[2041]]</f>
        <v>6.9710835377651215</v>
      </c>
      <c r="S87">
        <f>scenario_jobcoeff_4506_iotable_2020_xlsx_3[[#This Row],[2042]]+scenario_jobcoeff_1610_iotable_2020_xlsx_3[[#This Row],[2042]]</f>
        <v>6.9544306225414907</v>
      </c>
      <c r="T87">
        <f>scenario_jobcoeff_4506_iotable_2020_xlsx_3[[#This Row],[2043]]+scenario_jobcoeff_1610_iotable_2020_xlsx_3[[#This Row],[2043]]</f>
        <v>6.9544306225414907</v>
      </c>
      <c r="U87">
        <f>scenario_jobcoeff_4506_iotable_2020_xlsx_3[[#This Row],[2044]]+scenario_jobcoeff_1610_iotable_2020_xlsx_3[[#This Row],[2044]]</f>
        <v>6.901606343063051</v>
      </c>
      <c r="V87">
        <f>scenario_jobcoeff_4506_iotable_2020_xlsx_3[[#This Row],[2045]]+scenario_jobcoeff_1610_iotable_2020_xlsx_3[[#This Row],[2045]]</f>
        <v>6.901606343063051</v>
      </c>
      <c r="W87">
        <f>scenario_jobcoeff_4506_iotable_2020_xlsx_3[[#This Row],[2046]]+scenario_jobcoeff_1610_iotable_2020_xlsx_3[[#This Row],[2046]]</f>
        <v>6.8683641542825278</v>
      </c>
      <c r="X87">
        <f>scenario_jobcoeff_4506_iotable_2020_xlsx_3[[#This Row],[2047]]+scenario_jobcoeff_1610_iotable_2020_xlsx_3[[#This Row],[2047]]</f>
        <v>6.8683641542825278</v>
      </c>
      <c r="Y87">
        <f>scenario_jobcoeff_4506_iotable_2020_xlsx_3[[#This Row],[2048]]+scenario_jobcoeff_1610_iotable_2020_xlsx_3[[#This Row],[2048]]</f>
        <v>6.8683641542825278</v>
      </c>
      <c r="Z87">
        <f>scenario_jobcoeff_4506_iotable_2020_xlsx_3[[#This Row],[2049]]+scenario_jobcoeff_1610_iotable_2020_xlsx_3[[#This Row],[2049]]</f>
        <v>6.8683641542825278</v>
      </c>
      <c r="AA87">
        <f>scenario_jobcoeff_4506_iotable_2020_xlsx_3[[#This Row],[2050]]+scenario_jobcoeff_1610_iotable_2020_xlsx_3[[#This Row],[2050]]</f>
        <v>6.8683641542825278</v>
      </c>
    </row>
    <row r="88" spans="1:27" x14ac:dyDescent="0.2">
      <c r="A88" t="s">
        <v>218</v>
      </c>
      <c r="B88" t="s">
        <v>219</v>
      </c>
      <c r="C88">
        <f>scenario_jobcoeff_4506_iotable_2020_xlsx_3[[#This Row],[2026]]+scenario_jobcoeff_1610_iotable_2020_xlsx_3[[#This Row],[2026]]</f>
        <v>9.4777177362432568</v>
      </c>
      <c r="D88">
        <f>scenario_jobcoeff_4506_iotable_2020_xlsx_3[[#This Row],[2027]]+scenario_jobcoeff_1610_iotable_2020_xlsx_3[[#This Row],[2027]]</f>
        <v>6.3613069439823633</v>
      </c>
      <c r="E88">
        <f>scenario_jobcoeff_4506_iotable_2020_xlsx_3[[#This Row],[2028]]+scenario_jobcoeff_1610_iotable_2020_xlsx_3[[#This Row],[2028]]</f>
        <v>7.0117185238042765</v>
      </c>
      <c r="F88">
        <f>scenario_jobcoeff_4506_iotable_2020_xlsx_3[[#This Row],[2029]]+scenario_jobcoeff_1610_iotable_2020_xlsx_3[[#This Row],[2029]]</f>
        <v>6.2281551575278105</v>
      </c>
      <c r="G88">
        <f>scenario_jobcoeff_4506_iotable_2020_xlsx_3[[#This Row],[2030]]+scenario_jobcoeff_1610_iotable_2020_xlsx_3[[#This Row],[2030]]</f>
        <v>-4.9317427116218013</v>
      </c>
      <c r="H88">
        <f>scenario_jobcoeff_4506_iotable_2020_xlsx_3[[#This Row],[2031]]+scenario_jobcoeff_1610_iotable_2020_xlsx_3[[#This Row],[2031]]</f>
        <v>-4.0542076552409902</v>
      </c>
      <c r="I88">
        <f>scenario_jobcoeff_4506_iotable_2020_xlsx_3[[#This Row],[2032]]+scenario_jobcoeff_1610_iotable_2020_xlsx_3[[#This Row],[2032]]</f>
        <v>-2.8286518563256138</v>
      </c>
      <c r="J88">
        <f>scenario_jobcoeff_4506_iotable_2020_xlsx_3[[#This Row],[2033]]+scenario_jobcoeff_1610_iotable_2020_xlsx_3[[#This Row],[2033]]</f>
        <v>-6.8273500929350668</v>
      </c>
      <c r="K88">
        <f>scenario_jobcoeff_4506_iotable_2020_xlsx_3[[#This Row],[2034]]+scenario_jobcoeff_1610_iotable_2020_xlsx_3[[#This Row],[2034]]</f>
        <v>-5.6869065238500838</v>
      </c>
      <c r="L88">
        <f>scenario_jobcoeff_4506_iotable_2020_xlsx_3[[#This Row],[2035]]+scenario_jobcoeff_1610_iotable_2020_xlsx_3[[#This Row],[2035]]</f>
        <v>-10.335825800375019</v>
      </c>
      <c r="M88">
        <f>scenario_jobcoeff_4506_iotable_2020_xlsx_3[[#This Row],[2036]]+scenario_jobcoeff_1610_iotable_2020_xlsx_3[[#This Row],[2036]]</f>
        <v>-14.231941292414376</v>
      </c>
      <c r="N88">
        <f>scenario_jobcoeff_4506_iotable_2020_xlsx_3[[#This Row],[2037]]+scenario_jobcoeff_1610_iotable_2020_xlsx_3[[#This Row],[2037]]</f>
        <v>-17.591868029123297</v>
      </c>
      <c r="O88">
        <f>scenario_jobcoeff_4506_iotable_2020_xlsx_3[[#This Row],[2038]]+scenario_jobcoeff_1610_iotable_2020_xlsx_3[[#This Row],[2038]]</f>
        <v>-17.591868029123297</v>
      </c>
      <c r="P88">
        <f>scenario_jobcoeff_4506_iotable_2020_xlsx_3[[#This Row],[2039]]+scenario_jobcoeff_1610_iotable_2020_xlsx_3[[#This Row],[2039]]</f>
        <v>-17.591868029123297</v>
      </c>
      <c r="Q88">
        <f>scenario_jobcoeff_4506_iotable_2020_xlsx_3[[#This Row],[2040]]+scenario_jobcoeff_1610_iotable_2020_xlsx_3[[#This Row],[2040]]</f>
        <v>-20.549464880697926</v>
      </c>
      <c r="R88">
        <f>scenario_jobcoeff_4506_iotable_2020_xlsx_3[[#This Row],[2041]]+scenario_jobcoeff_1610_iotable_2020_xlsx_3[[#This Row],[2041]]</f>
        <v>-20.549464880697926</v>
      </c>
      <c r="S88">
        <f>scenario_jobcoeff_4506_iotable_2020_xlsx_3[[#This Row],[2042]]+scenario_jobcoeff_1610_iotable_2020_xlsx_3[[#This Row],[2042]]</f>
        <v>-23.788997664241307</v>
      </c>
      <c r="T88">
        <f>scenario_jobcoeff_4506_iotable_2020_xlsx_3[[#This Row],[2043]]+scenario_jobcoeff_1610_iotable_2020_xlsx_3[[#This Row],[2043]]</f>
        <v>-23.788997664241307</v>
      </c>
      <c r="U88">
        <f>scenario_jobcoeff_4506_iotable_2020_xlsx_3[[#This Row],[2044]]+scenario_jobcoeff_1610_iotable_2020_xlsx_3[[#This Row],[2044]]</f>
        <v>-26.945229475477056</v>
      </c>
      <c r="V88">
        <f>scenario_jobcoeff_4506_iotable_2020_xlsx_3[[#This Row],[2045]]+scenario_jobcoeff_1610_iotable_2020_xlsx_3[[#This Row],[2045]]</f>
        <v>-26.945229475477056</v>
      </c>
      <c r="W88">
        <f>scenario_jobcoeff_4506_iotable_2020_xlsx_3[[#This Row],[2046]]+scenario_jobcoeff_1610_iotable_2020_xlsx_3[[#This Row],[2046]]</f>
        <v>-29.608736328669323</v>
      </c>
      <c r="X88">
        <f>scenario_jobcoeff_4506_iotable_2020_xlsx_3[[#This Row],[2047]]+scenario_jobcoeff_1610_iotable_2020_xlsx_3[[#This Row],[2047]]</f>
        <v>-29.608736328669323</v>
      </c>
      <c r="Y88">
        <f>scenario_jobcoeff_4506_iotable_2020_xlsx_3[[#This Row],[2048]]+scenario_jobcoeff_1610_iotable_2020_xlsx_3[[#This Row],[2048]]</f>
        <v>-29.608736328669323</v>
      </c>
      <c r="Z88">
        <f>scenario_jobcoeff_4506_iotable_2020_xlsx_3[[#This Row],[2049]]+scenario_jobcoeff_1610_iotable_2020_xlsx_3[[#This Row],[2049]]</f>
        <v>-29.608736328669323</v>
      </c>
      <c r="AA88">
        <f>scenario_jobcoeff_4506_iotable_2020_xlsx_3[[#This Row],[2050]]+scenario_jobcoeff_1610_iotable_2020_xlsx_3[[#This Row],[2050]]</f>
        <v>-29.608736328669323</v>
      </c>
    </row>
    <row r="89" spans="1:27" x14ac:dyDescent="0.2">
      <c r="A89" t="s">
        <v>142</v>
      </c>
      <c r="B89" t="s">
        <v>143</v>
      </c>
      <c r="C89">
        <f>scenario_jobcoeff_4506_iotable_2020_xlsx_3[[#This Row],[2026]]+scenario_jobcoeff_1610_iotable_2020_xlsx_3[[#This Row],[2026]]</f>
        <v>51.216680529814923</v>
      </c>
      <c r="D89">
        <f>scenario_jobcoeff_4506_iotable_2020_xlsx_3[[#This Row],[2027]]+scenario_jobcoeff_1610_iotable_2020_xlsx_3[[#This Row],[2027]]</f>
        <v>53.281673360771379</v>
      </c>
      <c r="E89">
        <f>scenario_jobcoeff_4506_iotable_2020_xlsx_3[[#This Row],[2028]]+scenario_jobcoeff_1610_iotable_2020_xlsx_3[[#This Row],[2028]]</f>
        <v>55.672748765348054</v>
      </c>
      <c r="F89">
        <f>scenario_jobcoeff_4506_iotable_2020_xlsx_3[[#This Row],[2029]]+scenario_jobcoeff_1610_iotable_2020_xlsx_3[[#This Row],[2029]]</f>
        <v>58.200853571635562</v>
      </c>
      <c r="G89">
        <f>scenario_jobcoeff_4506_iotable_2020_xlsx_3[[#This Row],[2030]]+scenario_jobcoeff_1610_iotable_2020_xlsx_3[[#This Row],[2030]]</f>
        <v>63.020137353563598</v>
      </c>
      <c r="H89">
        <f>scenario_jobcoeff_4506_iotable_2020_xlsx_3[[#This Row],[2031]]+scenario_jobcoeff_1610_iotable_2020_xlsx_3[[#This Row],[2031]]</f>
        <v>66.246175380962384</v>
      </c>
      <c r="I89">
        <f>scenario_jobcoeff_4506_iotable_2020_xlsx_3[[#This Row],[2032]]+scenario_jobcoeff_1610_iotable_2020_xlsx_3[[#This Row],[2032]]</f>
        <v>70.751624574418074</v>
      </c>
      <c r="J89">
        <f>scenario_jobcoeff_4506_iotable_2020_xlsx_3[[#This Row],[2033]]+scenario_jobcoeff_1610_iotable_2020_xlsx_3[[#This Row],[2033]]</f>
        <v>81.626587707186786</v>
      </c>
      <c r="K89">
        <f>scenario_jobcoeff_4506_iotable_2020_xlsx_3[[#This Row],[2034]]+scenario_jobcoeff_1610_iotable_2020_xlsx_3[[#This Row],[2034]]</f>
        <v>85.81914308741753</v>
      </c>
      <c r="L89">
        <f>scenario_jobcoeff_4506_iotable_2020_xlsx_3[[#This Row],[2035]]+scenario_jobcoeff_1610_iotable_2020_xlsx_3[[#This Row],[2035]]</f>
        <v>101.10367647336102</v>
      </c>
      <c r="M89">
        <f>scenario_jobcoeff_4506_iotable_2020_xlsx_3[[#This Row],[2036]]+scenario_jobcoeff_1610_iotable_2020_xlsx_3[[#This Row],[2036]]</f>
        <v>108.03097546450999</v>
      </c>
      <c r="N89">
        <f>scenario_jobcoeff_4506_iotable_2020_xlsx_3[[#This Row],[2037]]+scenario_jobcoeff_1610_iotable_2020_xlsx_3[[#This Row],[2037]]</f>
        <v>114.25626199633214</v>
      </c>
      <c r="O89">
        <f>scenario_jobcoeff_4506_iotable_2020_xlsx_3[[#This Row],[2038]]+scenario_jobcoeff_1610_iotable_2020_xlsx_3[[#This Row],[2038]]</f>
        <v>114.25626199633214</v>
      </c>
      <c r="P89">
        <f>scenario_jobcoeff_4506_iotable_2020_xlsx_3[[#This Row],[2039]]+scenario_jobcoeff_1610_iotable_2020_xlsx_3[[#This Row],[2039]]</f>
        <v>114.25626199633214</v>
      </c>
      <c r="Q89">
        <f>scenario_jobcoeff_4506_iotable_2020_xlsx_3[[#This Row],[2040]]+scenario_jobcoeff_1610_iotable_2020_xlsx_3[[#This Row],[2040]]</f>
        <v>119.69246334615326</v>
      </c>
      <c r="R89">
        <f>scenario_jobcoeff_4506_iotable_2020_xlsx_3[[#This Row],[2041]]+scenario_jobcoeff_1610_iotable_2020_xlsx_3[[#This Row],[2041]]</f>
        <v>119.69246334615326</v>
      </c>
      <c r="S89">
        <f>scenario_jobcoeff_4506_iotable_2020_xlsx_3[[#This Row],[2042]]+scenario_jobcoeff_1610_iotable_2020_xlsx_3[[#This Row],[2042]]</f>
        <v>125.78431068361286</v>
      </c>
      <c r="T89">
        <f>scenario_jobcoeff_4506_iotable_2020_xlsx_3[[#This Row],[2043]]+scenario_jobcoeff_1610_iotable_2020_xlsx_3[[#This Row],[2043]]</f>
        <v>125.78431068361286</v>
      </c>
      <c r="U89">
        <f>scenario_jobcoeff_4506_iotable_2020_xlsx_3[[#This Row],[2044]]+scenario_jobcoeff_1610_iotable_2020_xlsx_3[[#This Row],[2044]]</f>
        <v>131.30033734011491</v>
      </c>
      <c r="V89">
        <f>scenario_jobcoeff_4506_iotable_2020_xlsx_3[[#This Row],[2045]]+scenario_jobcoeff_1610_iotable_2020_xlsx_3[[#This Row],[2045]]</f>
        <v>131.30033734011491</v>
      </c>
      <c r="W89">
        <f>scenario_jobcoeff_4506_iotable_2020_xlsx_3[[#This Row],[2046]]+scenario_jobcoeff_1610_iotable_2020_xlsx_3[[#This Row],[2046]]</f>
        <v>136.08507409286136</v>
      </c>
      <c r="X89">
        <f>scenario_jobcoeff_4506_iotable_2020_xlsx_3[[#This Row],[2047]]+scenario_jobcoeff_1610_iotable_2020_xlsx_3[[#This Row],[2047]]</f>
        <v>136.08507409286136</v>
      </c>
      <c r="Y89">
        <f>scenario_jobcoeff_4506_iotable_2020_xlsx_3[[#This Row],[2048]]+scenario_jobcoeff_1610_iotable_2020_xlsx_3[[#This Row],[2048]]</f>
        <v>136.08507409286136</v>
      </c>
      <c r="Z89">
        <f>scenario_jobcoeff_4506_iotable_2020_xlsx_3[[#This Row],[2049]]+scenario_jobcoeff_1610_iotable_2020_xlsx_3[[#This Row],[2049]]</f>
        <v>136.08507409286136</v>
      </c>
      <c r="AA89">
        <f>scenario_jobcoeff_4506_iotable_2020_xlsx_3[[#This Row],[2050]]+scenario_jobcoeff_1610_iotable_2020_xlsx_3[[#This Row],[2050]]</f>
        <v>136.08507409286136</v>
      </c>
    </row>
    <row r="90" spans="1:27" x14ac:dyDescent="0.2">
      <c r="A90" t="s">
        <v>290</v>
      </c>
      <c r="B90" t="s">
        <v>291</v>
      </c>
      <c r="C90">
        <f>scenario_jobcoeff_4506_iotable_2020_xlsx_3[[#This Row],[2026]]+scenario_jobcoeff_1610_iotable_2020_xlsx_3[[#This Row],[2026]]</f>
        <v>-12.472233467000787</v>
      </c>
      <c r="D90">
        <f>scenario_jobcoeff_4506_iotable_2020_xlsx_3[[#This Row],[2027]]+scenario_jobcoeff_1610_iotable_2020_xlsx_3[[#This Row],[2027]]</f>
        <v>-23.783748815053261</v>
      </c>
      <c r="E90">
        <f>scenario_jobcoeff_4506_iotable_2020_xlsx_3[[#This Row],[2028]]+scenario_jobcoeff_1610_iotable_2020_xlsx_3[[#This Row],[2028]]</f>
        <v>-23.723596541460207</v>
      </c>
      <c r="F90">
        <f>scenario_jobcoeff_4506_iotable_2020_xlsx_3[[#This Row],[2029]]+scenario_jobcoeff_1610_iotable_2020_xlsx_3[[#This Row],[2029]]</f>
        <v>-28.205383225117437</v>
      </c>
      <c r="G90">
        <f>scenario_jobcoeff_4506_iotable_2020_xlsx_3[[#This Row],[2030]]+scenario_jobcoeff_1610_iotable_2020_xlsx_3[[#This Row],[2030]]</f>
        <v>-66.612425168331171</v>
      </c>
      <c r="H90">
        <f>scenario_jobcoeff_4506_iotable_2020_xlsx_3[[#This Row],[2031]]+scenario_jobcoeff_1610_iotable_2020_xlsx_3[[#This Row],[2031]]</f>
        <v>-66.531267743653501</v>
      </c>
      <c r="I90">
        <f>scenario_jobcoeff_4506_iotable_2020_xlsx_3[[#This Row],[2032]]+scenario_jobcoeff_1610_iotable_2020_xlsx_3[[#This Row],[2032]]</f>
        <v>-66.417924177814655</v>
      </c>
      <c r="J90">
        <f>scenario_jobcoeff_4506_iotable_2020_xlsx_3[[#This Row],[2033]]+scenario_jobcoeff_1610_iotable_2020_xlsx_3[[#This Row],[2033]]</f>
        <v>-87.637399623049262</v>
      </c>
      <c r="K90">
        <f>scenario_jobcoeff_4506_iotable_2020_xlsx_3[[#This Row],[2034]]+scenario_jobcoeff_1610_iotable_2020_xlsx_3[[#This Row],[2034]]</f>
        <v>-87.531927525514021</v>
      </c>
      <c r="L90">
        <f>scenario_jobcoeff_4506_iotable_2020_xlsx_3[[#This Row],[2035]]+scenario_jobcoeff_1610_iotable_2020_xlsx_3[[#This Row],[2035]]</f>
        <v>-114.35505988685938</v>
      </c>
      <c r="M90">
        <f>scenario_jobcoeff_4506_iotable_2020_xlsx_3[[#This Row],[2036]]+scenario_jobcoeff_1610_iotable_2020_xlsx_3[[#This Row],[2036]]</f>
        <v>-132.03935265110331</v>
      </c>
      <c r="N90">
        <f>scenario_jobcoeff_4506_iotable_2020_xlsx_3[[#This Row],[2037]]+scenario_jobcoeff_1610_iotable_2020_xlsx_3[[#This Row],[2037]]</f>
        <v>-147.49480223517673</v>
      </c>
      <c r="O90">
        <f>scenario_jobcoeff_4506_iotable_2020_xlsx_3[[#This Row],[2038]]+scenario_jobcoeff_1610_iotable_2020_xlsx_3[[#This Row],[2038]]</f>
        <v>-147.49480223517673</v>
      </c>
      <c r="P90">
        <f>scenario_jobcoeff_4506_iotable_2020_xlsx_3[[#This Row],[2039]]+scenario_jobcoeff_1610_iotable_2020_xlsx_3[[#This Row],[2039]]</f>
        <v>-147.49480223517673</v>
      </c>
      <c r="Q90">
        <f>scenario_jobcoeff_4506_iotable_2020_xlsx_3[[#This Row],[2040]]+scenario_jobcoeff_1610_iotable_2020_xlsx_3[[#This Row],[2040]]</f>
        <v>-161.06397781462616</v>
      </c>
      <c r="R90">
        <f>scenario_jobcoeff_4506_iotable_2020_xlsx_3[[#This Row],[2041]]+scenario_jobcoeff_1610_iotable_2020_xlsx_3[[#This Row],[2041]]</f>
        <v>-161.06397781462616</v>
      </c>
      <c r="S90">
        <f>scenario_jobcoeff_4506_iotable_2020_xlsx_3[[#This Row],[2042]]+scenario_jobcoeff_1610_iotable_2020_xlsx_3[[#This Row],[2042]]</f>
        <v>-176.03868970941272</v>
      </c>
      <c r="T90">
        <f>scenario_jobcoeff_4506_iotable_2020_xlsx_3[[#This Row],[2043]]+scenario_jobcoeff_1610_iotable_2020_xlsx_3[[#This Row],[2043]]</f>
        <v>-176.03868970941272</v>
      </c>
      <c r="U90">
        <f>scenario_jobcoeff_4506_iotable_2020_xlsx_3[[#This Row],[2044]]+scenario_jobcoeff_1610_iotable_2020_xlsx_3[[#This Row],[2044]]</f>
        <v>-190.28661886631525</v>
      </c>
      <c r="V90">
        <f>scenario_jobcoeff_4506_iotable_2020_xlsx_3[[#This Row],[2045]]+scenario_jobcoeff_1610_iotable_2020_xlsx_3[[#This Row],[2045]]</f>
        <v>-190.28661886631525</v>
      </c>
      <c r="W90">
        <f>scenario_jobcoeff_4506_iotable_2020_xlsx_3[[#This Row],[2046]]+scenario_jobcoeff_1610_iotable_2020_xlsx_3[[#This Row],[2046]]</f>
        <v>-202.41611725419361</v>
      </c>
      <c r="X90">
        <f>scenario_jobcoeff_4506_iotable_2020_xlsx_3[[#This Row],[2047]]+scenario_jobcoeff_1610_iotable_2020_xlsx_3[[#This Row],[2047]]</f>
        <v>-202.41611725419361</v>
      </c>
      <c r="Y90">
        <f>scenario_jobcoeff_4506_iotable_2020_xlsx_3[[#This Row],[2048]]+scenario_jobcoeff_1610_iotable_2020_xlsx_3[[#This Row],[2048]]</f>
        <v>-202.41611725419361</v>
      </c>
      <c r="Z90">
        <f>scenario_jobcoeff_4506_iotable_2020_xlsx_3[[#This Row],[2049]]+scenario_jobcoeff_1610_iotable_2020_xlsx_3[[#This Row],[2049]]</f>
        <v>-202.41611725419361</v>
      </c>
      <c r="AA90">
        <f>scenario_jobcoeff_4506_iotable_2020_xlsx_3[[#This Row],[2050]]+scenario_jobcoeff_1610_iotable_2020_xlsx_3[[#This Row],[2050]]</f>
        <v>-202.41611725419361</v>
      </c>
    </row>
    <row r="91" spans="1:27" x14ac:dyDescent="0.2">
      <c r="A91" t="s">
        <v>292</v>
      </c>
      <c r="B91" t="s">
        <v>293</v>
      </c>
      <c r="C91">
        <f>scenario_jobcoeff_4506_iotable_2020_xlsx_3[[#This Row],[2026]]+scenario_jobcoeff_1610_iotable_2020_xlsx_3[[#This Row],[2026]]</f>
        <v>0.81971206227958593</v>
      </c>
      <c r="D91">
        <f>scenario_jobcoeff_4506_iotable_2020_xlsx_3[[#This Row],[2027]]+scenario_jobcoeff_1610_iotable_2020_xlsx_3[[#This Row],[2027]]</f>
        <v>0.76572586872521309</v>
      </c>
      <c r="E91">
        <f>scenario_jobcoeff_4506_iotable_2020_xlsx_3[[#This Row],[2028]]+scenario_jobcoeff_1610_iotable_2020_xlsx_3[[#This Row],[2028]]</f>
        <v>0.80916760333546434</v>
      </c>
      <c r="F91">
        <f>scenario_jobcoeff_4506_iotable_2020_xlsx_3[[#This Row],[2029]]+scenario_jobcoeff_1610_iotable_2020_xlsx_3[[#This Row],[2029]]</f>
        <v>0.81849749611679246</v>
      </c>
      <c r="G91">
        <f>scenario_jobcoeff_4506_iotable_2020_xlsx_3[[#This Row],[2030]]+scenario_jobcoeff_1610_iotable_2020_xlsx_3[[#This Row],[2030]]</f>
        <v>0.59580909985334984</v>
      </c>
      <c r="H91">
        <f>scenario_jobcoeff_4506_iotable_2020_xlsx_3[[#This Row],[2031]]+scenario_jobcoeff_1610_iotable_2020_xlsx_3[[#This Row],[2031]]</f>
        <v>0.65442067168441409</v>
      </c>
      <c r="I91">
        <f>scenario_jobcoeff_4506_iotable_2020_xlsx_3[[#This Row],[2032]]+scenario_jobcoeff_1610_iotable_2020_xlsx_3[[#This Row],[2032]]</f>
        <v>0.73627694764603491</v>
      </c>
      <c r="J91">
        <f>scenario_jobcoeff_4506_iotable_2020_xlsx_3[[#This Row],[2033]]+scenario_jobcoeff_1610_iotable_2020_xlsx_3[[#This Row],[2033]]</f>
        <v>0.76078489417681427</v>
      </c>
      <c r="K91">
        <f>scenario_jobcoeff_4506_iotable_2020_xlsx_3[[#This Row],[2034]]+scenario_jobcoeff_1610_iotable_2020_xlsx_3[[#This Row],[2034]]</f>
        <v>0.83695642679270477</v>
      </c>
      <c r="L91">
        <f>scenario_jobcoeff_4506_iotable_2020_xlsx_3[[#This Row],[2035]]+scenario_jobcoeff_1610_iotable_2020_xlsx_3[[#This Row],[2035]]</f>
        <v>0.89556233668291063</v>
      </c>
      <c r="M91">
        <f>scenario_jobcoeff_4506_iotable_2020_xlsx_3[[#This Row],[2036]]+scenario_jobcoeff_1610_iotable_2020_xlsx_3[[#This Row],[2036]]</f>
        <v>0.87761453407083123</v>
      </c>
      <c r="N91">
        <f>scenario_jobcoeff_4506_iotable_2020_xlsx_3[[#This Row],[2037]]+scenario_jobcoeff_1610_iotable_2020_xlsx_3[[#This Row],[2037]]</f>
        <v>0.86500219737350936</v>
      </c>
      <c r="O91">
        <f>scenario_jobcoeff_4506_iotable_2020_xlsx_3[[#This Row],[2038]]+scenario_jobcoeff_1610_iotable_2020_xlsx_3[[#This Row],[2038]]</f>
        <v>0.86500219737350936</v>
      </c>
      <c r="P91">
        <f>scenario_jobcoeff_4506_iotable_2020_xlsx_3[[#This Row],[2039]]+scenario_jobcoeff_1610_iotable_2020_xlsx_3[[#This Row],[2039]]</f>
        <v>0.86500219737350936</v>
      </c>
      <c r="Q91">
        <f>scenario_jobcoeff_4506_iotable_2020_xlsx_3[[#This Row],[2040]]+scenario_jobcoeff_1610_iotable_2020_xlsx_3[[#This Row],[2040]]</f>
        <v>0.85340248718308231</v>
      </c>
      <c r="R91">
        <f>scenario_jobcoeff_4506_iotable_2020_xlsx_3[[#This Row],[2041]]+scenario_jobcoeff_1610_iotable_2020_xlsx_3[[#This Row],[2041]]</f>
        <v>0.85340248718308231</v>
      </c>
      <c r="S91">
        <f>scenario_jobcoeff_4506_iotable_2020_xlsx_3[[#This Row],[2042]]+scenario_jobcoeff_1610_iotable_2020_xlsx_3[[#This Row],[2042]]</f>
        <v>0.84226393029530833</v>
      </c>
      <c r="T91">
        <f>scenario_jobcoeff_4506_iotable_2020_xlsx_3[[#This Row],[2043]]+scenario_jobcoeff_1610_iotable_2020_xlsx_3[[#This Row],[2043]]</f>
        <v>0.84226393029530833</v>
      </c>
      <c r="U91">
        <f>scenario_jobcoeff_4506_iotable_2020_xlsx_3[[#This Row],[2044]]+scenario_jobcoeff_1610_iotable_2020_xlsx_3[[#This Row],[2044]]</f>
        <v>0.82663271861545251</v>
      </c>
      <c r="V91">
        <f>scenario_jobcoeff_4506_iotable_2020_xlsx_3[[#This Row],[2045]]+scenario_jobcoeff_1610_iotable_2020_xlsx_3[[#This Row],[2045]]</f>
        <v>0.82663271861545251</v>
      </c>
      <c r="W91">
        <f>scenario_jobcoeff_4506_iotable_2020_xlsx_3[[#This Row],[2046]]+scenario_jobcoeff_1610_iotable_2020_xlsx_3[[#This Row],[2046]]</f>
        <v>0.81492189397918935</v>
      </c>
      <c r="X91">
        <f>scenario_jobcoeff_4506_iotable_2020_xlsx_3[[#This Row],[2047]]+scenario_jobcoeff_1610_iotable_2020_xlsx_3[[#This Row],[2047]]</f>
        <v>0.81492189397918935</v>
      </c>
      <c r="Y91">
        <f>scenario_jobcoeff_4506_iotable_2020_xlsx_3[[#This Row],[2048]]+scenario_jobcoeff_1610_iotable_2020_xlsx_3[[#This Row],[2048]]</f>
        <v>0.81492189397918935</v>
      </c>
      <c r="Z91">
        <f>scenario_jobcoeff_4506_iotable_2020_xlsx_3[[#This Row],[2049]]+scenario_jobcoeff_1610_iotable_2020_xlsx_3[[#This Row],[2049]]</f>
        <v>0.81492189397918935</v>
      </c>
      <c r="AA91">
        <f>scenario_jobcoeff_4506_iotable_2020_xlsx_3[[#This Row],[2050]]+scenario_jobcoeff_1610_iotable_2020_xlsx_3[[#This Row],[2050]]</f>
        <v>0.81492189397918935</v>
      </c>
    </row>
    <row r="92" spans="1:27" x14ac:dyDescent="0.2">
      <c r="A92" t="s">
        <v>288</v>
      </c>
      <c r="B92" t="s">
        <v>289</v>
      </c>
      <c r="C92">
        <f>scenario_jobcoeff_4506_iotable_2020_xlsx_3[[#This Row],[2026]]+scenario_jobcoeff_1610_iotable_2020_xlsx_3[[#This Row],[2026]]</f>
        <v>1.3189358458256908</v>
      </c>
      <c r="D92">
        <f>scenario_jobcoeff_4506_iotable_2020_xlsx_3[[#This Row],[2027]]+scenario_jobcoeff_1610_iotable_2020_xlsx_3[[#This Row],[2027]]</f>
        <v>1.2443713245538661</v>
      </c>
      <c r="E92">
        <f>scenario_jobcoeff_4506_iotable_2020_xlsx_3[[#This Row],[2028]]+scenario_jobcoeff_1610_iotable_2020_xlsx_3[[#This Row],[2028]]</f>
        <v>1.3135389940173001</v>
      </c>
      <c r="F92">
        <f>scenario_jobcoeff_4506_iotable_2020_xlsx_3[[#This Row],[2029]]+scenario_jobcoeff_1610_iotable_2020_xlsx_3[[#This Row],[2029]]</f>
        <v>1.3329507828510072</v>
      </c>
      <c r="G92">
        <f>scenario_jobcoeff_4506_iotable_2020_xlsx_3[[#This Row],[2030]]+scenario_jobcoeff_1610_iotable_2020_xlsx_3[[#This Row],[2030]]</f>
        <v>1.0170125917709743</v>
      </c>
      <c r="H92">
        <f>scenario_jobcoeff_4506_iotable_2020_xlsx_3[[#This Row],[2031]]+scenario_jobcoeff_1610_iotable_2020_xlsx_3[[#This Row],[2031]]</f>
        <v>1.1103335851317393</v>
      </c>
      <c r="I92">
        <f>scenario_jobcoeff_4506_iotable_2020_xlsx_3[[#This Row],[2032]]+scenario_jobcoeff_1610_iotable_2020_xlsx_3[[#This Row],[2032]]</f>
        <v>1.2406646570840318</v>
      </c>
      <c r="J92">
        <f>scenario_jobcoeff_4506_iotable_2020_xlsx_3[[#This Row],[2033]]+scenario_jobcoeff_1610_iotable_2020_xlsx_3[[#This Row],[2033]]</f>
        <v>1.3012330403296288</v>
      </c>
      <c r="K92">
        <f>scenario_jobcoeff_4506_iotable_2020_xlsx_3[[#This Row],[2034]]+scenario_jobcoeff_1610_iotable_2020_xlsx_3[[#This Row],[2034]]</f>
        <v>1.4225128980003179</v>
      </c>
      <c r="L92">
        <f>scenario_jobcoeff_4506_iotable_2020_xlsx_3[[#This Row],[2035]]+scenario_jobcoeff_1610_iotable_2020_xlsx_3[[#This Row],[2035]]</f>
        <v>1.5431007790915485</v>
      </c>
      <c r="M92">
        <f>scenario_jobcoeff_4506_iotable_2020_xlsx_3[[#This Row],[2036]]+scenario_jobcoeff_1610_iotable_2020_xlsx_3[[#This Row],[2036]]</f>
        <v>1.5324277609164172</v>
      </c>
      <c r="N92">
        <f>scenario_jobcoeff_4506_iotable_2020_xlsx_3[[#This Row],[2037]]+scenario_jobcoeff_1610_iotable_2020_xlsx_3[[#This Row],[2037]]</f>
        <v>1.5279976999571008</v>
      </c>
      <c r="O92">
        <f>scenario_jobcoeff_4506_iotable_2020_xlsx_3[[#This Row],[2038]]+scenario_jobcoeff_1610_iotable_2020_xlsx_3[[#This Row],[2038]]</f>
        <v>1.5279976999571008</v>
      </c>
      <c r="P92">
        <f>scenario_jobcoeff_4506_iotable_2020_xlsx_3[[#This Row],[2039]]+scenario_jobcoeff_1610_iotable_2020_xlsx_3[[#This Row],[2039]]</f>
        <v>1.5279976999571008</v>
      </c>
      <c r="Q92">
        <f>scenario_jobcoeff_4506_iotable_2020_xlsx_3[[#This Row],[2040]]+scenario_jobcoeff_1610_iotable_2020_xlsx_3[[#This Row],[2040]]</f>
        <v>1.523269029833263</v>
      </c>
      <c r="R92">
        <f>scenario_jobcoeff_4506_iotable_2020_xlsx_3[[#This Row],[2041]]+scenario_jobcoeff_1610_iotable_2020_xlsx_3[[#This Row],[2041]]</f>
        <v>1.523269029833263</v>
      </c>
      <c r="S92">
        <f>scenario_jobcoeff_4506_iotable_2020_xlsx_3[[#This Row],[2042]]+scenario_jobcoeff_1610_iotable_2020_xlsx_3[[#This Row],[2042]]</f>
        <v>1.5207002031594103</v>
      </c>
      <c r="T92">
        <f>scenario_jobcoeff_4506_iotable_2020_xlsx_3[[#This Row],[2043]]+scenario_jobcoeff_1610_iotable_2020_xlsx_3[[#This Row],[2043]]</f>
        <v>1.5207002031594103</v>
      </c>
      <c r="U92">
        <f>scenario_jobcoeff_4506_iotable_2020_xlsx_3[[#This Row],[2044]]+scenario_jobcoeff_1610_iotable_2020_xlsx_3[[#This Row],[2044]]</f>
        <v>1.510235070135598</v>
      </c>
      <c r="V92">
        <f>scenario_jobcoeff_4506_iotable_2020_xlsx_3[[#This Row],[2045]]+scenario_jobcoeff_1610_iotable_2020_xlsx_3[[#This Row],[2045]]</f>
        <v>1.510235070135598</v>
      </c>
      <c r="W92">
        <f>scenario_jobcoeff_4506_iotable_2020_xlsx_3[[#This Row],[2046]]+scenario_jobcoeff_1610_iotable_2020_xlsx_3[[#This Row],[2046]]</f>
        <v>1.5038697652592901</v>
      </c>
      <c r="X92">
        <f>scenario_jobcoeff_4506_iotable_2020_xlsx_3[[#This Row],[2047]]+scenario_jobcoeff_1610_iotable_2020_xlsx_3[[#This Row],[2047]]</f>
        <v>1.5038697652592901</v>
      </c>
      <c r="Y92">
        <f>scenario_jobcoeff_4506_iotable_2020_xlsx_3[[#This Row],[2048]]+scenario_jobcoeff_1610_iotable_2020_xlsx_3[[#This Row],[2048]]</f>
        <v>1.5038697652592901</v>
      </c>
      <c r="Z92">
        <f>scenario_jobcoeff_4506_iotable_2020_xlsx_3[[#This Row],[2049]]+scenario_jobcoeff_1610_iotable_2020_xlsx_3[[#This Row],[2049]]</f>
        <v>1.5038697652592901</v>
      </c>
      <c r="AA92">
        <f>scenario_jobcoeff_4506_iotable_2020_xlsx_3[[#This Row],[2050]]+scenario_jobcoeff_1610_iotable_2020_xlsx_3[[#This Row],[2050]]</f>
        <v>1.5038697652592901</v>
      </c>
    </row>
    <row r="93" spans="1:27" x14ac:dyDescent="0.2">
      <c r="A93" t="s">
        <v>298</v>
      </c>
      <c r="B93" t="s">
        <v>299</v>
      </c>
      <c r="C93">
        <f>scenario_jobcoeff_4506_iotable_2020_xlsx_3[[#This Row],[2026]]+scenario_jobcoeff_1610_iotable_2020_xlsx_3[[#This Row],[2026]]</f>
        <v>0.70509258103106931</v>
      </c>
      <c r="D93">
        <f>scenario_jobcoeff_4506_iotable_2020_xlsx_3[[#This Row],[2027]]+scenario_jobcoeff_1610_iotable_2020_xlsx_3[[#This Row],[2027]]</f>
        <v>0.70592943055792745</v>
      </c>
      <c r="E93">
        <f>scenario_jobcoeff_4506_iotable_2020_xlsx_3[[#This Row],[2028]]+scenario_jobcoeff_1610_iotable_2020_xlsx_3[[#This Row],[2028]]</f>
        <v>0.74048695605295378</v>
      </c>
      <c r="F93">
        <f>scenario_jobcoeff_4506_iotable_2020_xlsx_3[[#This Row],[2029]]+scenario_jobcoeff_1610_iotable_2020_xlsx_3[[#This Row],[2029]]</f>
        <v>0.76542176762097425</v>
      </c>
      <c r="G93">
        <f>scenario_jobcoeff_4506_iotable_2020_xlsx_3[[#This Row],[2030]]+scenario_jobcoeff_1610_iotable_2020_xlsx_3[[#This Row],[2030]]</f>
        <v>0.73672105094543194</v>
      </c>
      <c r="H93">
        <f>scenario_jobcoeff_4506_iotable_2020_xlsx_3[[#This Row],[2031]]+scenario_jobcoeff_1610_iotable_2020_xlsx_3[[#This Row],[2031]]</f>
        <v>0.78334605121366685</v>
      </c>
      <c r="I93">
        <f>scenario_jobcoeff_4506_iotable_2020_xlsx_3[[#This Row],[2032]]+scenario_jobcoeff_1610_iotable_2020_xlsx_3[[#This Row],[2032]]</f>
        <v>0.84846201329138971</v>
      </c>
      <c r="J93">
        <f>scenario_jobcoeff_4506_iotable_2020_xlsx_3[[#This Row],[2033]]+scenario_jobcoeff_1610_iotable_2020_xlsx_3[[#This Row],[2033]]</f>
        <v>0.95076867916826535</v>
      </c>
      <c r="K93">
        <f>scenario_jobcoeff_4506_iotable_2020_xlsx_3[[#This Row],[2034]]+scenario_jobcoeff_1610_iotable_2020_xlsx_3[[#This Row],[2034]]</f>
        <v>1.0113624769064362</v>
      </c>
      <c r="L93">
        <f>scenario_jobcoeff_4506_iotable_2020_xlsx_3[[#This Row],[2035]]+scenario_jobcoeff_1610_iotable_2020_xlsx_3[[#This Row],[2035]]</f>
        <v>1.1628115716477749</v>
      </c>
      <c r="M93">
        <f>scenario_jobcoeff_4506_iotable_2020_xlsx_3[[#This Row],[2036]]+scenario_jobcoeff_1610_iotable_2020_xlsx_3[[#This Row],[2036]]</f>
        <v>1.2173416778559523</v>
      </c>
      <c r="N93">
        <f>scenario_jobcoeff_4506_iotable_2020_xlsx_3[[#This Row],[2037]]+scenario_jobcoeff_1610_iotable_2020_xlsx_3[[#This Row],[2037]]</f>
        <v>1.2674605254680325</v>
      </c>
      <c r="O93">
        <f>scenario_jobcoeff_4506_iotable_2020_xlsx_3[[#This Row],[2038]]+scenario_jobcoeff_1610_iotable_2020_xlsx_3[[#This Row],[2038]]</f>
        <v>1.2674605254680325</v>
      </c>
      <c r="P93">
        <f>scenario_jobcoeff_4506_iotable_2020_xlsx_3[[#This Row],[2039]]+scenario_jobcoeff_1610_iotable_2020_xlsx_3[[#This Row],[2039]]</f>
        <v>1.2674605254680325</v>
      </c>
      <c r="Q93">
        <f>scenario_jobcoeff_4506_iotable_2020_xlsx_3[[#This Row],[2040]]+scenario_jobcoeff_1610_iotable_2020_xlsx_3[[#This Row],[2040]]</f>
        <v>1.311040781311454</v>
      </c>
      <c r="R93">
        <f>scenario_jobcoeff_4506_iotable_2020_xlsx_3[[#This Row],[2041]]+scenario_jobcoeff_1610_iotable_2020_xlsx_3[[#This Row],[2041]]</f>
        <v>1.311040781311454</v>
      </c>
      <c r="S93">
        <f>scenario_jobcoeff_4506_iotable_2020_xlsx_3[[#This Row],[2042]]+scenario_jobcoeff_1610_iotable_2020_xlsx_3[[#This Row],[2042]]</f>
        <v>1.3604668352449052</v>
      </c>
      <c r="T93">
        <f>scenario_jobcoeff_4506_iotable_2020_xlsx_3[[#This Row],[2043]]+scenario_jobcoeff_1610_iotable_2020_xlsx_3[[#This Row],[2043]]</f>
        <v>1.3604668352449052</v>
      </c>
      <c r="U93">
        <f>scenario_jobcoeff_4506_iotable_2020_xlsx_3[[#This Row],[2044]]+scenario_jobcoeff_1610_iotable_2020_xlsx_3[[#This Row],[2044]]</f>
        <v>1.4034629798680605</v>
      </c>
      <c r="V93">
        <f>scenario_jobcoeff_4506_iotable_2020_xlsx_3[[#This Row],[2045]]+scenario_jobcoeff_1610_iotable_2020_xlsx_3[[#This Row],[2045]]</f>
        <v>1.4034629798680605</v>
      </c>
      <c r="W93">
        <f>scenario_jobcoeff_4506_iotable_2020_xlsx_3[[#This Row],[2046]]+scenario_jobcoeff_1610_iotable_2020_xlsx_3[[#This Row],[2046]]</f>
        <v>1.4413447540969428</v>
      </c>
      <c r="X93">
        <f>scenario_jobcoeff_4506_iotable_2020_xlsx_3[[#This Row],[2047]]+scenario_jobcoeff_1610_iotable_2020_xlsx_3[[#This Row],[2047]]</f>
        <v>1.4413447540969428</v>
      </c>
      <c r="Y93">
        <f>scenario_jobcoeff_4506_iotable_2020_xlsx_3[[#This Row],[2048]]+scenario_jobcoeff_1610_iotable_2020_xlsx_3[[#This Row],[2048]]</f>
        <v>1.4413447540969428</v>
      </c>
      <c r="Z93">
        <f>scenario_jobcoeff_4506_iotable_2020_xlsx_3[[#This Row],[2049]]+scenario_jobcoeff_1610_iotable_2020_xlsx_3[[#This Row],[2049]]</f>
        <v>1.4413447540969428</v>
      </c>
      <c r="AA93">
        <f>scenario_jobcoeff_4506_iotable_2020_xlsx_3[[#This Row],[2050]]+scenario_jobcoeff_1610_iotable_2020_xlsx_3[[#This Row],[2050]]</f>
        <v>1.4413447540969428</v>
      </c>
    </row>
    <row r="94" spans="1:27" x14ac:dyDescent="0.2">
      <c r="A94" t="s">
        <v>282</v>
      </c>
      <c r="B94" t="s">
        <v>283</v>
      </c>
      <c r="C94">
        <f>scenario_jobcoeff_4506_iotable_2020_xlsx_3[[#This Row],[2026]]+scenario_jobcoeff_1610_iotable_2020_xlsx_3[[#This Row],[2026]]</f>
        <v>1.5306999919090907</v>
      </c>
      <c r="D94">
        <f>scenario_jobcoeff_4506_iotable_2020_xlsx_3[[#This Row],[2027]]+scenario_jobcoeff_1610_iotable_2020_xlsx_3[[#This Row],[2027]]</f>
        <v>1.1927573837200434</v>
      </c>
      <c r="E94">
        <f>scenario_jobcoeff_4506_iotable_2020_xlsx_3[[#This Row],[2028]]+scenario_jobcoeff_1610_iotable_2020_xlsx_3[[#This Row],[2028]]</f>
        <v>1.2879730120142356</v>
      </c>
      <c r="F94">
        <f>scenario_jobcoeff_4506_iotable_2020_xlsx_3[[#This Row],[2029]]+scenario_jobcoeff_1610_iotable_2020_xlsx_3[[#This Row],[2029]]</f>
        <v>1.2205760189335961</v>
      </c>
      <c r="G94">
        <f>scenario_jobcoeff_4506_iotable_2020_xlsx_3[[#This Row],[2030]]+scenario_jobcoeff_1610_iotable_2020_xlsx_3[[#This Row],[2030]]</f>
        <v>-1.2128153760118998E-2</v>
      </c>
      <c r="H94">
        <f>scenario_jobcoeff_4506_iotable_2020_xlsx_3[[#This Row],[2031]]+scenario_jobcoeff_1610_iotable_2020_xlsx_3[[#This Row],[2031]]</f>
        <v>0.11633673575854075</v>
      </c>
      <c r="I94">
        <f>scenario_jobcoeff_4506_iotable_2020_xlsx_3[[#This Row],[2032]]+scenario_jobcoeff_1610_iotable_2020_xlsx_3[[#This Row],[2032]]</f>
        <v>0.2957493861840903</v>
      </c>
      <c r="J94">
        <f>scenario_jobcoeff_4506_iotable_2020_xlsx_3[[#This Row],[2033]]+scenario_jobcoeff_1610_iotable_2020_xlsx_3[[#This Row],[2033]]</f>
        <v>-6.5918945080102098E-2</v>
      </c>
      <c r="K94">
        <f>scenario_jobcoeff_4506_iotable_2020_xlsx_3[[#This Row],[2034]]+scenario_jobcoeff_1610_iotable_2020_xlsx_3[[#This Row],[2034]]</f>
        <v>0.10103388038193817</v>
      </c>
      <c r="L94">
        <f>scenario_jobcoeff_4506_iotable_2020_xlsx_3[[#This Row],[2035]]+scenario_jobcoeff_1610_iotable_2020_xlsx_3[[#This Row],[2035]]</f>
        <v>-0.29634131674436937</v>
      </c>
      <c r="M94">
        <f>scenario_jobcoeff_4506_iotable_2020_xlsx_3[[#This Row],[2036]]+scenario_jobcoeff_1610_iotable_2020_xlsx_3[[#This Row],[2036]]</f>
        <v>-0.68082226087402464</v>
      </c>
      <c r="N94">
        <f>scenario_jobcoeff_4506_iotable_2020_xlsx_3[[#This Row],[2037]]+scenario_jobcoeff_1610_iotable_2020_xlsx_3[[#This Row],[2037]]</f>
        <v>-1.0101919454140083</v>
      </c>
      <c r="O94">
        <f>scenario_jobcoeff_4506_iotable_2020_xlsx_3[[#This Row],[2038]]+scenario_jobcoeff_1610_iotable_2020_xlsx_3[[#This Row],[2038]]</f>
        <v>-1.0101919454140083</v>
      </c>
      <c r="P94">
        <f>scenario_jobcoeff_4506_iotable_2020_xlsx_3[[#This Row],[2039]]+scenario_jobcoeff_1610_iotable_2020_xlsx_3[[#This Row],[2039]]</f>
        <v>-1.0101919454140083</v>
      </c>
      <c r="Q94">
        <f>scenario_jobcoeff_4506_iotable_2020_xlsx_3[[#This Row],[2040]]+scenario_jobcoeff_1610_iotable_2020_xlsx_3[[#This Row],[2040]]</f>
        <v>-1.3005034908912592</v>
      </c>
      <c r="R94">
        <f>scenario_jobcoeff_4506_iotable_2020_xlsx_3[[#This Row],[2041]]+scenario_jobcoeff_1610_iotable_2020_xlsx_3[[#This Row],[2041]]</f>
        <v>-1.3005034908912592</v>
      </c>
      <c r="S94">
        <f>scenario_jobcoeff_4506_iotable_2020_xlsx_3[[#This Row],[2042]]+scenario_jobcoeff_1610_iotable_2020_xlsx_3[[#This Row],[2042]]</f>
        <v>-1.6172871046932595</v>
      </c>
      <c r="T94">
        <f>scenario_jobcoeff_4506_iotable_2020_xlsx_3[[#This Row],[2043]]+scenario_jobcoeff_1610_iotable_2020_xlsx_3[[#This Row],[2043]]</f>
        <v>-1.6172871046932595</v>
      </c>
      <c r="U94">
        <f>scenario_jobcoeff_4506_iotable_2020_xlsx_3[[#This Row],[2044]]+scenario_jobcoeff_1610_iotable_2020_xlsx_3[[#This Row],[2044]]</f>
        <v>-1.929591618117156</v>
      </c>
      <c r="V94">
        <f>scenario_jobcoeff_4506_iotable_2020_xlsx_3[[#This Row],[2045]]+scenario_jobcoeff_1610_iotable_2020_xlsx_3[[#This Row],[2045]]</f>
        <v>-1.929591618117156</v>
      </c>
      <c r="W94">
        <f>scenario_jobcoeff_4506_iotable_2020_xlsx_3[[#This Row],[2046]]+scenario_jobcoeff_1610_iotable_2020_xlsx_3[[#This Row],[2046]]</f>
        <v>-2.1920060902609588</v>
      </c>
      <c r="X94">
        <f>scenario_jobcoeff_4506_iotable_2020_xlsx_3[[#This Row],[2047]]+scenario_jobcoeff_1610_iotable_2020_xlsx_3[[#This Row],[2047]]</f>
        <v>-2.1920060902609588</v>
      </c>
      <c r="Y94">
        <f>scenario_jobcoeff_4506_iotable_2020_xlsx_3[[#This Row],[2048]]+scenario_jobcoeff_1610_iotable_2020_xlsx_3[[#This Row],[2048]]</f>
        <v>-2.1920060902609588</v>
      </c>
      <c r="Z94">
        <f>scenario_jobcoeff_4506_iotable_2020_xlsx_3[[#This Row],[2049]]+scenario_jobcoeff_1610_iotable_2020_xlsx_3[[#This Row],[2049]]</f>
        <v>-2.1920060902609588</v>
      </c>
      <c r="AA94">
        <f>scenario_jobcoeff_4506_iotable_2020_xlsx_3[[#This Row],[2050]]+scenario_jobcoeff_1610_iotable_2020_xlsx_3[[#This Row],[2050]]</f>
        <v>-2.1920060902609588</v>
      </c>
    </row>
    <row r="95" spans="1:27" x14ac:dyDescent="0.2">
      <c r="A95" t="s">
        <v>310</v>
      </c>
      <c r="B95" t="s">
        <v>311</v>
      </c>
      <c r="C95">
        <f>scenario_jobcoeff_4506_iotable_2020_xlsx_3[[#This Row],[2026]]+scenario_jobcoeff_1610_iotable_2020_xlsx_3[[#This Row],[2026]]</f>
        <v>6.6060343637985484E-4</v>
      </c>
      <c r="D95">
        <f>scenario_jobcoeff_4506_iotable_2020_xlsx_3[[#This Row],[2027]]+scenario_jobcoeff_1610_iotable_2020_xlsx_3[[#This Row],[2027]]</f>
        <v>5.8546614225062109E-4</v>
      </c>
      <c r="E95">
        <f>scenario_jobcoeff_4506_iotable_2020_xlsx_3[[#This Row],[2028]]+scenario_jobcoeff_1610_iotable_2020_xlsx_3[[#This Row],[2028]]</f>
        <v>6.2235566732917326E-4</v>
      </c>
      <c r="F95">
        <f>scenario_jobcoeff_4506_iotable_2020_xlsx_3[[#This Row],[2029]]+scenario_jobcoeff_1610_iotable_2020_xlsx_3[[#This Row],[2029]]</f>
        <v>6.185608723195922E-4</v>
      </c>
      <c r="G95">
        <f>scenario_jobcoeff_4506_iotable_2020_xlsx_3[[#This Row],[2030]]+scenario_jobcoeff_1610_iotable_2020_xlsx_3[[#This Row],[2030]]</f>
        <v>3.3013853847818696E-4</v>
      </c>
      <c r="H95">
        <f>scenario_jobcoeff_4506_iotable_2020_xlsx_3[[#This Row],[2031]]+scenario_jobcoeff_1610_iotable_2020_xlsx_3[[#This Row],[2031]]</f>
        <v>3.7990987169850374E-4</v>
      </c>
      <c r="I95">
        <f>scenario_jobcoeff_4506_iotable_2020_xlsx_3[[#This Row],[2032]]+scenario_jobcoeff_1610_iotable_2020_xlsx_3[[#This Row],[2032]]</f>
        <v>4.4941996773897213E-4</v>
      </c>
      <c r="J95">
        <f>scenario_jobcoeff_4506_iotable_2020_xlsx_3[[#This Row],[2033]]+scenario_jobcoeff_1610_iotable_2020_xlsx_3[[#This Row],[2033]]</f>
        <v>4.1482481148653189E-4</v>
      </c>
      <c r="K95">
        <f>scenario_jobcoeff_4506_iotable_2020_xlsx_3[[#This Row],[2034]]+scenario_jobcoeff_1610_iotable_2020_xlsx_3[[#This Row],[2034]]</f>
        <v>4.7950757997898921E-4</v>
      </c>
      <c r="L95">
        <f>scenario_jobcoeff_4506_iotable_2020_xlsx_3[[#This Row],[2035]]+scenario_jobcoeff_1610_iotable_2020_xlsx_3[[#This Row],[2035]]</f>
        <v>4.5913592339368427E-4</v>
      </c>
      <c r="M95">
        <f>scenario_jobcoeff_4506_iotable_2020_xlsx_3[[#This Row],[2036]]+scenario_jobcoeff_1610_iotable_2020_xlsx_3[[#This Row],[2036]]</f>
        <v>3.9785782162465042E-4</v>
      </c>
      <c r="N95">
        <f>scenario_jobcoeff_4506_iotable_2020_xlsx_3[[#This Row],[2037]]+scenario_jobcoeff_1610_iotable_2020_xlsx_3[[#This Row],[2037]]</f>
        <v>3.4690167892088451E-4</v>
      </c>
      <c r="O95">
        <f>scenario_jobcoeff_4506_iotable_2020_xlsx_3[[#This Row],[2038]]+scenario_jobcoeff_1610_iotable_2020_xlsx_3[[#This Row],[2038]]</f>
        <v>3.4690167892088451E-4</v>
      </c>
      <c r="P95">
        <f>scenario_jobcoeff_4506_iotable_2020_xlsx_3[[#This Row],[2039]]+scenario_jobcoeff_1610_iotable_2020_xlsx_3[[#This Row],[2039]]</f>
        <v>3.4690167892088451E-4</v>
      </c>
      <c r="Q95">
        <f>scenario_jobcoeff_4506_iotable_2020_xlsx_3[[#This Row],[2040]]+scenario_jobcoeff_1610_iotable_2020_xlsx_3[[#This Row],[2040]]</f>
        <v>3.0171920193830483E-4</v>
      </c>
      <c r="R95">
        <f>scenario_jobcoeff_4506_iotable_2020_xlsx_3[[#This Row],[2041]]+scenario_jobcoeff_1610_iotable_2020_xlsx_3[[#This Row],[2041]]</f>
        <v>3.0171920193830483E-4</v>
      </c>
      <c r="S95">
        <f>scenario_jobcoeff_4506_iotable_2020_xlsx_3[[#This Row],[2042]]+scenario_jobcoeff_1610_iotable_2020_xlsx_3[[#This Row],[2042]]</f>
        <v>2.5326249275142753E-4</v>
      </c>
      <c r="T95">
        <f>scenario_jobcoeff_4506_iotable_2020_xlsx_3[[#This Row],[2043]]+scenario_jobcoeff_1610_iotable_2020_xlsx_3[[#This Row],[2043]]</f>
        <v>2.5326249275142753E-4</v>
      </c>
      <c r="U95">
        <f>scenario_jobcoeff_4506_iotable_2020_xlsx_3[[#This Row],[2044]]+scenario_jobcoeff_1610_iotable_2020_xlsx_3[[#This Row],[2044]]</f>
        <v>2.0290165017887571E-4</v>
      </c>
      <c r="V95">
        <f>scenario_jobcoeff_4506_iotable_2020_xlsx_3[[#This Row],[2045]]+scenario_jobcoeff_1610_iotable_2020_xlsx_3[[#This Row],[2045]]</f>
        <v>2.0290165017887571E-4</v>
      </c>
      <c r="W95">
        <f>scenario_jobcoeff_4506_iotable_2020_xlsx_3[[#This Row],[2046]]+scenario_jobcoeff_1610_iotable_2020_xlsx_3[[#This Row],[2046]]</f>
        <v>1.6137838884448764E-4</v>
      </c>
      <c r="X95">
        <f>scenario_jobcoeff_4506_iotable_2020_xlsx_3[[#This Row],[2047]]+scenario_jobcoeff_1610_iotable_2020_xlsx_3[[#This Row],[2047]]</f>
        <v>1.6137838884448764E-4</v>
      </c>
      <c r="Y95">
        <f>scenario_jobcoeff_4506_iotable_2020_xlsx_3[[#This Row],[2048]]+scenario_jobcoeff_1610_iotable_2020_xlsx_3[[#This Row],[2048]]</f>
        <v>1.6137838884448764E-4</v>
      </c>
      <c r="Z95">
        <f>scenario_jobcoeff_4506_iotable_2020_xlsx_3[[#This Row],[2049]]+scenario_jobcoeff_1610_iotable_2020_xlsx_3[[#This Row],[2049]]</f>
        <v>1.6137838884448764E-4</v>
      </c>
      <c r="AA95">
        <f>scenario_jobcoeff_4506_iotable_2020_xlsx_3[[#This Row],[2050]]+scenario_jobcoeff_1610_iotable_2020_xlsx_3[[#This Row],[2050]]</f>
        <v>1.6137838884448764E-4</v>
      </c>
    </row>
    <row r="96" spans="1:27" x14ac:dyDescent="0.2">
      <c r="A96" t="s">
        <v>306</v>
      </c>
      <c r="B96" t="s">
        <v>307</v>
      </c>
      <c r="C96">
        <f>scenario_jobcoeff_4506_iotable_2020_xlsx_3[[#This Row],[2026]]+scenario_jobcoeff_1610_iotable_2020_xlsx_3[[#This Row],[2026]]</f>
        <v>2.5499615708674768E-2</v>
      </c>
      <c r="D96">
        <f>scenario_jobcoeff_4506_iotable_2020_xlsx_3[[#This Row],[2027]]+scenario_jobcoeff_1610_iotable_2020_xlsx_3[[#This Row],[2027]]</f>
        <v>2.2587753883194943E-2</v>
      </c>
      <c r="E96">
        <f>scenario_jobcoeff_4506_iotable_2020_xlsx_3[[#This Row],[2028]]+scenario_jobcoeff_1610_iotable_2020_xlsx_3[[#This Row],[2028]]</f>
        <v>2.4012392624701666E-2</v>
      </c>
      <c r="F96">
        <f>scenario_jobcoeff_4506_iotable_2020_xlsx_3[[#This Row],[2029]]+scenario_jobcoeff_1610_iotable_2020_xlsx_3[[#This Row],[2029]]</f>
        <v>2.3861789116926851E-2</v>
      </c>
      <c r="G96">
        <f>scenario_jobcoeff_4506_iotable_2020_xlsx_3[[#This Row],[2030]]+scenario_jobcoeff_1610_iotable_2020_xlsx_3[[#This Row],[2030]]</f>
        <v>1.2688843041473538E-2</v>
      </c>
      <c r="H96">
        <f>scenario_jobcoeff_4506_iotable_2020_xlsx_3[[#This Row],[2031]]+scenario_jobcoeff_1610_iotable_2020_xlsx_3[[#This Row],[2031]]</f>
        <v>1.4610965090242574E-2</v>
      </c>
      <c r="I96">
        <f>scenario_jobcoeff_4506_iotable_2020_xlsx_3[[#This Row],[2032]]+scenario_jobcoeff_1610_iotable_2020_xlsx_3[[#This Row],[2032]]</f>
        <v>1.729537958281837E-2</v>
      </c>
      <c r="J96">
        <f>scenario_jobcoeff_4506_iotable_2020_xlsx_3[[#This Row],[2033]]+scenario_jobcoeff_1610_iotable_2020_xlsx_3[[#This Row],[2033]]</f>
        <v>1.5940186694390991E-2</v>
      </c>
      <c r="K96">
        <f>scenario_jobcoeff_4506_iotable_2020_xlsx_3[[#This Row],[2034]]+scenario_jobcoeff_1610_iotable_2020_xlsx_3[[#This Row],[2034]]</f>
        <v>1.8438174340099152E-2</v>
      </c>
      <c r="L96">
        <f>scenario_jobcoeff_4506_iotable_2020_xlsx_3[[#This Row],[2035]]+scenario_jobcoeff_1610_iotable_2020_xlsx_3[[#This Row],[2035]]</f>
        <v>1.7627185213178929E-2</v>
      </c>
      <c r="M96">
        <f>scenario_jobcoeff_4506_iotable_2020_xlsx_3[[#This Row],[2036]]+scenario_jobcoeff_1610_iotable_2020_xlsx_3[[#This Row],[2036]]</f>
        <v>1.5244762139138293E-2</v>
      </c>
      <c r="N96">
        <f>scenario_jobcoeff_4506_iotable_2020_xlsx_3[[#This Row],[2037]]+scenario_jobcoeff_1610_iotable_2020_xlsx_3[[#This Row],[2037]]</f>
        <v>1.3262966110848387E-2</v>
      </c>
      <c r="O96">
        <f>scenario_jobcoeff_4506_iotable_2020_xlsx_3[[#This Row],[2038]]+scenario_jobcoeff_1610_iotable_2020_xlsx_3[[#This Row],[2038]]</f>
        <v>1.3262966110848387E-2</v>
      </c>
      <c r="P96">
        <f>scenario_jobcoeff_4506_iotable_2020_xlsx_3[[#This Row],[2039]]+scenario_jobcoeff_1610_iotable_2020_xlsx_3[[#This Row],[2039]]</f>
        <v>1.3262966110848387E-2</v>
      </c>
      <c r="Q96">
        <f>scenario_jobcoeff_4506_iotable_2020_xlsx_3[[#This Row],[2040]]+scenario_jobcoeff_1610_iotable_2020_xlsx_3[[#This Row],[2040]]</f>
        <v>1.1505842880881564E-2</v>
      </c>
      <c r="R96">
        <f>scenario_jobcoeff_4506_iotable_2020_xlsx_3[[#This Row],[2041]]+scenario_jobcoeff_1610_iotable_2020_xlsx_3[[#This Row],[2041]]</f>
        <v>1.1505842880881564E-2</v>
      </c>
      <c r="S96">
        <f>scenario_jobcoeff_4506_iotable_2020_xlsx_3[[#This Row],[2042]]+scenario_jobcoeff_1610_iotable_2020_xlsx_3[[#This Row],[2042]]</f>
        <v>9.6210041807767294E-3</v>
      </c>
      <c r="T96">
        <f>scenario_jobcoeff_4506_iotable_2020_xlsx_3[[#This Row],[2043]]+scenario_jobcoeff_1610_iotable_2020_xlsx_3[[#This Row],[2043]]</f>
        <v>9.6210041807767294E-3</v>
      </c>
      <c r="U96">
        <f>scenario_jobcoeff_4506_iotable_2020_xlsx_3[[#This Row],[2044]]+scenario_jobcoeff_1610_iotable_2020_xlsx_3[[#This Row],[2044]]</f>
        <v>7.6632904634042487E-3</v>
      </c>
      <c r="V96">
        <f>scenario_jobcoeff_4506_iotable_2020_xlsx_3[[#This Row],[2045]]+scenario_jobcoeff_1610_iotable_2020_xlsx_3[[#This Row],[2045]]</f>
        <v>7.6632904634042487E-3</v>
      </c>
      <c r="W96">
        <f>scenario_jobcoeff_4506_iotable_2020_xlsx_3[[#This Row],[2046]]+scenario_jobcoeff_1610_iotable_2020_xlsx_3[[#This Row],[2046]]</f>
        <v>6.0487807438124042E-3</v>
      </c>
      <c r="X96">
        <f>scenario_jobcoeff_4506_iotable_2020_xlsx_3[[#This Row],[2047]]+scenario_jobcoeff_1610_iotable_2020_xlsx_3[[#This Row],[2047]]</f>
        <v>6.0487807438124042E-3</v>
      </c>
      <c r="Y96">
        <f>scenario_jobcoeff_4506_iotable_2020_xlsx_3[[#This Row],[2048]]+scenario_jobcoeff_1610_iotable_2020_xlsx_3[[#This Row],[2048]]</f>
        <v>6.0487807438124042E-3</v>
      </c>
      <c r="Z96">
        <f>scenario_jobcoeff_4506_iotable_2020_xlsx_3[[#This Row],[2049]]+scenario_jobcoeff_1610_iotable_2020_xlsx_3[[#This Row],[2049]]</f>
        <v>6.0487807438124042E-3</v>
      </c>
      <c r="AA96">
        <f>scenario_jobcoeff_4506_iotable_2020_xlsx_3[[#This Row],[2050]]+scenario_jobcoeff_1610_iotable_2020_xlsx_3[[#This Row],[2050]]</f>
        <v>6.0487807438124042E-3</v>
      </c>
    </row>
    <row r="97" spans="1:27" x14ac:dyDescent="0.2">
      <c r="A97" t="s">
        <v>102</v>
      </c>
      <c r="B97" t="s">
        <v>103</v>
      </c>
      <c r="C97">
        <f>scenario_jobcoeff_4506_iotable_2020_xlsx_3[[#This Row],[2026]]+scenario_jobcoeff_1610_iotable_2020_xlsx_3[[#This Row],[2026]]</f>
        <v>63.925227232839788</v>
      </c>
      <c r="D97">
        <f>scenario_jobcoeff_4506_iotable_2020_xlsx_3[[#This Row],[2027]]+scenario_jobcoeff_1610_iotable_2020_xlsx_3[[#This Row],[2027]]</f>
        <v>49.363026345069329</v>
      </c>
      <c r="E97">
        <f>scenario_jobcoeff_4506_iotable_2020_xlsx_3[[#This Row],[2028]]+scenario_jobcoeff_1610_iotable_2020_xlsx_3[[#This Row],[2028]]</f>
        <v>53.366117305434294</v>
      </c>
      <c r="F97">
        <f>scenario_jobcoeff_4506_iotable_2020_xlsx_3[[#This Row],[2029]]+scenario_jobcoeff_1610_iotable_2020_xlsx_3[[#This Row],[2029]]</f>
        <v>50.390871088382113</v>
      </c>
      <c r="G97">
        <f>scenario_jobcoeff_4506_iotable_2020_xlsx_3[[#This Row],[2030]]+scenario_jobcoeff_1610_iotable_2020_xlsx_3[[#This Row],[2030]]</f>
        <v>-2.6361777307276952</v>
      </c>
      <c r="H97">
        <f>scenario_jobcoeff_4506_iotable_2020_xlsx_3[[#This Row],[2031]]+scenario_jobcoeff_1610_iotable_2020_xlsx_3[[#This Row],[2031]]</f>
        <v>2.7647910720775428</v>
      </c>
      <c r="I97">
        <f>scenario_jobcoeff_4506_iotable_2020_xlsx_3[[#This Row],[2032]]+scenario_jobcoeff_1610_iotable_2020_xlsx_3[[#This Row],[2032]]</f>
        <v>10.307724642547299</v>
      </c>
      <c r="J97">
        <f>scenario_jobcoeff_4506_iotable_2020_xlsx_3[[#This Row],[2033]]+scenario_jobcoeff_1610_iotable_2020_xlsx_3[[#This Row],[2033]]</f>
        <v>-5.567783813255204</v>
      </c>
      <c r="K97">
        <f>scenario_jobcoeff_4506_iotable_2020_xlsx_3[[#This Row],[2034]]+scenario_jobcoeff_1610_iotable_2020_xlsx_3[[#This Row],[2034]]</f>
        <v>1.4513091485590053</v>
      </c>
      <c r="L97">
        <f>scenario_jobcoeff_4506_iotable_2020_xlsx_3[[#This Row],[2035]]+scenario_jobcoeff_1610_iotable_2020_xlsx_3[[#This Row],[2035]]</f>
        <v>-16.103570928621764</v>
      </c>
      <c r="M97">
        <f>scenario_jobcoeff_4506_iotable_2020_xlsx_3[[#This Row],[2036]]+scenario_jobcoeff_1610_iotable_2020_xlsx_3[[#This Row],[2036]]</f>
        <v>-32.824858993502573</v>
      </c>
      <c r="N97">
        <f>scenario_jobcoeff_4506_iotable_2020_xlsx_3[[#This Row],[2037]]+scenario_jobcoeff_1610_iotable_2020_xlsx_3[[#This Row],[2037]]</f>
        <v>-47.159097115494944</v>
      </c>
      <c r="O97">
        <f>scenario_jobcoeff_4506_iotable_2020_xlsx_3[[#This Row],[2038]]+scenario_jobcoeff_1610_iotable_2020_xlsx_3[[#This Row],[2038]]</f>
        <v>-47.159097115494944</v>
      </c>
      <c r="P97">
        <f>scenario_jobcoeff_4506_iotable_2020_xlsx_3[[#This Row],[2039]]+scenario_jobcoeff_1610_iotable_2020_xlsx_3[[#This Row],[2039]]</f>
        <v>-47.159097115494944</v>
      </c>
      <c r="Q97">
        <f>scenario_jobcoeff_4506_iotable_2020_xlsx_3[[#This Row],[2040]]+scenario_jobcoeff_1610_iotable_2020_xlsx_3[[#This Row],[2040]]</f>
        <v>-59.791808950553673</v>
      </c>
      <c r="R97">
        <f>scenario_jobcoeff_4506_iotable_2020_xlsx_3[[#This Row],[2041]]+scenario_jobcoeff_1610_iotable_2020_xlsx_3[[#This Row],[2041]]</f>
        <v>-59.791808950553673</v>
      </c>
      <c r="S97">
        <f>scenario_jobcoeff_4506_iotable_2020_xlsx_3[[#This Row],[2042]]+scenario_jobcoeff_1610_iotable_2020_xlsx_3[[#This Row],[2042]]</f>
        <v>-73.581805621385456</v>
      </c>
      <c r="T97">
        <f>scenario_jobcoeff_4506_iotable_2020_xlsx_3[[#This Row],[2043]]+scenario_jobcoeff_1610_iotable_2020_xlsx_3[[#This Row],[2043]]</f>
        <v>-73.581805621385456</v>
      </c>
      <c r="U97">
        <f>scenario_jobcoeff_4506_iotable_2020_xlsx_3[[#This Row],[2044]]+scenario_jobcoeff_1610_iotable_2020_xlsx_3[[#This Row],[2044]]</f>
        <v>-87.160378904277991</v>
      </c>
      <c r="V97">
        <f>scenario_jobcoeff_4506_iotable_2020_xlsx_3[[#This Row],[2045]]+scenario_jobcoeff_1610_iotable_2020_xlsx_3[[#This Row],[2045]]</f>
        <v>-87.160378904277991</v>
      </c>
      <c r="W97">
        <f>scenario_jobcoeff_4506_iotable_2020_xlsx_3[[#This Row],[2046]]+scenario_jobcoeff_1610_iotable_2020_xlsx_3[[#This Row],[2046]]</f>
        <v>-98.574834142051543</v>
      </c>
      <c r="X97">
        <f>scenario_jobcoeff_4506_iotable_2020_xlsx_3[[#This Row],[2047]]+scenario_jobcoeff_1610_iotable_2020_xlsx_3[[#This Row],[2047]]</f>
        <v>-98.574834142051543</v>
      </c>
      <c r="Y97">
        <f>scenario_jobcoeff_4506_iotable_2020_xlsx_3[[#This Row],[2048]]+scenario_jobcoeff_1610_iotable_2020_xlsx_3[[#This Row],[2048]]</f>
        <v>-98.574834142051543</v>
      </c>
      <c r="Z97">
        <f>scenario_jobcoeff_4506_iotable_2020_xlsx_3[[#This Row],[2049]]+scenario_jobcoeff_1610_iotable_2020_xlsx_3[[#This Row],[2049]]</f>
        <v>-98.574834142051543</v>
      </c>
      <c r="AA97">
        <f>scenario_jobcoeff_4506_iotable_2020_xlsx_3[[#This Row],[2050]]+scenario_jobcoeff_1610_iotable_2020_xlsx_3[[#This Row],[2050]]</f>
        <v>-98.574834142051543</v>
      </c>
    </row>
    <row r="98" spans="1:27" x14ac:dyDescent="0.2">
      <c r="A98" t="s">
        <v>294</v>
      </c>
      <c r="B98" t="s">
        <v>295</v>
      </c>
      <c r="C98">
        <f>scenario_jobcoeff_4506_iotable_2020_xlsx_3[[#This Row],[2026]]+scenario_jobcoeff_1610_iotable_2020_xlsx_3[[#This Row],[2026]]</f>
        <v>0.60180014658471348</v>
      </c>
      <c r="D98">
        <f>scenario_jobcoeff_4506_iotable_2020_xlsx_3[[#This Row],[2027]]+scenario_jobcoeff_1610_iotable_2020_xlsx_3[[#This Row],[2027]]</f>
        <v>0.39147108324596713</v>
      </c>
      <c r="E98">
        <f>scenario_jobcoeff_4506_iotable_2020_xlsx_3[[#This Row],[2028]]+scenario_jobcoeff_1610_iotable_2020_xlsx_3[[#This Row],[2028]]</f>
        <v>0.43350971016735529</v>
      </c>
      <c r="F98">
        <f>scenario_jobcoeff_4506_iotable_2020_xlsx_3[[#This Row],[2029]]+scenario_jobcoeff_1610_iotable_2020_xlsx_3[[#This Row],[2029]]</f>
        <v>0.37930363443339044</v>
      </c>
      <c r="G98">
        <f>scenario_jobcoeff_4506_iotable_2020_xlsx_3[[#This Row],[2030]]+scenario_jobcoeff_1610_iotable_2020_xlsx_3[[#This Row],[2030]]</f>
        <v>-0.37219100579106112</v>
      </c>
      <c r="H98">
        <f>scenario_jobcoeff_4506_iotable_2020_xlsx_3[[#This Row],[2031]]+scenario_jobcoeff_1610_iotable_2020_xlsx_3[[#This Row],[2031]]</f>
        <v>-0.31547250632072066</v>
      </c>
      <c r="I98">
        <f>scenario_jobcoeff_4506_iotable_2020_xlsx_3[[#This Row],[2032]]+scenario_jobcoeff_1610_iotable_2020_xlsx_3[[#This Row],[2032]]</f>
        <v>-0.23626007437715968</v>
      </c>
      <c r="J98">
        <f>scenario_jobcoeff_4506_iotable_2020_xlsx_3[[#This Row],[2033]]+scenario_jobcoeff_1610_iotable_2020_xlsx_3[[#This Row],[2033]]</f>
        <v>-0.51155138618318929</v>
      </c>
      <c r="K98">
        <f>scenario_jobcoeff_4506_iotable_2020_xlsx_3[[#This Row],[2034]]+scenario_jobcoeff_1610_iotable_2020_xlsx_3[[#This Row],[2034]]</f>
        <v>-0.43784008827120124</v>
      </c>
      <c r="L98">
        <f>scenario_jobcoeff_4506_iotable_2020_xlsx_3[[#This Row],[2035]]+scenario_jobcoeff_1610_iotable_2020_xlsx_3[[#This Row],[2035]]</f>
        <v>-0.75963511879430845</v>
      </c>
      <c r="M98">
        <f>scenario_jobcoeff_4506_iotable_2020_xlsx_3[[#This Row],[2036]]+scenario_jobcoeff_1610_iotable_2020_xlsx_3[[#This Row],[2036]]</f>
        <v>-1.0254484660287098</v>
      </c>
      <c r="N98">
        <f>scenario_jobcoeff_4506_iotable_2020_xlsx_3[[#This Row],[2037]]+scenario_jobcoeff_1610_iotable_2020_xlsx_3[[#This Row],[2037]]</f>
        <v>-1.2548457048899531</v>
      </c>
      <c r="O98">
        <f>scenario_jobcoeff_4506_iotable_2020_xlsx_3[[#This Row],[2038]]+scenario_jobcoeff_1610_iotable_2020_xlsx_3[[#This Row],[2038]]</f>
        <v>-1.2548457048899531</v>
      </c>
      <c r="P98">
        <f>scenario_jobcoeff_4506_iotable_2020_xlsx_3[[#This Row],[2039]]+scenario_jobcoeff_1610_iotable_2020_xlsx_3[[#This Row],[2039]]</f>
        <v>-1.2548457048899531</v>
      </c>
      <c r="Q98">
        <f>scenario_jobcoeff_4506_iotable_2020_xlsx_3[[#This Row],[2040]]+scenario_jobcoeff_1610_iotable_2020_xlsx_3[[#This Row],[2040]]</f>
        <v>-1.4567453424465744</v>
      </c>
      <c r="R98">
        <f>scenario_jobcoeff_4506_iotable_2020_xlsx_3[[#This Row],[2041]]+scenario_jobcoeff_1610_iotable_2020_xlsx_3[[#This Row],[2041]]</f>
        <v>-1.4567453424465744</v>
      </c>
      <c r="S98">
        <f>scenario_jobcoeff_4506_iotable_2020_xlsx_3[[#This Row],[2042]]+scenario_jobcoeff_1610_iotable_2020_xlsx_3[[#This Row],[2042]]</f>
        <v>-1.6779817620184057</v>
      </c>
      <c r="T98">
        <f>scenario_jobcoeff_4506_iotable_2020_xlsx_3[[#This Row],[2043]]+scenario_jobcoeff_1610_iotable_2020_xlsx_3[[#This Row],[2043]]</f>
        <v>-1.6779817620184057</v>
      </c>
      <c r="U98">
        <f>scenario_jobcoeff_4506_iotable_2020_xlsx_3[[#This Row],[2044]]+scenario_jobcoeff_1610_iotable_2020_xlsx_3[[#This Row],[2044]]</f>
        <v>-1.8932533286639783</v>
      </c>
      <c r="V98">
        <f>scenario_jobcoeff_4506_iotable_2020_xlsx_3[[#This Row],[2045]]+scenario_jobcoeff_1610_iotable_2020_xlsx_3[[#This Row],[2045]]</f>
        <v>-1.8932533286639783</v>
      </c>
      <c r="W98">
        <f>scenario_jobcoeff_4506_iotable_2020_xlsx_3[[#This Row],[2046]]+scenario_jobcoeff_1610_iotable_2020_xlsx_3[[#This Row],[2046]]</f>
        <v>-2.0750039525602655</v>
      </c>
      <c r="X98">
        <f>scenario_jobcoeff_4506_iotable_2020_xlsx_3[[#This Row],[2047]]+scenario_jobcoeff_1610_iotable_2020_xlsx_3[[#This Row],[2047]]</f>
        <v>-2.0750039525602655</v>
      </c>
      <c r="Y98">
        <f>scenario_jobcoeff_4506_iotable_2020_xlsx_3[[#This Row],[2048]]+scenario_jobcoeff_1610_iotable_2020_xlsx_3[[#This Row],[2048]]</f>
        <v>-2.0750039525602655</v>
      </c>
      <c r="Z98">
        <f>scenario_jobcoeff_4506_iotable_2020_xlsx_3[[#This Row],[2049]]+scenario_jobcoeff_1610_iotable_2020_xlsx_3[[#This Row],[2049]]</f>
        <v>-2.0750039525602655</v>
      </c>
      <c r="AA98">
        <f>scenario_jobcoeff_4506_iotable_2020_xlsx_3[[#This Row],[2050]]+scenario_jobcoeff_1610_iotable_2020_xlsx_3[[#This Row],[2050]]</f>
        <v>-2.0750039525602655</v>
      </c>
    </row>
    <row r="99" spans="1:27" x14ac:dyDescent="0.2">
      <c r="A99" t="s">
        <v>236</v>
      </c>
      <c r="B99" t="s">
        <v>237</v>
      </c>
      <c r="C99">
        <f>scenario_jobcoeff_4506_iotable_2020_xlsx_3[[#This Row],[2026]]+scenario_jobcoeff_1610_iotable_2020_xlsx_3[[#This Row],[2026]]</f>
        <v>-3.4295768487469083</v>
      </c>
      <c r="D99">
        <f>scenario_jobcoeff_4506_iotable_2020_xlsx_3[[#This Row],[2027]]+scenario_jobcoeff_1610_iotable_2020_xlsx_3[[#This Row],[2027]]</f>
        <v>-13.713602800108692</v>
      </c>
      <c r="E99">
        <f>scenario_jobcoeff_4506_iotable_2020_xlsx_3[[#This Row],[2028]]+scenario_jobcoeff_1610_iotable_2020_xlsx_3[[#This Row],[2028]]</f>
        <v>-13.270690009321376</v>
      </c>
      <c r="F99">
        <f>scenario_jobcoeff_4506_iotable_2020_xlsx_3[[#This Row],[2029]]+scenario_jobcoeff_1610_iotable_2020_xlsx_3[[#This Row],[2029]]</f>
        <v>-17.069009526764518</v>
      </c>
      <c r="G99">
        <f>scenario_jobcoeff_4506_iotable_2020_xlsx_3[[#This Row],[2030]]+scenario_jobcoeff_1610_iotable_2020_xlsx_3[[#This Row],[2030]]</f>
        <v>-52.34162466820365</v>
      </c>
      <c r="H99">
        <f>scenario_jobcoeff_4506_iotable_2020_xlsx_3[[#This Row],[2031]]+scenario_jobcoeff_1610_iotable_2020_xlsx_3[[#This Row],[2031]]</f>
        <v>-51.744046899152046</v>
      </c>
      <c r="I99">
        <f>scenario_jobcoeff_4506_iotable_2020_xlsx_3[[#This Row],[2032]]+scenario_jobcoeff_1610_iotable_2020_xlsx_3[[#This Row],[2032]]</f>
        <v>-50.909476365657227</v>
      </c>
      <c r="J99">
        <f>scenario_jobcoeff_4506_iotable_2020_xlsx_3[[#This Row],[2033]]+scenario_jobcoeff_1610_iotable_2020_xlsx_3[[#This Row],[2033]]</f>
        <v>-69.069919087877437</v>
      </c>
      <c r="K99">
        <f>scenario_jobcoeff_4506_iotable_2020_xlsx_3[[#This Row],[2034]]+scenario_jobcoeff_1610_iotable_2020_xlsx_3[[#This Row],[2034]]</f>
        <v>-68.293307693509007</v>
      </c>
      <c r="L99">
        <f>scenario_jobcoeff_4506_iotable_2020_xlsx_3[[#This Row],[2035]]+scenario_jobcoeff_1610_iotable_2020_xlsx_3[[#This Row],[2035]]</f>
        <v>-91.001049561453499</v>
      </c>
      <c r="M99">
        <f>scenario_jobcoeff_4506_iotable_2020_xlsx_3[[#This Row],[2036]]+scenario_jobcoeff_1610_iotable_2020_xlsx_3[[#This Row],[2036]]</f>
        <v>-106.48115260638616</v>
      </c>
      <c r="N99">
        <f>scenario_jobcoeff_4506_iotable_2020_xlsx_3[[#This Row],[2037]]+scenario_jobcoeff_1610_iotable_2020_xlsx_3[[#This Row],[2037]]</f>
        <v>-119.98256915528466</v>
      </c>
      <c r="O99">
        <f>scenario_jobcoeff_4506_iotable_2020_xlsx_3[[#This Row],[2038]]+scenario_jobcoeff_1610_iotable_2020_xlsx_3[[#This Row],[2038]]</f>
        <v>-119.98256915528466</v>
      </c>
      <c r="P99">
        <f>scenario_jobcoeff_4506_iotable_2020_xlsx_3[[#This Row],[2039]]+scenario_jobcoeff_1610_iotable_2020_xlsx_3[[#This Row],[2039]]</f>
        <v>-119.98256915528466</v>
      </c>
      <c r="Q99">
        <f>scenario_jobcoeff_4506_iotable_2020_xlsx_3[[#This Row],[2040]]+scenario_jobcoeff_1610_iotable_2020_xlsx_3[[#This Row],[2040]]</f>
        <v>-131.84093126169475</v>
      </c>
      <c r="R99">
        <f>scenario_jobcoeff_4506_iotable_2020_xlsx_3[[#This Row],[2041]]+scenario_jobcoeff_1610_iotable_2020_xlsx_3[[#This Row],[2041]]</f>
        <v>-131.84093126169475</v>
      </c>
      <c r="S99">
        <f>scenario_jobcoeff_4506_iotable_2020_xlsx_3[[#This Row],[2042]]+scenario_jobcoeff_1610_iotable_2020_xlsx_3[[#This Row],[2042]]</f>
        <v>-144.9126607102049</v>
      </c>
      <c r="T99">
        <f>scenario_jobcoeff_4506_iotable_2020_xlsx_3[[#This Row],[2043]]+scenario_jobcoeff_1610_iotable_2020_xlsx_3[[#This Row],[2043]]</f>
        <v>-144.9126607102049</v>
      </c>
      <c r="U99">
        <f>scenario_jobcoeff_4506_iotable_2020_xlsx_3[[#This Row],[2044]]+scenario_jobcoeff_1610_iotable_2020_xlsx_3[[#This Row],[2044]]</f>
        <v>-157.39524654519323</v>
      </c>
      <c r="V99">
        <f>scenario_jobcoeff_4506_iotable_2020_xlsx_3[[#This Row],[2045]]+scenario_jobcoeff_1610_iotable_2020_xlsx_3[[#This Row],[2045]]</f>
        <v>-157.39524654519323</v>
      </c>
      <c r="W99">
        <f>scenario_jobcoeff_4506_iotable_2020_xlsx_3[[#This Row],[2046]]+scenario_jobcoeff_1610_iotable_2020_xlsx_3[[#This Row],[2046]]</f>
        <v>-168.00751850931942</v>
      </c>
      <c r="X99">
        <f>scenario_jobcoeff_4506_iotable_2020_xlsx_3[[#This Row],[2047]]+scenario_jobcoeff_1610_iotable_2020_xlsx_3[[#This Row],[2047]]</f>
        <v>-168.00751850931942</v>
      </c>
      <c r="Y99">
        <f>scenario_jobcoeff_4506_iotable_2020_xlsx_3[[#This Row],[2048]]+scenario_jobcoeff_1610_iotable_2020_xlsx_3[[#This Row],[2048]]</f>
        <v>-168.00751850931942</v>
      </c>
      <c r="Z99">
        <f>scenario_jobcoeff_4506_iotable_2020_xlsx_3[[#This Row],[2049]]+scenario_jobcoeff_1610_iotable_2020_xlsx_3[[#This Row],[2049]]</f>
        <v>-168.00751850931942</v>
      </c>
      <c r="AA99">
        <f>scenario_jobcoeff_4506_iotable_2020_xlsx_3[[#This Row],[2050]]+scenario_jobcoeff_1610_iotable_2020_xlsx_3[[#This Row],[2050]]</f>
        <v>-168.00751850931942</v>
      </c>
    </row>
    <row r="100" spans="1:27" x14ac:dyDescent="0.2">
      <c r="A100" t="s">
        <v>284</v>
      </c>
      <c r="B100" t="s">
        <v>285</v>
      </c>
      <c r="C100">
        <f>scenario_jobcoeff_4506_iotable_2020_xlsx_3[[#This Row],[2026]]+scenario_jobcoeff_1610_iotable_2020_xlsx_3[[#This Row],[2026]]</f>
        <v>1.5763928273151189</v>
      </c>
      <c r="D100">
        <f>scenario_jobcoeff_4506_iotable_2020_xlsx_3[[#This Row],[2027]]+scenario_jobcoeff_1610_iotable_2020_xlsx_3[[#This Row],[2027]]</f>
        <v>1.5744331425765536</v>
      </c>
      <c r="E100">
        <f>scenario_jobcoeff_4506_iotable_2020_xlsx_3[[#This Row],[2028]]+scenario_jobcoeff_1610_iotable_2020_xlsx_3[[#This Row],[2028]]</f>
        <v>1.651921931427055</v>
      </c>
      <c r="F100">
        <f>scenario_jobcoeff_4506_iotable_2020_xlsx_3[[#This Row],[2029]]+scenario_jobcoeff_1610_iotable_2020_xlsx_3[[#This Row],[2029]]</f>
        <v>1.7062991182104938</v>
      </c>
      <c r="G100">
        <f>scenario_jobcoeff_4506_iotable_2020_xlsx_3[[#This Row],[2030]]+scenario_jobcoeff_1610_iotable_2020_xlsx_3[[#This Row],[2030]]</f>
        <v>1.6289364627148686</v>
      </c>
      <c r="H100">
        <f>scenario_jobcoeff_4506_iotable_2020_xlsx_3[[#This Row],[2031]]+scenario_jobcoeff_1610_iotable_2020_xlsx_3[[#This Row],[2031]]</f>
        <v>1.7334843071911696</v>
      </c>
      <c r="I100">
        <f>scenario_jobcoeff_4506_iotable_2020_xlsx_3[[#This Row],[2032]]+scenario_jobcoeff_1610_iotable_2020_xlsx_3[[#This Row],[2032]]</f>
        <v>1.8794946758144713</v>
      </c>
      <c r="J100">
        <f>scenario_jobcoeff_4506_iotable_2020_xlsx_3[[#This Row],[2033]]+scenario_jobcoeff_1610_iotable_2020_xlsx_3[[#This Row],[2033]]</f>
        <v>2.1016424563138547</v>
      </c>
      <c r="K100">
        <f>scenario_jobcoeff_4506_iotable_2020_xlsx_3[[#This Row],[2034]]+scenario_jobcoeff_1610_iotable_2020_xlsx_3[[#This Row],[2034]]</f>
        <v>2.2375127170262106</v>
      </c>
      <c r="L100">
        <f>scenario_jobcoeff_4506_iotable_2020_xlsx_3[[#This Row],[2035]]+scenario_jobcoeff_1610_iotable_2020_xlsx_3[[#This Row],[2035]]</f>
        <v>2.5679240313584057</v>
      </c>
      <c r="M100">
        <f>scenario_jobcoeff_4506_iotable_2020_xlsx_3[[#This Row],[2036]]+scenario_jobcoeff_1610_iotable_2020_xlsx_3[[#This Row],[2036]]</f>
        <v>2.6841687704546455</v>
      </c>
      <c r="N100">
        <f>scenario_jobcoeff_4506_iotable_2020_xlsx_3[[#This Row],[2037]]+scenario_jobcoeff_1610_iotable_2020_xlsx_3[[#This Row],[2037]]</f>
        <v>2.7912804785587597</v>
      </c>
      <c r="O100">
        <f>scenario_jobcoeff_4506_iotable_2020_xlsx_3[[#This Row],[2038]]+scenario_jobcoeff_1610_iotable_2020_xlsx_3[[#This Row],[2038]]</f>
        <v>2.7912804785587597</v>
      </c>
      <c r="P100">
        <f>scenario_jobcoeff_4506_iotable_2020_xlsx_3[[#This Row],[2039]]+scenario_jobcoeff_1610_iotable_2020_xlsx_3[[#This Row],[2039]]</f>
        <v>2.7912804785587597</v>
      </c>
      <c r="Q100">
        <f>scenario_jobcoeff_4506_iotable_2020_xlsx_3[[#This Row],[2040]]+scenario_jobcoeff_1610_iotable_2020_xlsx_3[[#This Row],[2040]]</f>
        <v>2.884374101247321</v>
      </c>
      <c r="R100">
        <f>scenario_jobcoeff_4506_iotable_2020_xlsx_3[[#This Row],[2041]]+scenario_jobcoeff_1610_iotable_2020_xlsx_3[[#This Row],[2041]]</f>
        <v>2.884374101247321</v>
      </c>
      <c r="S100">
        <f>scenario_jobcoeff_4506_iotable_2020_xlsx_3[[#This Row],[2042]]+scenario_jobcoeff_1610_iotable_2020_xlsx_3[[#This Row],[2042]]</f>
        <v>2.9900957733589109</v>
      </c>
      <c r="T100">
        <f>scenario_jobcoeff_4506_iotable_2020_xlsx_3[[#This Row],[2043]]+scenario_jobcoeff_1610_iotable_2020_xlsx_3[[#This Row],[2043]]</f>
        <v>2.9900957733589109</v>
      </c>
      <c r="U100">
        <f>scenario_jobcoeff_4506_iotable_2020_xlsx_3[[#This Row],[2044]]+scenario_jobcoeff_1610_iotable_2020_xlsx_3[[#This Row],[2044]]</f>
        <v>3.081649819219562</v>
      </c>
      <c r="V100">
        <f>scenario_jobcoeff_4506_iotable_2020_xlsx_3[[#This Row],[2045]]+scenario_jobcoeff_1610_iotable_2020_xlsx_3[[#This Row],[2045]]</f>
        <v>3.081649819219562</v>
      </c>
      <c r="W100">
        <f>scenario_jobcoeff_4506_iotable_2020_xlsx_3[[#This Row],[2046]]+scenario_jobcoeff_1610_iotable_2020_xlsx_3[[#This Row],[2046]]</f>
        <v>3.1624572121551755</v>
      </c>
      <c r="X100">
        <f>scenario_jobcoeff_4506_iotable_2020_xlsx_3[[#This Row],[2047]]+scenario_jobcoeff_1610_iotable_2020_xlsx_3[[#This Row],[2047]]</f>
        <v>3.1624572121551755</v>
      </c>
      <c r="Y100">
        <f>scenario_jobcoeff_4506_iotable_2020_xlsx_3[[#This Row],[2048]]+scenario_jobcoeff_1610_iotable_2020_xlsx_3[[#This Row],[2048]]</f>
        <v>3.1624572121551755</v>
      </c>
      <c r="Z100">
        <f>scenario_jobcoeff_4506_iotable_2020_xlsx_3[[#This Row],[2049]]+scenario_jobcoeff_1610_iotable_2020_xlsx_3[[#This Row],[2049]]</f>
        <v>3.1624572121551755</v>
      </c>
      <c r="AA100">
        <f>scenario_jobcoeff_4506_iotable_2020_xlsx_3[[#This Row],[2050]]+scenario_jobcoeff_1610_iotable_2020_xlsx_3[[#This Row],[2050]]</f>
        <v>3.1624572121551755</v>
      </c>
    </row>
    <row r="101" spans="1:27" x14ac:dyDescent="0.2">
      <c r="A101" t="s">
        <v>270</v>
      </c>
      <c r="B101" t="s">
        <v>271</v>
      </c>
      <c r="C101">
        <f>scenario_jobcoeff_4506_iotable_2020_xlsx_3[[#This Row],[2026]]+scenario_jobcoeff_1610_iotable_2020_xlsx_3[[#This Row],[2026]]</f>
        <v>3.0438727741185048</v>
      </c>
      <c r="D101">
        <f>scenario_jobcoeff_4506_iotable_2020_xlsx_3[[#This Row],[2027]]+scenario_jobcoeff_1610_iotable_2020_xlsx_3[[#This Row],[2027]]</f>
        <v>2.3448762262780436</v>
      </c>
      <c r="E101">
        <f>scenario_jobcoeff_4506_iotable_2020_xlsx_3[[#This Row],[2028]]+scenario_jobcoeff_1610_iotable_2020_xlsx_3[[#This Row],[2028]]</f>
        <v>2.5358208630067502</v>
      </c>
      <c r="F101">
        <f>scenario_jobcoeff_4506_iotable_2020_xlsx_3[[#This Row],[2029]]+scenario_jobcoeff_1610_iotable_2020_xlsx_3[[#This Row],[2029]]</f>
        <v>2.3921477973933758</v>
      </c>
      <c r="G101">
        <f>scenario_jobcoeff_4506_iotable_2020_xlsx_3[[#This Row],[2030]]+scenario_jobcoeff_1610_iotable_2020_xlsx_3[[#This Row],[2030]]</f>
        <v>-0.15208896608605915</v>
      </c>
      <c r="H101">
        <f>scenario_jobcoeff_4506_iotable_2020_xlsx_3[[#This Row],[2031]]+scenario_jobcoeff_1610_iotable_2020_xlsx_3[[#This Row],[2031]]</f>
        <v>0.10553346524153184</v>
      </c>
      <c r="I101">
        <f>scenario_jobcoeff_4506_iotable_2020_xlsx_3[[#This Row],[2032]]+scenario_jobcoeff_1610_iotable_2020_xlsx_3[[#This Row],[2032]]</f>
        <v>0.46532611665577939</v>
      </c>
      <c r="J101">
        <f>scenario_jobcoeff_4506_iotable_2020_xlsx_3[[#This Row],[2033]]+scenario_jobcoeff_1610_iotable_2020_xlsx_3[[#This Row],[2033]]</f>
        <v>-0.30022739122135178</v>
      </c>
      <c r="K101">
        <f>scenario_jobcoeff_4506_iotable_2020_xlsx_3[[#This Row],[2034]]+scenario_jobcoeff_1610_iotable_2020_xlsx_3[[#This Row],[2034]]</f>
        <v>3.4578429837591074E-2</v>
      </c>
      <c r="L101">
        <f>scenario_jobcoeff_4506_iotable_2020_xlsx_3[[#This Row],[2035]]+scenario_jobcoeff_1610_iotable_2020_xlsx_3[[#This Row],[2035]]</f>
        <v>-0.81328750075055289</v>
      </c>
      <c r="M101">
        <f>scenario_jobcoeff_4506_iotable_2020_xlsx_3[[#This Row],[2036]]+scenario_jobcoeff_1610_iotable_2020_xlsx_3[[#This Row],[2036]]</f>
        <v>-1.6177800821254742</v>
      </c>
      <c r="N101">
        <f>scenario_jobcoeff_4506_iotable_2020_xlsx_3[[#This Row],[2037]]+scenario_jobcoeff_1610_iotable_2020_xlsx_3[[#This Row],[2037]]</f>
        <v>-2.3075442173601175</v>
      </c>
      <c r="O101">
        <f>scenario_jobcoeff_4506_iotable_2020_xlsx_3[[#This Row],[2038]]+scenario_jobcoeff_1610_iotable_2020_xlsx_3[[#This Row],[2038]]</f>
        <v>-2.3075442173601175</v>
      </c>
      <c r="P101">
        <f>scenario_jobcoeff_4506_iotable_2020_xlsx_3[[#This Row],[2039]]+scenario_jobcoeff_1610_iotable_2020_xlsx_3[[#This Row],[2039]]</f>
        <v>-2.3075442173601175</v>
      </c>
      <c r="Q101">
        <f>scenario_jobcoeff_4506_iotable_2020_xlsx_3[[#This Row],[2040]]+scenario_jobcoeff_1610_iotable_2020_xlsx_3[[#This Row],[2040]]</f>
        <v>-2.915410394849193</v>
      </c>
      <c r="R101">
        <f>scenario_jobcoeff_4506_iotable_2020_xlsx_3[[#This Row],[2041]]+scenario_jobcoeff_1610_iotable_2020_xlsx_3[[#This Row],[2041]]</f>
        <v>-2.915410394849193</v>
      </c>
      <c r="S101">
        <f>scenario_jobcoeff_4506_iotable_2020_xlsx_3[[#This Row],[2042]]+scenario_jobcoeff_1610_iotable_2020_xlsx_3[[#This Row],[2042]]</f>
        <v>-3.5790275858357106</v>
      </c>
      <c r="T101">
        <f>scenario_jobcoeff_4506_iotable_2020_xlsx_3[[#This Row],[2043]]+scenario_jobcoeff_1610_iotable_2020_xlsx_3[[#This Row],[2043]]</f>
        <v>-3.5790275858357106</v>
      </c>
      <c r="U101">
        <f>scenario_jobcoeff_4506_iotable_2020_xlsx_3[[#This Row],[2044]]+scenario_jobcoeff_1610_iotable_2020_xlsx_3[[#This Row],[2044]]</f>
        <v>-4.2322736737062261</v>
      </c>
      <c r="V101">
        <f>scenario_jobcoeff_4506_iotable_2020_xlsx_3[[#This Row],[2045]]+scenario_jobcoeff_1610_iotable_2020_xlsx_3[[#This Row],[2045]]</f>
        <v>-4.2322736737062261</v>
      </c>
      <c r="W101">
        <f>scenario_jobcoeff_4506_iotable_2020_xlsx_3[[#This Row],[2046]]+scenario_jobcoeff_1610_iotable_2020_xlsx_3[[#This Row],[2046]]</f>
        <v>-4.7814673792104845</v>
      </c>
      <c r="X101">
        <f>scenario_jobcoeff_4506_iotable_2020_xlsx_3[[#This Row],[2047]]+scenario_jobcoeff_1610_iotable_2020_xlsx_3[[#This Row],[2047]]</f>
        <v>-4.7814673792104845</v>
      </c>
      <c r="Y101">
        <f>scenario_jobcoeff_4506_iotable_2020_xlsx_3[[#This Row],[2048]]+scenario_jobcoeff_1610_iotable_2020_xlsx_3[[#This Row],[2048]]</f>
        <v>-4.7814673792104845</v>
      </c>
      <c r="Z101">
        <f>scenario_jobcoeff_4506_iotable_2020_xlsx_3[[#This Row],[2049]]+scenario_jobcoeff_1610_iotable_2020_xlsx_3[[#This Row],[2049]]</f>
        <v>-4.7814673792104845</v>
      </c>
      <c r="AA101">
        <f>scenario_jobcoeff_4506_iotable_2020_xlsx_3[[#This Row],[2050]]+scenario_jobcoeff_1610_iotable_2020_xlsx_3[[#This Row],[2050]]</f>
        <v>-4.7814673792104845</v>
      </c>
    </row>
    <row r="102" spans="1:27" x14ac:dyDescent="0.2">
      <c r="A102" t="s">
        <v>168</v>
      </c>
      <c r="B102" t="s">
        <v>169</v>
      </c>
      <c r="C102">
        <f>scenario_jobcoeff_4506_iotable_2020_xlsx_3[[#This Row],[2026]]+scenario_jobcoeff_1610_iotable_2020_xlsx_3[[#This Row],[2026]]</f>
        <v>23.240678200076001</v>
      </c>
      <c r="D102">
        <f>scenario_jobcoeff_4506_iotable_2020_xlsx_3[[#This Row],[2027]]+scenario_jobcoeff_1610_iotable_2020_xlsx_3[[#This Row],[2027]]</f>
        <v>19.530703602764287</v>
      </c>
      <c r="E102">
        <f>scenario_jobcoeff_4506_iotable_2020_xlsx_3[[#This Row],[2028]]+scenario_jobcoeff_1610_iotable_2020_xlsx_3[[#This Row],[2028]]</f>
        <v>20.891906205648667</v>
      </c>
      <c r="F102">
        <f>scenario_jobcoeff_4506_iotable_2020_xlsx_3[[#This Row],[2029]]+scenario_jobcoeff_1610_iotable_2020_xlsx_3[[#This Row],[2029]]</f>
        <v>20.376899996007694</v>
      </c>
      <c r="G102">
        <f>scenario_jobcoeff_4506_iotable_2020_xlsx_3[[#This Row],[2030]]+scenario_jobcoeff_1610_iotable_2020_xlsx_3[[#This Row],[2030]]</f>
        <v>6.5558140856334006</v>
      </c>
      <c r="H102">
        <f>scenario_jobcoeff_4506_iotable_2020_xlsx_3[[#This Row],[2031]]+scenario_jobcoeff_1610_iotable_2020_xlsx_3[[#This Row],[2031]]</f>
        <v>8.3923481202748675</v>
      </c>
      <c r="I102">
        <f>scenario_jobcoeff_4506_iotable_2020_xlsx_3[[#This Row],[2032]]+scenario_jobcoeff_1610_iotable_2020_xlsx_3[[#This Row],[2032]]</f>
        <v>10.957231334562714</v>
      </c>
      <c r="J102">
        <f>scenario_jobcoeff_4506_iotable_2020_xlsx_3[[#This Row],[2033]]+scenario_jobcoeff_1610_iotable_2020_xlsx_3[[#This Row],[2033]]</f>
        <v>7.9075783741025347</v>
      </c>
      <c r="K102">
        <f>scenario_jobcoeff_4506_iotable_2020_xlsx_3[[#This Row],[2034]]+scenario_jobcoeff_1610_iotable_2020_xlsx_3[[#This Row],[2034]]</f>
        <v>10.294335933225767</v>
      </c>
      <c r="L102">
        <f>scenario_jobcoeff_4506_iotable_2020_xlsx_3[[#This Row],[2035]]+scenario_jobcoeff_1610_iotable_2020_xlsx_3[[#This Row],[2035]]</f>
        <v>7.2980860420923221</v>
      </c>
      <c r="M102">
        <f>scenario_jobcoeff_4506_iotable_2020_xlsx_3[[#This Row],[2036]]+scenario_jobcoeff_1610_iotable_2020_xlsx_3[[#This Row],[2036]]</f>
        <v>3.5636821015236535</v>
      </c>
      <c r="N102">
        <f>scenario_jobcoeff_4506_iotable_2020_xlsx_3[[#This Row],[2037]]+scenario_jobcoeff_1610_iotable_2020_xlsx_3[[#This Row],[2037]]</f>
        <v>0.39548227562633542</v>
      </c>
      <c r="O102">
        <f>scenario_jobcoeff_4506_iotable_2020_xlsx_3[[#This Row],[2038]]+scenario_jobcoeff_1610_iotable_2020_xlsx_3[[#This Row],[2038]]</f>
        <v>0.39548227562633542</v>
      </c>
      <c r="P102">
        <f>scenario_jobcoeff_4506_iotable_2020_xlsx_3[[#This Row],[2039]]+scenario_jobcoeff_1610_iotable_2020_xlsx_3[[#This Row],[2039]]</f>
        <v>0.39548227562633542</v>
      </c>
      <c r="Q102">
        <f>scenario_jobcoeff_4506_iotable_2020_xlsx_3[[#This Row],[2040]]+scenario_jobcoeff_1610_iotable_2020_xlsx_3[[#This Row],[2040]]</f>
        <v>-2.4024230842688183</v>
      </c>
      <c r="R102">
        <f>scenario_jobcoeff_4506_iotable_2020_xlsx_3[[#This Row],[2041]]+scenario_jobcoeff_1610_iotable_2020_xlsx_3[[#This Row],[2041]]</f>
        <v>-2.4024230842688183</v>
      </c>
      <c r="S102">
        <f>scenario_jobcoeff_4506_iotable_2020_xlsx_3[[#This Row],[2042]]+scenario_jobcoeff_1610_iotable_2020_xlsx_3[[#This Row],[2042]]</f>
        <v>-5.438458906324513</v>
      </c>
      <c r="T102">
        <f>scenario_jobcoeff_4506_iotable_2020_xlsx_3[[#This Row],[2043]]+scenario_jobcoeff_1610_iotable_2020_xlsx_3[[#This Row],[2043]]</f>
        <v>-5.438458906324513</v>
      </c>
      <c r="U102">
        <f>scenario_jobcoeff_4506_iotable_2020_xlsx_3[[#This Row],[2044]]+scenario_jobcoeff_1610_iotable_2020_xlsx_3[[#This Row],[2044]]</f>
        <v>-8.4836037823117749</v>
      </c>
      <c r="V102">
        <f>scenario_jobcoeff_4506_iotable_2020_xlsx_3[[#This Row],[2045]]+scenario_jobcoeff_1610_iotable_2020_xlsx_3[[#This Row],[2045]]</f>
        <v>-8.4836037823117749</v>
      </c>
      <c r="W102">
        <f>scenario_jobcoeff_4506_iotable_2020_xlsx_3[[#This Row],[2046]]+scenario_jobcoeff_1610_iotable_2020_xlsx_3[[#This Row],[2046]]</f>
        <v>-11.026365169171271</v>
      </c>
      <c r="X102">
        <f>scenario_jobcoeff_4506_iotable_2020_xlsx_3[[#This Row],[2047]]+scenario_jobcoeff_1610_iotable_2020_xlsx_3[[#This Row],[2047]]</f>
        <v>-11.026365169171271</v>
      </c>
      <c r="Y102">
        <f>scenario_jobcoeff_4506_iotable_2020_xlsx_3[[#This Row],[2048]]+scenario_jobcoeff_1610_iotable_2020_xlsx_3[[#This Row],[2048]]</f>
        <v>-11.026365169171271</v>
      </c>
      <c r="Z102">
        <f>scenario_jobcoeff_4506_iotable_2020_xlsx_3[[#This Row],[2049]]+scenario_jobcoeff_1610_iotable_2020_xlsx_3[[#This Row],[2049]]</f>
        <v>-11.026365169171271</v>
      </c>
      <c r="AA102">
        <f>scenario_jobcoeff_4506_iotable_2020_xlsx_3[[#This Row],[2050]]+scenario_jobcoeff_1610_iotable_2020_xlsx_3[[#This Row],[2050]]</f>
        <v>-11.026365169171271</v>
      </c>
    </row>
    <row r="103" spans="1:27" x14ac:dyDescent="0.2">
      <c r="A103" t="s">
        <v>150</v>
      </c>
      <c r="B103" t="s">
        <v>151</v>
      </c>
      <c r="C103">
        <f>scenario_jobcoeff_4506_iotable_2020_xlsx_3[[#This Row],[2026]]+scenario_jobcoeff_1610_iotable_2020_xlsx_3[[#This Row],[2026]]</f>
        <v>31.216847659901976</v>
      </c>
      <c r="D103">
        <f>scenario_jobcoeff_4506_iotable_2020_xlsx_3[[#This Row],[2027]]+scenario_jobcoeff_1610_iotable_2020_xlsx_3[[#This Row],[2027]]</f>
        <v>22.587460185574436</v>
      </c>
      <c r="E103">
        <f>scenario_jobcoeff_4506_iotable_2020_xlsx_3[[#This Row],[2028]]+scenario_jobcoeff_1610_iotable_2020_xlsx_3[[#This Row],[2028]]</f>
        <v>24.632539057688472</v>
      </c>
      <c r="F103">
        <f>scenario_jobcoeff_4506_iotable_2020_xlsx_3[[#This Row],[2029]]+scenario_jobcoeff_1610_iotable_2020_xlsx_3[[#This Row],[2029]]</f>
        <v>22.636590701868087</v>
      </c>
      <c r="G103">
        <f>scenario_jobcoeff_4506_iotable_2020_xlsx_3[[#This Row],[2030]]+scenario_jobcoeff_1610_iotable_2020_xlsx_3[[#This Row],[2030]]</f>
        <v>-8.4880845328511896</v>
      </c>
      <c r="H103">
        <f>scenario_jobcoeff_4506_iotable_2020_xlsx_3[[#This Row],[2031]]+scenario_jobcoeff_1610_iotable_2020_xlsx_3[[#This Row],[2031]]</f>
        <v>-5.728864895594441</v>
      </c>
      <c r="I103">
        <f>scenario_jobcoeff_4506_iotable_2020_xlsx_3[[#This Row],[2032]]+scenario_jobcoeff_1610_iotable_2020_xlsx_3[[#This Row],[2032]]</f>
        <v>-1.8753691265847152</v>
      </c>
      <c r="J103">
        <f>scenario_jobcoeff_4506_iotable_2020_xlsx_3[[#This Row],[2033]]+scenario_jobcoeff_1610_iotable_2020_xlsx_3[[#This Row],[2033]]</f>
        <v>-12.236411679546578</v>
      </c>
      <c r="K103">
        <f>scenario_jobcoeff_4506_iotable_2020_xlsx_3[[#This Row],[2034]]+scenario_jobcoeff_1610_iotable_2020_xlsx_3[[#This Row],[2034]]</f>
        <v>-8.6505329523987342</v>
      </c>
      <c r="L103">
        <f>scenario_jobcoeff_4506_iotable_2020_xlsx_3[[#This Row],[2035]]+scenario_jobcoeff_1610_iotable_2020_xlsx_3[[#This Row],[2035]]</f>
        <v>-20.467926882417757</v>
      </c>
      <c r="M103">
        <f>scenario_jobcoeff_4506_iotable_2020_xlsx_3[[#This Row],[2036]]+scenario_jobcoeff_1610_iotable_2020_xlsx_3[[#This Row],[2036]]</f>
        <v>-30.88047140677611</v>
      </c>
      <c r="N103">
        <f>scenario_jobcoeff_4506_iotable_2020_xlsx_3[[#This Row],[2037]]+scenario_jobcoeff_1610_iotable_2020_xlsx_3[[#This Row],[2037]]</f>
        <v>-39.838289539059986</v>
      </c>
      <c r="O103">
        <f>scenario_jobcoeff_4506_iotable_2020_xlsx_3[[#This Row],[2038]]+scenario_jobcoeff_1610_iotable_2020_xlsx_3[[#This Row],[2038]]</f>
        <v>-39.838289539059986</v>
      </c>
      <c r="P103">
        <f>scenario_jobcoeff_4506_iotable_2020_xlsx_3[[#This Row],[2039]]+scenario_jobcoeff_1610_iotable_2020_xlsx_3[[#This Row],[2039]]</f>
        <v>-39.838289539059986</v>
      </c>
      <c r="Q103">
        <f>scenario_jobcoeff_4506_iotable_2020_xlsx_3[[#This Row],[2040]]+scenario_jobcoeff_1610_iotable_2020_xlsx_3[[#This Row],[2040]]</f>
        <v>-47.727240855261016</v>
      </c>
      <c r="R103">
        <f>scenario_jobcoeff_4506_iotable_2020_xlsx_3[[#This Row],[2041]]+scenario_jobcoeff_1610_iotable_2020_xlsx_3[[#This Row],[2041]]</f>
        <v>-47.727240855261016</v>
      </c>
      <c r="S103">
        <f>scenario_jobcoeff_4506_iotable_2020_xlsx_3[[#This Row],[2042]]+scenario_jobcoeff_1610_iotable_2020_xlsx_3[[#This Row],[2042]]</f>
        <v>-56.35632775237795</v>
      </c>
      <c r="T103">
        <f>scenario_jobcoeff_4506_iotable_2020_xlsx_3[[#This Row],[2043]]+scenario_jobcoeff_1610_iotable_2020_xlsx_3[[#This Row],[2043]]</f>
        <v>-56.35632775237795</v>
      </c>
      <c r="U103">
        <f>scenario_jobcoeff_4506_iotable_2020_xlsx_3[[#This Row],[2044]]+scenario_jobcoeff_1610_iotable_2020_xlsx_3[[#This Row],[2044]]</f>
        <v>-64.799781873198981</v>
      </c>
      <c r="V103">
        <f>scenario_jobcoeff_4506_iotable_2020_xlsx_3[[#This Row],[2045]]+scenario_jobcoeff_1610_iotable_2020_xlsx_3[[#This Row],[2045]]</f>
        <v>-64.799781873198981</v>
      </c>
      <c r="W103">
        <f>scenario_jobcoeff_4506_iotable_2020_xlsx_3[[#This Row],[2046]]+scenario_jobcoeff_1610_iotable_2020_xlsx_3[[#This Row],[2046]]</f>
        <v>-71.913884620244687</v>
      </c>
      <c r="X103">
        <f>scenario_jobcoeff_4506_iotable_2020_xlsx_3[[#This Row],[2047]]+scenario_jobcoeff_1610_iotable_2020_xlsx_3[[#This Row],[2047]]</f>
        <v>-71.913884620244687</v>
      </c>
      <c r="Y103">
        <f>scenario_jobcoeff_4506_iotable_2020_xlsx_3[[#This Row],[2048]]+scenario_jobcoeff_1610_iotable_2020_xlsx_3[[#This Row],[2048]]</f>
        <v>-71.913884620244687</v>
      </c>
      <c r="Z103">
        <f>scenario_jobcoeff_4506_iotable_2020_xlsx_3[[#This Row],[2049]]+scenario_jobcoeff_1610_iotable_2020_xlsx_3[[#This Row],[2049]]</f>
        <v>-71.913884620244687</v>
      </c>
      <c r="AA103">
        <f>scenario_jobcoeff_4506_iotable_2020_xlsx_3[[#This Row],[2050]]+scenario_jobcoeff_1610_iotable_2020_xlsx_3[[#This Row],[2050]]</f>
        <v>-71.913884620244687</v>
      </c>
    </row>
    <row r="104" spans="1:27" x14ac:dyDescent="0.2">
      <c r="A104" t="s">
        <v>24</v>
      </c>
      <c r="B104" t="s">
        <v>25</v>
      </c>
      <c r="C104">
        <f>scenario_jobcoeff_4506_iotable_2020_xlsx_3[[#This Row],[2026]]+scenario_jobcoeff_1610_iotable_2020_xlsx_3[[#This Row],[2026]]</f>
        <v>494.72197275699261</v>
      </c>
      <c r="D104">
        <f>scenario_jobcoeff_4506_iotable_2020_xlsx_3[[#This Row],[2027]]+scenario_jobcoeff_1610_iotable_2020_xlsx_3[[#This Row],[2027]]</f>
        <v>320.66920724303418</v>
      </c>
      <c r="E104">
        <f>scenario_jobcoeff_4506_iotable_2020_xlsx_3[[#This Row],[2028]]+scenario_jobcoeff_1610_iotable_2020_xlsx_3[[#This Row],[2028]]</f>
        <v>355.29611356358873</v>
      </c>
      <c r="F104">
        <f>scenario_jobcoeff_4506_iotable_2020_xlsx_3[[#This Row],[2029]]+scenario_jobcoeff_1610_iotable_2020_xlsx_3[[#This Row],[2029]]</f>
        <v>310.32446137584589</v>
      </c>
      <c r="G104">
        <f>scenario_jobcoeff_4506_iotable_2020_xlsx_3[[#This Row],[2030]]+scenario_jobcoeff_1610_iotable_2020_xlsx_3[[#This Row],[2030]]</f>
        <v>-311.40981218865682</v>
      </c>
      <c r="H104">
        <f>scenario_jobcoeff_4506_iotable_2020_xlsx_3[[#This Row],[2031]]+scenario_jobcoeff_1610_iotable_2020_xlsx_3[[#This Row],[2031]]</f>
        <v>-264.69120333698015</v>
      </c>
      <c r="I104">
        <f>scenario_jobcoeff_4506_iotable_2020_xlsx_3[[#This Row],[2032]]+scenario_jobcoeff_1610_iotable_2020_xlsx_3[[#This Row],[2032]]</f>
        <v>-199.44450854216325</v>
      </c>
      <c r="J104">
        <f>scenario_jobcoeff_4506_iotable_2020_xlsx_3[[#This Row],[2033]]+scenario_jobcoeff_1610_iotable_2020_xlsx_3[[#This Row],[2033]]</f>
        <v>-427.72492170055079</v>
      </c>
      <c r="K104">
        <f>scenario_jobcoeff_4506_iotable_2020_xlsx_3[[#This Row],[2034]]+scenario_jobcoeff_1610_iotable_2020_xlsx_3[[#This Row],[2034]]</f>
        <v>-367.00947035296372</v>
      </c>
      <c r="L104">
        <f>scenario_jobcoeff_4506_iotable_2020_xlsx_3[[#This Row],[2035]]+scenario_jobcoeff_1610_iotable_2020_xlsx_3[[#This Row],[2035]]</f>
        <v>-634.00011940265176</v>
      </c>
      <c r="M104">
        <f>scenario_jobcoeff_4506_iotable_2020_xlsx_3[[#This Row],[2036]]+scenario_jobcoeff_1610_iotable_2020_xlsx_3[[#This Row],[2036]]</f>
        <v>-854.21572540064608</v>
      </c>
      <c r="N104">
        <f>scenario_jobcoeff_4506_iotable_2020_xlsx_3[[#This Row],[2037]]+scenario_jobcoeff_1610_iotable_2020_xlsx_3[[#This Row],[2037]]</f>
        <v>-1044.276256167429</v>
      </c>
      <c r="O104">
        <f>scenario_jobcoeff_4506_iotable_2020_xlsx_3[[#This Row],[2038]]+scenario_jobcoeff_1610_iotable_2020_xlsx_3[[#This Row],[2038]]</f>
        <v>-1044.276256167429</v>
      </c>
      <c r="P104">
        <f>scenario_jobcoeff_4506_iotable_2020_xlsx_3[[#This Row],[2039]]+scenario_jobcoeff_1610_iotable_2020_xlsx_3[[#This Row],[2039]]</f>
        <v>-1044.276256167429</v>
      </c>
      <c r="Q104">
        <f>scenario_jobcoeff_4506_iotable_2020_xlsx_3[[#This Row],[2040]]+scenario_jobcoeff_1610_iotable_2020_xlsx_3[[#This Row],[2040]]</f>
        <v>-1211.5519709106952</v>
      </c>
      <c r="R104">
        <f>scenario_jobcoeff_4506_iotable_2020_xlsx_3[[#This Row],[2041]]+scenario_jobcoeff_1610_iotable_2020_xlsx_3[[#This Row],[2041]]</f>
        <v>-1211.5519709106952</v>
      </c>
      <c r="S104">
        <f>scenario_jobcoeff_4506_iotable_2020_xlsx_3[[#This Row],[2042]]+scenario_jobcoeff_1610_iotable_2020_xlsx_3[[#This Row],[2042]]</f>
        <v>-1394.8561472360734</v>
      </c>
      <c r="T104">
        <f>scenario_jobcoeff_4506_iotable_2020_xlsx_3[[#This Row],[2043]]+scenario_jobcoeff_1610_iotable_2020_xlsx_3[[#This Row],[2043]]</f>
        <v>-1394.8561472360734</v>
      </c>
      <c r="U104">
        <f>scenario_jobcoeff_4506_iotable_2020_xlsx_3[[#This Row],[2044]]+scenario_jobcoeff_1610_iotable_2020_xlsx_3[[#This Row],[2044]]</f>
        <v>-1573.1945231484247</v>
      </c>
      <c r="V104">
        <f>scenario_jobcoeff_4506_iotable_2020_xlsx_3[[#This Row],[2045]]+scenario_jobcoeff_1610_iotable_2020_xlsx_3[[#This Row],[2045]]</f>
        <v>-1573.1945231484247</v>
      </c>
      <c r="W104">
        <f>scenario_jobcoeff_4506_iotable_2020_xlsx_3[[#This Row],[2046]]+scenario_jobcoeff_1610_iotable_2020_xlsx_3[[#This Row],[2046]]</f>
        <v>-1723.770332176492</v>
      </c>
      <c r="X104">
        <f>scenario_jobcoeff_4506_iotable_2020_xlsx_3[[#This Row],[2047]]+scenario_jobcoeff_1610_iotable_2020_xlsx_3[[#This Row],[2047]]</f>
        <v>-1723.770332176492</v>
      </c>
      <c r="Y104">
        <f>scenario_jobcoeff_4506_iotable_2020_xlsx_3[[#This Row],[2048]]+scenario_jobcoeff_1610_iotable_2020_xlsx_3[[#This Row],[2048]]</f>
        <v>-1723.770332176492</v>
      </c>
      <c r="Z104">
        <f>scenario_jobcoeff_4506_iotable_2020_xlsx_3[[#This Row],[2049]]+scenario_jobcoeff_1610_iotable_2020_xlsx_3[[#This Row],[2049]]</f>
        <v>-1723.770332176492</v>
      </c>
      <c r="AA104">
        <f>scenario_jobcoeff_4506_iotable_2020_xlsx_3[[#This Row],[2050]]+scenario_jobcoeff_1610_iotable_2020_xlsx_3[[#This Row],[2050]]</f>
        <v>-1723.770332176492</v>
      </c>
    </row>
    <row r="105" spans="1:27" x14ac:dyDescent="0.2">
      <c r="A105" t="s">
        <v>4</v>
      </c>
      <c r="B105" t="s">
        <v>5</v>
      </c>
      <c r="C105">
        <f>scenario_jobcoeff_4506_iotable_2020_xlsx_3[[#This Row],[2026]]+scenario_jobcoeff_1610_iotable_2020_xlsx_3[[#This Row],[2026]]</f>
        <v>10662.910232299741</v>
      </c>
      <c r="D105">
        <f>scenario_jobcoeff_4506_iotable_2020_xlsx_3[[#This Row],[2027]]+scenario_jobcoeff_1610_iotable_2020_xlsx_3[[#This Row],[2027]]</f>
        <v>11599.208082476762</v>
      </c>
      <c r="E105">
        <f>scenario_jobcoeff_4506_iotable_2020_xlsx_3[[#This Row],[2028]]+scenario_jobcoeff_1610_iotable_2020_xlsx_3[[#This Row],[2028]]</f>
        <v>12066.913755870004</v>
      </c>
      <c r="F105">
        <f>scenario_jobcoeff_4506_iotable_2020_xlsx_3[[#This Row],[2029]]+scenario_jobcoeff_1610_iotable_2020_xlsx_3[[#This Row],[2029]]</f>
        <v>12774.37323976966</v>
      </c>
      <c r="G105">
        <f>scenario_jobcoeff_4506_iotable_2020_xlsx_3[[#This Row],[2030]]+scenario_jobcoeff_1610_iotable_2020_xlsx_3[[#This Row],[2030]]</f>
        <v>15522.088314978537</v>
      </c>
      <c r="H105">
        <f>scenario_jobcoeff_4506_iotable_2020_xlsx_3[[#This Row],[2031]]+scenario_jobcoeff_1610_iotable_2020_xlsx_3[[#This Row],[2031]]</f>
        <v>16153.116631822397</v>
      </c>
      <c r="I105">
        <f>scenario_jobcoeff_4506_iotable_2020_xlsx_3[[#This Row],[2032]]+scenario_jobcoeff_1610_iotable_2020_xlsx_3[[#This Row],[2032]]</f>
        <v>17034.403832105112</v>
      </c>
      <c r="J105">
        <f>scenario_jobcoeff_4506_iotable_2020_xlsx_3[[#This Row],[2033]]+scenario_jobcoeff_1610_iotable_2020_xlsx_3[[#This Row],[2033]]</f>
        <v>20168.542480263619</v>
      </c>
      <c r="K105">
        <f>scenario_jobcoeff_4506_iotable_2020_xlsx_3[[#This Row],[2034]]+scenario_jobcoeff_1610_iotable_2020_xlsx_3[[#This Row],[2034]]</f>
        <v>20988.626168798091</v>
      </c>
      <c r="L105">
        <f>scenario_jobcoeff_4506_iotable_2020_xlsx_3[[#This Row],[2035]]+scenario_jobcoeff_1610_iotable_2020_xlsx_3[[#This Row],[2035]]</f>
        <v>25253.024686941935</v>
      </c>
      <c r="M105">
        <f>scenario_jobcoeff_4506_iotable_2020_xlsx_3[[#This Row],[2036]]+scenario_jobcoeff_1610_iotable_2020_xlsx_3[[#This Row],[2036]]</f>
        <v>27444.706392460896</v>
      </c>
      <c r="N105">
        <f>scenario_jobcoeff_4506_iotable_2020_xlsx_3[[#This Row],[2037]]+scenario_jobcoeff_1610_iotable_2020_xlsx_3[[#This Row],[2037]]</f>
        <v>29393.822997662624</v>
      </c>
      <c r="O105">
        <f>scenario_jobcoeff_4506_iotable_2020_xlsx_3[[#This Row],[2038]]+scenario_jobcoeff_1610_iotable_2020_xlsx_3[[#This Row],[2038]]</f>
        <v>29393.822997662624</v>
      </c>
      <c r="P105">
        <f>scenario_jobcoeff_4506_iotable_2020_xlsx_3[[#This Row],[2039]]+scenario_jobcoeff_1610_iotable_2020_xlsx_3[[#This Row],[2039]]</f>
        <v>29393.822997662624</v>
      </c>
      <c r="Q105">
        <f>scenario_jobcoeff_4506_iotable_2020_xlsx_3[[#This Row],[2040]]+scenario_jobcoeff_1610_iotable_2020_xlsx_3[[#This Row],[2040]]</f>
        <v>31099.28932226116</v>
      </c>
      <c r="R105">
        <f>scenario_jobcoeff_4506_iotable_2020_xlsx_3[[#This Row],[2041]]+scenario_jobcoeff_1610_iotable_2020_xlsx_3[[#This Row],[2041]]</f>
        <v>31099.28932226116</v>
      </c>
      <c r="S105">
        <f>scenario_jobcoeff_4506_iotable_2020_xlsx_3[[#This Row],[2042]]+scenario_jobcoeff_1610_iotable_2020_xlsx_3[[#This Row],[2042]]</f>
        <v>32999.624876877744</v>
      </c>
      <c r="T105">
        <f>scenario_jobcoeff_4506_iotable_2020_xlsx_3[[#This Row],[2043]]+scenario_jobcoeff_1610_iotable_2020_xlsx_3[[#This Row],[2043]]</f>
        <v>32999.624876877744</v>
      </c>
      <c r="U105">
        <f>scenario_jobcoeff_4506_iotable_2020_xlsx_3[[#This Row],[2044]]+scenario_jobcoeff_1610_iotable_2020_xlsx_3[[#This Row],[2044]]</f>
        <v>34752.598927434832</v>
      </c>
      <c r="V105">
        <f>scenario_jobcoeff_4506_iotable_2020_xlsx_3[[#This Row],[2045]]+scenario_jobcoeff_1610_iotable_2020_xlsx_3[[#This Row],[2045]]</f>
        <v>34752.598927434832</v>
      </c>
      <c r="W105">
        <f>scenario_jobcoeff_4506_iotable_2020_xlsx_3[[#This Row],[2046]]+scenario_jobcoeff_1610_iotable_2020_xlsx_3[[#This Row],[2046]]</f>
        <v>36262.419358455292</v>
      </c>
      <c r="X105">
        <f>scenario_jobcoeff_4506_iotable_2020_xlsx_3[[#This Row],[2047]]+scenario_jobcoeff_1610_iotable_2020_xlsx_3[[#This Row],[2047]]</f>
        <v>36262.419358455292</v>
      </c>
      <c r="Y105">
        <f>scenario_jobcoeff_4506_iotable_2020_xlsx_3[[#This Row],[2048]]+scenario_jobcoeff_1610_iotable_2020_xlsx_3[[#This Row],[2048]]</f>
        <v>36262.419358455292</v>
      </c>
      <c r="Z105">
        <f>scenario_jobcoeff_4506_iotable_2020_xlsx_3[[#This Row],[2049]]+scenario_jobcoeff_1610_iotable_2020_xlsx_3[[#This Row],[2049]]</f>
        <v>36262.419358455292</v>
      </c>
      <c r="AA105">
        <f>scenario_jobcoeff_4506_iotable_2020_xlsx_3[[#This Row],[2050]]+scenario_jobcoeff_1610_iotable_2020_xlsx_3[[#This Row],[2050]]</f>
        <v>36262.419358455292</v>
      </c>
    </row>
    <row r="106" spans="1:27" x14ac:dyDescent="0.2">
      <c r="A106" t="s">
        <v>14</v>
      </c>
      <c r="B106" t="s">
        <v>15</v>
      </c>
      <c r="C106">
        <f>scenario_jobcoeff_4506_iotable_2020_xlsx_3[[#This Row],[2026]]+scenario_jobcoeff_1610_iotable_2020_xlsx_3[[#This Row],[2026]]</f>
        <v>1532.250822602676</v>
      </c>
      <c r="D106">
        <f>scenario_jobcoeff_4506_iotable_2020_xlsx_3[[#This Row],[2027]]+scenario_jobcoeff_1610_iotable_2020_xlsx_3[[#This Row],[2027]]</f>
        <v>1665.6908820113806</v>
      </c>
      <c r="E106">
        <f>scenario_jobcoeff_4506_iotable_2020_xlsx_3[[#This Row],[2028]]+scenario_jobcoeff_1610_iotable_2020_xlsx_3[[#This Row],[2028]]</f>
        <v>1732.9654599068176</v>
      </c>
      <c r="F106">
        <f>scenario_jobcoeff_4506_iotable_2020_xlsx_3[[#This Row],[2029]]+scenario_jobcoeff_1610_iotable_2020_xlsx_3[[#This Row],[2029]]</f>
        <v>1834.2314759159392</v>
      </c>
      <c r="G106">
        <f>scenario_jobcoeff_4506_iotable_2020_xlsx_3[[#This Row],[2030]]+scenario_jobcoeff_1610_iotable_2020_xlsx_3[[#This Row],[2030]]</f>
        <v>2225.2688232806445</v>
      </c>
      <c r="H106">
        <f>scenario_jobcoeff_4506_iotable_2020_xlsx_3[[#This Row],[2031]]+scenario_jobcoeff_1610_iotable_2020_xlsx_3[[#This Row],[2031]]</f>
        <v>2316.0356582171221</v>
      </c>
      <c r="I106">
        <f>scenario_jobcoeff_4506_iotable_2020_xlsx_3[[#This Row],[2032]]+scenario_jobcoeff_1610_iotable_2020_xlsx_3[[#This Row],[2032]]</f>
        <v>2442.7996206329085</v>
      </c>
      <c r="J106">
        <f>scenario_jobcoeff_4506_iotable_2020_xlsx_3[[#This Row],[2033]]+scenario_jobcoeff_1610_iotable_2020_xlsx_3[[#This Row],[2033]]</f>
        <v>2891.2737950851133</v>
      </c>
      <c r="K106">
        <f>scenario_jobcoeff_4506_iotable_2020_xlsx_3[[#This Row],[2034]]+scenario_jobcoeff_1610_iotable_2020_xlsx_3[[#This Row],[2034]]</f>
        <v>3009.2342713496437</v>
      </c>
      <c r="L106">
        <f>scenario_jobcoeff_4506_iotable_2020_xlsx_3[[#This Row],[2035]]+scenario_jobcoeff_1610_iotable_2020_xlsx_3[[#This Row],[2035]]</f>
        <v>3619.662646429641</v>
      </c>
      <c r="M106">
        <f>scenario_jobcoeff_4506_iotable_2020_xlsx_3[[#This Row],[2036]]+scenario_jobcoeff_1610_iotable_2020_xlsx_3[[#This Row],[2036]]</f>
        <v>3932.9697476286838</v>
      </c>
      <c r="N106">
        <f>scenario_jobcoeff_4506_iotable_2020_xlsx_3[[#This Row],[2037]]+scenario_jobcoeff_1610_iotable_2020_xlsx_3[[#This Row],[2037]]</f>
        <v>4211.63086385513</v>
      </c>
      <c r="O106">
        <f>scenario_jobcoeff_4506_iotable_2020_xlsx_3[[#This Row],[2038]]+scenario_jobcoeff_1610_iotable_2020_xlsx_3[[#This Row],[2038]]</f>
        <v>4211.63086385513</v>
      </c>
      <c r="P106">
        <f>scenario_jobcoeff_4506_iotable_2020_xlsx_3[[#This Row],[2039]]+scenario_jobcoeff_1610_iotable_2020_xlsx_3[[#This Row],[2039]]</f>
        <v>4211.63086385513</v>
      </c>
      <c r="Q106">
        <f>scenario_jobcoeff_4506_iotable_2020_xlsx_3[[#This Row],[2040]]+scenario_jobcoeff_1610_iotable_2020_xlsx_3[[#This Row],[2040]]</f>
        <v>4455.452862094593</v>
      </c>
      <c r="R106">
        <f>scenario_jobcoeff_4506_iotable_2020_xlsx_3[[#This Row],[2041]]+scenario_jobcoeff_1610_iotable_2020_xlsx_3[[#This Row],[2041]]</f>
        <v>4455.452862094593</v>
      </c>
      <c r="S106">
        <f>scenario_jobcoeff_4506_iotable_2020_xlsx_3[[#This Row],[2042]]+scenario_jobcoeff_1610_iotable_2020_xlsx_3[[#This Row],[2042]]</f>
        <v>4727.1500143219073</v>
      </c>
      <c r="T106">
        <f>scenario_jobcoeff_4506_iotable_2020_xlsx_3[[#This Row],[2043]]+scenario_jobcoeff_1610_iotable_2020_xlsx_3[[#This Row],[2043]]</f>
        <v>4727.1500143219073</v>
      </c>
      <c r="U106">
        <f>scenario_jobcoeff_4506_iotable_2020_xlsx_3[[#This Row],[2044]]+scenario_jobcoeff_1610_iotable_2020_xlsx_3[[#This Row],[2044]]</f>
        <v>4977.7314201256795</v>
      </c>
      <c r="V106">
        <f>scenario_jobcoeff_4506_iotable_2020_xlsx_3[[#This Row],[2045]]+scenario_jobcoeff_1610_iotable_2020_xlsx_3[[#This Row],[2045]]</f>
        <v>4977.7314201256795</v>
      </c>
      <c r="W106">
        <f>scenario_jobcoeff_4506_iotable_2020_xlsx_3[[#This Row],[2046]]+scenario_jobcoeff_1610_iotable_2020_xlsx_3[[#This Row],[2046]]</f>
        <v>5193.5702533115691</v>
      </c>
      <c r="X106">
        <f>scenario_jobcoeff_4506_iotable_2020_xlsx_3[[#This Row],[2047]]+scenario_jobcoeff_1610_iotable_2020_xlsx_3[[#This Row],[2047]]</f>
        <v>5193.5702533115691</v>
      </c>
      <c r="Y106">
        <f>scenario_jobcoeff_4506_iotable_2020_xlsx_3[[#This Row],[2048]]+scenario_jobcoeff_1610_iotable_2020_xlsx_3[[#This Row],[2048]]</f>
        <v>5193.5702533115691</v>
      </c>
      <c r="Z106">
        <f>scenario_jobcoeff_4506_iotable_2020_xlsx_3[[#This Row],[2049]]+scenario_jobcoeff_1610_iotable_2020_xlsx_3[[#This Row],[2049]]</f>
        <v>5193.5702533115691</v>
      </c>
      <c r="AA106">
        <f>scenario_jobcoeff_4506_iotable_2020_xlsx_3[[#This Row],[2050]]+scenario_jobcoeff_1610_iotable_2020_xlsx_3[[#This Row],[2050]]</f>
        <v>5193.5702533115691</v>
      </c>
    </row>
    <row r="107" spans="1:27" x14ac:dyDescent="0.2">
      <c r="A107" t="s">
        <v>248</v>
      </c>
      <c r="B107" t="s">
        <v>249</v>
      </c>
      <c r="C107">
        <f>scenario_jobcoeff_4506_iotable_2020_xlsx_3[[#This Row],[2026]]+scenario_jobcoeff_1610_iotable_2020_xlsx_3[[#This Row],[2026]]</f>
        <v>7.6232436602819993</v>
      </c>
      <c r="D107">
        <f>scenario_jobcoeff_4506_iotable_2020_xlsx_3[[#This Row],[2027]]+scenario_jobcoeff_1610_iotable_2020_xlsx_3[[#This Row],[2027]]</f>
        <v>7.6906260291636341</v>
      </c>
      <c r="E107">
        <f>scenario_jobcoeff_4506_iotable_2020_xlsx_3[[#This Row],[2028]]+scenario_jobcoeff_1610_iotable_2020_xlsx_3[[#This Row],[2028]]</f>
        <v>8.0607841591281737</v>
      </c>
      <c r="F107">
        <f>scenario_jobcoeff_4506_iotable_2020_xlsx_3[[#This Row],[2029]]+scenario_jobcoeff_1610_iotable_2020_xlsx_3[[#This Row],[2029]]</f>
        <v>8.3512373576367906</v>
      </c>
      <c r="G107">
        <f>scenario_jobcoeff_4506_iotable_2020_xlsx_3[[#This Row],[2030]]+scenario_jobcoeff_1610_iotable_2020_xlsx_3[[#This Row],[2030]]</f>
        <v>8.2418841254997872</v>
      </c>
      <c r="H107">
        <f>scenario_jobcoeff_4506_iotable_2020_xlsx_3[[#This Row],[2031]]+scenario_jobcoeff_1610_iotable_2020_xlsx_3[[#This Row],[2031]]</f>
        <v>8.7413013338114744</v>
      </c>
      <c r="I107">
        <f>scenario_jobcoeff_4506_iotable_2020_xlsx_3[[#This Row],[2032]]+scenario_jobcoeff_1610_iotable_2020_xlsx_3[[#This Row],[2032]]</f>
        <v>9.4387819088312597</v>
      </c>
      <c r="J107">
        <f>scenario_jobcoeff_4506_iotable_2020_xlsx_3[[#This Row],[2033]]+scenario_jobcoeff_1610_iotable_2020_xlsx_3[[#This Row],[2033]]</f>
        <v>10.645119453282408</v>
      </c>
      <c r="K107">
        <f>scenario_jobcoeff_4506_iotable_2020_xlsx_3[[#This Row],[2034]]+scenario_jobcoeff_1610_iotable_2020_xlsx_3[[#This Row],[2034]]</f>
        <v>11.294161493675002</v>
      </c>
      <c r="L107">
        <f>scenario_jobcoeff_4506_iotable_2020_xlsx_3[[#This Row],[2035]]+scenario_jobcoeff_1610_iotable_2020_xlsx_3[[#This Row],[2035]]</f>
        <v>13.056259529835451</v>
      </c>
      <c r="M107">
        <f>scenario_jobcoeff_4506_iotable_2020_xlsx_3[[#This Row],[2036]]+scenario_jobcoeff_1610_iotable_2020_xlsx_3[[#This Row],[2036]]</f>
        <v>13.732160483087107</v>
      </c>
      <c r="N107">
        <f>scenario_jobcoeff_4506_iotable_2020_xlsx_3[[#This Row],[2037]]+scenario_jobcoeff_1610_iotable_2020_xlsx_3[[#This Row],[2037]]</f>
        <v>14.34926177507201</v>
      </c>
      <c r="O107">
        <f>scenario_jobcoeff_4506_iotable_2020_xlsx_3[[#This Row],[2038]]+scenario_jobcoeff_1610_iotable_2020_xlsx_3[[#This Row],[2038]]</f>
        <v>14.34926177507201</v>
      </c>
      <c r="P107">
        <f>scenario_jobcoeff_4506_iotable_2020_xlsx_3[[#This Row],[2039]]+scenario_jobcoeff_1610_iotable_2020_xlsx_3[[#This Row],[2039]]</f>
        <v>14.34926177507201</v>
      </c>
      <c r="Q107">
        <f>scenario_jobcoeff_4506_iotable_2020_xlsx_3[[#This Row],[2040]]+scenario_jobcoeff_1610_iotable_2020_xlsx_3[[#This Row],[2040]]</f>
        <v>14.886526629180743</v>
      </c>
      <c r="R107">
        <f>scenario_jobcoeff_4506_iotable_2020_xlsx_3[[#This Row],[2041]]+scenario_jobcoeff_1610_iotable_2020_xlsx_3[[#This Row],[2041]]</f>
        <v>14.886526629180743</v>
      </c>
      <c r="S107">
        <f>scenario_jobcoeff_4506_iotable_2020_xlsx_3[[#This Row],[2042]]+scenario_jobcoeff_1610_iotable_2020_xlsx_3[[#This Row],[2042]]</f>
        <v>15.493718470107982</v>
      </c>
      <c r="T107">
        <f>scenario_jobcoeff_4506_iotable_2020_xlsx_3[[#This Row],[2043]]+scenario_jobcoeff_1610_iotable_2020_xlsx_3[[#This Row],[2043]]</f>
        <v>15.493718470107982</v>
      </c>
      <c r="U107">
        <f>scenario_jobcoeff_4506_iotable_2020_xlsx_3[[#This Row],[2044]]+scenario_jobcoeff_1610_iotable_2020_xlsx_3[[#This Row],[2044]]</f>
        <v>16.028226434369941</v>
      </c>
      <c r="V107">
        <f>scenario_jobcoeff_4506_iotable_2020_xlsx_3[[#This Row],[2045]]+scenario_jobcoeff_1610_iotable_2020_xlsx_3[[#This Row],[2045]]</f>
        <v>16.028226434369941</v>
      </c>
      <c r="W107">
        <f>scenario_jobcoeff_4506_iotable_2020_xlsx_3[[#This Row],[2046]]+scenario_jobcoeff_1610_iotable_2020_xlsx_3[[#This Row],[2046]]</f>
        <v>16.49696728714153</v>
      </c>
      <c r="X107">
        <f>scenario_jobcoeff_4506_iotable_2020_xlsx_3[[#This Row],[2047]]+scenario_jobcoeff_1610_iotable_2020_xlsx_3[[#This Row],[2047]]</f>
        <v>16.49696728714153</v>
      </c>
      <c r="Y107">
        <f>scenario_jobcoeff_4506_iotable_2020_xlsx_3[[#This Row],[2048]]+scenario_jobcoeff_1610_iotable_2020_xlsx_3[[#This Row],[2048]]</f>
        <v>16.49696728714153</v>
      </c>
      <c r="Z107">
        <f>scenario_jobcoeff_4506_iotable_2020_xlsx_3[[#This Row],[2049]]+scenario_jobcoeff_1610_iotable_2020_xlsx_3[[#This Row],[2049]]</f>
        <v>16.49696728714153</v>
      </c>
      <c r="AA107">
        <f>scenario_jobcoeff_4506_iotable_2020_xlsx_3[[#This Row],[2050]]+scenario_jobcoeff_1610_iotable_2020_xlsx_3[[#This Row],[2050]]</f>
        <v>16.49696728714153</v>
      </c>
    </row>
    <row r="108" spans="1:27" x14ac:dyDescent="0.2">
      <c r="A108" t="s">
        <v>194</v>
      </c>
      <c r="B108" t="s">
        <v>195</v>
      </c>
      <c r="C108">
        <f>scenario_jobcoeff_4506_iotable_2020_xlsx_3[[#This Row],[2026]]+scenario_jobcoeff_1610_iotable_2020_xlsx_3[[#This Row],[2026]]</f>
        <v>18.125868271246816</v>
      </c>
      <c r="D108">
        <f>scenario_jobcoeff_4506_iotable_2020_xlsx_3[[#This Row],[2027]]+scenario_jobcoeff_1610_iotable_2020_xlsx_3[[#This Row],[2027]]</f>
        <v>17.01203283437901</v>
      </c>
      <c r="E108">
        <f>scenario_jobcoeff_4506_iotable_2020_xlsx_3[[#This Row],[2028]]+scenario_jobcoeff_1610_iotable_2020_xlsx_3[[#This Row],[2028]]</f>
        <v>17.967886484491203</v>
      </c>
      <c r="F108">
        <f>scenario_jobcoeff_4506_iotable_2020_xlsx_3[[#This Row],[2029]]+scenario_jobcoeff_1610_iotable_2020_xlsx_3[[#This Row],[2029]]</f>
        <v>18.202784905987329</v>
      </c>
      <c r="G108">
        <f>scenario_jobcoeff_4506_iotable_2020_xlsx_3[[#This Row],[2030]]+scenario_jobcoeff_1610_iotable_2020_xlsx_3[[#This Row],[2030]]</f>
        <v>13.553944608044294</v>
      </c>
      <c r="H108">
        <f>scenario_jobcoeff_4506_iotable_2020_xlsx_3[[#This Row],[2031]]+scenario_jobcoeff_1610_iotable_2020_xlsx_3[[#This Row],[2031]]</f>
        <v>14.843581989612261</v>
      </c>
      <c r="I108">
        <f>scenario_jobcoeff_4506_iotable_2020_xlsx_3[[#This Row],[2032]]+scenario_jobcoeff_1610_iotable_2020_xlsx_3[[#This Row],[2032]]</f>
        <v>16.644675359029492</v>
      </c>
      <c r="J108">
        <f>scenario_jobcoeff_4506_iotable_2020_xlsx_3[[#This Row],[2033]]+scenario_jobcoeff_1610_iotable_2020_xlsx_3[[#This Row],[2033]]</f>
        <v>17.323946747410201</v>
      </c>
      <c r="K108">
        <f>scenario_jobcoeff_4506_iotable_2020_xlsx_3[[#This Row],[2034]]+scenario_jobcoeff_1610_iotable_2020_xlsx_3[[#This Row],[2034]]</f>
        <v>18.999958033302942</v>
      </c>
      <c r="L108">
        <f>scenario_jobcoeff_4506_iotable_2020_xlsx_3[[#This Row],[2035]]+scenario_jobcoeff_1610_iotable_2020_xlsx_3[[#This Row],[2035]]</f>
        <v>20.466719608430587</v>
      </c>
      <c r="M108">
        <f>scenario_jobcoeff_4506_iotable_2020_xlsx_3[[#This Row],[2036]]+scenario_jobcoeff_1610_iotable_2020_xlsx_3[[#This Row],[2036]]</f>
        <v>20.188154580349163</v>
      </c>
      <c r="N108">
        <f>scenario_jobcoeff_4506_iotable_2020_xlsx_3[[#This Row],[2037]]+scenario_jobcoeff_1610_iotable_2020_xlsx_3[[#This Row],[2037]]</f>
        <v>20.012351217355921</v>
      </c>
      <c r="O108">
        <f>scenario_jobcoeff_4506_iotable_2020_xlsx_3[[#This Row],[2038]]+scenario_jobcoeff_1610_iotable_2020_xlsx_3[[#This Row],[2038]]</f>
        <v>20.012351217355921</v>
      </c>
      <c r="P108">
        <f>scenario_jobcoeff_4506_iotable_2020_xlsx_3[[#This Row],[2039]]+scenario_jobcoeff_1610_iotable_2020_xlsx_3[[#This Row],[2039]]</f>
        <v>20.012351217355921</v>
      </c>
      <c r="Q108">
        <f>scenario_jobcoeff_4506_iotable_2020_xlsx_3[[#This Row],[2040]]+scenario_jobcoeff_1610_iotable_2020_xlsx_3[[#This Row],[2040]]</f>
        <v>19.846411024261549</v>
      </c>
      <c r="R108">
        <f>scenario_jobcoeff_4506_iotable_2020_xlsx_3[[#This Row],[2041]]+scenario_jobcoeff_1610_iotable_2020_xlsx_3[[#This Row],[2041]]</f>
        <v>19.846411024261549</v>
      </c>
      <c r="S108">
        <f>scenario_jobcoeff_4506_iotable_2020_xlsx_3[[#This Row],[2042]]+scenario_jobcoeff_1610_iotable_2020_xlsx_3[[#This Row],[2042]]</f>
        <v>19.699881697911607</v>
      </c>
      <c r="T108">
        <f>scenario_jobcoeff_4506_iotable_2020_xlsx_3[[#This Row],[2043]]+scenario_jobcoeff_1610_iotable_2020_xlsx_3[[#This Row],[2043]]</f>
        <v>19.699881697911607</v>
      </c>
      <c r="U108">
        <f>scenario_jobcoeff_4506_iotable_2020_xlsx_3[[#This Row],[2044]]+scenario_jobcoeff_1610_iotable_2020_xlsx_3[[#This Row],[2044]]</f>
        <v>19.449670835042575</v>
      </c>
      <c r="V108">
        <f>scenario_jobcoeff_4506_iotable_2020_xlsx_3[[#This Row],[2045]]+scenario_jobcoeff_1610_iotable_2020_xlsx_3[[#This Row],[2045]]</f>
        <v>19.449670835042575</v>
      </c>
      <c r="W108">
        <f>scenario_jobcoeff_4506_iotable_2020_xlsx_3[[#This Row],[2046]]+scenario_jobcoeff_1610_iotable_2020_xlsx_3[[#This Row],[2046]]</f>
        <v>19.271799990590793</v>
      </c>
      <c r="X108">
        <f>scenario_jobcoeff_4506_iotable_2020_xlsx_3[[#This Row],[2047]]+scenario_jobcoeff_1610_iotable_2020_xlsx_3[[#This Row],[2047]]</f>
        <v>19.271799990590793</v>
      </c>
      <c r="Y108">
        <f>scenario_jobcoeff_4506_iotable_2020_xlsx_3[[#This Row],[2048]]+scenario_jobcoeff_1610_iotable_2020_xlsx_3[[#This Row],[2048]]</f>
        <v>19.271799990590793</v>
      </c>
      <c r="Z108">
        <f>scenario_jobcoeff_4506_iotable_2020_xlsx_3[[#This Row],[2049]]+scenario_jobcoeff_1610_iotable_2020_xlsx_3[[#This Row],[2049]]</f>
        <v>19.271799990590793</v>
      </c>
      <c r="AA108">
        <f>scenario_jobcoeff_4506_iotable_2020_xlsx_3[[#This Row],[2050]]+scenario_jobcoeff_1610_iotable_2020_xlsx_3[[#This Row],[2050]]</f>
        <v>19.271799990590793</v>
      </c>
    </row>
    <row r="109" spans="1:27" x14ac:dyDescent="0.2">
      <c r="A109" t="s">
        <v>112</v>
      </c>
      <c r="B109" t="s">
        <v>113</v>
      </c>
      <c r="C109">
        <f>scenario_jobcoeff_4506_iotable_2020_xlsx_3[[#This Row],[2026]]+scenario_jobcoeff_1610_iotable_2020_xlsx_3[[#This Row],[2026]]</f>
        <v>76.180470074675455</v>
      </c>
      <c r="D109">
        <f>scenario_jobcoeff_4506_iotable_2020_xlsx_3[[#This Row],[2027]]+scenario_jobcoeff_1610_iotable_2020_xlsx_3[[#This Row],[2027]]</f>
        <v>79.001049566627771</v>
      </c>
      <c r="E109">
        <f>scenario_jobcoeff_4506_iotable_2020_xlsx_3[[#This Row],[2028]]+scenario_jobcoeff_1610_iotable_2020_xlsx_3[[#This Row],[2028]]</f>
        <v>82.572485364849484</v>
      </c>
      <c r="F109">
        <f>scenario_jobcoeff_4506_iotable_2020_xlsx_3[[#This Row],[2029]]+scenario_jobcoeff_1610_iotable_2020_xlsx_3[[#This Row],[2029]]</f>
        <v>86.243074563598086</v>
      </c>
      <c r="G109">
        <f>scenario_jobcoeff_4506_iotable_2020_xlsx_3[[#This Row],[2030]]+scenario_jobcoeff_1610_iotable_2020_xlsx_3[[#This Row],[2030]]</f>
        <v>92.546977836189143</v>
      </c>
      <c r="H109">
        <f>scenario_jobcoeff_4506_iotable_2020_xlsx_3[[#This Row],[2031]]+scenario_jobcoeff_1610_iotable_2020_xlsx_3[[#This Row],[2031]]</f>
        <v>97.36555765823222</v>
      </c>
      <c r="I109">
        <f>scenario_jobcoeff_4506_iotable_2020_xlsx_3[[#This Row],[2032]]+scenario_jobcoeff_1610_iotable_2020_xlsx_3[[#This Row],[2032]]</f>
        <v>104.0951331897181</v>
      </c>
      <c r="J109">
        <f>scenario_jobcoeff_4506_iotable_2020_xlsx_3[[#This Row],[2033]]+scenario_jobcoeff_1610_iotable_2020_xlsx_3[[#This Row],[2033]]</f>
        <v>119.83958902845379</v>
      </c>
      <c r="K109">
        <f>scenario_jobcoeff_4506_iotable_2020_xlsx_3[[#This Row],[2034]]+scenario_jobcoeff_1610_iotable_2020_xlsx_3[[#This Row],[2034]]</f>
        <v>126.10180992802188</v>
      </c>
      <c r="L109">
        <f>scenario_jobcoeff_4506_iotable_2020_xlsx_3[[#This Row],[2035]]+scenario_jobcoeff_1610_iotable_2020_xlsx_3[[#This Row],[2035]]</f>
        <v>148.2999675963662</v>
      </c>
      <c r="M109">
        <f>scenario_jobcoeff_4506_iotable_2020_xlsx_3[[#This Row],[2036]]+scenario_jobcoeff_1610_iotable_2020_xlsx_3[[#This Row],[2036]]</f>
        <v>158.23235954581611</v>
      </c>
      <c r="N109">
        <f>scenario_jobcoeff_4506_iotable_2020_xlsx_3[[#This Row],[2037]]+scenario_jobcoeff_1610_iotable_2020_xlsx_3[[#This Row],[2037]]</f>
        <v>167.16834128751157</v>
      </c>
      <c r="O109">
        <f>scenario_jobcoeff_4506_iotable_2020_xlsx_3[[#This Row],[2038]]+scenario_jobcoeff_1610_iotable_2020_xlsx_3[[#This Row],[2038]]</f>
        <v>167.16834128751157</v>
      </c>
      <c r="P109">
        <f>scenario_jobcoeff_4506_iotable_2020_xlsx_3[[#This Row],[2039]]+scenario_jobcoeff_1610_iotable_2020_xlsx_3[[#This Row],[2039]]</f>
        <v>167.16834128751157</v>
      </c>
      <c r="Q109">
        <f>scenario_jobcoeff_4506_iotable_2020_xlsx_3[[#This Row],[2040]]+scenario_jobcoeff_1610_iotable_2020_xlsx_3[[#This Row],[2040]]</f>
        <v>174.96995455602649</v>
      </c>
      <c r="R109">
        <f>scenario_jobcoeff_4506_iotable_2020_xlsx_3[[#This Row],[2041]]+scenario_jobcoeff_1610_iotable_2020_xlsx_3[[#This Row],[2041]]</f>
        <v>174.96995455602649</v>
      </c>
      <c r="S109">
        <f>scenario_jobcoeff_4506_iotable_2020_xlsx_3[[#This Row],[2042]]+scenario_jobcoeff_1610_iotable_2020_xlsx_3[[#This Row],[2042]]</f>
        <v>183.71786274112304</v>
      </c>
      <c r="T109">
        <f>scenario_jobcoeff_4506_iotable_2020_xlsx_3[[#This Row],[2043]]+scenario_jobcoeff_1610_iotable_2020_xlsx_3[[#This Row],[2043]]</f>
        <v>183.71786274112304</v>
      </c>
      <c r="U109">
        <f>scenario_jobcoeff_4506_iotable_2020_xlsx_3[[#This Row],[2044]]+scenario_jobcoeff_1610_iotable_2020_xlsx_3[[#This Row],[2044]]</f>
        <v>191.6229034306034</v>
      </c>
      <c r="V109">
        <f>scenario_jobcoeff_4506_iotable_2020_xlsx_3[[#This Row],[2045]]+scenario_jobcoeff_1610_iotable_2020_xlsx_3[[#This Row],[2045]]</f>
        <v>191.6229034306034</v>
      </c>
      <c r="W109">
        <f>scenario_jobcoeff_4506_iotable_2020_xlsx_3[[#This Row],[2046]]+scenario_jobcoeff_1610_iotable_2020_xlsx_3[[#This Row],[2046]]</f>
        <v>198.48525746378226</v>
      </c>
      <c r="X109">
        <f>scenario_jobcoeff_4506_iotable_2020_xlsx_3[[#This Row],[2047]]+scenario_jobcoeff_1610_iotable_2020_xlsx_3[[#This Row],[2047]]</f>
        <v>198.48525746378226</v>
      </c>
      <c r="Y109">
        <f>scenario_jobcoeff_4506_iotable_2020_xlsx_3[[#This Row],[2048]]+scenario_jobcoeff_1610_iotable_2020_xlsx_3[[#This Row],[2048]]</f>
        <v>198.48525746378226</v>
      </c>
      <c r="Z109">
        <f>scenario_jobcoeff_4506_iotable_2020_xlsx_3[[#This Row],[2049]]+scenario_jobcoeff_1610_iotable_2020_xlsx_3[[#This Row],[2049]]</f>
        <v>198.48525746378226</v>
      </c>
      <c r="AA109">
        <f>scenario_jobcoeff_4506_iotable_2020_xlsx_3[[#This Row],[2050]]+scenario_jobcoeff_1610_iotable_2020_xlsx_3[[#This Row],[2050]]</f>
        <v>198.48525746378226</v>
      </c>
    </row>
    <row r="110" spans="1:27" x14ac:dyDescent="0.2">
      <c r="A110" t="s">
        <v>62</v>
      </c>
      <c r="B110" t="s">
        <v>63</v>
      </c>
      <c r="C110">
        <f>scenario_jobcoeff_4506_iotable_2020_xlsx_3[[#This Row],[2026]]+scenario_jobcoeff_1610_iotable_2020_xlsx_3[[#This Row],[2026]]</f>
        <v>180.71194293060745</v>
      </c>
      <c r="D110">
        <f>scenario_jobcoeff_4506_iotable_2020_xlsx_3[[#This Row],[2027]]+scenario_jobcoeff_1610_iotable_2020_xlsx_3[[#This Row],[2027]]</f>
        <v>186.05790315211829</v>
      </c>
      <c r="E110">
        <f>scenario_jobcoeff_4506_iotable_2020_xlsx_3[[#This Row],[2028]]+scenario_jobcoeff_1610_iotable_2020_xlsx_3[[#This Row],[2028]]</f>
        <v>194.60984054618152</v>
      </c>
      <c r="F110">
        <f>scenario_jobcoeff_4506_iotable_2020_xlsx_3[[#This Row],[2029]]+scenario_jobcoeff_1610_iotable_2020_xlsx_3[[#This Row],[2029]]</f>
        <v>202.83599503298399</v>
      </c>
      <c r="G110">
        <f>scenario_jobcoeff_4506_iotable_2020_xlsx_3[[#This Row],[2030]]+scenario_jobcoeff_1610_iotable_2020_xlsx_3[[#This Row],[2030]]</f>
        <v>213.15696859618691</v>
      </c>
      <c r="H110">
        <f>scenario_jobcoeff_4506_iotable_2020_xlsx_3[[#This Row],[2031]]+scenario_jobcoeff_1610_iotable_2020_xlsx_3[[#This Row],[2031]]</f>
        <v>224.69523927906658</v>
      </c>
      <c r="I110">
        <f>scenario_jobcoeff_4506_iotable_2020_xlsx_3[[#This Row],[2032]]+scenario_jobcoeff_1610_iotable_2020_xlsx_3[[#This Row],[2032]]</f>
        <v>240.80946108939355</v>
      </c>
      <c r="J110">
        <f>scenario_jobcoeff_4506_iotable_2020_xlsx_3[[#This Row],[2033]]+scenario_jobcoeff_1610_iotable_2020_xlsx_3[[#This Row],[2033]]</f>
        <v>275.84699251468595</v>
      </c>
      <c r="K110">
        <f>scenario_jobcoeff_4506_iotable_2020_xlsx_3[[#This Row],[2034]]+scenario_jobcoeff_1610_iotable_2020_xlsx_3[[#This Row],[2034]]</f>
        <v>290.84211607467438</v>
      </c>
      <c r="L110">
        <f>scenario_jobcoeff_4506_iotable_2020_xlsx_3[[#This Row],[2035]]+scenario_jobcoeff_1610_iotable_2020_xlsx_3[[#This Row],[2035]]</f>
        <v>340.6251964499595</v>
      </c>
      <c r="M110">
        <f>scenario_jobcoeff_4506_iotable_2020_xlsx_3[[#This Row],[2036]]+scenario_jobcoeff_1610_iotable_2020_xlsx_3[[#This Row],[2036]]</f>
        <v>362.19586489570423</v>
      </c>
      <c r="N110">
        <f>scenario_jobcoeff_4506_iotable_2020_xlsx_3[[#This Row],[2037]]+scenario_jobcoeff_1610_iotable_2020_xlsx_3[[#This Row],[2037]]</f>
        <v>381.65895126234534</v>
      </c>
      <c r="O110">
        <f>scenario_jobcoeff_4506_iotable_2020_xlsx_3[[#This Row],[2038]]+scenario_jobcoeff_1610_iotable_2020_xlsx_3[[#This Row],[2038]]</f>
        <v>381.65895126234534</v>
      </c>
      <c r="P110">
        <f>scenario_jobcoeff_4506_iotable_2020_xlsx_3[[#This Row],[2039]]+scenario_jobcoeff_1610_iotable_2020_xlsx_3[[#This Row],[2039]]</f>
        <v>381.65895126234534</v>
      </c>
      <c r="Q110">
        <f>scenario_jobcoeff_4506_iotable_2020_xlsx_3[[#This Row],[2040]]+scenario_jobcoeff_1610_iotable_2020_xlsx_3[[#This Row],[2040]]</f>
        <v>398.64193366959398</v>
      </c>
      <c r="R110">
        <f>scenario_jobcoeff_4506_iotable_2020_xlsx_3[[#This Row],[2041]]+scenario_jobcoeff_1610_iotable_2020_xlsx_3[[#This Row],[2041]]</f>
        <v>398.64193366959398</v>
      </c>
      <c r="S110">
        <f>scenario_jobcoeff_4506_iotable_2020_xlsx_3[[#This Row],[2042]]+scenario_jobcoeff_1610_iotable_2020_xlsx_3[[#This Row],[2042]]</f>
        <v>417.7146539971593</v>
      </c>
      <c r="T110">
        <f>scenario_jobcoeff_4506_iotable_2020_xlsx_3[[#This Row],[2043]]+scenario_jobcoeff_1610_iotable_2020_xlsx_3[[#This Row],[2043]]</f>
        <v>417.7146539971593</v>
      </c>
      <c r="U110">
        <f>scenario_jobcoeff_4506_iotable_2020_xlsx_3[[#This Row],[2044]]+scenario_jobcoeff_1610_iotable_2020_xlsx_3[[#This Row],[2044]]</f>
        <v>434.86094546810375</v>
      </c>
      <c r="V110">
        <f>scenario_jobcoeff_4506_iotable_2020_xlsx_3[[#This Row],[2045]]+scenario_jobcoeff_1610_iotable_2020_xlsx_3[[#This Row],[2045]]</f>
        <v>434.86094546810375</v>
      </c>
      <c r="W110">
        <f>scenario_jobcoeff_4506_iotable_2020_xlsx_3[[#This Row],[2046]]+scenario_jobcoeff_1610_iotable_2020_xlsx_3[[#This Row],[2046]]</f>
        <v>449.77525445021831</v>
      </c>
      <c r="X110">
        <f>scenario_jobcoeff_4506_iotable_2020_xlsx_3[[#This Row],[2047]]+scenario_jobcoeff_1610_iotable_2020_xlsx_3[[#This Row],[2047]]</f>
        <v>449.77525445021831</v>
      </c>
      <c r="Y110">
        <f>scenario_jobcoeff_4506_iotable_2020_xlsx_3[[#This Row],[2048]]+scenario_jobcoeff_1610_iotable_2020_xlsx_3[[#This Row],[2048]]</f>
        <v>449.77525445021831</v>
      </c>
      <c r="Z110">
        <f>scenario_jobcoeff_4506_iotable_2020_xlsx_3[[#This Row],[2049]]+scenario_jobcoeff_1610_iotable_2020_xlsx_3[[#This Row],[2049]]</f>
        <v>449.77525445021831</v>
      </c>
      <c r="AA110">
        <f>scenario_jobcoeff_4506_iotable_2020_xlsx_3[[#This Row],[2050]]+scenario_jobcoeff_1610_iotable_2020_xlsx_3[[#This Row],[2050]]</f>
        <v>449.77525445021831</v>
      </c>
    </row>
    <row r="111" spans="1:27" x14ac:dyDescent="0.2">
      <c r="A111" t="s">
        <v>34</v>
      </c>
      <c r="B111" t="s">
        <v>35</v>
      </c>
      <c r="C111">
        <f>scenario_jobcoeff_4506_iotable_2020_xlsx_3[[#This Row],[2026]]+scenario_jobcoeff_1610_iotable_2020_xlsx_3[[#This Row],[2026]]</f>
        <v>347.0624991054429</v>
      </c>
      <c r="D111">
        <f>scenario_jobcoeff_4506_iotable_2020_xlsx_3[[#This Row],[2027]]+scenario_jobcoeff_1610_iotable_2020_xlsx_3[[#This Row],[2027]]</f>
        <v>369.12199517829072</v>
      </c>
      <c r="E111">
        <f>scenario_jobcoeff_4506_iotable_2020_xlsx_3[[#This Row],[2028]]+scenario_jobcoeff_1610_iotable_2020_xlsx_3[[#This Row],[2028]]</f>
        <v>384.84534134257444</v>
      </c>
      <c r="F111">
        <f>scenario_jobcoeff_4506_iotable_2020_xlsx_3[[#This Row],[2029]]+scenario_jobcoeff_1610_iotable_2020_xlsx_3[[#This Row],[2029]]</f>
        <v>404.86193985445937</v>
      </c>
      <c r="G111">
        <f>scenario_jobcoeff_4506_iotable_2020_xlsx_3[[#This Row],[2030]]+scenario_jobcoeff_1610_iotable_2020_xlsx_3[[#This Row],[2030]]</f>
        <v>465.30601304254509</v>
      </c>
      <c r="H111">
        <f>scenario_jobcoeff_4506_iotable_2020_xlsx_3[[#This Row],[2031]]+scenario_jobcoeff_1610_iotable_2020_xlsx_3[[#This Row],[2031]]</f>
        <v>486.51994571352873</v>
      </c>
      <c r="I111">
        <f>scenario_jobcoeff_4506_iotable_2020_xlsx_3[[#This Row],[2032]]+scenario_jobcoeff_1610_iotable_2020_xlsx_3[[#This Row],[2032]]</f>
        <v>516.14709053660829</v>
      </c>
      <c r="J111">
        <f>scenario_jobcoeff_4506_iotable_2020_xlsx_3[[#This Row],[2033]]+scenario_jobcoeff_1610_iotable_2020_xlsx_3[[#This Row],[2033]]</f>
        <v>603.69919894882878</v>
      </c>
      <c r="K111">
        <f>scenario_jobcoeff_4506_iotable_2020_xlsx_3[[#This Row],[2034]]+scenario_jobcoeff_1610_iotable_2020_xlsx_3[[#This Row],[2034]]</f>
        <v>631.26880191079363</v>
      </c>
      <c r="L111">
        <f>scenario_jobcoeff_4506_iotable_2020_xlsx_3[[#This Row],[2035]]+scenario_jobcoeff_1610_iotable_2020_xlsx_3[[#This Row],[2035]]</f>
        <v>752.08229966783153</v>
      </c>
      <c r="M111">
        <f>scenario_jobcoeff_4506_iotable_2020_xlsx_3[[#This Row],[2036]]+scenario_jobcoeff_1610_iotable_2020_xlsx_3[[#This Row],[2036]]</f>
        <v>810.96279252990132</v>
      </c>
      <c r="N111">
        <f>scenario_jobcoeff_4506_iotable_2020_xlsx_3[[#This Row],[2037]]+scenario_jobcoeff_1610_iotable_2020_xlsx_3[[#This Row],[2037]]</f>
        <v>863.5504196849821</v>
      </c>
      <c r="O111">
        <f>scenario_jobcoeff_4506_iotable_2020_xlsx_3[[#This Row],[2038]]+scenario_jobcoeff_1610_iotable_2020_xlsx_3[[#This Row],[2038]]</f>
        <v>863.5504196849821</v>
      </c>
      <c r="P111">
        <f>scenario_jobcoeff_4506_iotable_2020_xlsx_3[[#This Row],[2039]]+scenario_jobcoeff_1610_iotable_2020_xlsx_3[[#This Row],[2039]]</f>
        <v>863.5504196849821</v>
      </c>
      <c r="Q111">
        <f>scenario_jobcoeff_4506_iotable_2020_xlsx_3[[#This Row],[2040]]+scenario_jobcoeff_1610_iotable_2020_xlsx_3[[#This Row],[2040]]</f>
        <v>909.52662481409436</v>
      </c>
      <c r="R111">
        <f>scenario_jobcoeff_4506_iotable_2020_xlsx_3[[#This Row],[2041]]+scenario_jobcoeff_1610_iotable_2020_xlsx_3[[#This Row],[2041]]</f>
        <v>909.52662481409436</v>
      </c>
      <c r="S111">
        <f>scenario_jobcoeff_4506_iotable_2020_xlsx_3[[#This Row],[2042]]+scenario_jobcoeff_1610_iotable_2020_xlsx_3[[#This Row],[2042]]</f>
        <v>960.87550214787791</v>
      </c>
      <c r="T111">
        <f>scenario_jobcoeff_4506_iotable_2020_xlsx_3[[#This Row],[2043]]+scenario_jobcoeff_1610_iotable_2020_xlsx_3[[#This Row],[2043]]</f>
        <v>960.87550214787791</v>
      </c>
      <c r="U111">
        <f>scenario_jobcoeff_4506_iotable_2020_xlsx_3[[#This Row],[2044]]+scenario_jobcoeff_1610_iotable_2020_xlsx_3[[#This Row],[2044]]</f>
        <v>1007.8846707209331</v>
      </c>
      <c r="V111">
        <f>scenario_jobcoeff_4506_iotable_2020_xlsx_3[[#This Row],[2045]]+scenario_jobcoeff_1610_iotable_2020_xlsx_3[[#This Row],[2045]]</f>
        <v>1007.8846707209331</v>
      </c>
      <c r="W111">
        <f>scenario_jobcoeff_4506_iotable_2020_xlsx_3[[#This Row],[2046]]+scenario_jobcoeff_1610_iotable_2020_xlsx_3[[#This Row],[2046]]</f>
        <v>1048.490299401082</v>
      </c>
      <c r="X111">
        <f>scenario_jobcoeff_4506_iotable_2020_xlsx_3[[#This Row],[2047]]+scenario_jobcoeff_1610_iotable_2020_xlsx_3[[#This Row],[2047]]</f>
        <v>1048.490299401082</v>
      </c>
      <c r="Y111">
        <f>scenario_jobcoeff_4506_iotable_2020_xlsx_3[[#This Row],[2048]]+scenario_jobcoeff_1610_iotable_2020_xlsx_3[[#This Row],[2048]]</f>
        <v>1048.490299401082</v>
      </c>
      <c r="Z111">
        <f>scenario_jobcoeff_4506_iotable_2020_xlsx_3[[#This Row],[2049]]+scenario_jobcoeff_1610_iotable_2020_xlsx_3[[#This Row],[2049]]</f>
        <v>1048.490299401082</v>
      </c>
      <c r="AA111">
        <f>scenario_jobcoeff_4506_iotable_2020_xlsx_3[[#This Row],[2050]]+scenario_jobcoeff_1610_iotable_2020_xlsx_3[[#This Row],[2050]]</f>
        <v>1048.490299401082</v>
      </c>
    </row>
    <row r="112" spans="1:27" x14ac:dyDescent="0.2">
      <c r="A112" t="s">
        <v>322</v>
      </c>
      <c r="B112" t="s">
        <v>323</v>
      </c>
      <c r="C112">
        <f>scenario_jobcoeff_4506_iotable_2020_xlsx_3[[#This Row],[2026]]+scenario_jobcoeff_1610_iotable_2020_xlsx_3[[#This Row],[2026]]</f>
        <v>0</v>
      </c>
      <c r="D112">
        <f>scenario_jobcoeff_4506_iotable_2020_xlsx_3[[#This Row],[2027]]+scenario_jobcoeff_1610_iotable_2020_xlsx_3[[#This Row],[2027]]</f>
        <v>0</v>
      </c>
      <c r="E112">
        <f>scenario_jobcoeff_4506_iotable_2020_xlsx_3[[#This Row],[2028]]+scenario_jobcoeff_1610_iotable_2020_xlsx_3[[#This Row],[2028]]</f>
        <v>0</v>
      </c>
      <c r="F112">
        <f>scenario_jobcoeff_4506_iotable_2020_xlsx_3[[#This Row],[2029]]+scenario_jobcoeff_1610_iotable_2020_xlsx_3[[#This Row],[2029]]</f>
        <v>0</v>
      </c>
      <c r="G112">
        <f>scenario_jobcoeff_4506_iotable_2020_xlsx_3[[#This Row],[2030]]+scenario_jobcoeff_1610_iotable_2020_xlsx_3[[#This Row],[2030]]</f>
        <v>0</v>
      </c>
      <c r="H112">
        <f>scenario_jobcoeff_4506_iotable_2020_xlsx_3[[#This Row],[2031]]+scenario_jobcoeff_1610_iotable_2020_xlsx_3[[#This Row],[2031]]</f>
        <v>0</v>
      </c>
      <c r="I112">
        <f>scenario_jobcoeff_4506_iotable_2020_xlsx_3[[#This Row],[2032]]+scenario_jobcoeff_1610_iotable_2020_xlsx_3[[#This Row],[2032]]</f>
        <v>0</v>
      </c>
      <c r="J112">
        <f>scenario_jobcoeff_4506_iotable_2020_xlsx_3[[#This Row],[2033]]+scenario_jobcoeff_1610_iotable_2020_xlsx_3[[#This Row],[2033]]</f>
        <v>0</v>
      </c>
      <c r="K112">
        <f>scenario_jobcoeff_4506_iotable_2020_xlsx_3[[#This Row],[2034]]+scenario_jobcoeff_1610_iotable_2020_xlsx_3[[#This Row],[2034]]</f>
        <v>0</v>
      </c>
      <c r="L112">
        <f>scenario_jobcoeff_4506_iotable_2020_xlsx_3[[#This Row],[2035]]+scenario_jobcoeff_1610_iotable_2020_xlsx_3[[#This Row],[2035]]</f>
        <v>0</v>
      </c>
      <c r="M112">
        <f>scenario_jobcoeff_4506_iotable_2020_xlsx_3[[#This Row],[2036]]+scenario_jobcoeff_1610_iotable_2020_xlsx_3[[#This Row],[2036]]</f>
        <v>0</v>
      </c>
      <c r="N112">
        <f>scenario_jobcoeff_4506_iotable_2020_xlsx_3[[#This Row],[2037]]+scenario_jobcoeff_1610_iotable_2020_xlsx_3[[#This Row],[2037]]</f>
        <v>0</v>
      </c>
      <c r="O112">
        <f>scenario_jobcoeff_4506_iotable_2020_xlsx_3[[#This Row],[2038]]+scenario_jobcoeff_1610_iotable_2020_xlsx_3[[#This Row],[2038]]</f>
        <v>0</v>
      </c>
      <c r="P112">
        <f>scenario_jobcoeff_4506_iotable_2020_xlsx_3[[#This Row],[2039]]+scenario_jobcoeff_1610_iotable_2020_xlsx_3[[#This Row],[2039]]</f>
        <v>0</v>
      </c>
      <c r="Q112">
        <f>scenario_jobcoeff_4506_iotable_2020_xlsx_3[[#This Row],[2040]]+scenario_jobcoeff_1610_iotable_2020_xlsx_3[[#This Row],[2040]]</f>
        <v>0</v>
      </c>
      <c r="R112">
        <f>scenario_jobcoeff_4506_iotable_2020_xlsx_3[[#This Row],[2041]]+scenario_jobcoeff_1610_iotable_2020_xlsx_3[[#This Row],[2041]]</f>
        <v>0</v>
      </c>
      <c r="S112">
        <f>scenario_jobcoeff_4506_iotable_2020_xlsx_3[[#This Row],[2042]]+scenario_jobcoeff_1610_iotable_2020_xlsx_3[[#This Row],[2042]]</f>
        <v>0</v>
      </c>
      <c r="T112">
        <f>scenario_jobcoeff_4506_iotable_2020_xlsx_3[[#This Row],[2043]]+scenario_jobcoeff_1610_iotable_2020_xlsx_3[[#This Row],[2043]]</f>
        <v>0</v>
      </c>
      <c r="U112">
        <f>scenario_jobcoeff_4506_iotable_2020_xlsx_3[[#This Row],[2044]]+scenario_jobcoeff_1610_iotable_2020_xlsx_3[[#This Row],[2044]]</f>
        <v>0</v>
      </c>
      <c r="V112">
        <f>scenario_jobcoeff_4506_iotable_2020_xlsx_3[[#This Row],[2045]]+scenario_jobcoeff_1610_iotable_2020_xlsx_3[[#This Row],[2045]]</f>
        <v>0</v>
      </c>
      <c r="W112">
        <f>scenario_jobcoeff_4506_iotable_2020_xlsx_3[[#This Row],[2046]]+scenario_jobcoeff_1610_iotable_2020_xlsx_3[[#This Row],[2046]]</f>
        <v>0</v>
      </c>
      <c r="X112">
        <f>scenario_jobcoeff_4506_iotable_2020_xlsx_3[[#This Row],[2047]]+scenario_jobcoeff_1610_iotable_2020_xlsx_3[[#This Row],[2047]]</f>
        <v>0</v>
      </c>
      <c r="Y112">
        <f>scenario_jobcoeff_4506_iotable_2020_xlsx_3[[#This Row],[2048]]+scenario_jobcoeff_1610_iotable_2020_xlsx_3[[#This Row],[2048]]</f>
        <v>0</v>
      </c>
      <c r="Z112">
        <f>scenario_jobcoeff_4506_iotable_2020_xlsx_3[[#This Row],[2049]]+scenario_jobcoeff_1610_iotable_2020_xlsx_3[[#This Row],[2049]]</f>
        <v>0</v>
      </c>
      <c r="AA112">
        <f>scenario_jobcoeff_4506_iotable_2020_xlsx_3[[#This Row],[2050]]+scenario_jobcoeff_1610_iotable_2020_xlsx_3[[#This Row],[2050]]</f>
        <v>0</v>
      </c>
    </row>
    <row r="113" spans="1:27" x14ac:dyDescent="0.2">
      <c r="A113" t="s">
        <v>330</v>
      </c>
      <c r="B113" t="s">
        <v>331</v>
      </c>
      <c r="C113">
        <f>scenario_jobcoeff_4506_iotable_2020_xlsx_3[[#This Row],[2026]]+scenario_jobcoeff_1610_iotable_2020_xlsx_3[[#This Row],[2026]]</f>
        <v>0</v>
      </c>
      <c r="D113">
        <f>scenario_jobcoeff_4506_iotable_2020_xlsx_3[[#This Row],[2027]]+scenario_jobcoeff_1610_iotable_2020_xlsx_3[[#This Row],[2027]]</f>
        <v>0</v>
      </c>
      <c r="E113">
        <f>scenario_jobcoeff_4506_iotable_2020_xlsx_3[[#This Row],[2028]]+scenario_jobcoeff_1610_iotable_2020_xlsx_3[[#This Row],[2028]]</f>
        <v>0</v>
      </c>
      <c r="F113">
        <f>scenario_jobcoeff_4506_iotable_2020_xlsx_3[[#This Row],[2029]]+scenario_jobcoeff_1610_iotable_2020_xlsx_3[[#This Row],[2029]]</f>
        <v>0</v>
      </c>
      <c r="G113">
        <f>scenario_jobcoeff_4506_iotable_2020_xlsx_3[[#This Row],[2030]]+scenario_jobcoeff_1610_iotable_2020_xlsx_3[[#This Row],[2030]]</f>
        <v>0</v>
      </c>
      <c r="H113">
        <f>scenario_jobcoeff_4506_iotable_2020_xlsx_3[[#This Row],[2031]]+scenario_jobcoeff_1610_iotable_2020_xlsx_3[[#This Row],[2031]]</f>
        <v>0</v>
      </c>
      <c r="I113">
        <f>scenario_jobcoeff_4506_iotable_2020_xlsx_3[[#This Row],[2032]]+scenario_jobcoeff_1610_iotable_2020_xlsx_3[[#This Row],[2032]]</f>
        <v>0</v>
      </c>
      <c r="J113">
        <f>scenario_jobcoeff_4506_iotable_2020_xlsx_3[[#This Row],[2033]]+scenario_jobcoeff_1610_iotable_2020_xlsx_3[[#This Row],[2033]]</f>
        <v>0</v>
      </c>
      <c r="K113">
        <f>scenario_jobcoeff_4506_iotable_2020_xlsx_3[[#This Row],[2034]]+scenario_jobcoeff_1610_iotable_2020_xlsx_3[[#This Row],[2034]]</f>
        <v>0</v>
      </c>
      <c r="L113">
        <f>scenario_jobcoeff_4506_iotable_2020_xlsx_3[[#This Row],[2035]]+scenario_jobcoeff_1610_iotable_2020_xlsx_3[[#This Row],[2035]]</f>
        <v>0</v>
      </c>
      <c r="M113">
        <f>scenario_jobcoeff_4506_iotable_2020_xlsx_3[[#This Row],[2036]]+scenario_jobcoeff_1610_iotable_2020_xlsx_3[[#This Row],[2036]]</f>
        <v>0</v>
      </c>
      <c r="N113">
        <f>scenario_jobcoeff_4506_iotable_2020_xlsx_3[[#This Row],[2037]]+scenario_jobcoeff_1610_iotable_2020_xlsx_3[[#This Row],[2037]]</f>
        <v>0</v>
      </c>
      <c r="O113">
        <f>scenario_jobcoeff_4506_iotable_2020_xlsx_3[[#This Row],[2038]]+scenario_jobcoeff_1610_iotable_2020_xlsx_3[[#This Row],[2038]]</f>
        <v>0</v>
      </c>
      <c r="P113">
        <f>scenario_jobcoeff_4506_iotable_2020_xlsx_3[[#This Row],[2039]]+scenario_jobcoeff_1610_iotable_2020_xlsx_3[[#This Row],[2039]]</f>
        <v>0</v>
      </c>
      <c r="Q113">
        <f>scenario_jobcoeff_4506_iotable_2020_xlsx_3[[#This Row],[2040]]+scenario_jobcoeff_1610_iotable_2020_xlsx_3[[#This Row],[2040]]</f>
        <v>0</v>
      </c>
      <c r="R113">
        <f>scenario_jobcoeff_4506_iotable_2020_xlsx_3[[#This Row],[2041]]+scenario_jobcoeff_1610_iotable_2020_xlsx_3[[#This Row],[2041]]</f>
        <v>0</v>
      </c>
      <c r="S113">
        <f>scenario_jobcoeff_4506_iotable_2020_xlsx_3[[#This Row],[2042]]+scenario_jobcoeff_1610_iotable_2020_xlsx_3[[#This Row],[2042]]</f>
        <v>0</v>
      </c>
      <c r="T113">
        <f>scenario_jobcoeff_4506_iotable_2020_xlsx_3[[#This Row],[2043]]+scenario_jobcoeff_1610_iotable_2020_xlsx_3[[#This Row],[2043]]</f>
        <v>0</v>
      </c>
      <c r="U113">
        <f>scenario_jobcoeff_4506_iotable_2020_xlsx_3[[#This Row],[2044]]+scenario_jobcoeff_1610_iotable_2020_xlsx_3[[#This Row],[2044]]</f>
        <v>0</v>
      </c>
      <c r="V113">
        <f>scenario_jobcoeff_4506_iotable_2020_xlsx_3[[#This Row],[2045]]+scenario_jobcoeff_1610_iotable_2020_xlsx_3[[#This Row],[2045]]</f>
        <v>0</v>
      </c>
      <c r="W113">
        <f>scenario_jobcoeff_4506_iotable_2020_xlsx_3[[#This Row],[2046]]+scenario_jobcoeff_1610_iotable_2020_xlsx_3[[#This Row],[2046]]</f>
        <v>0</v>
      </c>
      <c r="X113">
        <f>scenario_jobcoeff_4506_iotable_2020_xlsx_3[[#This Row],[2047]]+scenario_jobcoeff_1610_iotable_2020_xlsx_3[[#This Row],[2047]]</f>
        <v>0</v>
      </c>
      <c r="Y113">
        <f>scenario_jobcoeff_4506_iotable_2020_xlsx_3[[#This Row],[2048]]+scenario_jobcoeff_1610_iotable_2020_xlsx_3[[#This Row],[2048]]</f>
        <v>0</v>
      </c>
      <c r="Z113">
        <f>scenario_jobcoeff_4506_iotable_2020_xlsx_3[[#This Row],[2049]]+scenario_jobcoeff_1610_iotable_2020_xlsx_3[[#This Row],[2049]]</f>
        <v>0</v>
      </c>
      <c r="AA113">
        <f>scenario_jobcoeff_4506_iotable_2020_xlsx_3[[#This Row],[2050]]+scenario_jobcoeff_1610_iotable_2020_xlsx_3[[#This Row],[2050]]</f>
        <v>0</v>
      </c>
    </row>
    <row r="114" spans="1:27" x14ac:dyDescent="0.2">
      <c r="A114" t="s">
        <v>26</v>
      </c>
      <c r="B114" t="s">
        <v>27</v>
      </c>
      <c r="C114">
        <f>scenario_jobcoeff_4506_iotable_2020_xlsx_3[[#This Row],[2026]]+scenario_jobcoeff_1610_iotable_2020_xlsx_3[[#This Row],[2026]]</f>
        <v>598.29415618535654</v>
      </c>
      <c r="D114">
        <f>scenario_jobcoeff_4506_iotable_2020_xlsx_3[[#This Row],[2027]]+scenario_jobcoeff_1610_iotable_2020_xlsx_3[[#This Row],[2027]]</f>
        <v>592.44461318223102</v>
      </c>
      <c r="E114">
        <f>scenario_jobcoeff_4506_iotable_2020_xlsx_3[[#This Row],[2028]]+scenario_jobcoeff_1610_iotable_2020_xlsx_3[[#This Row],[2028]]</f>
        <v>622.15768532770653</v>
      </c>
      <c r="F114">
        <f>scenario_jobcoeff_4506_iotable_2020_xlsx_3[[#This Row],[2029]]+scenario_jobcoeff_1610_iotable_2020_xlsx_3[[#This Row],[2029]]</f>
        <v>640.96937383328782</v>
      </c>
      <c r="G114">
        <f>scenario_jobcoeff_4506_iotable_2020_xlsx_3[[#This Row],[2030]]+scenario_jobcoeff_1610_iotable_2020_xlsx_3[[#This Row],[2030]]</f>
        <v>594.01934871501066</v>
      </c>
      <c r="H114">
        <f>scenario_jobcoeff_4506_iotable_2020_xlsx_3[[#This Row],[2031]]+scenario_jobcoeff_1610_iotable_2020_xlsx_3[[#This Row],[2031]]</f>
        <v>634.1082143646147</v>
      </c>
      <c r="I114">
        <f>scenario_jobcoeff_4506_iotable_2020_xlsx_3[[#This Row],[2032]]+scenario_jobcoeff_1610_iotable_2020_xlsx_3[[#This Row],[2032]]</f>
        <v>690.09588279058175</v>
      </c>
      <c r="J114">
        <f>scenario_jobcoeff_4506_iotable_2020_xlsx_3[[#This Row],[2033]]+scenario_jobcoeff_1610_iotable_2020_xlsx_3[[#This Row],[2033]]</f>
        <v>765.63579794237705</v>
      </c>
      <c r="K114">
        <f>scenario_jobcoeff_4506_iotable_2020_xlsx_3[[#This Row],[2034]]+scenario_jobcoeff_1610_iotable_2020_xlsx_3[[#This Row],[2034]]</f>
        <v>817.73524250537832</v>
      </c>
      <c r="L114">
        <f>scenario_jobcoeff_4506_iotable_2020_xlsx_3[[#This Row],[2035]]+scenario_jobcoeff_1610_iotable_2020_xlsx_3[[#This Row],[2035]]</f>
        <v>932.2250125757032</v>
      </c>
      <c r="M114">
        <f>scenario_jobcoeff_4506_iotable_2020_xlsx_3[[#This Row],[2036]]+scenario_jobcoeff_1610_iotable_2020_xlsx_3[[#This Row],[2036]]</f>
        <v>968.78699044454947</v>
      </c>
      <c r="N114">
        <f>scenario_jobcoeff_4506_iotable_2020_xlsx_3[[#This Row],[2037]]+scenario_jobcoeff_1610_iotable_2020_xlsx_3[[#This Row],[2037]]</f>
        <v>1002.8547789394266</v>
      </c>
      <c r="O114">
        <f>scenario_jobcoeff_4506_iotable_2020_xlsx_3[[#This Row],[2038]]+scenario_jobcoeff_1610_iotable_2020_xlsx_3[[#This Row],[2038]]</f>
        <v>1002.8547789394266</v>
      </c>
      <c r="P114">
        <f>scenario_jobcoeff_4506_iotable_2020_xlsx_3[[#This Row],[2039]]+scenario_jobcoeff_1610_iotable_2020_xlsx_3[[#This Row],[2039]]</f>
        <v>1002.8547789394266</v>
      </c>
      <c r="Q114">
        <f>scenario_jobcoeff_4506_iotable_2020_xlsx_3[[#This Row],[2040]]+scenario_jobcoeff_1610_iotable_2020_xlsx_3[[#This Row],[2040]]</f>
        <v>1032.4024967754272</v>
      </c>
      <c r="R114">
        <f>scenario_jobcoeff_4506_iotable_2020_xlsx_3[[#This Row],[2041]]+scenario_jobcoeff_1610_iotable_2020_xlsx_3[[#This Row],[2041]]</f>
        <v>1032.4024967754272</v>
      </c>
      <c r="S114">
        <f>scenario_jobcoeff_4506_iotable_2020_xlsx_3[[#This Row],[2042]]+scenario_jobcoeff_1610_iotable_2020_xlsx_3[[#This Row],[2042]]</f>
        <v>1066.1544601358685</v>
      </c>
      <c r="T114">
        <f>scenario_jobcoeff_4506_iotable_2020_xlsx_3[[#This Row],[2043]]+scenario_jobcoeff_1610_iotable_2020_xlsx_3[[#This Row],[2043]]</f>
        <v>1066.1544601358685</v>
      </c>
      <c r="U114">
        <f>scenario_jobcoeff_4506_iotable_2020_xlsx_3[[#This Row],[2044]]+scenario_jobcoeff_1610_iotable_2020_xlsx_3[[#This Row],[2044]]</f>
        <v>1094.8064105268861</v>
      </c>
      <c r="V114">
        <f>scenario_jobcoeff_4506_iotable_2020_xlsx_3[[#This Row],[2045]]+scenario_jobcoeff_1610_iotable_2020_xlsx_3[[#This Row],[2045]]</f>
        <v>1094.8064105268861</v>
      </c>
      <c r="W114">
        <f>scenario_jobcoeff_4506_iotable_2020_xlsx_3[[#This Row],[2046]]+scenario_jobcoeff_1610_iotable_2020_xlsx_3[[#This Row],[2046]]</f>
        <v>1120.2962233353103</v>
      </c>
      <c r="X114">
        <f>scenario_jobcoeff_4506_iotable_2020_xlsx_3[[#This Row],[2047]]+scenario_jobcoeff_1610_iotable_2020_xlsx_3[[#This Row],[2047]]</f>
        <v>1120.2962233353103</v>
      </c>
      <c r="Y114">
        <f>scenario_jobcoeff_4506_iotable_2020_xlsx_3[[#This Row],[2048]]+scenario_jobcoeff_1610_iotable_2020_xlsx_3[[#This Row],[2048]]</f>
        <v>1120.2962233353103</v>
      </c>
      <c r="Z114">
        <f>scenario_jobcoeff_4506_iotable_2020_xlsx_3[[#This Row],[2049]]+scenario_jobcoeff_1610_iotable_2020_xlsx_3[[#This Row],[2049]]</f>
        <v>1120.2962233353103</v>
      </c>
      <c r="AA114">
        <f>scenario_jobcoeff_4506_iotable_2020_xlsx_3[[#This Row],[2050]]+scenario_jobcoeff_1610_iotable_2020_xlsx_3[[#This Row],[2050]]</f>
        <v>1120.2962233353103</v>
      </c>
    </row>
    <row r="115" spans="1:27" x14ac:dyDescent="0.2">
      <c r="A115" t="s">
        <v>328</v>
      </c>
      <c r="B115" t="s">
        <v>329</v>
      </c>
      <c r="C115">
        <f>scenario_jobcoeff_4506_iotable_2020_xlsx_3[[#This Row],[2026]]+scenario_jobcoeff_1610_iotable_2020_xlsx_3[[#This Row],[2026]]</f>
        <v>0</v>
      </c>
      <c r="D115">
        <f>scenario_jobcoeff_4506_iotable_2020_xlsx_3[[#This Row],[2027]]+scenario_jobcoeff_1610_iotable_2020_xlsx_3[[#This Row],[2027]]</f>
        <v>0</v>
      </c>
      <c r="E115">
        <f>scenario_jobcoeff_4506_iotable_2020_xlsx_3[[#This Row],[2028]]+scenario_jobcoeff_1610_iotable_2020_xlsx_3[[#This Row],[2028]]</f>
        <v>0</v>
      </c>
      <c r="F115">
        <f>scenario_jobcoeff_4506_iotable_2020_xlsx_3[[#This Row],[2029]]+scenario_jobcoeff_1610_iotable_2020_xlsx_3[[#This Row],[2029]]</f>
        <v>0</v>
      </c>
      <c r="G115">
        <f>scenario_jobcoeff_4506_iotable_2020_xlsx_3[[#This Row],[2030]]+scenario_jobcoeff_1610_iotable_2020_xlsx_3[[#This Row],[2030]]</f>
        <v>0</v>
      </c>
      <c r="H115">
        <f>scenario_jobcoeff_4506_iotable_2020_xlsx_3[[#This Row],[2031]]+scenario_jobcoeff_1610_iotable_2020_xlsx_3[[#This Row],[2031]]</f>
        <v>0</v>
      </c>
      <c r="I115">
        <f>scenario_jobcoeff_4506_iotable_2020_xlsx_3[[#This Row],[2032]]+scenario_jobcoeff_1610_iotable_2020_xlsx_3[[#This Row],[2032]]</f>
        <v>0</v>
      </c>
      <c r="J115">
        <f>scenario_jobcoeff_4506_iotable_2020_xlsx_3[[#This Row],[2033]]+scenario_jobcoeff_1610_iotable_2020_xlsx_3[[#This Row],[2033]]</f>
        <v>0</v>
      </c>
      <c r="K115">
        <f>scenario_jobcoeff_4506_iotable_2020_xlsx_3[[#This Row],[2034]]+scenario_jobcoeff_1610_iotable_2020_xlsx_3[[#This Row],[2034]]</f>
        <v>0</v>
      </c>
      <c r="L115">
        <f>scenario_jobcoeff_4506_iotable_2020_xlsx_3[[#This Row],[2035]]+scenario_jobcoeff_1610_iotable_2020_xlsx_3[[#This Row],[2035]]</f>
        <v>0</v>
      </c>
      <c r="M115">
        <f>scenario_jobcoeff_4506_iotable_2020_xlsx_3[[#This Row],[2036]]+scenario_jobcoeff_1610_iotable_2020_xlsx_3[[#This Row],[2036]]</f>
        <v>0</v>
      </c>
      <c r="N115">
        <f>scenario_jobcoeff_4506_iotable_2020_xlsx_3[[#This Row],[2037]]+scenario_jobcoeff_1610_iotable_2020_xlsx_3[[#This Row],[2037]]</f>
        <v>0</v>
      </c>
      <c r="O115">
        <f>scenario_jobcoeff_4506_iotable_2020_xlsx_3[[#This Row],[2038]]+scenario_jobcoeff_1610_iotable_2020_xlsx_3[[#This Row],[2038]]</f>
        <v>0</v>
      </c>
      <c r="P115">
        <f>scenario_jobcoeff_4506_iotable_2020_xlsx_3[[#This Row],[2039]]+scenario_jobcoeff_1610_iotable_2020_xlsx_3[[#This Row],[2039]]</f>
        <v>0</v>
      </c>
      <c r="Q115">
        <f>scenario_jobcoeff_4506_iotable_2020_xlsx_3[[#This Row],[2040]]+scenario_jobcoeff_1610_iotable_2020_xlsx_3[[#This Row],[2040]]</f>
        <v>0</v>
      </c>
      <c r="R115">
        <f>scenario_jobcoeff_4506_iotable_2020_xlsx_3[[#This Row],[2041]]+scenario_jobcoeff_1610_iotable_2020_xlsx_3[[#This Row],[2041]]</f>
        <v>0</v>
      </c>
      <c r="S115">
        <f>scenario_jobcoeff_4506_iotable_2020_xlsx_3[[#This Row],[2042]]+scenario_jobcoeff_1610_iotable_2020_xlsx_3[[#This Row],[2042]]</f>
        <v>0</v>
      </c>
      <c r="T115">
        <f>scenario_jobcoeff_4506_iotable_2020_xlsx_3[[#This Row],[2043]]+scenario_jobcoeff_1610_iotable_2020_xlsx_3[[#This Row],[2043]]</f>
        <v>0</v>
      </c>
      <c r="U115">
        <f>scenario_jobcoeff_4506_iotable_2020_xlsx_3[[#This Row],[2044]]+scenario_jobcoeff_1610_iotable_2020_xlsx_3[[#This Row],[2044]]</f>
        <v>0</v>
      </c>
      <c r="V115">
        <f>scenario_jobcoeff_4506_iotable_2020_xlsx_3[[#This Row],[2045]]+scenario_jobcoeff_1610_iotable_2020_xlsx_3[[#This Row],[2045]]</f>
        <v>0</v>
      </c>
      <c r="W115">
        <f>scenario_jobcoeff_4506_iotable_2020_xlsx_3[[#This Row],[2046]]+scenario_jobcoeff_1610_iotable_2020_xlsx_3[[#This Row],[2046]]</f>
        <v>0</v>
      </c>
      <c r="X115">
        <f>scenario_jobcoeff_4506_iotable_2020_xlsx_3[[#This Row],[2047]]+scenario_jobcoeff_1610_iotable_2020_xlsx_3[[#This Row],[2047]]</f>
        <v>0</v>
      </c>
      <c r="Y115">
        <f>scenario_jobcoeff_4506_iotable_2020_xlsx_3[[#This Row],[2048]]+scenario_jobcoeff_1610_iotable_2020_xlsx_3[[#This Row],[2048]]</f>
        <v>0</v>
      </c>
      <c r="Z115">
        <f>scenario_jobcoeff_4506_iotable_2020_xlsx_3[[#This Row],[2049]]+scenario_jobcoeff_1610_iotable_2020_xlsx_3[[#This Row],[2049]]</f>
        <v>0</v>
      </c>
      <c r="AA115">
        <f>scenario_jobcoeff_4506_iotable_2020_xlsx_3[[#This Row],[2050]]+scenario_jobcoeff_1610_iotable_2020_xlsx_3[[#This Row],[2050]]</f>
        <v>0</v>
      </c>
    </row>
    <row r="116" spans="1:27" x14ac:dyDescent="0.2">
      <c r="A116" t="s">
        <v>326</v>
      </c>
      <c r="B116" t="s">
        <v>327</v>
      </c>
      <c r="C116">
        <f>scenario_jobcoeff_4506_iotable_2020_xlsx_3[[#This Row],[2026]]+scenario_jobcoeff_1610_iotable_2020_xlsx_3[[#This Row],[2026]]</f>
        <v>0</v>
      </c>
      <c r="D116">
        <f>scenario_jobcoeff_4506_iotable_2020_xlsx_3[[#This Row],[2027]]+scenario_jobcoeff_1610_iotable_2020_xlsx_3[[#This Row],[2027]]</f>
        <v>0</v>
      </c>
      <c r="E116">
        <f>scenario_jobcoeff_4506_iotable_2020_xlsx_3[[#This Row],[2028]]+scenario_jobcoeff_1610_iotable_2020_xlsx_3[[#This Row],[2028]]</f>
        <v>0</v>
      </c>
      <c r="F116">
        <f>scenario_jobcoeff_4506_iotable_2020_xlsx_3[[#This Row],[2029]]+scenario_jobcoeff_1610_iotable_2020_xlsx_3[[#This Row],[2029]]</f>
        <v>0</v>
      </c>
      <c r="G116">
        <f>scenario_jobcoeff_4506_iotable_2020_xlsx_3[[#This Row],[2030]]+scenario_jobcoeff_1610_iotable_2020_xlsx_3[[#This Row],[2030]]</f>
        <v>0</v>
      </c>
      <c r="H116">
        <f>scenario_jobcoeff_4506_iotable_2020_xlsx_3[[#This Row],[2031]]+scenario_jobcoeff_1610_iotable_2020_xlsx_3[[#This Row],[2031]]</f>
        <v>0</v>
      </c>
      <c r="I116">
        <f>scenario_jobcoeff_4506_iotable_2020_xlsx_3[[#This Row],[2032]]+scenario_jobcoeff_1610_iotable_2020_xlsx_3[[#This Row],[2032]]</f>
        <v>0</v>
      </c>
      <c r="J116">
        <f>scenario_jobcoeff_4506_iotable_2020_xlsx_3[[#This Row],[2033]]+scenario_jobcoeff_1610_iotable_2020_xlsx_3[[#This Row],[2033]]</f>
        <v>0</v>
      </c>
      <c r="K116">
        <f>scenario_jobcoeff_4506_iotable_2020_xlsx_3[[#This Row],[2034]]+scenario_jobcoeff_1610_iotable_2020_xlsx_3[[#This Row],[2034]]</f>
        <v>0</v>
      </c>
      <c r="L116">
        <f>scenario_jobcoeff_4506_iotable_2020_xlsx_3[[#This Row],[2035]]+scenario_jobcoeff_1610_iotable_2020_xlsx_3[[#This Row],[2035]]</f>
        <v>0</v>
      </c>
      <c r="M116">
        <f>scenario_jobcoeff_4506_iotable_2020_xlsx_3[[#This Row],[2036]]+scenario_jobcoeff_1610_iotable_2020_xlsx_3[[#This Row],[2036]]</f>
        <v>0</v>
      </c>
      <c r="N116">
        <f>scenario_jobcoeff_4506_iotable_2020_xlsx_3[[#This Row],[2037]]+scenario_jobcoeff_1610_iotable_2020_xlsx_3[[#This Row],[2037]]</f>
        <v>0</v>
      </c>
      <c r="O116">
        <f>scenario_jobcoeff_4506_iotable_2020_xlsx_3[[#This Row],[2038]]+scenario_jobcoeff_1610_iotable_2020_xlsx_3[[#This Row],[2038]]</f>
        <v>0</v>
      </c>
      <c r="P116">
        <f>scenario_jobcoeff_4506_iotable_2020_xlsx_3[[#This Row],[2039]]+scenario_jobcoeff_1610_iotable_2020_xlsx_3[[#This Row],[2039]]</f>
        <v>0</v>
      </c>
      <c r="Q116">
        <f>scenario_jobcoeff_4506_iotable_2020_xlsx_3[[#This Row],[2040]]+scenario_jobcoeff_1610_iotable_2020_xlsx_3[[#This Row],[2040]]</f>
        <v>0</v>
      </c>
      <c r="R116">
        <f>scenario_jobcoeff_4506_iotable_2020_xlsx_3[[#This Row],[2041]]+scenario_jobcoeff_1610_iotable_2020_xlsx_3[[#This Row],[2041]]</f>
        <v>0</v>
      </c>
      <c r="S116">
        <f>scenario_jobcoeff_4506_iotable_2020_xlsx_3[[#This Row],[2042]]+scenario_jobcoeff_1610_iotable_2020_xlsx_3[[#This Row],[2042]]</f>
        <v>0</v>
      </c>
      <c r="T116">
        <f>scenario_jobcoeff_4506_iotable_2020_xlsx_3[[#This Row],[2043]]+scenario_jobcoeff_1610_iotable_2020_xlsx_3[[#This Row],[2043]]</f>
        <v>0</v>
      </c>
      <c r="U116">
        <f>scenario_jobcoeff_4506_iotable_2020_xlsx_3[[#This Row],[2044]]+scenario_jobcoeff_1610_iotable_2020_xlsx_3[[#This Row],[2044]]</f>
        <v>0</v>
      </c>
      <c r="V116">
        <f>scenario_jobcoeff_4506_iotable_2020_xlsx_3[[#This Row],[2045]]+scenario_jobcoeff_1610_iotable_2020_xlsx_3[[#This Row],[2045]]</f>
        <v>0</v>
      </c>
      <c r="W116">
        <f>scenario_jobcoeff_4506_iotable_2020_xlsx_3[[#This Row],[2046]]+scenario_jobcoeff_1610_iotable_2020_xlsx_3[[#This Row],[2046]]</f>
        <v>0</v>
      </c>
      <c r="X116">
        <f>scenario_jobcoeff_4506_iotable_2020_xlsx_3[[#This Row],[2047]]+scenario_jobcoeff_1610_iotable_2020_xlsx_3[[#This Row],[2047]]</f>
        <v>0</v>
      </c>
      <c r="Y116">
        <f>scenario_jobcoeff_4506_iotable_2020_xlsx_3[[#This Row],[2048]]+scenario_jobcoeff_1610_iotable_2020_xlsx_3[[#This Row],[2048]]</f>
        <v>0</v>
      </c>
      <c r="Z116">
        <f>scenario_jobcoeff_4506_iotable_2020_xlsx_3[[#This Row],[2049]]+scenario_jobcoeff_1610_iotable_2020_xlsx_3[[#This Row],[2049]]</f>
        <v>0</v>
      </c>
      <c r="AA116">
        <f>scenario_jobcoeff_4506_iotable_2020_xlsx_3[[#This Row],[2050]]+scenario_jobcoeff_1610_iotable_2020_xlsx_3[[#This Row],[2050]]</f>
        <v>0</v>
      </c>
    </row>
    <row r="117" spans="1:27" x14ac:dyDescent="0.2">
      <c r="A117" t="s">
        <v>324</v>
      </c>
      <c r="B117" t="s">
        <v>325</v>
      </c>
      <c r="C117">
        <f>scenario_jobcoeff_4506_iotable_2020_xlsx_3[[#This Row],[2026]]+scenario_jobcoeff_1610_iotable_2020_xlsx_3[[#This Row],[2026]]</f>
        <v>0</v>
      </c>
      <c r="D117">
        <f>scenario_jobcoeff_4506_iotable_2020_xlsx_3[[#This Row],[2027]]+scenario_jobcoeff_1610_iotable_2020_xlsx_3[[#This Row],[2027]]</f>
        <v>0</v>
      </c>
      <c r="E117">
        <f>scenario_jobcoeff_4506_iotable_2020_xlsx_3[[#This Row],[2028]]+scenario_jobcoeff_1610_iotable_2020_xlsx_3[[#This Row],[2028]]</f>
        <v>0</v>
      </c>
      <c r="F117">
        <f>scenario_jobcoeff_4506_iotable_2020_xlsx_3[[#This Row],[2029]]+scenario_jobcoeff_1610_iotable_2020_xlsx_3[[#This Row],[2029]]</f>
        <v>0</v>
      </c>
      <c r="G117">
        <f>scenario_jobcoeff_4506_iotable_2020_xlsx_3[[#This Row],[2030]]+scenario_jobcoeff_1610_iotable_2020_xlsx_3[[#This Row],[2030]]</f>
        <v>0</v>
      </c>
      <c r="H117">
        <f>scenario_jobcoeff_4506_iotable_2020_xlsx_3[[#This Row],[2031]]+scenario_jobcoeff_1610_iotable_2020_xlsx_3[[#This Row],[2031]]</f>
        <v>0</v>
      </c>
      <c r="I117">
        <f>scenario_jobcoeff_4506_iotable_2020_xlsx_3[[#This Row],[2032]]+scenario_jobcoeff_1610_iotable_2020_xlsx_3[[#This Row],[2032]]</f>
        <v>0</v>
      </c>
      <c r="J117">
        <f>scenario_jobcoeff_4506_iotable_2020_xlsx_3[[#This Row],[2033]]+scenario_jobcoeff_1610_iotable_2020_xlsx_3[[#This Row],[2033]]</f>
        <v>0</v>
      </c>
      <c r="K117">
        <f>scenario_jobcoeff_4506_iotable_2020_xlsx_3[[#This Row],[2034]]+scenario_jobcoeff_1610_iotable_2020_xlsx_3[[#This Row],[2034]]</f>
        <v>0</v>
      </c>
      <c r="L117">
        <f>scenario_jobcoeff_4506_iotable_2020_xlsx_3[[#This Row],[2035]]+scenario_jobcoeff_1610_iotable_2020_xlsx_3[[#This Row],[2035]]</f>
        <v>0</v>
      </c>
      <c r="M117">
        <f>scenario_jobcoeff_4506_iotable_2020_xlsx_3[[#This Row],[2036]]+scenario_jobcoeff_1610_iotable_2020_xlsx_3[[#This Row],[2036]]</f>
        <v>0</v>
      </c>
      <c r="N117">
        <f>scenario_jobcoeff_4506_iotable_2020_xlsx_3[[#This Row],[2037]]+scenario_jobcoeff_1610_iotable_2020_xlsx_3[[#This Row],[2037]]</f>
        <v>0</v>
      </c>
      <c r="O117">
        <f>scenario_jobcoeff_4506_iotable_2020_xlsx_3[[#This Row],[2038]]+scenario_jobcoeff_1610_iotable_2020_xlsx_3[[#This Row],[2038]]</f>
        <v>0</v>
      </c>
      <c r="P117">
        <f>scenario_jobcoeff_4506_iotable_2020_xlsx_3[[#This Row],[2039]]+scenario_jobcoeff_1610_iotable_2020_xlsx_3[[#This Row],[2039]]</f>
        <v>0</v>
      </c>
      <c r="Q117">
        <f>scenario_jobcoeff_4506_iotable_2020_xlsx_3[[#This Row],[2040]]+scenario_jobcoeff_1610_iotable_2020_xlsx_3[[#This Row],[2040]]</f>
        <v>0</v>
      </c>
      <c r="R117">
        <f>scenario_jobcoeff_4506_iotable_2020_xlsx_3[[#This Row],[2041]]+scenario_jobcoeff_1610_iotable_2020_xlsx_3[[#This Row],[2041]]</f>
        <v>0</v>
      </c>
      <c r="S117">
        <f>scenario_jobcoeff_4506_iotable_2020_xlsx_3[[#This Row],[2042]]+scenario_jobcoeff_1610_iotable_2020_xlsx_3[[#This Row],[2042]]</f>
        <v>0</v>
      </c>
      <c r="T117">
        <f>scenario_jobcoeff_4506_iotable_2020_xlsx_3[[#This Row],[2043]]+scenario_jobcoeff_1610_iotable_2020_xlsx_3[[#This Row],[2043]]</f>
        <v>0</v>
      </c>
      <c r="U117">
        <f>scenario_jobcoeff_4506_iotable_2020_xlsx_3[[#This Row],[2044]]+scenario_jobcoeff_1610_iotable_2020_xlsx_3[[#This Row],[2044]]</f>
        <v>0</v>
      </c>
      <c r="V117">
        <f>scenario_jobcoeff_4506_iotable_2020_xlsx_3[[#This Row],[2045]]+scenario_jobcoeff_1610_iotable_2020_xlsx_3[[#This Row],[2045]]</f>
        <v>0</v>
      </c>
      <c r="W117">
        <f>scenario_jobcoeff_4506_iotable_2020_xlsx_3[[#This Row],[2046]]+scenario_jobcoeff_1610_iotable_2020_xlsx_3[[#This Row],[2046]]</f>
        <v>0</v>
      </c>
      <c r="X117">
        <f>scenario_jobcoeff_4506_iotable_2020_xlsx_3[[#This Row],[2047]]+scenario_jobcoeff_1610_iotable_2020_xlsx_3[[#This Row],[2047]]</f>
        <v>0</v>
      </c>
      <c r="Y117">
        <f>scenario_jobcoeff_4506_iotable_2020_xlsx_3[[#This Row],[2048]]+scenario_jobcoeff_1610_iotable_2020_xlsx_3[[#This Row],[2048]]</f>
        <v>0</v>
      </c>
      <c r="Z117">
        <f>scenario_jobcoeff_4506_iotable_2020_xlsx_3[[#This Row],[2049]]+scenario_jobcoeff_1610_iotable_2020_xlsx_3[[#This Row],[2049]]</f>
        <v>0</v>
      </c>
      <c r="AA117">
        <f>scenario_jobcoeff_4506_iotable_2020_xlsx_3[[#This Row],[2050]]+scenario_jobcoeff_1610_iotable_2020_xlsx_3[[#This Row],[2050]]</f>
        <v>0</v>
      </c>
    </row>
    <row r="118" spans="1:27" x14ac:dyDescent="0.2">
      <c r="A118" t="s">
        <v>314</v>
      </c>
      <c r="B118" t="s">
        <v>315</v>
      </c>
      <c r="C118">
        <f>scenario_jobcoeff_4506_iotable_2020_xlsx_3[[#This Row],[2026]]+scenario_jobcoeff_1610_iotable_2020_xlsx_3[[#This Row],[2026]]</f>
        <v>0</v>
      </c>
      <c r="D118">
        <f>scenario_jobcoeff_4506_iotable_2020_xlsx_3[[#This Row],[2027]]+scenario_jobcoeff_1610_iotable_2020_xlsx_3[[#This Row],[2027]]</f>
        <v>0</v>
      </c>
      <c r="E118">
        <f>scenario_jobcoeff_4506_iotable_2020_xlsx_3[[#This Row],[2028]]+scenario_jobcoeff_1610_iotable_2020_xlsx_3[[#This Row],[2028]]</f>
        <v>0</v>
      </c>
      <c r="F118">
        <f>scenario_jobcoeff_4506_iotable_2020_xlsx_3[[#This Row],[2029]]+scenario_jobcoeff_1610_iotable_2020_xlsx_3[[#This Row],[2029]]</f>
        <v>0</v>
      </c>
      <c r="G118">
        <f>scenario_jobcoeff_4506_iotable_2020_xlsx_3[[#This Row],[2030]]+scenario_jobcoeff_1610_iotable_2020_xlsx_3[[#This Row],[2030]]</f>
        <v>0</v>
      </c>
      <c r="H118">
        <f>scenario_jobcoeff_4506_iotable_2020_xlsx_3[[#This Row],[2031]]+scenario_jobcoeff_1610_iotable_2020_xlsx_3[[#This Row],[2031]]</f>
        <v>0</v>
      </c>
      <c r="I118">
        <f>scenario_jobcoeff_4506_iotable_2020_xlsx_3[[#This Row],[2032]]+scenario_jobcoeff_1610_iotable_2020_xlsx_3[[#This Row],[2032]]</f>
        <v>0</v>
      </c>
      <c r="J118">
        <f>scenario_jobcoeff_4506_iotable_2020_xlsx_3[[#This Row],[2033]]+scenario_jobcoeff_1610_iotable_2020_xlsx_3[[#This Row],[2033]]</f>
        <v>0</v>
      </c>
      <c r="K118">
        <f>scenario_jobcoeff_4506_iotable_2020_xlsx_3[[#This Row],[2034]]+scenario_jobcoeff_1610_iotable_2020_xlsx_3[[#This Row],[2034]]</f>
        <v>0</v>
      </c>
      <c r="L118">
        <f>scenario_jobcoeff_4506_iotable_2020_xlsx_3[[#This Row],[2035]]+scenario_jobcoeff_1610_iotable_2020_xlsx_3[[#This Row],[2035]]</f>
        <v>0</v>
      </c>
      <c r="M118">
        <f>scenario_jobcoeff_4506_iotable_2020_xlsx_3[[#This Row],[2036]]+scenario_jobcoeff_1610_iotable_2020_xlsx_3[[#This Row],[2036]]</f>
        <v>0</v>
      </c>
      <c r="N118">
        <f>scenario_jobcoeff_4506_iotable_2020_xlsx_3[[#This Row],[2037]]+scenario_jobcoeff_1610_iotable_2020_xlsx_3[[#This Row],[2037]]</f>
        <v>0</v>
      </c>
      <c r="O118">
        <f>scenario_jobcoeff_4506_iotable_2020_xlsx_3[[#This Row],[2038]]+scenario_jobcoeff_1610_iotable_2020_xlsx_3[[#This Row],[2038]]</f>
        <v>0</v>
      </c>
      <c r="P118">
        <f>scenario_jobcoeff_4506_iotable_2020_xlsx_3[[#This Row],[2039]]+scenario_jobcoeff_1610_iotable_2020_xlsx_3[[#This Row],[2039]]</f>
        <v>0</v>
      </c>
      <c r="Q118">
        <f>scenario_jobcoeff_4506_iotable_2020_xlsx_3[[#This Row],[2040]]+scenario_jobcoeff_1610_iotable_2020_xlsx_3[[#This Row],[2040]]</f>
        <v>0</v>
      </c>
      <c r="R118">
        <f>scenario_jobcoeff_4506_iotable_2020_xlsx_3[[#This Row],[2041]]+scenario_jobcoeff_1610_iotable_2020_xlsx_3[[#This Row],[2041]]</f>
        <v>0</v>
      </c>
      <c r="S118">
        <f>scenario_jobcoeff_4506_iotable_2020_xlsx_3[[#This Row],[2042]]+scenario_jobcoeff_1610_iotable_2020_xlsx_3[[#This Row],[2042]]</f>
        <v>0</v>
      </c>
      <c r="T118">
        <f>scenario_jobcoeff_4506_iotable_2020_xlsx_3[[#This Row],[2043]]+scenario_jobcoeff_1610_iotable_2020_xlsx_3[[#This Row],[2043]]</f>
        <v>0</v>
      </c>
      <c r="U118">
        <f>scenario_jobcoeff_4506_iotable_2020_xlsx_3[[#This Row],[2044]]+scenario_jobcoeff_1610_iotable_2020_xlsx_3[[#This Row],[2044]]</f>
        <v>0</v>
      </c>
      <c r="V118">
        <f>scenario_jobcoeff_4506_iotable_2020_xlsx_3[[#This Row],[2045]]+scenario_jobcoeff_1610_iotable_2020_xlsx_3[[#This Row],[2045]]</f>
        <v>0</v>
      </c>
      <c r="W118">
        <f>scenario_jobcoeff_4506_iotable_2020_xlsx_3[[#This Row],[2046]]+scenario_jobcoeff_1610_iotable_2020_xlsx_3[[#This Row],[2046]]</f>
        <v>0</v>
      </c>
      <c r="X118">
        <f>scenario_jobcoeff_4506_iotable_2020_xlsx_3[[#This Row],[2047]]+scenario_jobcoeff_1610_iotable_2020_xlsx_3[[#This Row],[2047]]</f>
        <v>0</v>
      </c>
      <c r="Y118">
        <f>scenario_jobcoeff_4506_iotable_2020_xlsx_3[[#This Row],[2048]]+scenario_jobcoeff_1610_iotable_2020_xlsx_3[[#This Row],[2048]]</f>
        <v>0</v>
      </c>
      <c r="Z118">
        <f>scenario_jobcoeff_4506_iotable_2020_xlsx_3[[#This Row],[2049]]+scenario_jobcoeff_1610_iotable_2020_xlsx_3[[#This Row],[2049]]</f>
        <v>0</v>
      </c>
      <c r="AA118">
        <f>scenario_jobcoeff_4506_iotable_2020_xlsx_3[[#This Row],[2050]]+scenario_jobcoeff_1610_iotable_2020_xlsx_3[[#This Row],[2050]]</f>
        <v>0</v>
      </c>
    </row>
    <row r="119" spans="1:27" x14ac:dyDescent="0.2">
      <c r="A119" t="s">
        <v>6</v>
      </c>
      <c r="B119" t="s">
        <v>7</v>
      </c>
      <c r="C119">
        <f>scenario_jobcoeff_4506_iotable_2020_xlsx_3[[#This Row],[2026]]+scenario_jobcoeff_1610_iotable_2020_xlsx_3[[#This Row],[2026]]</f>
        <v>3825.8463712509665</v>
      </c>
      <c r="D119">
        <f>scenario_jobcoeff_4506_iotable_2020_xlsx_3[[#This Row],[2027]]+scenario_jobcoeff_1610_iotable_2020_xlsx_3[[#This Row],[2027]]</f>
        <v>3827.6820474817623</v>
      </c>
      <c r="E119">
        <f>scenario_jobcoeff_4506_iotable_2020_xlsx_3[[#This Row],[2028]]+scenario_jobcoeff_1610_iotable_2020_xlsx_3[[#This Row],[2028]]</f>
        <v>4015.3526481567692</v>
      </c>
      <c r="F119">
        <f>scenario_jobcoeff_4506_iotable_2020_xlsx_3[[#This Row],[2029]]+scenario_jobcoeff_1610_iotable_2020_xlsx_3[[#This Row],[2029]]</f>
        <v>4149.6818498085213</v>
      </c>
      <c r="G119">
        <f>scenario_jobcoeff_4506_iotable_2020_xlsx_3[[#This Row],[2030]]+scenario_jobcoeff_1610_iotable_2020_xlsx_3[[#This Row],[2030]]</f>
        <v>3984.6327561576904</v>
      </c>
      <c r="H119">
        <f>scenario_jobcoeff_4506_iotable_2020_xlsx_3[[#This Row],[2031]]+scenario_jobcoeff_1610_iotable_2020_xlsx_3[[#This Row],[2031]]</f>
        <v>4237.837859285557</v>
      </c>
      <c r="I119">
        <f>scenario_jobcoeff_4506_iotable_2020_xlsx_3[[#This Row],[2032]]+scenario_jobcoeff_1610_iotable_2020_xlsx_3[[#This Row],[2032]]</f>
        <v>4591.4613187666473</v>
      </c>
      <c r="J119">
        <f>scenario_jobcoeff_4506_iotable_2020_xlsx_3[[#This Row],[2033]]+scenario_jobcoeff_1610_iotable_2020_xlsx_3[[#This Row],[2033]]</f>
        <v>5141.9314962917724</v>
      </c>
      <c r="K119">
        <f>scenario_jobcoeff_4506_iotable_2020_xlsx_3[[#This Row],[2034]]+scenario_jobcoeff_1610_iotable_2020_xlsx_3[[#This Row],[2034]]</f>
        <v>5470.9965626067496</v>
      </c>
      <c r="L119">
        <f>scenario_jobcoeff_4506_iotable_2020_xlsx_3[[#This Row],[2035]]+scenario_jobcoeff_1610_iotable_2020_xlsx_3[[#This Row],[2035]]</f>
        <v>6286.9808508714768</v>
      </c>
      <c r="M119">
        <f>scenario_jobcoeff_4506_iotable_2020_xlsx_3[[#This Row],[2036]]+scenario_jobcoeff_1610_iotable_2020_xlsx_3[[#This Row],[2036]]</f>
        <v>6578.8586242271404</v>
      </c>
      <c r="N119">
        <f>scenario_jobcoeff_4506_iotable_2020_xlsx_3[[#This Row],[2037]]+scenario_jobcoeff_1610_iotable_2020_xlsx_3[[#This Row],[2037]]</f>
        <v>6847.3158497270515</v>
      </c>
      <c r="O119">
        <f>scenario_jobcoeff_4506_iotable_2020_xlsx_3[[#This Row],[2038]]+scenario_jobcoeff_1610_iotable_2020_xlsx_3[[#This Row],[2038]]</f>
        <v>6847.3158497270515</v>
      </c>
      <c r="P119">
        <f>scenario_jobcoeff_4506_iotable_2020_xlsx_3[[#This Row],[2039]]+scenario_jobcoeff_1610_iotable_2020_xlsx_3[[#This Row],[2039]]</f>
        <v>6847.3158497270515</v>
      </c>
      <c r="Q119">
        <f>scenario_jobcoeff_4506_iotable_2020_xlsx_3[[#This Row],[2040]]+scenario_jobcoeff_1610_iotable_2020_xlsx_3[[#This Row],[2040]]</f>
        <v>7080.7185336111033</v>
      </c>
      <c r="R119">
        <f>scenario_jobcoeff_4506_iotable_2020_xlsx_3[[#This Row],[2041]]+scenario_jobcoeff_1610_iotable_2020_xlsx_3[[#This Row],[2041]]</f>
        <v>7080.7185336111033</v>
      </c>
      <c r="S119">
        <f>scenario_jobcoeff_4506_iotable_2020_xlsx_3[[#This Row],[2042]]+scenario_jobcoeff_1610_iotable_2020_xlsx_3[[#This Row],[2042]]</f>
        <v>7345.528828740602</v>
      </c>
      <c r="T119">
        <f>scenario_jobcoeff_4506_iotable_2020_xlsx_3[[#This Row],[2043]]+scenario_jobcoeff_1610_iotable_2020_xlsx_3[[#This Row],[2043]]</f>
        <v>7345.528828740602</v>
      </c>
      <c r="U119">
        <f>scenario_jobcoeff_4506_iotable_2020_xlsx_3[[#This Row],[2044]]+scenario_jobcoeff_1610_iotable_2020_xlsx_3[[#This Row],[2044]]</f>
        <v>7575.5971065528611</v>
      </c>
      <c r="V119">
        <f>scenario_jobcoeff_4506_iotable_2020_xlsx_3[[#This Row],[2045]]+scenario_jobcoeff_1610_iotable_2020_xlsx_3[[#This Row],[2045]]</f>
        <v>7575.5971065528611</v>
      </c>
      <c r="W119">
        <f>scenario_jobcoeff_4506_iotable_2020_xlsx_3[[#This Row],[2046]]+scenario_jobcoeff_1610_iotable_2020_xlsx_3[[#This Row],[2046]]</f>
        <v>7778.4003206083789</v>
      </c>
      <c r="X119">
        <f>scenario_jobcoeff_4506_iotable_2020_xlsx_3[[#This Row],[2047]]+scenario_jobcoeff_1610_iotable_2020_xlsx_3[[#This Row],[2047]]</f>
        <v>7778.4003206083789</v>
      </c>
      <c r="Y119">
        <f>scenario_jobcoeff_4506_iotable_2020_xlsx_3[[#This Row],[2048]]+scenario_jobcoeff_1610_iotable_2020_xlsx_3[[#This Row],[2048]]</f>
        <v>7778.4003206083789</v>
      </c>
      <c r="Z119">
        <f>scenario_jobcoeff_4506_iotable_2020_xlsx_3[[#This Row],[2049]]+scenario_jobcoeff_1610_iotable_2020_xlsx_3[[#This Row],[2049]]</f>
        <v>7778.4003206083789</v>
      </c>
      <c r="AA119">
        <f>scenario_jobcoeff_4506_iotable_2020_xlsx_3[[#This Row],[2050]]+scenario_jobcoeff_1610_iotable_2020_xlsx_3[[#This Row],[2050]]</f>
        <v>7778.4003206083789</v>
      </c>
    </row>
    <row r="120" spans="1:27" x14ac:dyDescent="0.2">
      <c r="A120" t="s">
        <v>128</v>
      </c>
      <c r="B120" t="s">
        <v>129</v>
      </c>
      <c r="C120">
        <f>scenario_jobcoeff_4506_iotable_2020_xlsx_3[[#This Row],[2026]]+scenario_jobcoeff_1610_iotable_2020_xlsx_3[[#This Row],[2026]]</f>
        <v>55.757194534044253</v>
      </c>
      <c r="D120">
        <f>scenario_jobcoeff_4506_iotable_2020_xlsx_3[[#This Row],[2027]]+scenario_jobcoeff_1610_iotable_2020_xlsx_3[[#This Row],[2027]]</f>
        <v>50.95490725661147</v>
      </c>
      <c r="E120">
        <f>scenario_jobcoeff_4506_iotable_2020_xlsx_3[[#This Row],[2028]]+scenario_jobcoeff_1610_iotable_2020_xlsx_3[[#This Row],[2028]]</f>
        <v>53.977004242349636</v>
      </c>
      <c r="F120">
        <f>scenario_jobcoeff_4506_iotable_2020_xlsx_3[[#This Row],[2029]]+scenario_jobcoeff_1610_iotable_2020_xlsx_3[[#This Row],[2029]]</f>
        <v>54.207394866830029</v>
      </c>
      <c r="G120">
        <f>scenario_jobcoeff_4506_iotable_2020_xlsx_3[[#This Row],[2030]]+scenario_jobcoeff_1610_iotable_2020_xlsx_3[[#This Row],[2030]]</f>
        <v>35.167004081458245</v>
      </c>
      <c r="H120">
        <f>scenario_jobcoeff_4506_iotable_2020_xlsx_3[[#This Row],[2031]]+scenario_jobcoeff_1610_iotable_2020_xlsx_3[[#This Row],[2031]]</f>
        <v>39.244416186412138</v>
      </c>
      <c r="I120">
        <f>scenario_jobcoeff_4506_iotable_2020_xlsx_3[[#This Row],[2032]]+scenario_jobcoeff_1610_iotable_2020_xlsx_3[[#This Row],[2032]]</f>
        <v>44.938885043762724</v>
      </c>
      <c r="J120">
        <f>scenario_jobcoeff_4506_iotable_2020_xlsx_3[[#This Row],[2033]]+scenario_jobcoeff_1610_iotable_2020_xlsx_3[[#This Row],[2033]]</f>
        <v>44.664174108151542</v>
      </c>
      <c r="K120">
        <f>scenario_jobcoeff_4506_iotable_2020_xlsx_3[[#This Row],[2034]]+scenario_jobcoeff_1610_iotable_2020_xlsx_3[[#This Row],[2034]]</f>
        <v>49.963174278904802</v>
      </c>
      <c r="L120">
        <f>scenario_jobcoeff_4506_iotable_2020_xlsx_3[[#This Row],[2035]]+scenario_jobcoeff_1610_iotable_2020_xlsx_3[[#This Row],[2035]]</f>
        <v>51.534195292103959</v>
      </c>
      <c r="M120">
        <f>scenario_jobcoeff_4506_iotable_2020_xlsx_3[[#This Row],[2036]]+scenario_jobcoeff_1610_iotable_2020_xlsx_3[[#This Row],[2036]]</f>
        <v>48.640739122568164</v>
      </c>
      <c r="N120">
        <f>scenario_jobcoeff_4506_iotable_2020_xlsx_3[[#This Row],[2037]]+scenario_jobcoeff_1610_iotable_2020_xlsx_3[[#This Row],[2037]]</f>
        <v>46.325370852450305</v>
      </c>
      <c r="O120">
        <f>scenario_jobcoeff_4506_iotable_2020_xlsx_3[[#This Row],[2038]]+scenario_jobcoeff_1610_iotable_2020_xlsx_3[[#This Row],[2038]]</f>
        <v>46.325370852450305</v>
      </c>
      <c r="P120">
        <f>scenario_jobcoeff_4506_iotable_2020_xlsx_3[[#This Row],[2039]]+scenario_jobcoeff_1610_iotable_2020_xlsx_3[[#This Row],[2039]]</f>
        <v>46.325370852450305</v>
      </c>
      <c r="Q120">
        <f>scenario_jobcoeff_4506_iotable_2020_xlsx_3[[#This Row],[2040]]+scenario_jobcoeff_1610_iotable_2020_xlsx_3[[#This Row],[2040]]</f>
        <v>44.256013879918328</v>
      </c>
      <c r="R120">
        <f>scenario_jobcoeff_4506_iotable_2020_xlsx_3[[#This Row],[2041]]+scenario_jobcoeff_1610_iotable_2020_xlsx_3[[#This Row],[2041]]</f>
        <v>44.256013879918328</v>
      </c>
      <c r="S120">
        <f>scenario_jobcoeff_4506_iotable_2020_xlsx_3[[#This Row],[2042]]+scenario_jobcoeff_1610_iotable_2020_xlsx_3[[#This Row],[2042]]</f>
        <v>42.087759763083625</v>
      </c>
      <c r="T120">
        <f>scenario_jobcoeff_4506_iotable_2020_xlsx_3[[#This Row],[2043]]+scenario_jobcoeff_1610_iotable_2020_xlsx_3[[#This Row],[2043]]</f>
        <v>42.087759763083625</v>
      </c>
      <c r="U120">
        <f>scenario_jobcoeff_4506_iotable_2020_xlsx_3[[#This Row],[2044]]+scenario_jobcoeff_1610_iotable_2020_xlsx_3[[#This Row],[2044]]</f>
        <v>39.675242154039438</v>
      </c>
      <c r="V120">
        <f>scenario_jobcoeff_4506_iotable_2020_xlsx_3[[#This Row],[2045]]+scenario_jobcoeff_1610_iotable_2020_xlsx_3[[#This Row],[2045]]</f>
        <v>39.675242154039438</v>
      </c>
      <c r="W120">
        <f>scenario_jobcoeff_4506_iotable_2020_xlsx_3[[#This Row],[2046]]+scenario_jobcoeff_1610_iotable_2020_xlsx_3[[#This Row],[2046]]</f>
        <v>37.73226826792029</v>
      </c>
      <c r="X120">
        <f>scenario_jobcoeff_4506_iotable_2020_xlsx_3[[#This Row],[2047]]+scenario_jobcoeff_1610_iotable_2020_xlsx_3[[#This Row],[2047]]</f>
        <v>37.73226826792029</v>
      </c>
      <c r="Y120">
        <f>scenario_jobcoeff_4506_iotable_2020_xlsx_3[[#This Row],[2048]]+scenario_jobcoeff_1610_iotable_2020_xlsx_3[[#This Row],[2048]]</f>
        <v>37.73226826792029</v>
      </c>
      <c r="Z120">
        <f>scenario_jobcoeff_4506_iotable_2020_xlsx_3[[#This Row],[2049]]+scenario_jobcoeff_1610_iotable_2020_xlsx_3[[#This Row],[2049]]</f>
        <v>37.73226826792029</v>
      </c>
      <c r="AA120">
        <f>scenario_jobcoeff_4506_iotable_2020_xlsx_3[[#This Row],[2050]]+scenario_jobcoeff_1610_iotable_2020_xlsx_3[[#This Row],[2050]]</f>
        <v>37.73226826792029</v>
      </c>
    </row>
    <row r="121" spans="1:27" x14ac:dyDescent="0.2">
      <c r="A121" t="s">
        <v>10</v>
      </c>
      <c r="B121" t="s">
        <v>11</v>
      </c>
      <c r="C121">
        <f>scenario_jobcoeff_4506_iotable_2020_xlsx_3[[#This Row],[2026]]+scenario_jobcoeff_1610_iotable_2020_xlsx_3[[#This Row],[2026]]</f>
        <v>1533.5692572059484</v>
      </c>
      <c r="D121">
        <f>scenario_jobcoeff_4506_iotable_2020_xlsx_3[[#This Row],[2027]]+scenario_jobcoeff_1610_iotable_2020_xlsx_3[[#This Row],[2027]]</f>
        <v>1358.447332710894</v>
      </c>
      <c r="E121">
        <f>scenario_jobcoeff_4506_iotable_2020_xlsx_3[[#This Row],[2028]]+scenario_jobcoeff_1610_iotable_2020_xlsx_3[[#This Row],[2028]]</f>
        <v>1444.1263563306902</v>
      </c>
      <c r="F121">
        <f>scenario_jobcoeff_4506_iotable_2020_xlsx_3[[#This Row],[2029]]+scenario_jobcoeff_1610_iotable_2020_xlsx_3[[#This Row],[2029]]</f>
        <v>1435.0689292623968</v>
      </c>
      <c r="G121">
        <f>scenario_jobcoeff_4506_iotable_2020_xlsx_3[[#This Row],[2030]]+scenario_jobcoeff_1610_iotable_2020_xlsx_3[[#This Row],[2030]]</f>
        <v>763.11815127847512</v>
      </c>
      <c r="H121">
        <f>scenario_jobcoeff_4506_iotable_2020_xlsx_3[[#This Row],[2031]]+scenario_jobcoeff_1610_iotable_2020_xlsx_3[[#This Row],[2031]]</f>
        <v>878.71625739374167</v>
      </c>
      <c r="I121">
        <f>scenario_jobcoeff_4506_iotable_2020_xlsx_3[[#This Row],[2032]]+scenario_jobcoeff_1610_iotable_2020_xlsx_3[[#This Row],[2032]]</f>
        <v>1040.1592997691555</v>
      </c>
      <c r="J121">
        <f>scenario_jobcoeff_4506_iotable_2020_xlsx_3[[#This Row],[2033]]+scenario_jobcoeff_1610_iotable_2020_xlsx_3[[#This Row],[2033]]</f>
        <v>958.65681067206242</v>
      </c>
      <c r="K121">
        <f>scenario_jobcoeff_4506_iotable_2020_xlsx_3[[#This Row],[2034]]+scenario_jobcoeff_1610_iotable_2020_xlsx_3[[#This Row],[2034]]</f>
        <v>1108.8879789415932</v>
      </c>
      <c r="L121">
        <f>scenario_jobcoeff_4506_iotable_2020_xlsx_3[[#This Row],[2035]]+scenario_jobcoeff_1610_iotable_2020_xlsx_3[[#This Row],[2035]]</f>
        <v>1060.114381441846</v>
      </c>
      <c r="M121">
        <f>scenario_jobcoeff_4506_iotable_2020_xlsx_3[[#This Row],[2036]]+scenario_jobcoeff_1610_iotable_2020_xlsx_3[[#This Row],[2036]]</f>
        <v>916.83336788665474</v>
      </c>
      <c r="N121">
        <f>scenario_jobcoeff_4506_iotable_2020_xlsx_3[[#This Row],[2037]]+scenario_jobcoeff_1610_iotable_2020_xlsx_3[[#This Row],[2037]]</f>
        <v>797.64641629646667</v>
      </c>
      <c r="O121">
        <f>scenario_jobcoeff_4506_iotable_2020_xlsx_3[[#This Row],[2038]]+scenario_jobcoeff_1610_iotable_2020_xlsx_3[[#This Row],[2038]]</f>
        <v>797.64641629646667</v>
      </c>
      <c r="P121">
        <f>scenario_jobcoeff_4506_iotable_2020_xlsx_3[[#This Row],[2039]]+scenario_jobcoeff_1610_iotable_2020_xlsx_3[[#This Row],[2039]]</f>
        <v>797.64641629646667</v>
      </c>
      <c r="Q121">
        <f>scenario_jobcoeff_4506_iotable_2020_xlsx_3[[#This Row],[2040]]+scenario_jobcoeff_1610_iotable_2020_xlsx_3[[#This Row],[2040]]</f>
        <v>691.97148388237292</v>
      </c>
      <c r="R121">
        <f>scenario_jobcoeff_4506_iotable_2020_xlsx_3[[#This Row],[2041]]+scenario_jobcoeff_1610_iotable_2020_xlsx_3[[#This Row],[2041]]</f>
        <v>691.97148388237292</v>
      </c>
      <c r="S121">
        <f>scenario_jobcoeff_4506_iotable_2020_xlsx_3[[#This Row],[2042]]+scenario_jobcoeff_1610_iotable_2020_xlsx_3[[#This Row],[2042]]</f>
        <v>578.61563106105223</v>
      </c>
      <c r="T121">
        <f>scenario_jobcoeff_4506_iotable_2020_xlsx_3[[#This Row],[2043]]+scenario_jobcoeff_1610_iotable_2020_xlsx_3[[#This Row],[2043]]</f>
        <v>578.61563106105223</v>
      </c>
      <c r="U121">
        <f>scenario_jobcoeff_4506_iotable_2020_xlsx_3[[#This Row],[2044]]+scenario_jobcoeff_1610_iotable_2020_xlsx_3[[#This Row],[2044]]</f>
        <v>460.87701077465044</v>
      </c>
      <c r="V121">
        <f>scenario_jobcoeff_4506_iotable_2020_xlsx_3[[#This Row],[2045]]+scenario_jobcoeff_1610_iotable_2020_xlsx_3[[#This Row],[2045]]</f>
        <v>460.87701077465044</v>
      </c>
      <c r="W121">
        <f>scenario_jobcoeff_4506_iotable_2020_xlsx_3[[#This Row],[2046]]+scenario_jobcoeff_1610_iotable_2020_xlsx_3[[#This Row],[2046]]</f>
        <v>363.77897997633045</v>
      </c>
      <c r="X121">
        <f>scenario_jobcoeff_4506_iotable_2020_xlsx_3[[#This Row],[2047]]+scenario_jobcoeff_1610_iotable_2020_xlsx_3[[#This Row],[2047]]</f>
        <v>363.77897997633045</v>
      </c>
      <c r="Y121">
        <f>scenario_jobcoeff_4506_iotable_2020_xlsx_3[[#This Row],[2048]]+scenario_jobcoeff_1610_iotable_2020_xlsx_3[[#This Row],[2048]]</f>
        <v>363.77897997633045</v>
      </c>
      <c r="Z121">
        <f>scenario_jobcoeff_4506_iotable_2020_xlsx_3[[#This Row],[2049]]+scenario_jobcoeff_1610_iotable_2020_xlsx_3[[#This Row],[2049]]</f>
        <v>363.77897997633045</v>
      </c>
      <c r="AA121">
        <f>scenario_jobcoeff_4506_iotable_2020_xlsx_3[[#This Row],[2050]]+scenario_jobcoeff_1610_iotable_2020_xlsx_3[[#This Row],[2050]]</f>
        <v>363.77897997633045</v>
      </c>
    </row>
    <row r="122" spans="1:27" x14ac:dyDescent="0.2">
      <c r="A122" t="s">
        <v>238</v>
      </c>
      <c r="B122" t="s">
        <v>239</v>
      </c>
      <c r="C122">
        <f>scenario_jobcoeff_4506_iotable_2020_xlsx_3[[#This Row],[2026]]+scenario_jobcoeff_1610_iotable_2020_xlsx_3[[#This Row],[2026]]</f>
        <v>7.5771523581295668</v>
      </c>
      <c r="D122">
        <f>scenario_jobcoeff_4506_iotable_2020_xlsx_3[[#This Row],[2027]]+scenario_jobcoeff_1610_iotable_2020_xlsx_3[[#This Row],[2027]]</f>
        <v>6.6387546932004904</v>
      </c>
      <c r="E122">
        <f>scenario_jobcoeff_4506_iotable_2020_xlsx_3[[#This Row],[2028]]+scenario_jobcoeff_1610_iotable_2020_xlsx_3[[#This Row],[2028]]</f>
        <v>7.0664302625649364</v>
      </c>
      <c r="F122">
        <f>scenario_jobcoeff_4506_iotable_2020_xlsx_3[[#This Row],[2029]]+scenario_jobcoeff_1610_iotable_2020_xlsx_3[[#This Row],[2029]]</f>
        <v>6.995515690746374</v>
      </c>
      <c r="G122">
        <f>scenario_jobcoeff_4506_iotable_2020_xlsx_3[[#This Row],[2030]]+scenario_jobcoeff_1610_iotable_2020_xlsx_3[[#This Row],[2030]]</f>
        <v>3.4235331090892451</v>
      </c>
      <c r="H122">
        <f>scenario_jobcoeff_4506_iotable_2020_xlsx_3[[#This Row],[2031]]+scenario_jobcoeff_1610_iotable_2020_xlsx_3[[#This Row],[2031]]</f>
        <v>4.0005528247863271</v>
      </c>
      <c r="I122">
        <f>scenario_jobcoeff_4506_iotable_2020_xlsx_3[[#This Row],[2032]]+scenario_jobcoeff_1610_iotable_2020_xlsx_3[[#This Row],[2032]]</f>
        <v>4.8064122072907818</v>
      </c>
      <c r="J122">
        <f>scenario_jobcoeff_4506_iotable_2020_xlsx_3[[#This Row],[2033]]+scenario_jobcoeff_1610_iotable_2020_xlsx_3[[#This Row],[2033]]</f>
        <v>4.278044103124893</v>
      </c>
      <c r="K122">
        <f>scenario_jobcoeff_4506_iotable_2020_xlsx_3[[#This Row],[2034]]+scenario_jobcoeff_1610_iotable_2020_xlsx_3[[#This Row],[2034]]</f>
        <v>5.0279382745509142</v>
      </c>
      <c r="L122">
        <f>scenario_jobcoeff_4506_iotable_2020_xlsx_3[[#This Row],[2035]]+scenario_jobcoeff_1610_iotable_2020_xlsx_3[[#This Row],[2035]]</f>
        <v>4.6306245925921488</v>
      </c>
      <c r="M122">
        <f>scenario_jobcoeff_4506_iotable_2020_xlsx_3[[#This Row],[2036]]+scenario_jobcoeff_1610_iotable_2020_xlsx_3[[#This Row],[2036]]</f>
        <v>3.8144352328367148</v>
      </c>
      <c r="N122">
        <f>scenario_jobcoeff_4506_iotable_2020_xlsx_3[[#This Row],[2037]]+scenario_jobcoeff_1610_iotable_2020_xlsx_3[[#This Row],[2037]]</f>
        <v>3.1312174903643388</v>
      </c>
      <c r="O122">
        <f>scenario_jobcoeff_4506_iotable_2020_xlsx_3[[#This Row],[2038]]+scenario_jobcoeff_1610_iotable_2020_xlsx_3[[#This Row],[2038]]</f>
        <v>3.1312174903643388</v>
      </c>
      <c r="P122">
        <f>scenario_jobcoeff_4506_iotable_2020_xlsx_3[[#This Row],[2039]]+scenario_jobcoeff_1610_iotable_2020_xlsx_3[[#This Row],[2039]]</f>
        <v>3.1312174903643388</v>
      </c>
      <c r="Q122">
        <f>scenario_jobcoeff_4506_iotable_2020_xlsx_3[[#This Row],[2040]]+scenario_jobcoeff_1610_iotable_2020_xlsx_3[[#This Row],[2040]]</f>
        <v>2.5262252289238845</v>
      </c>
      <c r="R122">
        <f>scenario_jobcoeff_4506_iotable_2020_xlsx_3[[#This Row],[2041]]+scenario_jobcoeff_1610_iotable_2020_xlsx_3[[#This Row],[2041]]</f>
        <v>2.5262252289238845</v>
      </c>
      <c r="S122">
        <f>scenario_jobcoeff_4506_iotable_2020_xlsx_3[[#This Row],[2042]]+scenario_jobcoeff_1610_iotable_2020_xlsx_3[[#This Row],[2042]]</f>
        <v>1.8748514947663217</v>
      </c>
      <c r="T122">
        <f>scenario_jobcoeff_4506_iotable_2020_xlsx_3[[#This Row],[2043]]+scenario_jobcoeff_1610_iotable_2020_xlsx_3[[#This Row],[2043]]</f>
        <v>1.8748514947663217</v>
      </c>
      <c r="U122">
        <f>scenario_jobcoeff_4506_iotable_2020_xlsx_3[[#This Row],[2044]]+scenario_jobcoeff_1610_iotable_2020_xlsx_3[[#This Row],[2044]]</f>
        <v>1.2057924977830758</v>
      </c>
      <c r="V122">
        <f>scenario_jobcoeff_4506_iotable_2020_xlsx_3[[#This Row],[2045]]+scenario_jobcoeff_1610_iotable_2020_xlsx_3[[#This Row],[2045]]</f>
        <v>1.2057924977830758</v>
      </c>
      <c r="W122">
        <f>scenario_jobcoeff_4506_iotable_2020_xlsx_3[[#This Row],[2046]]+scenario_jobcoeff_1610_iotable_2020_xlsx_3[[#This Row],[2046]]</f>
        <v>0.65184655736457842</v>
      </c>
      <c r="X122">
        <f>scenario_jobcoeff_4506_iotable_2020_xlsx_3[[#This Row],[2047]]+scenario_jobcoeff_1610_iotable_2020_xlsx_3[[#This Row],[2047]]</f>
        <v>0.65184655736457842</v>
      </c>
      <c r="Y122">
        <f>scenario_jobcoeff_4506_iotable_2020_xlsx_3[[#This Row],[2048]]+scenario_jobcoeff_1610_iotable_2020_xlsx_3[[#This Row],[2048]]</f>
        <v>0.65184655736457842</v>
      </c>
      <c r="Z122">
        <f>scenario_jobcoeff_4506_iotable_2020_xlsx_3[[#This Row],[2049]]+scenario_jobcoeff_1610_iotable_2020_xlsx_3[[#This Row],[2049]]</f>
        <v>0.65184655736457842</v>
      </c>
      <c r="AA122">
        <f>scenario_jobcoeff_4506_iotable_2020_xlsx_3[[#This Row],[2050]]+scenario_jobcoeff_1610_iotable_2020_xlsx_3[[#This Row],[2050]]</f>
        <v>0.65184655736457842</v>
      </c>
    </row>
    <row r="123" spans="1:27" x14ac:dyDescent="0.2">
      <c r="A123" t="s">
        <v>206</v>
      </c>
      <c r="B123" t="s">
        <v>207</v>
      </c>
      <c r="C123">
        <f>scenario_jobcoeff_4506_iotable_2020_xlsx_3[[#This Row],[2026]]+scenario_jobcoeff_1610_iotable_2020_xlsx_3[[#This Row],[2026]]</f>
        <v>16.755608725775531</v>
      </c>
      <c r="D123">
        <f>scenario_jobcoeff_4506_iotable_2020_xlsx_3[[#This Row],[2027]]+scenario_jobcoeff_1610_iotable_2020_xlsx_3[[#This Row],[2027]]</f>
        <v>16.912122171825999</v>
      </c>
      <c r="E123">
        <f>scenario_jobcoeff_4506_iotable_2020_xlsx_3[[#This Row],[2028]]+scenario_jobcoeff_1610_iotable_2020_xlsx_3[[#This Row],[2028]]</f>
        <v>17.725216277740856</v>
      </c>
      <c r="F123">
        <f>scenario_jobcoeff_4506_iotable_2020_xlsx_3[[#This Row],[2029]]+scenario_jobcoeff_1610_iotable_2020_xlsx_3[[#This Row],[2029]]</f>
        <v>18.366629694518124</v>
      </c>
      <c r="G123">
        <f>scenario_jobcoeff_4506_iotable_2020_xlsx_3[[#This Row],[2030]]+scenario_jobcoeff_1610_iotable_2020_xlsx_3[[#This Row],[2030]]</f>
        <v>18.155244157897201</v>
      </c>
      <c r="H123">
        <f>scenario_jobcoeff_4506_iotable_2020_xlsx_3[[#This Row],[2031]]+scenario_jobcoeff_1610_iotable_2020_xlsx_3[[#This Row],[2031]]</f>
        <v>19.252270416673653</v>
      </c>
      <c r="I123">
        <f>scenario_jobcoeff_4506_iotable_2020_xlsx_3[[#This Row],[2032]]+scenario_jobcoeff_1610_iotable_2020_xlsx_3[[#This Row],[2032]]</f>
        <v>20.784365212465438</v>
      </c>
      <c r="J123">
        <f>scenario_jobcoeff_4506_iotable_2020_xlsx_3[[#This Row],[2033]]+scenario_jobcoeff_1610_iotable_2020_xlsx_3[[#This Row],[2033]]</f>
        <v>23.450299703631657</v>
      </c>
      <c r="K123">
        <f>scenario_jobcoeff_4506_iotable_2020_xlsx_3[[#This Row],[2034]]+scenario_jobcoeff_1610_iotable_2020_xlsx_3[[#This Row],[2034]]</f>
        <v>24.875993791681871</v>
      </c>
      <c r="L123">
        <f>scenario_jobcoeff_4506_iotable_2020_xlsx_3[[#This Row],[2035]]+scenario_jobcoeff_1610_iotable_2020_xlsx_3[[#This Row],[2035]]</f>
        <v>28.766993734584766</v>
      </c>
      <c r="M123">
        <f>scenario_jobcoeff_4506_iotable_2020_xlsx_3[[#This Row],[2036]]+scenario_jobcoeff_1610_iotable_2020_xlsx_3[[#This Row],[2036]]</f>
        <v>30.265045599286946</v>
      </c>
      <c r="N123">
        <f>scenario_jobcoeff_4506_iotable_2020_xlsx_3[[#This Row],[2037]]+scenario_jobcoeff_1610_iotable_2020_xlsx_3[[#This Row],[2037]]</f>
        <v>31.632256869473636</v>
      </c>
      <c r="O123">
        <f>scenario_jobcoeff_4506_iotable_2020_xlsx_3[[#This Row],[2038]]+scenario_jobcoeff_1610_iotable_2020_xlsx_3[[#This Row],[2038]]</f>
        <v>31.632256869473636</v>
      </c>
      <c r="P123">
        <f>scenario_jobcoeff_4506_iotable_2020_xlsx_3[[#This Row],[2039]]+scenario_jobcoeff_1610_iotable_2020_xlsx_3[[#This Row],[2039]]</f>
        <v>31.632256869473636</v>
      </c>
      <c r="Q123">
        <f>scenario_jobcoeff_4506_iotable_2020_xlsx_3[[#This Row],[2040]]+scenario_jobcoeff_1610_iotable_2020_xlsx_3[[#This Row],[2040]]</f>
        <v>32.822672512404637</v>
      </c>
      <c r="R123">
        <f>scenario_jobcoeff_4506_iotable_2020_xlsx_3[[#This Row],[2041]]+scenario_jobcoeff_1610_iotable_2020_xlsx_3[[#This Row],[2041]]</f>
        <v>32.822672512404637</v>
      </c>
      <c r="S123">
        <f>scenario_jobcoeff_4506_iotable_2020_xlsx_3[[#This Row],[2042]]+scenario_jobcoeff_1610_iotable_2020_xlsx_3[[#This Row],[2042]]</f>
        <v>34.167754426817972</v>
      </c>
      <c r="T123">
        <f>scenario_jobcoeff_4506_iotable_2020_xlsx_3[[#This Row],[2043]]+scenario_jobcoeff_1610_iotable_2020_xlsx_3[[#This Row],[2043]]</f>
        <v>34.167754426817972</v>
      </c>
      <c r="U123">
        <f>scenario_jobcoeff_4506_iotable_2020_xlsx_3[[#This Row],[2044]]+scenario_jobcoeff_1610_iotable_2020_xlsx_3[[#This Row],[2044]]</f>
        <v>35.352623495635022</v>
      </c>
      <c r="V123">
        <f>scenario_jobcoeff_4506_iotable_2020_xlsx_3[[#This Row],[2045]]+scenario_jobcoeff_1610_iotable_2020_xlsx_3[[#This Row],[2045]]</f>
        <v>35.352623495635022</v>
      </c>
      <c r="W123">
        <f>scenario_jobcoeff_4506_iotable_2020_xlsx_3[[#This Row],[2046]]+scenario_jobcoeff_1610_iotable_2020_xlsx_3[[#This Row],[2046]]</f>
        <v>36.391429222543607</v>
      </c>
      <c r="X123">
        <f>scenario_jobcoeff_4506_iotable_2020_xlsx_3[[#This Row],[2047]]+scenario_jobcoeff_1610_iotable_2020_xlsx_3[[#This Row],[2047]]</f>
        <v>36.391429222543607</v>
      </c>
      <c r="Y123">
        <f>scenario_jobcoeff_4506_iotable_2020_xlsx_3[[#This Row],[2048]]+scenario_jobcoeff_1610_iotable_2020_xlsx_3[[#This Row],[2048]]</f>
        <v>36.391429222543607</v>
      </c>
      <c r="Z123">
        <f>scenario_jobcoeff_4506_iotable_2020_xlsx_3[[#This Row],[2049]]+scenario_jobcoeff_1610_iotable_2020_xlsx_3[[#This Row],[2049]]</f>
        <v>36.391429222543607</v>
      </c>
      <c r="AA123">
        <f>scenario_jobcoeff_4506_iotable_2020_xlsx_3[[#This Row],[2050]]+scenario_jobcoeff_1610_iotable_2020_xlsx_3[[#This Row],[2050]]</f>
        <v>36.391429222543607</v>
      </c>
    </row>
    <row r="124" spans="1:27" x14ac:dyDescent="0.2">
      <c r="A124" t="s">
        <v>100</v>
      </c>
      <c r="B124" t="s">
        <v>101</v>
      </c>
      <c r="C124">
        <f>scenario_jobcoeff_4506_iotable_2020_xlsx_3[[#This Row],[2026]]+scenario_jobcoeff_1610_iotable_2020_xlsx_3[[#This Row],[2026]]</f>
        <v>74.27869946890344</v>
      </c>
      <c r="D124">
        <f>scenario_jobcoeff_4506_iotable_2020_xlsx_3[[#This Row],[2027]]+scenario_jobcoeff_1610_iotable_2020_xlsx_3[[#This Row],[2027]]</f>
        <v>67.124915823211808</v>
      </c>
      <c r="E124">
        <f>scenario_jobcoeff_4506_iotable_2020_xlsx_3[[#This Row],[2028]]+scenario_jobcoeff_1610_iotable_2020_xlsx_3[[#This Row],[2028]]</f>
        <v>71.195846840835287</v>
      </c>
      <c r="F124">
        <f>scenario_jobcoeff_4506_iotable_2020_xlsx_3[[#This Row],[2029]]+scenario_jobcoeff_1610_iotable_2020_xlsx_3[[#This Row],[2029]]</f>
        <v>71.232260348584504</v>
      </c>
      <c r="G124">
        <f>scenario_jobcoeff_4506_iotable_2020_xlsx_3[[#This Row],[2030]]+scenario_jobcoeff_1610_iotable_2020_xlsx_3[[#This Row],[2030]]</f>
        <v>43.26183405831938</v>
      </c>
      <c r="H124">
        <f>scenario_jobcoeff_4506_iotable_2020_xlsx_3[[#This Row],[2031]]+scenario_jobcoeff_1610_iotable_2020_xlsx_3[[#This Row],[2031]]</f>
        <v>48.754332640602968</v>
      </c>
      <c r="I124">
        <f>scenario_jobcoeff_4506_iotable_2020_xlsx_3[[#This Row],[2032]]+scenario_jobcoeff_1610_iotable_2020_xlsx_3[[#This Row],[2032]]</f>
        <v>56.425095693436418</v>
      </c>
      <c r="J124">
        <f>scenario_jobcoeff_4506_iotable_2020_xlsx_3[[#This Row],[2033]]+scenario_jobcoeff_1610_iotable_2020_xlsx_3[[#This Row],[2033]]</f>
        <v>54.759729706316136</v>
      </c>
      <c r="K124">
        <f>scenario_jobcoeff_4506_iotable_2020_xlsx_3[[#This Row],[2034]]+scenario_jobcoeff_1610_iotable_2020_xlsx_3[[#This Row],[2034]]</f>
        <v>61.897774666260602</v>
      </c>
      <c r="L124">
        <f>scenario_jobcoeff_4506_iotable_2020_xlsx_3[[#This Row],[2035]]+scenario_jobcoeff_1610_iotable_2020_xlsx_3[[#This Row],[2035]]</f>
        <v>62.374311940574728</v>
      </c>
      <c r="M124">
        <f>scenario_jobcoeff_4506_iotable_2020_xlsx_3[[#This Row],[2036]]+scenario_jobcoeff_1610_iotable_2020_xlsx_3[[#This Row],[2036]]</f>
        <v>57.400390850578418</v>
      </c>
      <c r="N124">
        <f>scenario_jobcoeff_4506_iotable_2020_xlsx_3[[#This Row],[2037]]+scenario_jobcoeff_1610_iotable_2020_xlsx_3[[#This Row],[2037]]</f>
        <v>53.340575312526227</v>
      </c>
      <c r="O124">
        <f>scenario_jobcoeff_4506_iotable_2020_xlsx_3[[#This Row],[2038]]+scenario_jobcoeff_1610_iotable_2020_xlsx_3[[#This Row],[2038]]</f>
        <v>53.340575312526227</v>
      </c>
      <c r="P124">
        <f>scenario_jobcoeff_4506_iotable_2020_xlsx_3[[#This Row],[2039]]+scenario_jobcoeff_1610_iotable_2020_xlsx_3[[#This Row],[2039]]</f>
        <v>53.340575312526227</v>
      </c>
      <c r="Q124">
        <f>scenario_jobcoeff_4506_iotable_2020_xlsx_3[[#This Row],[2040]]+scenario_jobcoeff_1610_iotable_2020_xlsx_3[[#This Row],[2040]]</f>
        <v>49.727026367393989</v>
      </c>
      <c r="R124">
        <f>scenario_jobcoeff_4506_iotable_2020_xlsx_3[[#This Row],[2041]]+scenario_jobcoeff_1610_iotable_2020_xlsx_3[[#This Row],[2041]]</f>
        <v>49.727026367393989</v>
      </c>
      <c r="S124">
        <f>scenario_jobcoeff_4506_iotable_2020_xlsx_3[[#This Row],[2042]]+scenario_jobcoeff_1610_iotable_2020_xlsx_3[[#This Row],[2042]]</f>
        <v>45.894556469679912</v>
      </c>
      <c r="T124">
        <f>scenario_jobcoeff_4506_iotable_2020_xlsx_3[[#This Row],[2043]]+scenario_jobcoeff_1610_iotable_2020_xlsx_3[[#This Row],[2043]]</f>
        <v>45.894556469679912</v>
      </c>
      <c r="U124">
        <f>scenario_jobcoeff_4506_iotable_2020_xlsx_3[[#This Row],[2044]]+scenario_jobcoeff_1610_iotable_2020_xlsx_3[[#This Row],[2044]]</f>
        <v>41.777724003091123</v>
      </c>
      <c r="V124">
        <f>scenario_jobcoeff_4506_iotable_2020_xlsx_3[[#This Row],[2045]]+scenario_jobcoeff_1610_iotable_2020_xlsx_3[[#This Row],[2045]]</f>
        <v>41.777724003091123</v>
      </c>
      <c r="W124">
        <f>scenario_jobcoeff_4506_iotable_2020_xlsx_3[[#This Row],[2046]]+scenario_jobcoeff_1610_iotable_2020_xlsx_3[[#This Row],[2046]]</f>
        <v>38.422172305590038</v>
      </c>
      <c r="X124">
        <f>scenario_jobcoeff_4506_iotable_2020_xlsx_3[[#This Row],[2047]]+scenario_jobcoeff_1610_iotable_2020_xlsx_3[[#This Row],[2047]]</f>
        <v>38.422172305590038</v>
      </c>
      <c r="Y124">
        <f>scenario_jobcoeff_4506_iotable_2020_xlsx_3[[#This Row],[2048]]+scenario_jobcoeff_1610_iotable_2020_xlsx_3[[#This Row],[2048]]</f>
        <v>38.422172305590038</v>
      </c>
      <c r="Z124">
        <f>scenario_jobcoeff_4506_iotable_2020_xlsx_3[[#This Row],[2049]]+scenario_jobcoeff_1610_iotable_2020_xlsx_3[[#This Row],[2049]]</f>
        <v>38.422172305590038</v>
      </c>
      <c r="AA124">
        <f>scenario_jobcoeff_4506_iotable_2020_xlsx_3[[#This Row],[2050]]+scenario_jobcoeff_1610_iotable_2020_xlsx_3[[#This Row],[2050]]</f>
        <v>38.422172305590038</v>
      </c>
    </row>
    <row r="125" spans="1:27" x14ac:dyDescent="0.2">
      <c r="A125" t="s">
        <v>126</v>
      </c>
      <c r="B125" t="s">
        <v>127</v>
      </c>
      <c r="C125">
        <f>scenario_jobcoeff_4506_iotable_2020_xlsx_3[[#This Row],[2026]]+scenario_jobcoeff_1610_iotable_2020_xlsx_3[[#This Row],[2026]]</f>
        <v>59.237579846937379</v>
      </c>
      <c r="D125">
        <f>scenario_jobcoeff_4506_iotable_2020_xlsx_3[[#This Row],[2027]]+scenario_jobcoeff_1610_iotable_2020_xlsx_3[[#This Row],[2027]]</f>
        <v>56.276172940762194</v>
      </c>
      <c r="E125">
        <f>scenario_jobcoeff_4506_iotable_2020_xlsx_3[[#This Row],[2028]]+scenario_jobcoeff_1610_iotable_2020_xlsx_3[[#This Row],[2028]]</f>
        <v>59.359678926164982</v>
      </c>
      <c r="F125">
        <f>scenario_jobcoeff_4506_iotable_2020_xlsx_3[[#This Row],[2029]]+scenario_jobcoeff_1610_iotable_2020_xlsx_3[[#This Row],[2029]]</f>
        <v>60.370136298175879</v>
      </c>
      <c r="G125">
        <f>scenario_jobcoeff_4506_iotable_2020_xlsx_3[[#This Row],[2030]]+scenario_jobcoeff_1610_iotable_2020_xlsx_3[[#This Row],[2030]]</f>
        <v>47.515280640112458</v>
      </c>
      <c r="H125">
        <f>scenario_jobcoeff_4506_iotable_2020_xlsx_3[[#This Row],[2031]]+scenario_jobcoeff_1610_iotable_2020_xlsx_3[[#This Row],[2031]]</f>
        <v>51.675545744082356</v>
      </c>
      <c r="I125">
        <f>scenario_jobcoeff_4506_iotable_2020_xlsx_3[[#This Row],[2032]]+scenario_jobcoeff_1610_iotable_2020_xlsx_3[[#This Row],[2032]]</f>
        <v>57.485726187726016</v>
      </c>
      <c r="J125">
        <f>scenario_jobcoeff_4506_iotable_2020_xlsx_3[[#This Row],[2033]]+scenario_jobcoeff_1610_iotable_2020_xlsx_3[[#This Row],[2033]]</f>
        <v>60.871875902524138</v>
      </c>
      <c r="K125">
        <f>scenario_jobcoeff_4506_iotable_2020_xlsx_3[[#This Row],[2034]]+scenario_jobcoeff_1610_iotable_2020_xlsx_3[[#This Row],[2034]]</f>
        <v>66.278551737309456</v>
      </c>
      <c r="L125">
        <f>scenario_jobcoeff_4506_iotable_2020_xlsx_3[[#This Row],[2035]]+scenario_jobcoeff_1610_iotable_2020_xlsx_3[[#This Row],[2035]]</f>
        <v>72.522774946340803</v>
      </c>
      <c r="M125">
        <f>scenario_jobcoeff_4506_iotable_2020_xlsx_3[[#This Row],[2036]]+scenario_jobcoeff_1610_iotable_2020_xlsx_3[[#This Row],[2036]]</f>
        <v>72.616967966181377</v>
      </c>
      <c r="N125">
        <f>scenario_jobcoeff_4506_iotable_2020_xlsx_3[[#This Row],[2037]]+scenario_jobcoeff_1610_iotable_2020_xlsx_3[[#This Row],[2037]]</f>
        <v>72.917770602993073</v>
      </c>
      <c r="O125">
        <f>scenario_jobcoeff_4506_iotable_2020_xlsx_3[[#This Row],[2038]]+scenario_jobcoeff_1610_iotable_2020_xlsx_3[[#This Row],[2038]]</f>
        <v>72.917770602993073</v>
      </c>
      <c r="P125">
        <f>scenario_jobcoeff_4506_iotable_2020_xlsx_3[[#This Row],[2039]]+scenario_jobcoeff_1610_iotable_2020_xlsx_3[[#This Row],[2039]]</f>
        <v>72.917770602993073</v>
      </c>
      <c r="Q125">
        <f>scenario_jobcoeff_4506_iotable_2020_xlsx_3[[#This Row],[2040]]+scenario_jobcoeff_1610_iotable_2020_xlsx_3[[#This Row],[2040]]</f>
        <v>73.1444227446745</v>
      </c>
      <c r="R125">
        <f>scenario_jobcoeff_4506_iotable_2020_xlsx_3[[#This Row],[2041]]+scenario_jobcoeff_1610_iotable_2020_xlsx_3[[#This Row],[2041]]</f>
        <v>73.1444227446745</v>
      </c>
      <c r="S125">
        <f>scenario_jobcoeff_4506_iotable_2020_xlsx_3[[#This Row],[2042]]+scenario_jobcoeff_1610_iotable_2020_xlsx_3[[#This Row],[2042]]</f>
        <v>73.512748494510504</v>
      </c>
      <c r="T125">
        <f>scenario_jobcoeff_4506_iotable_2020_xlsx_3[[#This Row],[2043]]+scenario_jobcoeff_1610_iotable_2020_xlsx_3[[#This Row],[2043]]</f>
        <v>73.512748494510504</v>
      </c>
      <c r="U125">
        <f>scenario_jobcoeff_4506_iotable_2020_xlsx_3[[#This Row],[2044]]+scenario_jobcoeff_1610_iotable_2020_xlsx_3[[#This Row],[2044]]</f>
        <v>73.505396291962938</v>
      </c>
      <c r="V125">
        <f>scenario_jobcoeff_4506_iotable_2020_xlsx_3[[#This Row],[2045]]+scenario_jobcoeff_1610_iotable_2020_xlsx_3[[#This Row],[2045]]</f>
        <v>73.505396291962938</v>
      </c>
      <c r="W125">
        <f>scenario_jobcoeff_4506_iotable_2020_xlsx_3[[#This Row],[2046]]+scenario_jobcoeff_1610_iotable_2020_xlsx_3[[#This Row],[2046]]</f>
        <v>73.612613225853977</v>
      </c>
      <c r="X125">
        <f>scenario_jobcoeff_4506_iotable_2020_xlsx_3[[#This Row],[2047]]+scenario_jobcoeff_1610_iotable_2020_xlsx_3[[#This Row],[2047]]</f>
        <v>73.612613225853977</v>
      </c>
      <c r="Y125">
        <f>scenario_jobcoeff_4506_iotable_2020_xlsx_3[[#This Row],[2048]]+scenario_jobcoeff_1610_iotable_2020_xlsx_3[[#This Row],[2048]]</f>
        <v>73.612613225853977</v>
      </c>
      <c r="Z125">
        <f>scenario_jobcoeff_4506_iotable_2020_xlsx_3[[#This Row],[2049]]+scenario_jobcoeff_1610_iotable_2020_xlsx_3[[#This Row],[2049]]</f>
        <v>73.612613225853977</v>
      </c>
      <c r="AA125">
        <f>scenario_jobcoeff_4506_iotable_2020_xlsx_3[[#This Row],[2050]]+scenario_jobcoeff_1610_iotable_2020_xlsx_3[[#This Row],[2050]]</f>
        <v>73.612613225853977</v>
      </c>
    </row>
    <row r="126" spans="1:27" x14ac:dyDescent="0.2">
      <c r="A126" t="s">
        <v>70</v>
      </c>
      <c r="B126" t="s">
        <v>71</v>
      </c>
      <c r="C126">
        <f>scenario_jobcoeff_4506_iotable_2020_xlsx_3[[#This Row],[2026]]+scenario_jobcoeff_1610_iotable_2020_xlsx_3[[#This Row],[2026]]</f>
        <v>131.24106688934924</v>
      </c>
      <c r="D126">
        <f>scenario_jobcoeff_4506_iotable_2020_xlsx_3[[#This Row],[2027]]+scenario_jobcoeff_1610_iotable_2020_xlsx_3[[#This Row],[2027]]</f>
        <v>109.57191412342553</v>
      </c>
      <c r="E126">
        <f>scenario_jobcoeff_4506_iotable_2020_xlsx_3[[#This Row],[2028]]+scenario_jobcoeff_1610_iotable_2020_xlsx_3[[#This Row],[2028]]</f>
        <v>117.30140239983535</v>
      </c>
      <c r="F126">
        <f>scenario_jobcoeff_4506_iotable_2020_xlsx_3[[#This Row],[2029]]+scenario_jobcoeff_1610_iotable_2020_xlsx_3[[#This Row],[2029]]</f>
        <v>114.13604312093371</v>
      </c>
      <c r="G126">
        <f>scenario_jobcoeff_4506_iotable_2020_xlsx_3[[#This Row],[2030]]+scenario_jobcoeff_1610_iotable_2020_xlsx_3[[#This Row],[2030]]</f>
        <v>33.611783329795941</v>
      </c>
      <c r="H126">
        <f>scenario_jobcoeff_4506_iotable_2020_xlsx_3[[#This Row],[2031]]+scenario_jobcoeff_1610_iotable_2020_xlsx_3[[#This Row],[2031]]</f>
        <v>44.040405975615698</v>
      </c>
      <c r="I126">
        <f>scenario_jobcoeff_4506_iotable_2020_xlsx_3[[#This Row],[2032]]+scenario_jobcoeff_1610_iotable_2020_xlsx_3[[#This Row],[2032]]</f>
        <v>58.604905553554119</v>
      </c>
      <c r="J126">
        <f>scenario_jobcoeff_4506_iotable_2020_xlsx_3[[#This Row],[2033]]+scenario_jobcoeff_1610_iotable_2020_xlsx_3[[#This Row],[2033]]</f>
        <v>40.148406988071315</v>
      </c>
      <c r="K126">
        <f>scenario_jobcoeff_4506_iotable_2020_xlsx_3[[#This Row],[2034]]+scenario_jobcoeff_1610_iotable_2020_xlsx_3[[#This Row],[2034]]</f>
        <v>53.701433211194512</v>
      </c>
      <c r="L126">
        <f>scenario_jobcoeff_4506_iotable_2020_xlsx_3[[#This Row],[2035]]+scenario_jobcoeff_1610_iotable_2020_xlsx_3[[#This Row],[2035]]</f>
        <v>35.245270188165364</v>
      </c>
      <c r="M126">
        <f>scenario_jobcoeff_4506_iotable_2020_xlsx_3[[#This Row],[2036]]+scenario_jobcoeff_1610_iotable_2020_xlsx_3[[#This Row],[2036]]</f>
        <v>13.093115333901835</v>
      </c>
      <c r="N126">
        <f>scenario_jobcoeff_4506_iotable_2020_xlsx_3[[#This Row],[2037]]+scenario_jobcoeff_1610_iotable_2020_xlsx_3[[#This Row],[2037]]</f>
        <v>-5.724812240746644</v>
      </c>
      <c r="O126">
        <f>scenario_jobcoeff_4506_iotable_2020_xlsx_3[[#This Row],[2038]]+scenario_jobcoeff_1610_iotable_2020_xlsx_3[[#This Row],[2038]]</f>
        <v>-5.724812240746644</v>
      </c>
      <c r="P126">
        <f>scenario_jobcoeff_4506_iotable_2020_xlsx_3[[#This Row],[2039]]+scenario_jobcoeff_1610_iotable_2020_xlsx_3[[#This Row],[2039]]</f>
        <v>-5.724812240746644</v>
      </c>
      <c r="Q126">
        <f>scenario_jobcoeff_4506_iotable_2020_xlsx_3[[#This Row],[2040]]+scenario_jobcoeff_1610_iotable_2020_xlsx_3[[#This Row],[2040]]</f>
        <v>-22.339013235307448</v>
      </c>
      <c r="R126">
        <f>scenario_jobcoeff_4506_iotable_2020_xlsx_3[[#This Row],[2041]]+scenario_jobcoeff_1610_iotable_2020_xlsx_3[[#This Row],[2041]]</f>
        <v>-22.339013235307448</v>
      </c>
      <c r="S126">
        <f>scenario_jobcoeff_4506_iotable_2020_xlsx_3[[#This Row],[2042]]+scenario_jobcoeff_1610_iotable_2020_xlsx_3[[#This Row],[2042]]</f>
        <v>-40.380797172572784</v>
      </c>
      <c r="T126">
        <f>scenario_jobcoeff_4506_iotable_2020_xlsx_3[[#This Row],[2043]]+scenario_jobcoeff_1610_iotable_2020_xlsx_3[[#This Row],[2043]]</f>
        <v>-40.380797172572784</v>
      </c>
      <c r="U126">
        <f>scenario_jobcoeff_4506_iotable_2020_xlsx_3[[#This Row],[2044]]+scenario_jobcoeff_1610_iotable_2020_xlsx_3[[#This Row],[2044]]</f>
        <v>-58.435014206141091</v>
      </c>
      <c r="V126">
        <f>scenario_jobcoeff_4506_iotable_2020_xlsx_3[[#This Row],[2045]]+scenario_jobcoeff_1610_iotable_2020_xlsx_3[[#This Row],[2045]]</f>
        <v>-58.435014206141091</v>
      </c>
      <c r="W126">
        <f>scenario_jobcoeff_4506_iotable_2020_xlsx_3[[#This Row],[2046]]+scenario_jobcoeff_1610_iotable_2020_xlsx_3[[#This Row],[2046]]</f>
        <v>-73.523218185604037</v>
      </c>
      <c r="X126">
        <f>scenario_jobcoeff_4506_iotable_2020_xlsx_3[[#This Row],[2047]]+scenario_jobcoeff_1610_iotable_2020_xlsx_3[[#This Row],[2047]]</f>
        <v>-73.523218185604037</v>
      </c>
      <c r="Y126">
        <f>scenario_jobcoeff_4506_iotable_2020_xlsx_3[[#This Row],[2048]]+scenario_jobcoeff_1610_iotable_2020_xlsx_3[[#This Row],[2048]]</f>
        <v>-73.523218185604037</v>
      </c>
      <c r="Z126">
        <f>scenario_jobcoeff_4506_iotable_2020_xlsx_3[[#This Row],[2049]]+scenario_jobcoeff_1610_iotable_2020_xlsx_3[[#This Row],[2049]]</f>
        <v>-73.523218185604037</v>
      </c>
      <c r="AA126">
        <f>scenario_jobcoeff_4506_iotable_2020_xlsx_3[[#This Row],[2050]]+scenario_jobcoeff_1610_iotable_2020_xlsx_3[[#This Row],[2050]]</f>
        <v>-73.523218185604037</v>
      </c>
    </row>
    <row r="127" spans="1:27" x14ac:dyDescent="0.2">
      <c r="A127" t="s">
        <v>94</v>
      </c>
      <c r="B127" t="s">
        <v>95</v>
      </c>
      <c r="C127">
        <f>scenario_jobcoeff_4506_iotable_2020_xlsx_3[[#This Row],[2026]]+scenario_jobcoeff_1610_iotable_2020_xlsx_3[[#This Row],[2026]]</f>
        <v>80.169296729243669</v>
      </c>
      <c r="D127">
        <f>scenario_jobcoeff_4506_iotable_2020_xlsx_3[[#This Row],[2027]]+scenario_jobcoeff_1610_iotable_2020_xlsx_3[[#This Row],[2027]]</f>
        <v>69.444391706789986</v>
      </c>
      <c r="E127">
        <f>scenario_jobcoeff_4506_iotable_2020_xlsx_3[[#This Row],[2028]]+scenario_jobcoeff_1610_iotable_2020_xlsx_3[[#This Row],[2028]]</f>
        <v>74.016697955894642</v>
      </c>
      <c r="F127">
        <f>scenario_jobcoeff_4506_iotable_2020_xlsx_3[[#This Row],[2029]]+scenario_jobcoeff_1610_iotable_2020_xlsx_3[[#This Row],[2029]]</f>
        <v>72.981571038866647</v>
      </c>
      <c r="G127">
        <f>scenario_jobcoeff_4506_iotable_2020_xlsx_3[[#This Row],[2030]]+scenario_jobcoeff_1610_iotable_2020_xlsx_3[[#This Row],[2030]]</f>
        <v>32.445546859945694</v>
      </c>
      <c r="H127">
        <f>scenario_jobcoeff_4506_iotable_2020_xlsx_3[[#This Row],[2031]]+scenario_jobcoeff_1610_iotable_2020_xlsx_3[[#This Row],[2031]]</f>
        <v>38.614500714053108</v>
      </c>
      <c r="I127">
        <f>scenario_jobcoeff_4506_iotable_2020_xlsx_3[[#This Row],[2032]]+scenario_jobcoeff_1610_iotable_2020_xlsx_3[[#This Row],[2032]]</f>
        <v>47.229993752386704</v>
      </c>
      <c r="J127">
        <f>scenario_jobcoeff_4506_iotable_2020_xlsx_3[[#This Row],[2033]]+scenario_jobcoeff_1610_iotable_2020_xlsx_3[[#This Row],[2033]]</f>
        <v>40.271489918410879</v>
      </c>
      <c r="K127">
        <f>scenario_jobcoeff_4506_iotable_2020_xlsx_3[[#This Row],[2034]]+scenario_jobcoeff_1610_iotable_2020_xlsx_3[[#This Row],[2034]]</f>
        <v>48.288655386323143</v>
      </c>
      <c r="L127">
        <f>scenario_jobcoeff_4506_iotable_2020_xlsx_3[[#This Row],[2035]]+scenario_jobcoeff_1610_iotable_2020_xlsx_3[[#This Row],[2035]]</f>
        <v>42.383042003641606</v>
      </c>
      <c r="M127">
        <f>scenario_jobcoeff_4506_iotable_2020_xlsx_3[[#This Row],[2036]]+scenario_jobcoeff_1610_iotable_2020_xlsx_3[[#This Row],[2036]]</f>
        <v>32.568892377055732</v>
      </c>
      <c r="N127">
        <f>scenario_jobcoeff_4506_iotable_2020_xlsx_3[[#This Row],[2037]]+scenario_jobcoeff_1610_iotable_2020_xlsx_3[[#This Row],[2037]]</f>
        <v>24.313242161314577</v>
      </c>
      <c r="O127">
        <f>scenario_jobcoeff_4506_iotable_2020_xlsx_3[[#This Row],[2038]]+scenario_jobcoeff_1610_iotable_2020_xlsx_3[[#This Row],[2038]]</f>
        <v>24.313242161314577</v>
      </c>
      <c r="P127">
        <f>scenario_jobcoeff_4506_iotable_2020_xlsx_3[[#This Row],[2039]]+scenario_jobcoeff_1610_iotable_2020_xlsx_3[[#This Row],[2039]]</f>
        <v>24.313242161314577</v>
      </c>
      <c r="Q127">
        <f>scenario_jobcoeff_4506_iotable_2020_xlsx_3[[#This Row],[2040]]+scenario_jobcoeff_1610_iotable_2020_xlsx_3[[#This Row],[2040]]</f>
        <v>17.010055889470209</v>
      </c>
      <c r="R127">
        <f>scenario_jobcoeff_4506_iotable_2020_xlsx_3[[#This Row],[2041]]+scenario_jobcoeff_1610_iotable_2020_xlsx_3[[#This Row],[2041]]</f>
        <v>17.010055889470209</v>
      </c>
      <c r="S127">
        <f>scenario_jobcoeff_4506_iotable_2020_xlsx_3[[#This Row],[2042]]+scenario_jobcoeff_1610_iotable_2020_xlsx_3[[#This Row],[2042]]</f>
        <v>9.124350442764694</v>
      </c>
      <c r="T127">
        <f>scenario_jobcoeff_4506_iotable_2020_xlsx_3[[#This Row],[2043]]+scenario_jobcoeff_1610_iotable_2020_xlsx_3[[#This Row],[2043]]</f>
        <v>9.124350442764694</v>
      </c>
      <c r="U127">
        <f>scenario_jobcoeff_4506_iotable_2020_xlsx_3[[#This Row],[2044]]+scenario_jobcoeff_1610_iotable_2020_xlsx_3[[#This Row],[2044]]</f>
        <v>1.0947402263969366</v>
      </c>
      <c r="V127">
        <f>scenario_jobcoeff_4506_iotable_2020_xlsx_3[[#This Row],[2045]]+scenario_jobcoeff_1610_iotable_2020_xlsx_3[[#This Row],[2045]]</f>
        <v>1.0947402263969366</v>
      </c>
      <c r="W127">
        <f>scenario_jobcoeff_4506_iotable_2020_xlsx_3[[#This Row],[2046]]+scenario_jobcoeff_1610_iotable_2020_xlsx_3[[#This Row],[2046]]</f>
        <v>-5.5739807086212636</v>
      </c>
      <c r="X127">
        <f>scenario_jobcoeff_4506_iotable_2020_xlsx_3[[#This Row],[2047]]+scenario_jobcoeff_1610_iotable_2020_xlsx_3[[#This Row],[2047]]</f>
        <v>-5.5739807086212636</v>
      </c>
      <c r="Y127">
        <f>scenario_jobcoeff_4506_iotable_2020_xlsx_3[[#This Row],[2048]]+scenario_jobcoeff_1610_iotable_2020_xlsx_3[[#This Row],[2048]]</f>
        <v>-5.5739807086212636</v>
      </c>
      <c r="Z127">
        <f>scenario_jobcoeff_4506_iotable_2020_xlsx_3[[#This Row],[2049]]+scenario_jobcoeff_1610_iotable_2020_xlsx_3[[#This Row],[2049]]</f>
        <v>-5.5739807086212636</v>
      </c>
      <c r="AA127">
        <f>scenario_jobcoeff_4506_iotable_2020_xlsx_3[[#This Row],[2050]]+scenario_jobcoeff_1610_iotable_2020_xlsx_3[[#This Row],[2050]]</f>
        <v>-5.5739807086212636</v>
      </c>
    </row>
    <row r="128" spans="1:27" x14ac:dyDescent="0.2">
      <c r="A128" t="s">
        <v>134</v>
      </c>
      <c r="B128" t="s">
        <v>135</v>
      </c>
      <c r="C128">
        <f>scenario_jobcoeff_4506_iotable_2020_xlsx_3[[#This Row],[2026]]+scenario_jobcoeff_1610_iotable_2020_xlsx_3[[#This Row],[2026]]</f>
        <v>51.73834332254404</v>
      </c>
      <c r="D128">
        <f>scenario_jobcoeff_4506_iotable_2020_xlsx_3[[#This Row],[2027]]+scenario_jobcoeff_1610_iotable_2020_xlsx_3[[#This Row],[2027]]</f>
        <v>46.722053397805588</v>
      </c>
      <c r="E128">
        <f>scenario_jobcoeff_4506_iotable_2020_xlsx_3[[#This Row],[2028]]+scenario_jobcoeff_1610_iotable_2020_xlsx_3[[#This Row],[2028]]</f>
        <v>49.559617130415489</v>
      </c>
      <c r="F128">
        <f>scenario_jobcoeff_4506_iotable_2020_xlsx_3[[#This Row],[2029]]+scenario_jobcoeff_1610_iotable_2020_xlsx_3[[#This Row],[2029]]</f>
        <v>49.573045104061805</v>
      </c>
      <c r="G128">
        <f>scenario_jobcoeff_4506_iotable_2020_xlsx_3[[#This Row],[2030]]+scenario_jobcoeff_1610_iotable_2020_xlsx_3[[#This Row],[2030]]</f>
        <v>29.97547958262551</v>
      </c>
      <c r="H128">
        <f>scenario_jobcoeff_4506_iotable_2020_xlsx_3[[#This Row],[2031]]+scenario_jobcoeff_1610_iotable_2020_xlsx_3[[#This Row],[2031]]</f>
        <v>33.803919492569634</v>
      </c>
      <c r="I128">
        <f>scenario_jobcoeff_4506_iotable_2020_xlsx_3[[#This Row],[2032]]+scenario_jobcoeff_1610_iotable_2020_xlsx_3[[#This Row],[2032]]</f>
        <v>39.150676523316577</v>
      </c>
      <c r="J128">
        <f>scenario_jobcoeff_4506_iotable_2020_xlsx_3[[#This Row],[2033]]+scenario_jobcoeff_1610_iotable_2020_xlsx_3[[#This Row],[2033]]</f>
        <v>37.933343397808329</v>
      </c>
      <c r="K128">
        <f>scenario_jobcoeff_4506_iotable_2020_xlsx_3[[#This Row],[2034]]+scenario_jobcoeff_1610_iotable_2020_xlsx_3[[#This Row],[2034]]</f>
        <v>42.908779584860568</v>
      </c>
      <c r="L128">
        <f>scenario_jobcoeff_4506_iotable_2020_xlsx_3[[#This Row],[2035]]+scenario_jobcoeff_1610_iotable_2020_xlsx_3[[#This Row],[2035]]</f>
        <v>43.169390602276764</v>
      </c>
      <c r="M128">
        <f>scenario_jobcoeff_4506_iotable_2020_xlsx_3[[#This Row],[2036]]+scenario_jobcoeff_1610_iotable_2020_xlsx_3[[#This Row],[2036]]</f>
        <v>39.655451044241573</v>
      </c>
      <c r="N128">
        <f>scenario_jobcoeff_4506_iotable_2020_xlsx_3[[#This Row],[2037]]+scenario_jobcoeff_1610_iotable_2020_xlsx_3[[#This Row],[2037]]</f>
        <v>36.784578888600379</v>
      </c>
      <c r="O128">
        <f>scenario_jobcoeff_4506_iotable_2020_xlsx_3[[#This Row],[2038]]+scenario_jobcoeff_1610_iotable_2020_xlsx_3[[#This Row],[2038]]</f>
        <v>36.784578888600379</v>
      </c>
      <c r="P128">
        <f>scenario_jobcoeff_4506_iotable_2020_xlsx_3[[#This Row],[2039]]+scenario_jobcoeff_1610_iotable_2020_xlsx_3[[#This Row],[2039]]</f>
        <v>36.784578888600379</v>
      </c>
      <c r="Q128">
        <f>scenario_jobcoeff_4506_iotable_2020_xlsx_3[[#This Row],[2040]]+scenario_jobcoeff_1610_iotable_2020_xlsx_3[[#This Row],[2040]]</f>
        <v>34.229780916672325</v>
      </c>
      <c r="R128">
        <f>scenario_jobcoeff_4506_iotable_2020_xlsx_3[[#This Row],[2041]]+scenario_jobcoeff_1610_iotable_2020_xlsx_3[[#This Row],[2041]]</f>
        <v>34.229780916672325</v>
      </c>
      <c r="S128">
        <f>scenario_jobcoeff_4506_iotable_2020_xlsx_3[[#This Row],[2042]]+scenario_jobcoeff_1610_iotable_2020_xlsx_3[[#This Row],[2042]]</f>
        <v>31.518648704172904</v>
      </c>
      <c r="T128">
        <f>scenario_jobcoeff_4506_iotable_2020_xlsx_3[[#This Row],[2043]]+scenario_jobcoeff_1610_iotable_2020_xlsx_3[[#This Row],[2043]]</f>
        <v>31.518648704172904</v>
      </c>
      <c r="U128">
        <f>scenario_jobcoeff_4506_iotable_2020_xlsx_3[[#This Row],[2044]]+scenario_jobcoeff_1610_iotable_2020_xlsx_3[[#This Row],[2044]]</f>
        <v>28.611256434883899</v>
      </c>
      <c r="V128">
        <f>scenario_jobcoeff_4506_iotable_2020_xlsx_3[[#This Row],[2045]]+scenario_jobcoeff_1610_iotable_2020_xlsx_3[[#This Row],[2045]]</f>
        <v>28.611256434883899</v>
      </c>
      <c r="W128">
        <f>scenario_jobcoeff_4506_iotable_2020_xlsx_3[[#This Row],[2046]]+scenario_jobcoeff_1610_iotable_2020_xlsx_3[[#This Row],[2046]]</f>
        <v>26.240119585545642</v>
      </c>
      <c r="X128">
        <f>scenario_jobcoeff_4506_iotable_2020_xlsx_3[[#This Row],[2047]]+scenario_jobcoeff_1610_iotable_2020_xlsx_3[[#This Row],[2047]]</f>
        <v>26.240119585545642</v>
      </c>
      <c r="Y128">
        <f>scenario_jobcoeff_4506_iotable_2020_xlsx_3[[#This Row],[2048]]+scenario_jobcoeff_1610_iotable_2020_xlsx_3[[#This Row],[2048]]</f>
        <v>26.240119585545642</v>
      </c>
      <c r="Z128">
        <f>scenario_jobcoeff_4506_iotable_2020_xlsx_3[[#This Row],[2049]]+scenario_jobcoeff_1610_iotable_2020_xlsx_3[[#This Row],[2049]]</f>
        <v>26.240119585545642</v>
      </c>
      <c r="AA128">
        <f>scenario_jobcoeff_4506_iotable_2020_xlsx_3[[#This Row],[2050]]+scenario_jobcoeff_1610_iotable_2020_xlsx_3[[#This Row],[2050]]</f>
        <v>26.240119585545642</v>
      </c>
    </row>
    <row r="129" spans="1:27" x14ac:dyDescent="0.2">
      <c r="A129" t="s">
        <v>48</v>
      </c>
      <c r="B129" t="s">
        <v>49</v>
      </c>
      <c r="C129">
        <f>scenario_jobcoeff_4506_iotable_2020_xlsx_3[[#This Row],[2026]]+scenario_jobcoeff_1610_iotable_2020_xlsx_3[[#This Row],[2026]]</f>
        <v>199.19265478284203</v>
      </c>
      <c r="D129">
        <f>scenario_jobcoeff_4506_iotable_2020_xlsx_3[[#This Row],[2027]]+scenario_jobcoeff_1610_iotable_2020_xlsx_3[[#This Row],[2027]]</f>
        <v>186.29762469268809</v>
      </c>
      <c r="E129">
        <f>scenario_jobcoeff_4506_iotable_2020_xlsx_3[[#This Row],[2028]]+scenario_jobcoeff_1610_iotable_2020_xlsx_3[[#This Row],[2028]]</f>
        <v>196.84080416661305</v>
      </c>
      <c r="F129">
        <f>scenario_jobcoeff_4506_iotable_2020_xlsx_3[[#This Row],[2029]]+scenario_jobcoeff_1610_iotable_2020_xlsx_3[[#This Row],[2029]]</f>
        <v>199.18804459016505</v>
      </c>
      <c r="G129">
        <f>scenario_jobcoeff_4506_iotable_2020_xlsx_3[[#This Row],[2030]]+scenario_jobcoeff_1610_iotable_2020_xlsx_3[[#This Row],[2030]]</f>
        <v>145.84495172607282</v>
      </c>
      <c r="H129">
        <f>scenario_jobcoeff_4506_iotable_2020_xlsx_3[[#This Row],[2031]]+scenario_jobcoeff_1610_iotable_2020_xlsx_3[[#This Row],[2031]]</f>
        <v>160.06980546655694</v>
      </c>
      <c r="I129">
        <f>scenario_jobcoeff_4506_iotable_2020_xlsx_3[[#This Row],[2032]]+scenario_jobcoeff_1610_iotable_2020_xlsx_3[[#This Row],[2032]]</f>
        <v>179.93607959841091</v>
      </c>
      <c r="J129">
        <f>scenario_jobcoeff_4506_iotable_2020_xlsx_3[[#This Row],[2033]]+scenario_jobcoeff_1610_iotable_2020_xlsx_3[[#This Row],[2033]]</f>
        <v>186.27609684017358</v>
      </c>
      <c r="K129">
        <f>scenario_jobcoeff_4506_iotable_2020_xlsx_3[[#This Row],[2034]]+scenario_jobcoeff_1610_iotable_2020_xlsx_3[[#This Row],[2034]]</f>
        <v>204.76270071035498</v>
      </c>
      <c r="L129">
        <f>scenario_jobcoeff_4506_iotable_2020_xlsx_3[[#This Row],[2035]]+scenario_jobcoeff_1610_iotable_2020_xlsx_3[[#This Row],[2035]]</f>
        <v>219.48242033231332</v>
      </c>
      <c r="M129">
        <f>scenario_jobcoeff_4506_iotable_2020_xlsx_3[[#This Row],[2036]]+scenario_jobcoeff_1610_iotable_2020_xlsx_3[[#This Row],[2036]]</f>
        <v>215.45226432656523</v>
      </c>
      <c r="N129">
        <f>scenario_jobcoeff_4506_iotable_2020_xlsx_3[[#This Row],[2037]]+scenario_jobcoeff_1610_iotable_2020_xlsx_3[[#This Row],[2037]]</f>
        <v>212.67603602882991</v>
      </c>
      <c r="O129">
        <f>scenario_jobcoeff_4506_iotable_2020_xlsx_3[[#This Row],[2038]]+scenario_jobcoeff_1610_iotable_2020_xlsx_3[[#This Row],[2038]]</f>
        <v>212.67603602882991</v>
      </c>
      <c r="P129">
        <f>scenario_jobcoeff_4506_iotable_2020_xlsx_3[[#This Row],[2039]]+scenario_jobcoeff_1610_iotable_2020_xlsx_3[[#This Row],[2039]]</f>
        <v>212.67603602882991</v>
      </c>
      <c r="Q129">
        <f>scenario_jobcoeff_4506_iotable_2020_xlsx_3[[#This Row],[2040]]+scenario_jobcoeff_1610_iotable_2020_xlsx_3[[#This Row],[2040]]</f>
        <v>210.1108033668782</v>
      </c>
      <c r="R129">
        <f>scenario_jobcoeff_4506_iotable_2020_xlsx_3[[#This Row],[2041]]+scenario_jobcoeff_1610_iotable_2020_xlsx_3[[#This Row],[2041]]</f>
        <v>210.1108033668782</v>
      </c>
      <c r="S129">
        <f>scenario_jobcoeff_4506_iotable_2020_xlsx_3[[#This Row],[2042]]+scenario_jobcoeff_1610_iotable_2020_xlsx_3[[#This Row],[2042]]</f>
        <v>207.68342763729038</v>
      </c>
      <c r="T129">
        <f>scenario_jobcoeff_4506_iotable_2020_xlsx_3[[#This Row],[2043]]+scenario_jobcoeff_1610_iotable_2020_xlsx_3[[#This Row],[2043]]</f>
        <v>207.68342763729038</v>
      </c>
      <c r="U129">
        <f>scenario_jobcoeff_4506_iotable_2020_xlsx_3[[#This Row],[2044]]+scenario_jobcoeff_1610_iotable_2020_xlsx_3[[#This Row],[2044]]</f>
        <v>204.1521779910496</v>
      </c>
      <c r="V129">
        <f>scenario_jobcoeff_4506_iotable_2020_xlsx_3[[#This Row],[2045]]+scenario_jobcoeff_1610_iotable_2020_xlsx_3[[#This Row],[2045]]</f>
        <v>204.1521779910496</v>
      </c>
      <c r="W129">
        <f>scenario_jobcoeff_4506_iotable_2020_xlsx_3[[#This Row],[2046]]+scenario_jobcoeff_1610_iotable_2020_xlsx_3[[#This Row],[2046]]</f>
        <v>201.53342100710961</v>
      </c>
      <c r="X129">
        <f>scenario_jobcoeff_4506_iotable_2020_xlsx_3[[#This Row],[2047]]+scenario_jobcoeff_1610_iotable_2020_xlsx_3[[#This Row],[2047]]</f>
        <v>201.53342100710961</v>
      </c>
      <c r="Y129">
        <f>scenario_jobcoeff_4506_iotable_2020_xlsx_3[[#This Row],[2048]]+scenario_jobcoeff_1610_iotable_2020_xlsx_3[[#This Row],[2048]]</f>
        <v>201.53342100710961</v>
      </c>
      <c r="Z129">
        <f>scenario_jobcoeff_4506_iotable_2020_xlsx_3[[#This Row],[2049]]+scenario_jobcoeff_1610_iotable_2020_xlsx_3[[#This Row],[2049]]</f>
        <v>201.53342100710961</v>
      </c>
      <c r="AA129">
        <f>scenario_jobcoeff_4506_iotable_2020_xlsx_3[[#This Row],[2050]]+scenario_jobcoeff_1610_iotable_2020_xlsx_3[[#This Row],[2050]]</f>
        <v>201.53342100710961</v>
      </c>
    </row>
    <row r="130" spans="1:27" x14ac:dyDescent="0.2">
      <c r="A130" t="s">
        <v>16</v>
      </c>
      <c r="B130" t="s">
        <v>17</v>
      </c>
      <c r="C130">
        <f>scenario_jobcoeff_4506_iotable_2020_xlsx_3[[#This Row],[2026]]+scenario_jobcoeff_1610_iotable_2020_xlsx_3[[#This Row],[2026]]</f>
        <v>953.09236695298625</v>
      </c>
      <c r="D130">
        <f>scenario_jobcoeff_4506_iotable_2020_xlsx_3[[#This Row],[2027]]+scenario_jobcoeff_1610_iotable_2020_xlsx_3[[#This Row],[2027]]</f>
        <v>797.61282617304175</v>
      </c>
      <c r="E130">
        <f>scenario_jobcoeff_4506_iotable_2020_xlsx_3[[#This Row],[2028]]+scenario_jobcoeff_1610_iotable_2020_xlsx_3[[#This Row],[2028]]</f>
        <v>853.63348916763778</v>
      </c>
      <c r="F130">
        <f>scenario_jobcoeff_4506_iotable_2020_xlsx_3[[#This Row],[2029]]+scenario_jobcoeff_1610_iotable_2020_xlsx_3[[#This Row],[2029]]</f>
        <v>831.32045730290872</v>
      </c>
      <c r="G130">
        <f>scenario_jobcoeff_4506_iotable_2020_xlsx_3[[#This Row],[2030]]+scenario_jobcoeff_1610_iotable_2020_xlsx_3[[#This Row],[2030]]</f>
        <v>253.03495166044218</v>
      </c>
      <c r="H130">
        <f>scenario_jobcoeff_4506_iotable_2020_xlsx_3[[#This Row],[2031]]+scenario_jobcoeff_1610_iotable_2020_xlsx_3[[#This Row],[2031]]</f>
        <v>328.61800888847324</v>
      </c>
      <c r="I130">
        <f>scenario_jobcoeff_4506_iotable_2020_xlsx_3[[#This Row],[2032]]+scenario_jobcoeff_1610_iotable_2020_xlsx_3[[#This Row],[2032]]</f>
        <v>434.17647451559174</v>
      </c>
      <c r="J130">
        <f>scenario_jobcoeff_4506_iotable_2020_xlsx_3[[#This Row],[2033]]+scenario_jobcoeff_1610_iotable_2020_xlsx_3[[#This Row],[2033]]</f>
        <v>303.3815584771628</v>
      </c>
      <c r="K130">
        <f>scenario_jobcoeff_4506_iotable_2020_xlsx_3[[#This Row],[2034]]+scenario_jobcoeff_1610_iotable_2020_xlsx_3[[#This Row],[2034]]</f>
        <v>401.60921436477383</v>
      </c>
      <c r="L130">
        <f>scenario_jobcoeff_4506_iotable_2020_xlsx_3[[#This Row],[2035]]+scenario_jobcoeff_1610_iotable_2020_xlsx_3[[#This Row],[2035]]</f>
        <v>271.60677200110513</v>
      </c>
      <c r="M130">
        <f>scenario_jobcoeff_4506_iotable_2020_xlsx_3[[#This Row],[2036]]+scenario_jobcoeff_1610_iotable_2020_xlsx_3[[#This Row],[2036]]</f>
        <v>113.52454607824302</v>
      </c>
      <c r="N130">
        <f>scenario_jobcoeff_4506_iotable_2020_xlsx_3[[#This Row],[2037]]+scenario_jobcoeff_1610_iotable_2020_xlsx_3[[#This Row],[2037]]</f>
        <v>-20.702930524379553</v>
      </c>
      <c r="O130">
        <f>scenario_jobcoeff_4506_iotable_2020_xlsx_3[[#This Row],[2038]]+scenario_jobcoeff_1610_iotable_2020_xlsx_3[[#This Row],[2038]]</f>
        <v>-20.702930524379553</v>
      </c>
      <c r="P130">
        <f>scenario_jobcoeff_4506_iotable_2020_xlsx_3[[#This Row],[2039]]+scenario_jobcoeff_1610_iotable_2020_xlsx_3[[#This Row],[2039]]</f>
        <v>-20.702930524379553</v>
      </c>
      <c r="Q130">
        <f>scenario_jobcoeff_4506_iotable_2020_xlsx_3[[#This Row],[2040]]+scenario_jobcoeff_1610_iotable_2020_xlsx_3[[#This Row],[2040]]</f>
        <v>-139.2220793063143</v>
      </c>
      <c r="R130">
        <f>scenario_jobcoeff_4506_iotable_2020_xlsx_3[[#This Row],[2041]]+scenario_jobcoeff_1610_iotable_2020_xlsx_3[[#This Row],[2041]]</f>
        <v>-139.2220793063143</v>
      </c>
      <c r="S130">
        <f>scenario_jobcoeff_4506_iotable_2020_xlsx_3[[#This Row],[2042]]+scenario_jobcoeff_1610_iotable_2020_xlsx_3[[#This Row],[2042]]</f>
        <v>-267.89126080588039</v>
      </c>
      <c r="T130">
        <f>scenario_jobcoeff_4506_iotable_2020_xlsx_3[[#This Row],[2043]]+scenario_jobcoeff_1610_iotable_2020_xlsx_3[[#This Row],[2043]]</f>
        <v>-267.89126080588039</v>
      </c>
      <c r="U130">
        <f>scenario_jobcoeff_4506_iotable_2020_xlsx_3[[#This Row],[2044]]+scenario_jobcoeff_1610_iotable_2020_xlsx_3[[#This Row],[2044]]</f>
        <v>-396.75303347782847</v>
      </c>
      <c r="V130">
        <f>scenario_jobcoeff_4506_iotable_2020_xlsx_3[[#This Row],[2045]]+scenario_jobcoeff_1610_iotable_2020_xlsx_3[[#This Row],[2045]]</f>
        <v>-396.75303347782847</v>
      </c>
      <c r="W130">
        <f>scenario_jobcoeff_4506_iotable_2020_xlsx_3[[#This Row],[2046]]+scenario_jobcoeff_1610_iotable_2020_xlsx_3[[#This Row],[2046]]</f>
        <v>-504.41358374859101</v>
      </c>
      <c r="X130">
        <f>scenario_jobcoeff_4506_iotable_2020_xlsx_3[[#This Row],[2047]]+scenario_jobcoeff_1610_iotable_2020_xlsx_3[[#This Row],[2047]]</f>
        <v>-504.41358374859101</v>
      </c>
      <c r="Y130">
        <f>scenario_jobcoeff_4506_iotable_2020_xlsx_3[[#This Row],[2048]]+scenario_jobcoeff_1610_iotable_2020_xlsx_3[[#This Row],[2048]]</f>
        <v>-504.41358374859101</v>
      </c>
      <c r="Z130">
        <f>scenario_jobcoeff_4506_iotable_2020_xlsx_3[[#This Row],[2049]]+scenario_jobcoeff_1610_iotable_2020_xlsx_3[[#This Row],[2049]]</f>
        <v>-504.41358374859101</v>
      </c>
      <c r="AA130">
        <f>scenario_jobcoeff_4506_iotable_2020_xlsx_3[[#This Row],[2050]]+scenario_jobcoeff_1610_iotable_2020_xlsx_3[[#This Row],[2050]]</f>
        <v>-504.41358374859101</v>
      </c>
    </row>
    <row r="131" spans="1:27" x14ac:dyDescent="0.2">
      <c r="A131" t="s">
        <v>176</v>
      </c>
      <c r="B131" t="s">
        <v>177</v>
      </c>
      <c r="C131">
        <f>scenario_jobcoeff_4506_iotable_2020_xlsx_3[[#This Row],[2026]]+scenario_jobcoeff_1610_iotable_2020_xlsx_3[[#This Row],[2026]]</f>
        <v>20.304649969057277</v>
      </c>
      <c r="D131">
        <f>scenario_jobcoeff_4506_iotable_2020_xlsx_3[[#This Row],[2027]]+scenario_jobcoeff_1610_iotable_2020_xlsx_3[[#This Row],[2027]]</f>
        <v>16.223230755719573</v>
      </c>
      <c r="E131">
        <f>scenario_jobcoeff_4506_iotable_2020_xlsx_3[[#This Row],[2028]]+scenario_jobcoeff_1610_iotable_2020_xlsx_3[[#This Row],[2028]]</f>
        <v>17.462404829133511</v>
      </c>
      <c r="F131">
        <f>scenario_jobcoeff_4506_iotable_2020_xlsx_3[[#This Row],[2029]]+scenario_jobcoeff_1610_iotable_2020_xlsx_3[[#This Row],[2029]]</f>
        <v>16.711953699885154</v>
      </c>
      <c r="G131">
        <f>scenario_jobcoeff_4506_iotable_2020_xlsx_3[[#This Row],[2030]]+scenario_jobcoeff_1610_iotable_2020_xlsx_3[[#This Row],[2030]]</f>
        <v>1.7428363364565058</v>
      </c>
      <c r="H131">
        <f>scenario_jobcoeff_4506_iotable_2020_xlsx_3[[#This Row],[2031]]+scenario_jobcoeff_1610_iotable_2020_xlsx_3[[#This Row],[2031]]</f>
        <v>3.4147295254995029</v>
      </c>
      <c r="I131">
        <f>scenario_jobcoeff_4506_iotable_2020_xlsx_3[[#This Row],[2032]]+scenario_jobcoeff_1610_iotable_2020_xlsx_3[[#This Row],[2032]]</f>
        <v>5.7496771473635988</v>
      </c>
      <c r="J131">
        <f>scenario_jobcoeff_4506_iotable_2020_xlsx_3[[#This Row],[2033]]+scenario_jobcoeff_1610_iotable_2020_xlsx_3[[#This Row],[2033]]</f>
        <v>1.6417942168420012</v>
      </c>
      <c r="K131">
        <f>scenario_jobcoeff_4506_iotable_2020_xlsx_3[[#This Row],[2034]]+scenario_jobcoeff_1610_iotable_2020_xlsx_3[[#This Row],[2034]]</f>
        <v>3.8145847188018749</v>
      </c>
      <c r="L131">
        <f>scenario_jobcoeff_4506_iotable_2020_xlsx_3[[#This Row],[2035]]+scenario_jobcoeff_1610_iotable_2020_xlsx_3[[#This Row],[2035]]</f>
        <v>-0.59873568650857578</v>
      </c>
      <c r="M131">
        <f>scenario_jobcoeff_4506_iotable_2020_xlsx_3[[#This Row],[2036]]+scenario_jobcoeff_1610_iotable_2020_xlsx_3[[#This Row],[2036]]</f>
        <v>-5.1048045814343226</v>
      </c>
      <c r="N131">
        <f>scenario_jobcoeff_4506_iotable_2020_xlsx_3[[#This Row],[2037]]+scenario_jobcoeff_1610_iotable_2020_xlsx_3[[#This Row],[2037]]</f>
        <v>-8.9562437932383574</v>
      </c>
      <c r="O131">
        <f>scenario_jobcoeff_4506_iotable_2020_xlsx_3[[#This Row],[2038]]+scenario_jobcoeff_1610_iotable_2020_xlsx_3[[#This Row],[2038]]</f>
        <v>-8.9562437932383574</v>
      </c>
      <c r="P131">
        <f>scenario_jobcoeff_4506_iotable_2020_xlsx_3[[#This Row],[2039]]+scenario_jobcoeff_1610_iotable_2020_xlsx_3[[#This Row],[2039]]</f>
        <v>-8.9562437932383574</v>
      </c>
      <c r="Q131">
        <f>scenario_jobcoeff_4506_iotable_2020_xlsx_3[[#This Row],[2040]]+scenario_jobcoeff_1610_iotable_2020_xlsx_3[[#This Row],[2040]]</f>
        <v>-12.352488647879369</v>
      </c>
      <c r="R131">
        <f>scenario_jobcoeff_4506_iotable_2020_xlsx_3[[#This Row],[2041]]+scenario_jobcoeff_1610_iotable_2020_xlsx_3[[#This Row],[2041]]</f>
        <v>-12.352488647879369</v>
      </c>
      <c r="S131">
        <f>scenario_jobcoeff_4506_iotable_2020_xlsx_3[[#This Row],[2042]]+scenario_jobcoeff_1610_iotable_2020_xlsx_3[[#This Row],[2042]]</f>
        <v>-16.053619469910643</v>
      </c>
      <c r="T131">
        <f>scenario_jobcoeff_4506_iotable_2020_xlsx_3[[#This Row],[2043]]+scenario_jobcoeff_1610_iotable_2020_xlsx_3[[#This Row],[2043]]</f>
        <v>-16.053619469910643</v>
      </c>
      <c r="U131">
        <f>scenario_jobcoeff_4506_iotable_2020_xlsx_3[[#This Row],[2044]]+scenario_jobcoeff_1610_iotable_2020_xlsx_3[[#This Row],[2044]]</f>
        <v>-19.717116694406002</v>
      </c>
      <c r="V131">
        <f>scenario_jobcoeff_4506_iotable_2020_xlsx_3[[#This Row],[2045]]+scenario_jobcoeff_1610_iotable_2020_xlsx_3[[#This Row],[2045]]</f>
        <v>-19.717116694406002</v>
      </c>
      <c r="W131">
        <f>scenario_jobcoeff_4506_iotable_2020_xlsx_3[[#This Row],[2046]]+scenario_jobcoeff_1610_iotable_2020_xlsx_3[[#This Row],[2046]]</f>
        <v>-22.790878575815739</v>
      </c>
      <c r="X131">
        <f>scenario_jobcoeff_4506_iotable_2020_xlsx_3[[#This Row],[2047]]+scenario_jobcoeff_1610_iotable_2020_xlsx_3[[#This Row],[2047]]</f>
        <v>-22.790878575815739</v>
      </c>
      <c r="Y131">
        <f>scenario_jobcoeff_4506_iotable_2020_xlsx_3[[#This Row],[2048]]+scenario_jobcoeff_1610_iotable_2020_xlsx_3[[#This Row],[2048]]</f>
        <v>-22.790878575815739</v>
      </c>
      <c r="Z131">
        <f>scenario_jobcoeff_4506_iotable_2020_xlsx_3[[#This Row],[2049]]+scenario_jobcoeff_1610_iotable_2020_xlsx_3[[#This Row],[2049]]</f>
        <v>-22.790878575815739</v>
      </c>
      <c r="AA131">
        <f>scenario_jobcoeff_4506_iotable_2020_xlsx_3[[#This Row],[2050]]+scenario_jobcoeff_1610_iotable_2020_xlsx_3[[#This Row],[2050]]</f>
        <v>-22.790878575815739</v>
      </c>
    </row>
    <row r="132" spans="1:27" x14ac:dyDescent="0.2">
      <c r="A132" t="s">
        <v>152</v>
      </c>
      <c r="B132" t="s">
        <v>153</v>
      </c>
      <c r="C132">
        <f>scenario_jobcoeff_4506_iotable_2020_xlsx_3[[#This Row],[2026]]+scenario_jobcoeff_1610_iotable_2020_xlsx_3[[#This Row],[2026]]</f>
        <v>35.810928195546175</v>
      </c>
      <c r="D132">
        <f>scenario_jobcoeff_4506_iotable_2020_xlsx_3[[#This Row],[2027]]+scenario_jobcoeff_1610_iotable_2020_xlsx_3[[#This Row],[2027]]</f>
        <v>32.01689626260746</v>
      </c>
      <c r="E132">
        <f>scenario_jobcoeff_4506_iotable_2020_xlsx_3[[#This Row],[2028]]+scenario_jobcoeff_1610_iotable_2020_xlsx_3[[#This Row],[2028]]</f>
        <v>34.000066324824289</v>
      </c>
      <c r="F132">
        <f>scenario_jobcoeff_4506_iotable_2020_xlsx_3[[#This Row],[2029]]+scenario_jobcoeff_1610_iotable_2020_xlsx_3[[#This Row],[2029]]</f>
        <v>33.894190062468233</v>
      </c>
      <c r="G132">
        <f>scenario_jobcoeff_4506_iotable_2020_xlsx_3[[#This Row],[2030]]+scenario_jobcoeff_1610_iotable_2020_xlsx_3[[#This Row],[2030]]</f>
        <v>19.220480857483786</v>
      </c>
      <c r="H132">
        <f>scenario_jobcoeff_4506_iotable_2020_xlsx_3[[#This Row],[2031]]+scenario_jobcoeff_1610_iotable_2020_xlsx_3[[#This Row],[2031]]</f>
        <v>21.896173151948645</v>
      </c>
      <c r="I132">
        <f>scenario_jobcoeff_4506_iotable_2020_xlsx_3[[#This Row],[2032]]+scenario_jobcoeff_1610_iotable_2020_xlsx_3[[#This Row],[2032]]</f>
        <v>25.633015553571767</v>
      </c>
      <c r="J132">
        <f>scenario_jobcoeff_4506_iotable_2020_xlsx_3[[#This Row],[2033]]+scenario_jobcoeff_1610_iotable_2020_xlsx_3[[#This Row],[2033]]</f>
        <v>24.237205880762694</v>
      </c>
      <c r="K132">
        <f>scenario_jobcoeff_4506_iotable_2020_xlsx_3[[#This Row],[2034]]+scenario_jobcoeff_1610_iotable_2020_xlsx_3[[#This Row],[2034]]</f>
        <v>27.714532567468233</v>
      </c>
      <c r="L132">
        <f>scenario_jobcoeff_4506_iotable_2020_xlsx_3[[#This Row],[2035]]+scenario_jobcoeff_1610_iotable_2020_xlsx_3[[#This Row],[2035]]</f>
        <v>27.206746902520536</v>
      </c>
      <c r="M132">
        <f>scenario_jobcoeff_4506_iotable_2020_xlsx_3[[#This Row],[2036]]+scenario_jobcoeff_1610_iotable_2020_xlsx_3[[#This Row],[2036]]</f>
        <v>24.298004432694228</v>
      </c>
      <c r="N132">
        <f>scenario_jobcoeff_4506_iotable_2020_xlsx_3[[#This Row],[2037]]+scenario_jobcoeff_1610_iotable_2020_xlsx_3[[#This Row],[2037]]</f>
        <v>21.895667461323015</v>
      </c>
      <c r="O132">
        <f>scenario_jobcoeff_4506_iotable_2020_xlsx_3[[#This Row],[2038]]+scenario_jobcoeff_1610_iotable_2020_xlsx_3[[#This Row],[2038]]</f>
        <v>21.895667461323015</v>
      </c>
      <c r="P132">
        <f>scenario_jobcoeff_4506_iotable_2020_xlsx_3[[#This Row],[2039]]+scenario_jobcoeff_1610_iotable_2020_xlsx_3[[#This Row],[2039]]</f>
        <v>21.895667461323015</v>
      </c>
      <c r="Q132">
        <f>scenario_jobcoeff_4506_iotable_2020_xlsx_3[[#This Row],[2040]]+scenario_jobcoeff_1610_iotable_2020_xlsx_3[[#This Row],[2040]]</f>
        <v>19.76256954070746</v>
      </c>
      <c r="R132">
        <f>scenario_jobcoeff_4506_iotable_2020_xlsx_3[[#This Row],[2041]]+scenario_jobcoeff_1610_iotable_2020_xlsx_3[[#This Row],[2041]]</f>
        <v>19.76256954070746</v>
      </c>
      <c r="S132">
        <f>scenario_jobcoeff_4506_iotable_2020_xlsx_3[[#This Row],[2042]]+scenario_jobcoeff_1610_iotable_2020_xlsx_3[[#This Row],[2042]]</f>
        <v>17.484150215021572</v>
      </c>
      <c r="T132">
        <f>scenario_jobcoeff_4506_iotable_2020_xlsx_3[[#This Row],[2043]]+scenario_jobcoeff_1610_iotable_2020_xlsx_3[[#This Row],[2043]]</f>
        <v>17.484150215021572</v>
      </c>
      <c r="U132">
        <f>scenario_jobcoeff_4506_iotable_2020_xlsx_3[[#This Row],[2044]]+scenario_jobcoeff_1610_iotable_2020_xlsx_3[[#This Row],[2044]]</f>
        <v>15.087361911775929</v>
      </c>
      <c r="V132">
        <f>scenario_jobcoeff_4506_iotable_2020_xlsx_3[[#This Row],[2045]]+scenario_jobcoeff_1610_iotable_2020_xlsx_3[[#This Row],[2045]]</f>
        <v>15.087361911775929</v>
      </c>
      <c r="W132">
        <f>scenario_jobcoeff_4506_iotable_2020_xlsx_3[[#This Row],[2046]]+scenario_jobcoeff_1610_iotable_2020_xlsx_3[[#This Row],[2046]]</f>
        <v>13.119547193531446</v>
      </c>
      <c r="X132">
        <f>scenario_jobcoeff_4506_iotable_2020_xlsx_3[[#This Row],[2047]]+scenario_jobcoeff_1610_iotable_2020_xlsx_3[[#This Row],[2047]]</f>
        <v>13.119547193531446</v>
      </c>
      <c r="Y132">
        <f>scenario_jobcoeff_4506_iotable_2020_xlsx_3[[#This Row],[2048]]+scenario_jobcoeff_1610_iotable_2020_xlsx_3[[#This Row],[2048]]</f>
        <v>13.119547193531446</v>
      </c>
      <c r="Z132">
        <f>scenario_jobcoeff_4506_iotable_2020_xlsx_3[[#This Row],[2049]]+scenario_jobcoeff_1610_iotable_2020_xlsx_3[[#This Row],[2049]]</f>
        <v>13.119547193531446</v>
      </c>
      <c r="AA132">
        <f>scenario_jobcoeff_4506_iotable_2020_xlsx_3[[#This Row],[2050]]+scenario_jobcoeff_1610_iotable_2020_xlsx_3[[#This Row],[2050]]</f>
        <v>13.119547193531446</v>
      </c>
    </row>
    <row r="133" spans="1:27" x14ac:dyDescent="0.2">
      <c r="A133" t="s">
        <v>182</v>
      </c>
      <c r="B133" t="s">
        <v>183</v>
      </c>
      <c r="C133">
        <f>scenario_jobcoeff_4506_iotable_2020_xlsx_3[[#This Row],[2026]]+scenario_jobcoeff_1610_iotable_2020_xlsx_3[[#This Row],[2026]]</f>
        <v>21.368584649606213</v>
      </c>
      <c r="D133">
        <f>scenario_jobcoeff_4506_iotable_2020_xlsx_3[[#This Row],[2027]]+scenario_jobcoeff_1610_iotable_2020_xlsx_3[[#This Row],[2027]]</f>
        <v>19.558957695208388</v>
      </c>
      <c r="E133">
        <f>scenario_jobcoeff_4506_iotable_2020_xlsx_3[[#This Row],[2028]]+scenario_jobcoeff_1610_iotable_2020_xlsx_3[[#This Row],[2028]]</f>
        <v>20.715325103961661</v>
      </c>
      <c r="F133">
        <f>scenario_jobcoeff_4506_iotable_2020_xlsx_3[[#This Row],[2029]]+scenario_jobcoeff_1610_iotable_2020_xlsx_3[[#This Row],[2029]]</f>
        <v>20.814644333827452</v>
      </c>
      <c r="G133">
        <f>scenario_jobcoeff_4506_iotable_2020_xlsx_3[[#This Row],[2030]]+scenario_jobcoeff_1610_iotable_2020_xlsx_3[[#This Row],[2030]]</f>
        <v>13.623701028624257</v>
      </c>
      <c r="H133">
        <f>scenario_jobcoeff_4506_iotable_2020_xlsx_3[[#This Row],[2031]]+scenario_jobcoeff_1610_iotable_2020_xlsx_3[[#This Row],[2031]]</f>
        <v>15.183871497168344</v>
      </c>
      <c r="I133">
        <f>scenario_jobcoeff_4506_iotable_2020_xlsx_3[[#This Row],[2032]]+scenario_jobcoeff_1610_iotable_2020_xlsx_3[[#This Row],[2032]]</f>
        <v>17.362788397544502</v>
      </c>
      <c r="J133">
        <f>scenario_jobcoeff_4506_iotable_2020_xlsx_3[[#This Row],[2033]]+scenario_jobcoeff_1610_iotable_2020_xlsx_3[[#This Row],[2033]]</f>
        <v>17.310459175596939</v>
      </c>
      <c r="K133">
        <f>scenario_jobcoeff_4506_iotable_2020_xlsx_3[[#This Row],[2034]]+scenario_jobcoeff_1610_iotable_2020_xlsx_3[[#This Row],[2034]]</f>
        <v>19.338054956061399</v>
      </c>
      <c r="L133">
        <f>scenario_jobcoeff_4506_iotable_2020_xlsx_3[[#This Row],[2035]]+scenario_jobcoeff_1610_iotable_2020_xlsx_3[[#This Row],[2035]]</f>
        <v>20.006006488803436</v>
      </c>
      <c r="M133">
        <f>scenario_jobcoeff_4506_iotable_2020_xlsx_3[[#This Row],[2036]]+scenario_jobcoeff_1610_iotable_2020_xlsx_3[[#This Row],[2036]]</f>
        <v>18.942721267437598</v>
      </c>
      <c r="N133">
        <f>scenario_jobcoeff_4506_iotable_2020_xlsx_3[[#This Row],[2037]]+scenario_jobcoeff_1610_iotable_2020_xlsx_3[[#This Row],[2037]]</f>
        <v>18.095116853403184</v>
      </c>
      <c r="O133">
        <f>scenario_jobcoeff_4506_iotable_2020_xlsx_3[[#This Row],[2038]]+scenario_jobcoeff_1610_iotable_2020_xlsx_3[[#This Row],[2038]]</f>
        <v>18.095116853403184</v>
      </c>
      <c r="P133">
        <f>scenario_jobcoeff_4506_iotable_2020_xlsx_3[[#This Row],[2039]]+scenario_jobcoeff_1610_iotable_2020_xlsx_3[[#This Row],[2039]]</f>
        <v>18.095116853403184</v>
      </c>
      <c r="Q133">
        <f>scenario_jobcoeff_4506_iotable_2020_xlsx_3[[#This Row],[2040]]+scenario_jobcoeff_1610_iotable_2020_xlsx_3[[#This Row],[2040]]</f>
        <v>17.336964257415296</v>
      </c>
      <c r="R133">
        <f>scenario_jobcoeff_4506_iotable_2020_xlsx_3[[#This Row],[2041]]+scenario_jobcoeff_1610_iotable_2020_xlsx_3[[#This Row],[2041]]</f>
        <v>17.336964257415296</v>
      </c>
      <c r="S133">
        <f>scenario_jobcoeff_4506_iotable_2020_xlsx_3[[#This Row],[2042]]+scenario_jobcoeff_1610_iotable_2020_xlsx_3[[#This Row],[2042]]</f>
        <v>16.544462321229247</v>
      </c>
      <c r="T133">
        <f>scenario_jobcoeff_4506_iotable_2020_xlsx_3[[#This Row],[2043]]+scenario_jobcoeff_1610_iotable_2020_xlsx_3[[#This Row],[2043]]</f>
        <v>16.544462321229247</v>
      </c>
      <c r="U133">
        <f>scenario_jobcoeff_4506_iotable_2020_xlsx_3[[#This Row],[2044]]+scenario_jobcoeff_1610_iotable_2020_xlsx_3[[#This Row],[2044]]</f>
        <v>15.65667552674023</v>
      </c>
      <c r="V133">
        <f>scenario_jobcoeff_4506_iotable_2020_xlsx_3[[#This Row],[2045]]+scenario_jobcoeff_1610_iotable_2020_xlsx_3[[#This Row],[2045]]</f>
        <v>15.65667552674023</v>
      </c>
      <c r="W133">
        <f>scenario_jobcoeff_4506_iotable_2020_xlsx_3[[#This Row],[2046]]+scenario_jobcoeff_1610_iotable_2020_xlsx_3[[#This Row],[2046]]</f>
        <v>14.943305831772022</v>
      </c>
      <c r="X133">
        <f>scenario_jobcoeff_4506_iotable_2020_xlsx_3[[#This Row],[2047]]+scenario_jobcoeff_1610_iotable_2020_xlsx_3[[#This Row],[2047]]</f>
        <v>14.943305831772022</v>
      </c>
      <c r="Y133">
        <f>scenario_jobcoeff_4506_iotable_2020_xlsx_3[[#This Row],[2048]]+scenario_jobcoeff_1610_iotable_2020_xlsx_3[[#This Row],[2048]]</f>
        <v>14.943305831772022</v>
      </c>
      <c r="Z133">
        <f>scenario_jobcoeff_4506_iotable_2020_xlsx_3[[#This Row],[2049]]+scenario_jobcoeff_1610_iotable_2020_xlsx_3[[#This Row],[2049]]</f>
        <v>14.943305831772022</v>
      </c>
      <c r="AA133">
        <f>scenario_jobcoeff_4506_iotable_2020_xlsx_3[[#This Row],[2050]]+scenario_jobcoeff_1610_iotable_2020_xlsx_3[[#This Row],[2050]]</f>
        <v>14.943305831772022</v>
      </c>
    </row>
    <row r="134" spans="1:27" x14ac:dyDescent="0.2">
      <c r="A134" t="s">
        <v>148</v>
      </c>
      <c r="B134" t="s">
        <v>149</v>
      </c>
      <c r="C134">
        <f>scenario_jobcoeff_4506_iotable_2020_xlsx_3[[#This Row],[2026]]+scenario_jobcoeff_1610_iotable_2020_xlsx_3[[#This Row],[2026]]</f>
        <v>36.349382763569061</v>
      </c>
      <c r="D134">
        <f>scenario_jobcoeff_4506_iotable_2020_xlsx_3[[#This Row],[2027]]+scenario_jobcoeff_1610_iotable_2020_xlsx_3[[#This Row],[2027]]</f>
        <v>31.800208344208119</v>
      </c>
      <c r="E134">
        <f>scenario_jobcoeff_4506_iotable_2020_xlsx_3[[#This Row],[2028]]+scenario_jobcoeff_1610_iotable_2020_xlsx_3[[#This Row],[2028]]</f>
        <v>33.854689522721813</v>
      </c>
      <c r="F134">
        <f>scenario_jobcoeff_4506_iotable_2020_xlsx_3[[#This Row],[2029]]+scenario_jobcoeff_1610_iotable_2020_xlsx_3[[#This Row],[2029]]</f>
        <v>33.497519666662555</v>
      </c>
      <c r="G134">
        <f>scenario_jobcoeff_4506_iotable_2020_xlsx_3[[#This Row],[2030]]+scenario_jobcoeff_1610_iotable_2020_xlsx_3[[#This Row],[2030]]</f>
        <v>16.198389280996047</v>
      </c>
      <c r="H134">
        <f>scenario_jobcoeff_4506_iotable_2020_xlsx_3[[#This Row],[2031]]+scenario_jobcoeff_1610_iotable_2020_xlsx_3[[#This Row],[2031]]</f>
        <v>18.970294506474957</v>
      </c>
      <c r="I134">
        <f>scenario_jobcoeff_4506_iotable_2020_xlsx_3[[#This Row],[2032]]+scenario_jobcoeff_1610_iotable_2020_xlsx_3[[#This Row],[2032]]</f>
        <v>22.841506828339462</v>
      </c>
      <c r="J134">
        <f>scenario_jobcoeff_4506_iotable_2020_xlsx_3[[#This Row],[2033]]+scenario_jobcoeff_1610_iotable_2020_xlsx_3[[#This Row],[2033]]</f>
        <v>20.225255819643124</v>
      </c>
      <c r="K134">
        <f>scenario_jobcoeff_4506_iotable_2020_xlsx_3[[#This Row],[2034]]+scenario_jobcoeff_1610_iotable_2020_xlsx_3[[#This Row],[2034]]</f>
        <v>23.827620722930376</v>
      </c>
      <c r="L134">
        <f>scenario_jobcoeff_4506_iotable_2020_xlsx_3[[#This Row],[2035]]+scenario_jobcoeff_1610_iotable_2020_xlsx_3[[#This Row],[2035]]</f>
        <v>21.820178396320969</v>
      </c>
      <c r="M134">
        <f>scenario_jobcoeff_4506_iotable_2020_xlsx_3[[#This Row],[2036]]+scenario_jobcoeff_1610_iotable_2020_xlsx_3[[#This Row],[2036]]</f>
        <v>17.834482699644084</v>
      </c>
      <c r="N134">
        <f>scenario_jobcoeff_4506_iotable_2020_xlsx_3[[#This Row],[2037]]+scenario_jobcoeff_1610_iotable_2020_xlsx_3[[#This Row],[2037]]</f>
        <v>14.495719187271163</v>
      </c>
      <c r="O134">
        <f>scenario_jobcoeff_4506_iotable_2020_xlsx_3[[#This Row],[2038]]+scenario_jobcoeff_1610_iotable_2020_xlsx_3[[#This Row],[2038]]</f>
        <v>14.495719187271163</v>
      </c>
      <c r="P134">
        <f>scenario_jobcoeff_4506_iotable_2020_xlsx_3[[#This Row],[2039]]+scenario_jobcoeff_1610_iotable_2020_xlsx_3[[#This Row],[2039]]</f>
        <v>14.495719187271163</v>
      </c>
      <c r="Q134">
        <f>scenario_jobcoeff_4506_iotable_2020_xlsx_3[[#This Row],[2040]]+scenario_jobcoeff_1610_iotable_2020_xlsx_3[[#This Row],[2040]]</f>
        <v>11.539660460303224</v>
      </c>
      <c r="R134">
        <f>scenario_jobcoeff_4506_iotable_2020_xlsx_3[[#This Row],[2041]]+scenario_jobcoeff_1610_iotable_2020_xlsx_3[[#This Row],[2041]]</f>
        <v>11.539660460303224</v>
      </c>
      <c r="S134">
        <f>scenario_jobcoeff_4506_iotable_2020_xlsx_3[[#This Row],[2042]]+scenario_jobcoeff_1610_iotable_2020_xlsx_3[[#This Row],[2042]]</f>
        <v>8.355628350609976</v>
      </c>
      <c r="T134">
        <f>scenario_jobcoeff_4506_iotable_2020_xlsx_3[[#This Row],[2043]]+scenario_jobcoeff_1610_iotable_2020_xlsx_3[[#This Row],[2043]]</f>
        <v>8.355628350609976</v>
      </c>
      <c r="U134">
        <f>scenario_jobcoeff_4506_iotable_2020_xlsx_3[[#This Row],[2044]]+scenario_jobcoeff_1610_iotable_2020_xlsx_3[[#This Row],[2044]]</f>
        <v>5.0893314147924684</v>
      </c>
      <c r="V134">
        <f>scenario_jobcoeff_4506_iotable_2020_xlsx_3[[#This Row],[2045]]+scenario_jobcoeff_1610_iotable_2020_xlsx_3[[#This Row],[2045]]</f>
        <v>5.0893314147924684</v>
      </c>
      <c r="W134">
        <f>scenario_jobcoeff_4506_iotable_2020_xlsx_3[[#This Row],[2046]]+scenario_jobcoeff_1610_iotable_2020_xlsx_3[[#This Row],[2046]]</f>
        <v>2.3837788267218514</v>
      </c>
      <c r="X134">
        <f>scenario_jobcoeff_4506_iotable_2020_xlsx_3[[#This Row],[2047]]+scenario_jobcoeff_1610_iotable_2020_xlsx_3[[#This Row],[2047]]</f>
        <v>2.3837788267218514</v>
      </c>
      <c r="Y134">
        <f>scenario_jobcoeff_4506_iotable_2020_xlsx_3[[#This Row],[2048]]+scenario_jobcoeff_1610_iotable_2020_xlsx_3[[#This Row],[2048]]</f>
        <v>2.3837788267218514</v>
      </c>
      <c r="Z134">
        <f>scenario_jobcoeff_4506_iotable_2020_xlsx_3[[#This Row],[2049]]+scenario_jobcoeff_1610_iotable_2020_xlsx_3[[#This Row],[2049]]</f>
        <v>2.3837788267218514</v>
      </c>
      <c r="AA134">
        <f>scenario_jobcoeff_4506_iotable_2020_xlsx_3[[#This Row],[2050]]+scenario_jobcoeff_1610_iotable_2020_xlsx_3[[#This Row],[2050]]</f>
        <v>2.3837788267218514</v>
      </c>
    </row>
    <row r="135" spans="1:27" x14ac:dyDescent="0.2">
      <c r="A135" t="s">
        <v>146</v>
      </c>
      <c r="B135" t="s">
        <v>147</v>
      </c>
      <c r="C135">
        <f>scenario_jobcoeff_4506_iotable_2020_xlsx_3[[#This Row],[2026]]+scenario_jobcoeff_1610_iotable_2020_xlsx_3[[#This Row],[2026]]</f>
        <v>20.72002205828052</v>
      </c>
      <c r="D135">
        <f>scenario_jobcoeff_4506_iotable_2020_xlsx_3[[#This Row],[2027]]+scenario_jobcoeff_1610_iotable_2020_xlsx_3[[#This Row],[2027]]</f>
        <v>-0.39661730064777601</v>
      </c>
      <c r="E135">
        <f>scenario_jobcoeff_4506_iotable_2020_xlsx_3[[#This Row],[2028]]+scenario_jobcoeff_1610_iotable_2020_xlsx_3[[#This Row],[2028]]</f>
        <v>1.875451809280797</v>
      </c>
      <c r="F135">
        <f>scenario_jobcoeff_4506_iotable_2020_xlsx_3[[#This Row],[2029]]+scenario_jobcoeff_1610_iotable_2020_xlsx_3[[#This Row],[2029]]</f>
        <v>-4.9538128527294276</v>
      </c>
      <c r="G135">
        <f>scenario_jobcoeff_4506_iotable_2020_xlsx_3[[#This Row],[2030]]+scenario_jobcoeff_1610_iotable_2020_xlsx_3[[#This Row],[2030]]</f>
        <v>-78.624172432352978</v>
      </c>
      <c r="H135">
        <f>scenario_jobcoeff_4506_iotable_2020_xlsx_3[[#This Row],[2031]]+scenario_jobcoeff_1610_iotable_2020_xlsx_3[[#This Row],[2031]]</f>
        <v>-75.558697652478727</v>
      </c>
      <c r="I135">
        <f>scenario_jobcoeff_4506_iotable_2020_xlsx_3[[#This Row],[2032]]+scenario_jobcoeff_1610_iotable_2020_xlsx_3[[#This Row],[2032]]</f>
        <v>-71.277489322867083</v>
      </c>
      <c r="J135">
        <f>scenario_jobcoeff_4506_iotable_2020_xlsx_3[[#This Row],[2033]]+scenario_jobcoeff_1610_iotable_2020_xlsx_3[[#This Row],[2033]]</f>
        <v>-104.59553827973322</v>
      </c>
      <c r="K135">
        <f>scenario_jobcoeff_4506_iotable_2020_xlsx_3[[#This Row],[2034]]+scenario_jobcoeff_1610_iotable_2020_xlsx_3[[#This Row],[2034]]</f>
        <v>-100.61165071480985</v>
      </c>
      <c r="L135">
        <f>scenario_jobcoeff_4506_iotable_2020_xlsx_3[[#This Row],[2035]]+scenario_jobcoeff_1610_iotable_2020_xlsx_3[[#This Row],[2035]]</f>
        <v>-141.34575607657342</v>
      </c>
      <c r="M135">
        <f>scenario_jobcoeff_4506_iotable_2020_xlsx_3[[#This Row],[2036]]+scenario_jobcoeff_1610_iotable_2020_xlsx_3[[#This Row],[2036]]</f>
        <v>-171.03344142192</v>
      </c>
      <c r="N135">
        <f>scenario_jobcoeff_4506_iotable_2020_xlsx_3[[#This Row],[2037]]+scenario_jobcoeff_1610_iotable_2020_xlsx_3[[#This Row],[2037]]</f>
        <v>-196.82561768362231</v>
      </c>
      <c r="O135">
        <f>scenario_jobcoeff_4506_iotable_2020_xlsx_3[[#This Row],[2038]]+scenario_jobcoeff_1610_iotable_2020_xlsx_3[[#This Row],[2038]]</f>
        <v>-196.82561768362231</v>
      </c>
      <c r="P135">
        <f>scenario_jobcoeff_4506_iotable_2020_xlsx_3[[#This Row],[2039]]+scenario_jobcoeff_1610_iotable_2020_xlsx_3[[#This Row],[2039]]</f>
        <v>-196.82561768362231</v>
      </c>
      <c r="Q135">
        <f>scenario_jobcoeff_4506_iotable_2020_xlsx_3[[#This Row],[2040]]+scenario_jobcoeff_1610_iotable_2020_xlsx_3[[#This Row],[2040]]</f>
        <v>-219.49632279205292</v>
      </c>
      <c r="R135">
        <f>scenario_jobcoeff_4506_iotable_2020_xlsx_3[[#This Row],[2041]]+scenario_jobcoeff_1610_iotable_2020_xlsx_3[[#This Row],[2041]]</f>
        <v>-219.49632279205292</v>
      </c>
      <c r="S135">
        <f>scenario_jobcoeff_4506_iotable_2020_xlsx_3[[#This Row],[2042]]+scenario_jobcoeff_1610_iotable_2020_xlsx_3[[#This Row],[2042]]</f>
        <v>-244.43211518799532</v>
      </c>
      <c r="T135">
        <f>scenario_jobcoeff_4506_iotable_2020_xlsx_3[[#This Row],[2043]]+scenario_jobcoeff_1610_iotable_2020_xlsx_3[[#This Row],[2043]]</f>
        <v>-244.43211518799532</v>
      </c>
      <c r="U135">
        <f>scenario_jobcoeff_4506_iotable_2020_xlsx_3[[#This Row],[2044]]+scenario_jobcoeff_1610_iotable_2020_xlsx_3[[#This Row],[2044]]</f>
        <v>-268.40957466220925</v>
      </c>
      <c r="V135">
        <f>scenario_jobcoeff_4506_iotable_2020_xlsx_3[[#This Row],[2045]]+scenario_jobcoeff_1610_iotable_2020_xlsx_3[[#This Row],[2045]]</f>
        <v>-268.40957466220925</v>
      </c>
      <c r="W135">
        <f>scenario_jobcoeff_4506_iotable_2020_xlsx_3[[#This Row],[2046]]+scenario_jobcoeff_1610_iotable_2020_xlsx_3[[#This Row],[2046]]</f>
        <v>-288.7420937490823</v>
      </c>
      <c r="X135">
        <f>scenario_jobcoeff_4506_iotable_2020_xlsx_3[[#This Row],[2047]]+scenario_jobcoeff_1610_iotable_2020_xlsx_3[[#This Row],[2047]]</f>
        <v>-288.7420937490823</v>
      </c>
      <c r="Y135">
        <f>scenario_jobcoeff_4506_iotable_2020_xlsx_3[[#This Row],[2048]]+scenario_jobcoeff_1610_iotable_2020_xlsx_3[[#This Row],[2048]]</f>
        <v>-288.7420937490823</v>
      </c>
      <c r="Z135">
        <f>scenario_jobcoeff_4506_iotable_2020_xlsx_3[[#This Row],[2049]]+scenario_jobcoeff_1610_iotable_2020_xlsx_3[[#This Row],[2049]]</f>
        <v>-288.7420937490823</v>
      </c>
      <c r="AA135">
        <f>scenario_jobcoeff_4506_iotable_2020_xlsx_3[[#This Row],[2050]]+scenario_jobcoeff_1610_iotable_2020_xlsx_3[[#This Row],[2050]]</f>
        <v>-288.7420937490823</v>
      </c>
    </row>
    <row r="136" spans="1:27" x14ac:dyDescent="0.2">
      <c r="A136" t="s">
        <v>90</v>
      </c>
      <c r="B136" t="s">
        <v>91</v>
      </c>
      <c r="C136">
        <f>scenario_jobcoeff_4506_iotable_2020_xlsx_3[[#This Row],[2026]]+scenario_jobcoeff_1610_iotable_2020_xlsx_3[[#This Row],[2026]]</f>
        <v>90.218163129409305</v>
      </c>
      <c r="D136">
        <f>scenario_jobcoeff_4506_iotable_2020_xlsx_3[[#This Row],[2027]]+scenario_jobcoeff_1610_iotable_2020_xlsx_3[[#This Row],[2027]]</f>
        <v>86.570479717367931</v>
      </c>
      <c r="E136">
        <f>scenario_jobcoeff_4506_iotable_2020_xlsx_3[[#This Row],[2028]]+scenario_jobcoeff_1610_iotable_2020_xlsx_3[[#This Row],[2028]]</f>
        <v>91.215360389970655</v>
      </c>
      <c r="F136">
        <f>scenario_jobcoeff_4506_iotable_2020_xlsx_3[[#This Row],[2029]]+scenario_jobcoeff_1610_iotable_2020_xlsx_3[[#This Row],[2029]]</f>
        <v>93.0627851309997</v>
      </c>
      <c r="G136">
        <f>scenario_jobcoeff_4506_iotable_2020_xlsx_3[[#This Row],[2030]]+scenario_jobcoeff_1610_iotable_2020_xlsx_3[[#This Row],[2030]]</f>
        <v>76.456130734012561</v>
      </c>
      <c r="H136">
        <f>scenario_jobcoeff_4506_iotable_2020_xlsx_3[[#This Row],[2031]]+scenario_jobcoeff_1610_iotable_2020_xlsx_3[[#This Row],[2031]]</f>
        <v>82.723001972729904</v>
      </c>
      <c r="I136">
        <f>scenario_jobcoeff_4506_iotable_2020_xlsx_3[[#This Row],[2032]]+scenario_jobcoeff_1610_iotable_2020_xlsx_3[[#This Row],[2032]]</f>
        <v>91.475245352432481</v>
      </c>
      <c r="J136">
        <f>scenario_jobcoeff_4506_iotable_2020_xlsx_3[[#This Row],[2033]]+scenario_jobcoeff_1610_iotable_2020_xlsx_3[[#This Row],[2033]]</f>
        <v>98.114253852376592</v>
      </c>
      <c r="K136">
        <f>scenario_jobcoeff_4506_iotable_2020_xlsx_3[[#This Row],[2034]]+scenario_jobcoeff_1610_iotable_2020_xlsx_3[[#This Row],[2034]]</f>
        <v>106.25867264284052</v>
      </c>
      <c r="L136">
        <f>scenario_jobcoeff_4506_iotable_2020_xlsx_3[[#This Row],[2035]]+scenario_jobcoeff_1610_iotable_2020_xlsx_3[[#This Row],[2035]]</f>
        <v>117.61196587964287</v>
      </c>
      <c r="M136">
        <f>scenario_jobcoeff_4506_iotable_2020_xlsx_3[[#This Row],[2036]]+scenario_jobcoeff_1610_iotable_2020_xlsx_3[[#This Row],[2036]]</f>
        <v>119.03197410997009</v>
      </c>
      <c r="N136">
        <f>scenario_jobcoeff_4506_iotable_2020_xlsx_3[[#This Row],[2037]]+scenario_jobcoeff_1610_iotable_2020_xlsx_3[[#This Row],[2037]]</f>
        <v>120.60243151085899</v>
      </c>
      <c r="O136">
        <f>scenario_jobcoeff_4506_iotable_2020_xlsx_3[[#This Row],[2038]]+scenario_jobcoeff_1610_iotable_2020_xlsx_3[[#This Row],[2038]]</f>
        <v>120.60243151085899</v>
      </c>
      <c r="P136">
        <f>scenario_jobcoeff_4506_iotable_2020_xlsx_3[[#This Row],[2039]]+scenario_jobcoeff_1610_iotable_2020_xlsx_3[[#This Row],[2039]]</f>
        <v>120.60243151085899</v>
      </c>
      <c r="Q136">
        <f>scenario_jobcoeff_4506_iotable_2020_xlsx_3[[#This Row],[2040]]+scenario_jobcoeff_1610_iotable_2020_xlsx_3[[#This Row],[2040]]</f>
        <v>121.92477187402997</v>
      </c>
      <c r="R136">
        <f>scenario_jobcoeff_4506_iotable_2020_xlsx_3[[#This Row],[2041]]+scenario_jobcoeff_1610_iotable_2020_xlsx_3[[#This Row],[2041]]</f>
        <v>121.92477187402997</v>
      </c>
      <c r="S136">
        <f>scenario_jobcoeff_4506_iotable_2020_xlsx_3[[#This Row],[2042]]+scenario_jobcoeff_1610_iotable_2020_xlsx_3[[#This Row],[2042]]</f>
        <v>123.5622974603898</v>
      </c>
      <c r="T136">
        <f>scenario_jobcoeff_4506_iotable_2020_xlsx_3[[#This Row],[2043]]+scenario_jobcoeff_1610_iotable_2020_xlsx_3[[#This Row],[2043]]</f>
        <v>123.5622974603898</v>
      </c>
      <c r="U136">
        <f>scenario_jobcoeff_4506_iotable_2020_xlsx_3[[#This Row],[2044]]+scenario_jobcoeff_1610_iotable_2020_xlsx_3[[#This Row],[2044]]</f>
        <v>124.58086366603908</v>
      </c>
      <c r="V136">
        <f>scenario_jobcoeff_4506_iotable_2020_xlsx_3[[#This Row],[2045]]+scenario_jobcoeff_1610_iotable_2020_xlsx_3[[#This Row],[2045]]</f>
        <v>124.58086366603908</v>
      </c>
      <c r="W136">
        <f>scenario_jobcoeff_4506_iotable_2020_xlsx_3[[#This Row],[2046]]+scenario_jobcoeff_1610_iotable_2020_xlsx_3[[#This Row],[2046]]</f>
        <v>125.6190820196021</v>
      </c>
      <c r="X136">
        <f>scenario_jobcoeff_4506_iotable_2020_xlsx_3[[#This Row],[2047]]+scenario_jobcoeff_1610_iotable_2020_xlsx_3[[#This Row],[2047]]</f>
        <v>125.6190820196021</v>
      </c>
      <c r="Y136">
        <f>scenario_jobcoeff_4506_iotable_2020_xlsx_3[[#This Row],[2048]]+scenario_jobcoeff_1610_iotable_2020_xlsx_3[[#This Row],[2048]]</f>
        <v>125.6190820196021</v>
      </c>
      <c r="Z136">
        <f>scenario_jobcoeff_4506_iotable_2020_xlsx_3[[#This Row],[2049]]+scenario_jobcoeff_1610_iotable_2020_xlsx_3[[#This Row],[2049]]</f>
        <v>125.6190820196021</v>
      </c>
      <c r="AA136">
        <f>scenario_jobcoeff_4506_iotable_2020_xlsx_3[[#This Row],[2050]]+scenario_jobcoeff_1610_iotable_2020_xlsx_3[[#This Row],[2050]]</f>
        <v>125.6190820196021</v>
      </c>
    </row>
    <row r="137" spans="1:27" x14ac:dyDescent="0.2">
      <c r="A137" t="s">
        <v>98</v>
      </c>
      <c r="B137" t="s">
        <v>99</v>
      </c>
      <c r="C137">
        <f>scenario_jobcoeff_4506_iotable_2020_xlsx_3[[#This Row],[2026]]+scenario_jobcoeff_1610_iotable_2020_xlsx_3[[#This Row],[2026]]</f>
        <v>86.329391352357433</v>
      </c>
      <c r="D137">
        <f>scenario_jobcoeff_4506_iotable_2020_xlsx_3[[#This Row],[2027]]+scenario_jobcoeff_1610_iotable_2020_xlsx_3[[#This Row],[2027]]</f>
        <v>83.694494520586659</v>
      </c>
      <c r="E137">
        <f>scenario_jobcoeff_4506_iotable_2020_xlsx_3[[#This Row],[2028]]+scenario_jobcoeff_1610_iotable_2020_xlsx_3[[#This Row],[2028]]</f>
        <v>88.088310861265697</v>
      </c>
      <c r="F137">
        <f>scenario_jobcoeff_4506_iotable_2020_xlsx_3[[#This Row],[2029]]+scenario_jobcoeff_1610_iotable_2020_xlsx_3[[#This Row],[2029]]</f>
        <v>90.162127971514678</v>
      </c>
      <c r="G137">
        <f>scenario_jobcoeff_4506_iotable_2020_xlsx_3[[#This Row],[2030]]+scenario_jobcoeff_1610_iotable_2020_xlsx_3[[#This Row],[2030]]</f>
        <v>77.218494782962708</v>
      </c>
      <c r="H137">
        <f>scenario_jobcoeff_4506_iotable_2020_xlsx_3[[#This Row],[2031]]+scenario_jobcoeff_1610_iotable_2020_xlsx_3[[#This Row],[2031]]</f>
        <v>83.146630120437038</v>
      </c>
      <c r="I137">
        <f>scenario_jobcoeff_4506_iotable_2020_xlsx_3[[#This Row],[2032]]+scenario_jobcoeff_1610_iotable_2020_xlsx_3[[#This Row],[2032]]</f>
        <v>91.425798669623617</v>
      </c>
      <c r="J137">
        <f>scenario_jobcoeff_4506_iotable_2020_xlsx_3[[#This Row],[2033]]+scenario_jobcoeff_1610_iotable_2020_xlsx_3[[#This Row],[2033]]</f>
        <v>99.248639516302205</v>
      </c>
      <c r="K137">
        <f>scenario_jobcoeff_4506_iotable_2020_xlsx_3[[#This Row],[2034]]+scenario_jobcoeff_1610_iotable_2020_xlsx_3[[#This Row],[2034]]</f>
        <v>106.95283751173142</v>
      </c>
      <c r="L137">
        <f>scenario_jobcoeff_4506_iotable_2020_xlsx_3[[#This Row],[2035]]+scenario_jobcoeff_1610_iotable_2020_xlsx_3[[#This Row],[2035]]</f>
        <v>119.64531692994041</v>
      </c>
      <c r="M137">
        <f>scenario_jobcoeff_4506_iotable_2020_xlsx_3[[#This Row],[2036]]+scenario_jobcoeff_1610_iotable_2020_xlsx_3[[#This Row],[2036]]</f>
        <v>122.27038506886566</v>
      </c>
      <c r="N137">
        <f>scenario_jobcoeff_4506_iotable_2020_xlsx_3[[#This Row],[2037]]+scenario_jobcoeff_1610_iotable_2020_xlsx_3[[#This Row],[2037]]</f>
        <v>124.87652555641165</v>
      </c>
      <c r="O137">
        <f>scenario_jobcoeff_4506_iotable_2020_xlsx_3[[#This Row],[2038]]+scenario_jobcoeff_1610_iotable_2020_xlsx_3[[#This Row],[2038]]</f>
        <v>124.87652555641165</v>
      </c>
      <c r="P137">
        <f>scenario_jobcoeff_4506_iotable_2020_xlsx_3[[#This Row],[2039]]+scenario_jobcoeff_1610_iotable_2020_xlsx_3[[#This Row],[2039]]</f>
        <v>124.87652555641165</v>
      </c>
      <c r="Q137">
        <f>scenario_jobcoeff_4506_iotable_2020_xlsx_3[[#This Row],[2040]]+scenario_jobcoeff_1610_iotable_2020_xlsx_3[[#This Row],[2040]]</f>
        <v>127.11114639787758</v>
      </c>
      <c r="R137">
        <f>scenario_jobcoeff_4506_iotable_2020_xlsx_3[[#This Row],[2041]]+scenario_jobcoeff_1610_iotable_2020_xlsx_3[[#This Row],[2041]]</f>
        <v>127.11114639787758</v>
      </c>
      <c r="S137">
        <f>scenario_jobcoeff_4506_iotable_2020_xlsx_3[[#This Row],[2042]]+scenario_jobcoeff_1610_iotable_2020_xlsx_3[[#This Row],[2042]]</f>
        <v>129.74598359770275</v>
      </c>
      <c r="T137">
        <f>scenario_jobcoeff_4506_iotable_2020_xlsx_3[[#This Row],[2043]]+scenario_jobcoeff_1610_iotable_2020_xlsx_3[[#This Row],[2043]]</f>
        <v>129.74598359770275</v>
      </c>
      <c r="U137">
        <f>scenario_jobcoeff_4506_iotable_2020_xlsx_3[[#This Row],[2044]]+scenario_jobcoeff_1610_iotable_2020_xlsx_3[[#This Row],[2044]]</f>
        <v>131.74211210219738</v>
      </c>
      <c r="V137">
        <f>scenario_jobcoeff_4506_iotable_2020_xlsx_3[[#This Row],[2045]]+scenario_jobcoeff_1610_iotable_2020_xlsx_3[[#This Row],[2045]]</f>
        <v>131.74211210219738</v>
      </c>
      <c r="W137">
        <f>scenario_jobcoeff_4506_iotable_2020_xlsx_3[[#This Row],[2046]]+scenario_jobcoeff_1610_iotable_2020_xlsx_3[[#This Row],[2046]]</f>
        <v>133.60345783407982</v>
      </c>
      <c r="X137">
        <f>scenario_jobcoeff_4506_iotable_2020_xlsx_3[[#This Row],[2047]]+scenario_jobcoeff_1610_iotable_2020_xlsx_3[[#This Row],[2047]]</f>
        <v>133.60345783407982</v>
      </c>
      <c r="Y137">
        <f>scenario_jobcoeff_4506_iotable_2020_xlsx_3[[#This Row],[2048]]+scenario_jobcoeff_1610_iotable_2020_xlsx_3[[#This Row],[2048]]</f>
        <v>133.60345783407982</v>
      </c>
      <c r="Z137">
        <f>scenario_jobcoeff_4506_iotable_2020_xlsx_3[[#This Row],[2049]]+scenario_jobcoeff_1610_iotable_2020_xlsx_3[[#This Row],[2049]]</f>
        <v>133.60345783407982</v>
      </c>
      <c r="AA137">
        <f>scenario_jobcoeff_4506_iotable_2020_xlsx_3[[#This Row],[2050]]+scenario_jobcoeff_1610_iotable_2020_xlsx_3[[#This Row],[2050]]</f>
        <v>133.60345783407982</v>
      </c>
    </row>
    <row r="138" spans="1:27" x14ac:dyDescent="0.2">
      <c r="A138" t="s">
        <v>122</v>
      </c>
      <c r="B138" t="s">
        <v>123</v>
      </c>
      <c r="C138">
        <f>scenario_jobcoeff_4506_iotable_2020_xlsx_3[[#This Row],[2026]]+scenario_jobcoeff_1610_iotable_2020_xlsx_3[[#This Row],[2026]]</f>
        <v>62.890779006572771</v>
      </c>
      <c r="D138">
        <f>scenario_jobcoeff_4506_iotable_2020_xlsx_3[[#This Row],[2027]]+scenario_jobcoeff_1610_iotable_2020_xlsx_3[[#This Row],[2027]]</f>
        <v>58.439512769549481</v>
      </c>
      <c r="E138">
        <f>scenario_jobcoeff_4506_iotable_2020_xlsx_3[[#This Row],[2028]]+scenario_jobcoeff_1610_iotable_2020_xlsx_3[[#This Row],[2028]]</f>
        <v>61.790876106221042</v>
      </c>
      <c r="F138">
        <f>scenario_jobcoeff_4506_iotable_2020_xlsx_3[[#This Row],[2029]]+scenario_jobcoeff_1610_iotable_2020_xlsx_3[[#This Row],[2029]]</f>
        <v>62.39606624471984</v>
      </c>
      <c r="G138">
        <f>scenario_jobcoeff_4506_iotable_2020_xlsx_3[[#This Row],[2030]]+scenario_jobcoeff_1610_iotable_2020_xlsx_3[[#This Row],[2030]]</f>
        <v>44.245329384605171</v>
      </c>
      <c r="H138">
        <f>scenario_jobcoeff_4506_iotable_2020_xlsx_3[[#This Row],[2031]]+scenario_jobcoeff_1610_iotable_2020_xlsx_3[[#This Row],[2031]]</f>
        <v>48.766987525138248</v>
      </c>
      <c r="I138">
        <f>scenario_jobcoeff_4506_iotable_2020_xlsx_3[[#This Row],[2032]]+scenario_jobcoeff_1610_iotable_2020_xlsx_3[[#This Row],[2032]]</f>
        <v>55.081885505052526</v>
      </c>
      <c r="J138">
        <f>scenario_jobcoeff_4506_iotable_2020_xlsx_3[[#This Row],[2033]]+scenario_jobcoeff_1610_iotable_2020_xlsx_3[[#This Row],[2033]]</f>
        <v>56.4308051959773</v>
      </c>
      <c r="K138">
        <f>scenario_jobcoeff_4506_iotable_2020_xlsx_3[[#This Row],[2034]]+scenario_jobcoeff_1610_iotable_2020_xlsx_3[[#This Row],[2034]]</f>
        <v>62.307147013293658</v>
      </c>
      <c r="L138">
        <f>scenario_jobcoeff_4506_iotable_2020_xlsx_3[[#This Row],[2035]]+scenario_jobcoeff_1610_iotable_2020_xlsx_3[[#This Row],[2035]]</f>
        <v>66.142546539954068</v>
      </c>
      <c r="M138">
        <f>scenario_jobcoeff_4506_iotable_2020_xlsx_3[[#This Row],[2036]]+scenario_jobcoeff_1610_iotable_2020_xlsx_3[[#This Row],[2036]]</f>
        <v>64.307782412378316</v>
      </c>
      <c r="N138">
        <f>scenario_jobcoeff_4506_iotable_2020_xlsx_3[[#This Row],[2037]]+scenario_jobcoeff_1610_iotable_2020_xlsx_3[[#This Row],[2037]]</f>
        <v>62.941256543874573</v>
      </c>
      <c r="O138">
        <f>scenario_jobcoeff_4506_iotable_2020_xlsx_3[[#This Row],[2038]]+scenario_jobcoeff_1610_iotable_2020_xlsx_3[[#This Row],[2038]]</f>
        <v>62.941256543874573</v>
      </c>
      <c r="P138">
        <f>scenario_jobcoeff_4506_iotable_2020_xlsx_3[[#This Row],[2039]]+scenario_jobcoeff_1610_iotable_2020_xlsx_3[[#This Row],[2039]]</f>
        <v>62.941256543874573</v>
      </c>
      <c r="Q138">
        <f>scenario_jobcoeff_4506_iotable_2020_xlsx_3[[#This Row],[2040]]+scenario_jobcoeff_1610_iotable_2020_xlsx_3[[#This Row],[2040]]</f>
        <v>61.700898531883126</v>
      </c>
      <c r="R138">
        <f>scenario_jobcoeff_4506_iotable_2020_xlsx_3[[#This Row],[2041]]+scenario_jobcoeff_1610_iotable_2020_xlsx_3[[#This Row],[2041]]</f>
        <v>61.700898531883126</v>
      </c>
      <c r="S138">
        <f>scenario_jobcoeff_4506_iotable_2020_xlsx_3[[#This Row],[2042]]+scenario_jobcoeff_1610_iotable_2020_xlsx_3[[#This Row],[2042]]</f>
        <v>60.460271677439948</v>
      </c>
      <c r="T138">
        <f>scenario_jobcoeff_4506_iotable_2020_xlsx_3[[#This Row],[2043]]+scenario_jobcoeff_1610_iotable_2020_xlsx_3[[#This Row],[2043]]</f>
        <v>60.460271677439948</v>
      </c>
      <c r="U138">
        <f>scenario_jobcoeff_4506_iotable_2020_xlsx_3[[#This Row],[2044]]+scenario_jobcoeff_1610_iotable_2020_xlsx_3[[#This Row],[2044]]</f>
        <v>58.8917388473335</v>
      </c>
      <c r="V138">
        <f>scenario_jobcoeff_4506_iotable_2020_xlsx_3[[#This Row],[2045]]+scenario_jobcoeff_1610_iotable_2020_xlsx_3[[#This Row],[2045]]</f>
        <v>58.8917388473335</v>
      </c>
      <c r="W138">
        <f>scenario_jobcoeff_4506_iotable_2020_xlsx_3[[#This Row],[2046]]+scenario_jobcoeff_1610_iotable_2020_xlsx_3[[#This Row],[2046]]</f>
        <v>57.679511769976813</v>
      </c>
      <c r="X138">
        <f>scenario_jobcoeff_4506_iotable_2020_xlsx_3[[#This Row],[2047]]+scenario_jobcoeff_1610_iotable_2020_xlsx_3[[#This Row],[2047]]</f>
        <v>57.679511769976813</v>
      </c>
      <c r="Y138">
        <f>scenario_jobcoeff_4506_iotable_2020_xlsx_3[[#This Row],[2048]]+scenario_jobcoeff_1610_iotable_2020_xlsx_3[[#This Row],[2048]]</f>
        <v>57.679511769976813</v>
      </c>
      <c r="Z138">
        <f>scenario_jobcoeff_4506_iotable_2020_xlsx_3[[#This Row],[2049]]+scenario_jobcoeff_1610_iotable_2020_xlsx_3[[#This Row],[2049]]</f>
        <v>57.679511769976813</v>
      </c>
      <c r="AA138">
        <f>scenario_jobcoeff_4506_iotable_2020_xlsx_3[[#This Row],[2050]]+scenario_jobcoeff_1610_iotable_2020_xlsx_3[[#This Row],[2050]]</f>
        <v>57.679511769976813</v>
      </c>
    </row>
    <row r="139" spans="1:27" x14ac:dyDescent="0.2">
      <c r="A139" t="s">
        <v>186</v>
      </c>
      <c r="B139" t="s">
        <v>187</v>
      </c>
      <c r="C139">
        <f>scenario_jobcoeff_4506_iotable_2020_xlsx_3[[#This Row],[2026]]+scenario_jobcoeff_1610_iotable_2020_xlsx_3[[#This Row],[2026]]</f>
        <v>19.32142774594184</v>
      </c>
      <c r="D139">
        <f>scenario_jobcoeff_4506_iotable_2020_xlsx_3[[#This Row],[2027]]+scenario_jobcoeff_1610_iotable_2020_xlsx_3[[#This Row],[2027]]</f>
        <v>15.929115933985898</v>
      </c>
      <c r="E139">
        <f>scenario_jobcoeff_4506_iotable_2020_xlsx_3[[#This Row],[2028]]+scenario_jobcoeff_1610_iotable_2020_xlsx_3[[#This Row],[2028]]</f>
        <v>17.07907373230379</v>
      </c>
      <c r="F139">
        <f>scenario_jobcoeff_4506_iotable_2020_xlsx_3[[#This Row],[2029]]+scenario_jobcoeff_1610_iotable_2020_xlsx_3[[#This Row],[2029]]</f>
        <v>16.540756218792183</v>
      </c>
      <c r="G139">
        <f>scenario_jobcoeff_4506_iotable_2020_xlsx_3[[#This Row],[2030]]+scenario_jobcoeff_1610_iotable_2020_xlsx_3[[#This Row],[2030]]</f>
        <v>3.9895061471871358</v>
      </c>
      <c r="H139">
        <f>scenario_jobcoeff_4506_iotable_2020_xlsx_3[[#This Row],[2031]]+scenario_jobcoeff_1610_iotable_2020_xlsx_3[[#This Row],[2031]]</f>
        <v>5.5410287717670457</v>
      </c>
      <c r="I139">
        <f>scenario_jobcoeff_4506_iotable_2020_xlsx_3[[#This Row],[2032]]+scenario_jobcoeff_1610_iotable_2020_xlsx_3[[#This Row],[2032]]</f>
        <v>7.7078681884673657</v>
      </c>
      <c r="J139">
        <f>scenario_jobcoeff_4506_iotable_2020_xlsx_3[[#This Row],[2033]]+scenario_jobcoeff_1610_iotable_2020_xlsx_3[[#This Row],[2033]]</f>
        <v>4.6433390140601389</v>
      </c>
      <c r="K139">
        <f>scenario_jobcoeff_4506_iotable_2020_xlsx_3[[#This Row],[2034]]+scenario_jobcoeff_1610_iotable_2020_xlsx_3[[#This Row],[2034]]</f>
        <v>6.6596960662667684</v>
      </c>
      <c r="L139">
        <f>scenario_jobcoeff_4506_iotable_2020_xlsx_3[[#This Row],[2035]]+scenario_jobcoeff_1610_iotable_2020_xlsx_3[[#This Row],[2035]]</f>
        <v>3.5104923381490138</v>
      </c>
      <c r="M139">
        <f>scenario_jobcoeff_4506_iotable_2020_xlsx_3[[#This Row],[2036]]+scenario_jobcoeff_1610_iotable_2020_xlsx_3[[#This Row],[2036]]</f>
        <v>-4.9974621334342828E-2</v>
      </c>
      <c r="N139">
        <f>scenario_jobcoeff_4506_iotable_2020_xlsx_3[[#This Row],[2037]]+scenario_jobcoeff_1610_iotable_2020_xlsx_3[[#This Row],[2037]]</f>
        <v>-3.0810838872415331</v>
      </c>
      <c r="O139">
        <f>scenario_jobcoeff_4506_iotable_2020_xlsx_3[[#This Row],[2038]]+scenario_jobcoeff_1610_iotable_2020_xlsx_3[[#This Row],[2038]]</f>
        <v>-3.0810838872415331</v>
      </c>
      <c r="P139">
        <f>scenario_jobcoeff_4506_iotable_2020_xlsx_3[[#This Row],[2039]]+scenario_jobcoeff_1610_iotable_2020_xlsx_3[[#This Row],[2039]]</f>
        <v>-3.0810838872415331</v>
      </c>
      <c r="Q139">
        <f>scenario_jobcoeff_4506_iotable_2020_xlsx_3[[#This Row],[2040]]+scenario_jobcoeff_1610_iotable_2020_xlsx_3[[#This Row],[2040]]</f>
        <v>-5.7560726198149439</v>
      </c>
      <c r="R139">
        <f>scenario_jobcoeff_4506_iotable_2020_xlsx_3[[#This Row],[2041]]+scenario_jobcoeff_1610_iotable_2020_xlsx_3[[#This Row],[2041]]</f>
        <v>-5.7560726198149439</v>
      </c>
      <c r="S139">
        <f>scenario_jobcoeff_4506_iotable_2020_xlsx_3[[#This Row],[2042]]+scenario_jobcoeff_1610_iotable_2020_xlsx_3[[#This Row],[2042]]</f>
        <v>-8.664533611151171</v>
      </c>
      <c r="T139">
        <f>scenario_jobcoeff_4506_iotable_2020_xlsx_3[[#This Row],[2043]]+scenario_jobcoeff_1610_iotable_2020_xlsx_3[[#This Row],[2043]]</f>
        <v>-8.664533611151171</v>
      </c>
      <c r="U139">
        <f>scenario_jobcoeff_4506_iotable_2020_xlsx_3[[#This Row],[2044]]+scenario_jobcoeff_1610_iotable_2020_xlsx_3[[#This Row],[2044]]</f>
        <v>-11.563854294258249</v>
      </c>
      <c r="V139">
        <f>scenario_jobcoeff_4506_iotable_2020_xlsx_3[[#This Row],[2045]]+scenario_jobcoeff_1610_iotable_2020_xlsx_3[[#This Row],[2045]]</f>
        <v>-11.563854294258249</v>
      </c>
      <c r="W139">
        <f>scenario_jobcoeff_4506_iotable_2020_xlsx_3[[#This Row],[2046]]+scenario_jobcoeff_1610_iotable_2020_xlsx_3[[#This Row],[2046]]</f>
        <v>-13.990224560979001</v>
      </c>
      <c r="X139">
        <f>scenario_jobcoeff_4506_iotable_2020_xlsx_3[[#This Row],[2047]]+scenario_jobcoeff_1610_iotable_2020_xlsx_3[[#This Row],[2047]]</f>
        <v>-13.990224560979001</v>
      </c>
      <c r="Y139">
        <f>scenario_jobcoeff_4506_iotable_2020_xlsx_3[[#This Row],[2048]]+scenario_jobcoeff_1610_iotable_2020_xlsx_3[[#This Row],[2048]]</f>
        <v>-13.990224560979001</v>
      </c>
      <c r="Z139">
        <f>scenario_jobcoeff_4506_iotable_2020_xlsx_3[[#This Row],[2049]]+scenario_jobcoeff_1610_iotable_2020_xlsx_3[[#This Row],[2049]]</f>
        <v>-13.990224560979001</v>
      </c>
      <c r="AA139">
        <f>scenario_jobcoeff_4506_iotable_2020_xlsx_3[[#This Row],[2050]]+scenario_jobcoeff_1610_iotable_2020_xlsx_3[[#This Row],[2050]]</f>
        <v>-13.990224560979001</v>
      </c>
    </row>
    <row r="140" spans="1:27" x14ac:dyDescent="0.2">
      <c r="A140" t="s">
        <v>28</v>
      </c>
      <c r="B140" t="s">
        <v>29</v>
      </c>
      <c r="C140">
        <f>scenario_jobcoeff_4506_iotable_2020_xlsx_3[[#This Row],[2026]]+scenario_jobcoeff_1610_iotable_2020_xlsx_3[[#This Row],[2026]]</f>
        <v>473.3077685203275</v>
      </c>
      <c r="D140">
        <f>scenario_jobcoeff_4506_iotable_2020_xlsx_3[[#This Row],[2027]]+scenario_jobcoeff_1610_iotable_2020_xlsx_3[[#This Row],[2027]]</f>
        <v>483.38534368243211</v>
      </c>
      <c r="E140">
        <f>scenario_jobcoeff_4506_iotable_2020_xlsx_3[[#This Row],[2028]]+scenario_jobcoeff_1610_iotable_2020_xlsx_3[[#This Row],[2028]]</f>
        <v>506.01720331856404</v>
      </c>
      <c r="F140">
        <f>scenario_jobcoeff_4506_iotable_2020_xlsx_3[[#This Row],[2029]]+scenario_jobcoeff_1610_iotable_2020_xlsx_3[[#This Row],[2029]]</f>
        <v>526.15891771047518</v>
      </c>
      <c r="G140">
        <f>scenario_jobcoeff_4506_iotable_2020_xlsx_3[[#This Row],[2030]]+scenario_jobcoeff_1610_iotable_2020_xlsx_3[[#This Row],[2030]]</f>
        <v>539.67292112279551</v>
      </c>
      <c r="H140">
        <f>scenario_jobcoeff_4506_iotable_2020_xlsx_3[[#This Row],[2031]]+scenario_jobcoeff_1610_iotable_2020_xlsx_3[[#This Row],[2031]]</f>
        <v>570.20781754520226</v>
      </c>
      <c r="I140">
        <f>scenario_jobcoeff_4506_iotable_2020_xlsx_3[[#This Row],[2032]]+scenario_jobcoeff_1610_iotable_2020_xlsx_3[[#This Row],[2032]]</f>
        <v>612.85251772857669</v>
      </c>
      <c r="J140">
        <f>scenario_jobcoeff_4506_iotable_2020_xlsx_3[[#This Row],[2033]]+scenario_jobcoeff_1610_iotable_2020_xlsx_3[[#This Row],[2033]]</f>
        <v>697.87785685335689</v>
      </c>
      <c r="K140">
        <f>scenario_jobcoeff_4506_iotable_2020_xlsx_3[[#This Row],[2034]]+scenario_jobcoeff_1610_iotable_2020_xlsx_3[[#This Row],[2034]]</f>
        <v>737.56097378914023</v>
      </c>
      <c r="L140">
        <f>scenario_jobcoeff_4506_iotable_2020_xlsx_3[[#This Row],[2035]]+scenario_jobcoeff_1610_iotable_2020_xlsx_3[[#This Row],[2035]]</f>
        <v>859.56219641178882</v>
      </c>
      <c r="M140">
        <f>scenario_jobcoeff_4506_iotable_2020_xlsx_3[[#This Row],[2036]]+scenario_jobcoeff_1610_iotable_2020_xlsx_3[[#This Row],[2036]]</f>
        <v>910.25055390654018</v>
      </c>
      <c r="N140">
        <f>scenario_jobcoeff_4506_iotable_2020_xlsx_3[[#This Row],[2037]]+scenario_jobcoeff_1610_iotable_2020_xlsx_3[[#This Row],[2037]]</f>
        <v>956.16601944851084</v>
      </c>
      <c r="O140">
        <f>scenario_jobcoeff_4506_iotable_2020_xlsx_3[[#This Row],[2038]]+scenario_jobcoeff_1610_iotable_2020_xlsx_3[[#This Row],[2038]]</f>
        <v>956.16601944851084</v>
      </c>
      <c r="P140">
        <f>scenario_jobcoeff_4506_iotable_2020_xlsx_3[[#This Row],[2039]]+scenario_jobcoeff_1610_iotable_2020_xlsx_3[[#This Row],[2039]]</f>
        <v>956.16601944851084</v>
      </c>
      <c r="Q140">
        <f>scenario_jobcoeff_4506_iotable_2020_xlsx_3[[#This Row],[2040]]+scenario_jobcoeff_1610_iotable_2020_xlsx_3[[#This Row],[2040]]</f>
        <v>996.20083925792358</v>
      </c>
      <c r="R140">
        <f>scenario_jobcoeff_4506_iotable_2020_xlsx_3[[#This Row],[2041]]+scenario_jobcoeff_1610_iotable_2020_xlsx_3[[#This Row],[2041]]</f>
        <v>996.20083925792358</v>
      </c>
      <c r="S140">
        <f>scenario_jobcoeff_4506_iotable_2020_xlsx_3[[#This Row],[2042]]+scenario_jobcoeff_1610_iotable_2020_xlsx_3[[#This Row],[2042]]</f>
        <v>1041.2566247200248</v>
      </c>
      <c r="T140">
        <f>scenario_jobcoeff_4506_iotable_2020_xlsx_3[[#This Row],[2043]]+scenario_jobcoeff_1610_iotable_2020_xlsx_3[[#This Row],[2043]]</f>
        <v>1041.2566247200248</v>
      </c>
      <c r="U140">
        <f>scenario_jobcoeff_4506_iotable_2020_xlsx_3[[#This Row],[2044]]+scenario_jobcoeff_1610_iotable_2020_xlsx_3[[#This Row],[2044]]</f>
        <v>1081.4798016492241</v>
      </c>
      <c r="V140">
        <f>scenario_jobcoeff_4506_iotable_2020_xlsx_3[[#This Row],[2045]]+scenario_jobcoeff_1610_iotable_2020_xlsx_3[[#This Row],[2045]]</f>
        <v>1081.4798016492241</v>
      </c>
      <c r="W140">
        <f>scenario_jobcoeff_4506_iotable_2020_xlsx_3[[#This Row],[2046]]+scenario_jobcoeff_1610_iotable_2020_xlsx_3[[#This Row],[2046]]</f>
        <v>1116.561591267752</v>
      </c>
      <c r="X140">
        <f>scenario_jobcoeff_4506_iotable_2020_xlsx_3[[#This Row],[2047]]+scenario_jobcoeff_1610_iotable_2020_xlsx_3[[#This Row],[2047]]</f>
        <v>1116.561591267752</v>
      </c>
      <c r="Y140">
        <f>scenario_jobcoeff_4506_iotable_2020_xlsx_3[[#This Row],[2048]]+scenario_jobcoeff_1610_iotable_2020_xlsx_3[[#This Row],[2048]]</f>
        <v>1116.561591267752</v>
      </c>
      <c r="Z140">
        <f>scenario_jobcoeff_4506_iotable_2020_xlsx_3[[#This Row],[2049]]+scenario_jobcoeff_1610_iotable_2020_xlsx_3[[#This Row],[2049]]</f>
        <v>1116.561591267752</v>
      </c>
      <c r="AA140">
        <f>scenario_jobcoeff_4506_iotable_2020_xlsx_3[[#This Row],[2050]]+scenario_jobcoeff_1610_iotable_2020_xlsx_3[[#This Row],[2050]]</f>
        <v>1116.561591267752</v>
      </c>
    </row>
    <row r="141" spans="1:27" x14ac:dyDescent="0.2">
      <c r="A141" t="s">
        <v>56</v>
      </c>
      <c r="B141" t="s">
        <v>57</v>
      </c>
      <c r="C141">
        <f>scenario_jobcoeff_4506_iotable_2020_xlsx_3[[#This Row],[2026]]+scenario_jobcoeff_1610_iotable_2020_xlsx_3[[#This Row],[2026]]</f>
        <v>198.59130852153135</v>
      </c>
      <c r="D141">
        <f>scenario_jobcoeff_4506_iotable_2020_xlsx_3[[#This Row],[2027]]+scenario_jobcoeff_1610_iotable_2020_xlsx_3[[#This Row],[2027]]</f>
        <v>209.83712715711033</v>
      </c>
      <c r="E141">
        <f>scenario_jobcoeff_4506_iotable_2020_xlsx_3[[#This Row],[2028]]+scenario_jobcoeff_1610_iotable_2020_xlsx_3[[#This Row],[2028]]</f>
        <v>218.91595247084973</v>
      </c>
      <c r="F141">
        <f>scenario_jobcoeff_4506_iotable_2020_xlsx_3[[#This Row],[2029]]+scenario_jobcoeff_1610_iotable_2020_xlsx_3[[#This Row],[2029]]</f>
        <v>229.87712025894749</v>
      </c>
      <c r="G141">
        <f>scenario_jobcoeff_4506_iotable_2020_xlsx_3[[#This Row],[2030]]+scenario_jobcoeff_1610_iotable_2020_xlsx_3[[#This Row],[2030]]</f>
        <v>259.72094836714587</v>
      </c>
      <c r="H141">
        <f>scenario_jobcoeff_4506_iotable_2020_xlsx_3[[#This Row],[2031]]+scenario_jobcoeff_1610_iotable_2020_xlsx_3[[#This Row],[2031]]</f>
        <v>271.97009603106881</v>
      </c>
      <c r="I141">
        <f>scenario_jobcoeff_4506_iotable_2020_xlsx_3[[#This Row],[2032]]+scenario_jobcoeff_1610_iotable_2020_xlsx_3[[#This Row],[2032]]</f>
        <v>289.07712080704152</v>
      </c>
      <c r="J141">
        <f>scenario_jobcoeff_4506_iotable_2020_xlsx_3[[#This Row],[2033]]+scenario_jobcoeff_1610_iotable_2020_xlsx_3[[#This Row],[2033]]</f>
        <v>336.8094536483232</v>
      </c>
      <c r="K141">
        <f>scenario_jobcoeff_4506_iotable_2020_xlsx_3[[#This Row],[2034]]+scenario_jobcoeff_1610_iotable_2020_xlsx_3[[#This Row],[2034]]</f>
        <v>352.72843213074043</v>
      </c>
      <c r="L141">
        <f>scenario_jobcoeff_4506_iotable_2020_xlsx_3[[#This Row],[2035]]+scenario_jobcoeff_1610_iotable_2020_xlsx_3[[#This Row],[2035]]</f>
        <v>418.91614490777033</v>
      </c>
      <c r="M141">
        <f>scenario_jobcoeff_4506_iotable_2020_xlsx_3[[#This Row],[2036]]+scenario_jobcoeff_1610_iotable_2020_xlsx_3[[#This Row],[2036]]</f>
        <v>450.57024863137065</v>
      </c>
      <c r="N141">
        <f>scenario_jobcoeff_4506_iotable_2020_xlsx_3[[#This Row],[2037]]+scenario_jobcoeff_1610_iotable_2020_xlsx_3[[#This Row],[2037]]</f>
        <v>478.88566122248204</v>
      </c>
      <c r="O141">
        <f>scenario_jobcoeff_4506_iotable_2020_xlsx_3[[#This Row],[2038]]+scenario_jobcoeff_1610_iotable_2020_xlsx_3[[#This Row],[2038]]</f>
        <v>478.88566122248204</v>
      </c>
      <c r="P141">
        <f>scenario_jobcoeff_4506_iotable_2020_xlsx_3[[#This Row],[2039]]+scenario_jobcoeff_1610_iotable_2020_xlsx_3[[#This Row],[2039]]</f>
        <v>478.88566122248204</v>
      </c>
      <c r="Q141">
        <f>scenario_jobcoeff_4506_iotable_2020_xlsx_3[[#This Row],[2040]]+scenario_jobcoeff_1610_iotable_2020_xlsx_3[[#This Row],[2040]]</f>
        <v>503.63376687145956</v>
      </c>
      <c r="R141">
        <f>scenario_jobcoeff_4506_iotable_2020_xlsx_3[[#This Row],[2041]]+scenario_jobcoeff_1610_iotable_2020_xlsx_3[[#This Row],[2041]]</f>
        <v>503.63376687145956</v>
      </c>
      <c r="S141">
        <f>scenario_jobcoeff_4506_iotable_2020_xlsx_3[[#This Row],[2042]]+scenario_jobcoeff_1610_iotable_2020_xlsx_3[[#This Row],[2042]]</f>
        <v>531.29745446734</v>
      </c>
      <c r="T141">
        <f>scenario_jobcoeff_4506_iotable_2020_xlsx_3[[#This Row],[2043]]+scenario_jobcoeff_1610_iotable_2020_xlsx_3[[#This Row],[2043]]</f>
        <v>531.29745446734</v>
      </c>
      <c r="U141">
        <f>scenario_jobcoeff_4506_iotable_2020_xlsx_3[[#This Row],[2044]]+scenario_jobcoeff_1610_iotable_2020_xlsx_3[[#This Row],[2044]]</f>
        <v>556.55264740446989</v>
      </c>
      <c r="V141">
        <f>scenario_jobcoeff_4506_iotable_2020_xlsx_3[[#This Row],[2045]]+scenario_jobcoeff_1610_iotable_2020_xlsx_3[[#This Row],[2045]]</f>
        <v>556.55264740446989</v>
      </c>
      <c r="W141">
        <f>scenario_jobcoeff_4506_iotable_2020_xlsx_3[[#This Row],[2046]]+scenario_jobcoeff_1610_iotable_2020_xlsx_3[[#This Row],[2046]]</f>
        <v>578.39084873561069</v>
      </c>
      <c r="X141">
        <f>scenario_jobcoeff_4506_iotable_2020_xlsx_3[[#This Row],[2047]]+scenario_jobcoeff_1610_iotable_2020_xlsx_3[[#This Row],[2047]]</f>
        <v>578.39084873561069</v>
      </c>
      <c r="Y141">
        <f>scenario_jobcoeff_4506_iotable_2020_xlsx_3[[#This Row],[2048]]+scenario_jobcoeff_1610_iotable_2020_xlsx_3[[#This Row],[2048]]</f>
        <v>578.39084873561069</v>
      </c>
      <c r="Z141">
        <f>scenario_jobcoeff_4506_iotable_2020_xlsx_3[[#This Row],[2049]]+scenario_jobcoeff_1610_iotable_2020_xlsx_3[[#This Row],[2049]]</f>
        <v>578.39084873561069</v>
      </c>
      <c r="AA141">
        <f>scenario_jobcoeff_4506_iotable_2020_xlsx_3[[#This Row],[2050]]+scenario_jobcoeff_1610_iotable_2020_xlsx_3[[#This Row],[2050]]</f>
        <v>578.39084873561069</v>
      </c>
    </row>
    <row r="142" spans="1:27" x14ac:dyDescent="0.2">
      <c r="A142" t="s">
        <v>74</v>
      </c>
      <c r="B142" t="s">
        <v>75</v>
      </c>
      <c r="C142">
        <f>scenario_jobcoeff_4506_iotable_2020_xlsx_3[[#This Row],[2026]]+scenario_jobcoeff_1610_iotable_2020_xlsx_3[[#This Row],[2026]]</f>
        <v>137.1252386252068</v>
      </c>
      <c r="D142">
        <f>scenario_jobcoeff_4506_iotable_2020_xlsx_3[[#This Row],[2027]]+scenario_jobcoeff_1610_iotable_2020_xlsx_3[[#This Row],[2027]]</f>
        <v>138.36712654140604</v>
      </c>
      <c r="E142">
        <f>scenario_jobcoeff_4506_iotable_2020_xlsx_3[[#This Row],[2028]]+scenario_jobcoeff_1610_iotable_2020_xlsx_3[[#This Row],[2028]]</f>
        <v>145.02367707699841</v>
      </c>
      <c r="F142">
        <f>scenario_jobcoeff_4506_iotable_2020_xlsx_3[[#This Row],[2029]]+scenario_jobcoeff_1610_iotable_2020_xlsx_3[[#This Row],[2029]]</f>
        <v>150.25895503980107</v>
      </c>
      <c r="G142">
        <f>scenario_jobcoeff_4506_iotable_2020_xlsx_3[[#This Row],[2030]]+scenario_jobcoeff_1610_iotable_2020_xlsx_3[[#This Row],[2030]]</f>
        <v>148.39468612419677</v>
      </c>
      <c r="H142">
        <f>scenario_jobcoeff_4506_iotable_2020_xlsx_3[[#This Row],[2031]]+scenario_jobcoeff_1610_iotable_2020_xlsx_3[[#This Row],[2031]]</f>
        <v>157.37570157775355</v>
      </c>
      <c r="I142">
        <f>scenario_jobcoeff_4506_iotable_2020_xlsx_3[[#This Row],[2032]]+scenario_jobcoeff_1610_iotable_2020_xlsx_3[[#This Row],[2032]]</f>
        <v>169.9184888877553</v>
      </c>
      <c r="J142">
        <f>scenario_jobcoeff_4506_iotable_2020_xlsx_3[[#This Row],[2033]]+scenario_jobcoeff_1610_iotable_2020_xlsx_3[[#This Row],[2033]]</f>
        <v>191.66907557923457</v>
      </c>
      <c r="K142">
        <f>scenario_jobcoeff_4506_iotable_2020_xlsx_3[[#This Row],[2034]]+scenario_jobcoeff_1610_iotable_2020_xlsx_3[[#This Row],[2034]]</f>
        <v>203.34079312873467</v>
      </c>
      <c r="L142">
        <f>scenario_jobcoeff_4506_iotable_2020_xlsx_3[[#This Row],[2035]]+scenario_jobcoeff_1610_iotable_2020_xlsx_3[[#This Row],[2035]]</f>
        <v>235.10077891622217</v>
      </c>
      <c r="M142">
        <f>scenario_jobcoeff_4506_iotable_2020_xlsx_3[[#This Row],[2036]]+scenario_jobcoeff_1610_iotable_2020_xlsx_3[[#This Row],[2036]]</f>
        <v>247.30288523739929</v>
      </c>
      <c r="N142">
        <f>scenario_jobcoeff_4506_iotable_2020_xlsx_3[[#This Row],[2037]]+scenario_jobcoeff_1610_iotable_2020_xlsx_3[[#This Row],[2037]]</f>
        <v>258.44163696542364</v>
      </c>
      <c r="O142">
        <f>scenario_jobcoeff_4506_iotable_2020_xlsx_3[[#This Row],[2038]]+scenario_jobcoeff_1610_iotable_2020_xlsx_3[[#This Row],[2038]]</f>
        <v>258.44163696542364</v>
      </c>
      <c r="P142">
        <f>scenario_jobcoeff_4506_iotable_2020_xlsx_3[[#This Row],[2039]]+scenario_jobcoeff_1610_iotable_2020_xlsx_3[[#This Row],[2039]]</f>
        <v>258.44163696542364</v>
      </c>
      <c r="Q142">
        <f>scenario_jobcoeff_4506_iotable_2020_xlsx_3[[#This Row],[2040]]+scenario_jobcoeff_1610_iotable_2020_xlsx_3[[#This Row],[2040]]</f>
        <v>268.13963307024443</v>
      </c>
      <c r="R142">
        <f>scenario_jobcoeff_4506_iotable_2020_xlsx_3[[#This Row],[2041]]+scenario_jobcoeff_1610_iotable_2020_xlsx_3[[#This Row],[2041]]</f>
        <v>268.13963307024443</v>
      </c>
      <c r="S142">
        <f>scenario_jobcoeff_4506_iotable_2020_xlsx_3[[#This Row],[2042]]+scenario_jobcoeff_1610_iotable_2020_xlsx_3[[#This Row],[2042]]</f>
        <v>279.09889874677719</v>
      </c>
      <c r="T142">
        <f>scenario_jobcoeff_4506_iotable_2020_xlsx_3[[#This Row],[2043]]+scenario_jobcoeff_1610_iotable_2020_xlsx_3[[#This Row],[2043]]</f>
        <v>279.09889874677719</v>
      </c>
      <c r="U142">
        <f>scenario_jobcoeff_4506_iotable_2020_xlsx_3[[#This Row],[2044]]+scenario_jobcoeff_1610_iotable_2020_xlsx_3[[#This Row],[2044]]</f>
        <v>288.74912402958279</v>
      </c>
      <c r="V142">
        <f>scenario_jobcoeff_4506_iotable_2020_xlsx_3[[#This Row],[2045]]+scenario_jobcoeff_1610_iotable_2020_xlsx_3[[#This Row],[2045]]</f>
        <v>288.74912402958279</v>
      </c>
      <c r="W142">
        <f>scenario_jobcoeff_4506_iotable_2020_xlsx_3[[#This Row],[2046]]+scenario_jobcoeff_1610_iotable_2020_xlsx_3[[#This Row],[2046]]</f>
        <v>297.21099012992306</v>
      </c>
      <c r="X142">
        <f>scenario_jobcoeff_4506_iotable_2020_xlsx_3[[#This Row],[2047]]+scenario_jobcoeff_1610_iotable_2020_xlsx_3[[#This Row],[2047]]</f>
        <v>297.21099012992306</v>
      </c>
      <c r="Y142">
        <f>scenario_jobcoeff_4506_iotable_2020_xlsx_3[[#This Row],[2048]]+scenario_jobcoeff_1610_iotable_2020_xlsx_3[[#This Row],[2048]]</f>
        <v>297.21099012992306</v>
      </c>
      <c r="Z142">
        <f>scenario_jobcoeff_4506_iotable_2020_xlsx_3[[#This Row],[2049]]+scenario_jobcoeff_1610_iotable_2020_xlsx_3[[#This Row],[2049]]</f>
        <v>297.21099012992306</v>
      </c>
      <c r="AA142">
        <f>scenario_jobcoeff_4506_iotable_2020_xlsx_3[[#This Row],[2050]]+scenario_jobcoeff_1610_iotable_2020_xlsx_3[[#This Row],[2050]]</f>
        <v>297.21099012992306</v>
      </c>
    </row>
    <row r="143" spans="1:27" x14ac:dyDescent="0.2">
      <c r="A143" t="s">
        <v>46</v>
      </c>
      <c r="B143" t="s">
        <v>47</v>
      </c>
      <c r="C143">
        <f>scenario_jobcoeff_4506_iotable_2020_xlsx_3[[#This Row],[2026]]+scenario_jobcoeff_1610_iotable_2020_xlsx_3[[#This Row],[2026]]</f>
        <v>227.81677401430468</v>
      </c>
      <c r="D143">
        <f>scenario_jobcoeff_4506_iotable_2020_xlsx_3[[#This Row],[2027]]+scenario_jobcoeff_1610_iotable_2020_xlsx_3[[#This Row],[2027]]</f>
        <v>235.27178778135959</v>
      </c>
      <c r="E143">
        <f>scenario_jobcoeff_4506_iotable_2020_xlsx_3[[#This Row],[2028]]+scenario_jobcoeff_1610_iotable_2020_xlsx_3[[#This Row],[2028]]</f>
        <v>246.01036450820018</v>
      </c>
      <c r="F143">
        <f>scenario_jobcoeff_4506_iotable_2020_xlsx_3[[#This Row],[2029]]+scenario_jobcoeff_1610_iotable_2020_xlsx_3[[#This Row],[2029]]</f>
        <v>256.63671851301757</v>
      </c>
      <c r="G143">
        <f>scenario_jobcoeff_4506_iotable_2020_xlsx_3[[#This Row],[2030]]+scenario_jobcoeff_1610_iotable_2020_xlsx_3[[#This Row],[2030]]</f>
        <v>272.11293910253062</v>
      </c>
      <c r="H143">
        <f>scenario_jobcoeff_4506_iotable_2020_xlsx_3[[#This Row],[2031]]+scenario_jobcoeff_1610_iotable_2020_xlsx_3[[#This Row],[2031]]</f>
        <v>286.60142274241002</v>
      </c>
      <c r="I143">
        <f>scenario_jobcoeff_4506_iotable_2020_xlsx_3[[#This Row],[2032]]+scenario_jobcoeff_1610_iotable_2020_xlsx_3[[#This Row],[2032]]</f>
        <v>306.83587948944495</v>
      </c>
      <c r="J143">
        <f>scenario_jobcoeff_4506_iotable_2020_xlsx_3[[#This Row],[2033]]+scenario_jobcoeff_1610_iotable_2020_xlsx_3[[#This Row],[2033]]</f>
        <v>352.23584727225983</v>
      </c>
      <c r="K143">
        <f>scenario_jobcoeff_4506_iotable_2020_xlsx_3[[#This Row],[2034]]+scenario_jobcoeff_1610_iotable_2020_xlsx_3[[#This Row],[2034]]</f>
        <v>371.06506426222217</v>
      </c>
      <c r="L143">
        <f>scenario_jobcoeff_4506_iotable_2020_xlsx_3[[#This Row],[2035]]+scenario_jobcoeff_1610_iotable_2020_xlsx_3[[#This Row],[2035]]</f>
        <v>435.35408091924569</v>
      </c>
      <c r="M143">
        <f>scenario_jobcoeff_4506_iotable_2020_xlsx_3[[#This Row],[2036]]+scenario_jobcoeff_1610_iotable_2020_xlsx_3[[#This Row],[2036]]</f>
        <v>463.60648325790373</v>
      </c>
      <c r="N143">
        <f>scenario_jobcoeff_4506_iotable_2020_xlsx_3[[#This Row],[2037]]+scenario_jobcoeff_1610_iotable_2020_xlsx_3[[#This Row],[2037]]</f>
        <v>489.0656979488823</v>
      </c>
      <c r="O143">
        <f>scenario_jobcoeff_4506_iotable_2020_xlsx_3[[#This Row],[2038]]+scenario_jobcoeff_1610_iotable_2020_xlsx_3[[#This Row],[2038]]</f>
        <v>489.0656979488823</v>
      </c>
      <c r="P143">
        <f>scenario_jobcoeff_4506_iotable_2020_xlsx_3[[#This Row],[2039]]+scenario_jobcoeff_1610_iotable_2020_xlsx_3[[#This Row],[2039]]</f>
        <v>489.0656979488823</v>
      </c>
      <c r="Q143">
        <f>scenario_jobcoeff_4506_iotable_2020_xlsx_3[[#This Row],[2040]]+scenario_jobcoeff_1610_iotable_2020_xlsx_3[[#This Row],[2040]]</f>
        <v>511.28618338312413</v>
      </c>
      <c r="R143">
        <f>scenario_jobcoeff_4506_iotable_2020_xlsx_3[[#This Row],[2041]]+scenario_jobcoeff_1610_iotable_2020_xlsx_3[[#This Row],[2041]]</f>
        <v>511.28618338312413</v>
      </c>
      <c r="S143">
        <f>scenario_jobcoeff_4506_iotable_2020_xlsx_3[[#This Row],[2042]]+scenario_jobcoeff_1610_iotable_2020_xlsx_3[[#This Row],[2042]]</f>
        <v>536.22360335103599</v>
      </c>
      <c r="T143">
        <f>scenario_jobcoeff_4506_iotable_2020_xlsx_3[[#This Row],[2043]]+scenario_jobcoeff_1610_iotable_2020_xlsx_3[[#This Row],[2043]]</f>
        <v>536.22360335103599</v>
      </c>
      <c r="U143">
        <f>scenario_jobcoeff_4506_iotable_2020_xlsx_3[[#This Row],[2044]]+scenario_jobcoeff_1610_iotable_2020_xlsx_3[[#This Row],[2044]]</f>
        <v>558.69361482193085</v>
      </c>
      <c r="V143">
        <f>scenario_jobcoeff_4506_iotable_2020_xlsx_3[[#This Row],[2045]]+scenario_jobcoeff_1610_iotable_2020_xlsx_3[[#This Row],[2045]]</f>
        <v>558.69361482193085</v>
      </c>
      <c r="W143">
        <f>scenario_jobcoeff_4506_iotable_2020_xlsx_3[[#This Row],[2046]]+scenario_jobcoeff_1610_iotable_2020_xlsx_3[[#This Row],[2046]]</f>
        <v>578.22139331248366</v>
      </c>
      <c r="X143">
        <f>scenario_jobcoeff_4506_iotable_2020_xlsx_3[[#This Row],[2047]]+scenario_jobcoeff_1610_iotable_2020_xlsx_3[[#This Row],[2047]]</f>
        <v>578.22139331248366</v>
      </c>
      <c r="Y143">
        <f>scenario_jobcoeff_4506_iotable_2020_xlsx_3[[#This Row],[2048]]+scenario_jobcoeff_1610_iotable_2020_xlsx_3[[#This Row],[2048]]</f>
        <v>578.22139331248366</v>
      </c>
      <c r="Z143">
        <f>scenario_jobcoeff_4506_iotable_2020_xlsx_3[[#This Row],[2049]]+scenario_jobcoeff_1610_iotable_2020_xlsx_3[[#This Row],[2049]]</f>
        <v>578.22139331248366</v>
      </c>
      <c r="AA143">
        <f>scenario_jobcoeff_4506_iotable_2020_xlsx_3[[#This Row],[2050]]+scenario_jobcoeff_1610_iotable_2020_xlsx_3[[#This Row],[2050]]</f>
        <v>578.22139331248366</v>
      </c>
    </row>
    <row r="144" spans="1:27" x14ac:dyDescent="0.2">
      <c r="A144" t="s">
        <v>320</v>
      </c>
      <c r="B144" t="s">
        <v>321</v>
      </c>
      <c r="C144">
        <f>scenario_jobcoeff_4506_iotable_2020_xlsx_3[[#This Row],[2026]]+scenario_jobcoeff_1610_iotable_2020_xlsx_3[[#This Row],[2026]]</f>
        <v>0</v>
      </c>
      <c r="D144">
        <f>scenario_jobcoeff_4506_iotable_2020_xlsx_3[[#This Row],[2027]]+scenario_jobcoeff_1610_iotable_2020_xlsx_3[[#This Row],[2027]]</f>
        <v>0</v>
      </c>
      <c r="E144">
        <f>scenario_jobcoeff_4506_iotable_2020_xlsx_3[[#This Row],[2028]]+scenario_jobcoeff_1610_iotable_2020_xlsx_3[[#This Row],[2028]]</f>
        <v>0</v>
      </c>
      <c r="F144">
        <f>scenario_jobcoeff_4506_iotable_2020_xlsx_3[[#This Row],[2029]]+scenario_jobcoeff_1610_iotable_2020_xlsx_3[[#This Row],[2029]]</f>
        <v>0</v>
      </c>
      <c r="G144">
        <f>scenario_jobcoeff_4506_iotable_2020_xlsx_3[[#This Row],[2030]]+scenario_jobcoeff_1610_iotable_2020_xlsx_3[[#This Row],[2030]]</f>
        <v>0</v>
      </c>
      <c r="H144">
        <f>scenario_jobcoeff_4506_iotable_2020_xlsx_3[[#This Row],[2031]]+scenario_jobcoeff_1610_iotable_2020_xlsx_3[[#This Row],[2031]]</f>
        <v>0</v>
      </c>
      <c r="I144">
        <f>scenario_jobcoeff_4506_iotable_2020_xlsx_3[[#This Row],[2032]]+scenario_jobcoeff_1610_iotable_2020_xlsx_3[[#This Row],[2032]]</f>
        <v>0</v>
      </c>
      <c r="J144">
        <f>scenario_jobcoeff_4506_iotable_2020_xlsx_3[[#This Row],[2033]]+scenario_jobcoeff_1610_iotable_2020_xlsx_3[[#This Row],[2033]]</f>
        <v>0</v>
      </c>
      <c r="K144">
        <f>scenario_jobcoeff_4506_iotable_2020_xlsx_3[[#This Row],[2034]]+scenario_jobcoeff_1610_iotable_2020_xlsx_3[[#This Row],[2034]]</f>
        <v>0</v>
      </c>
      <c r="L144">
        <f>scenario_jobcoeff_4506_iotable_2020_xlsx_3[[#This Row],[2035]]+scenario_jobcoeff_1610_iotable_2020_xlsx_3[[#This Row],[2035]]</f>
        <v>0</v>
      </c>
      <c r="M144">
        <f>scenario_jobcoeff_4506_iotable_2020_xlsx_3[[#This Row],[2036]]+scenario_jobcoeff_1610_iotable_2020_xlsx_3[[#This Row],[2036]]</f>
        <v>0</v>
      </c>
      <c r="N144">
        <f>scenario_jobcoeff_4506_iotable_2020_xlsx_3[[#This Row],[2037]]+scenario_jobcoeff_1610_iotable_2020_xlsx_3[[#This Row],[2037]]</f>
        <v>0</v>
      </c>
      <c r="O144">
        <f>scenario_jobcoeff_4506_iotable_2020_xlsx_3[[#This Row],[2038]]+scenario_jobcoeff_1610_iotable_2020_xlsx_3[[#This Row],[2038]]</f>
        <v>0</v>
      </c>
      <c r="P144">
        <f>scenario_jobcoeff_4506_iotable_2020_xlsx_3[[#This Row],[2039]]+scenario_jobcoeff_1610_iotable_2020_xlsx_3[[#This Row],[2039]]</f>
        <v>0</v>
      </c>
      <c r="Q144">
        <f>scenario_jobcoeff_4506_iotable_2020_xlsx_3[[#This Row],[2040]]+scenario_jobcoeff_1610_iotable_2020_xlsx_3[[#This Row],[2040]]</f>
        <v>0</v>
      </c>
      <c r="R144">
        <f>scenario_jobcoeff_4506_iotable_2020_xlsx_3[[#This Row],[2041]]+scenario_jobcoeff_1610_iotable_2020_xlsx_3[[#This Row],[2041]]</f>
        <v>0</v>
      </c>
      <c r="S144">
        <f>scenario_jobcoeff_4506_iotable_2020_xlsx_3[[#This Row],[2042]]+scenario_jobcoeff_1610_iotable_2020_xlsx_3[[#This Row],[2042]]</f>
        <v>0</v>
      </c>
      <c r="T144">
        <f>scenario_jobcoeff_4506_iotable_2020_xlsx_3[[#This Row],[2043]]+scenario_jobcoeff_1610_iotable_2020_xlsx_3[[#This Row],[2043]]</f>
        <v>0</v>
      </c>
      <c r="U144">
        <f>scenario_jobcoeff_4506_iotable_2020_xlsx_3[[#This Row],[2044]]+scenario_jobcoeff_1610_iotable_2020_xlsx_3[[#This Row],[2044]]</f>
        <v>0</v>
      </c>
      <c r="V144">
        <f>scenario_jobcoeff_4506_iotable_2020_xlsx_3[[#This Row],[2045]]+scenario_jobcoeff_1610_iotable_2020_xlsx_3[[#This Row],[2045]]</f>
        <v>0</v>
      </c>
      <c r="W144">
        <f>scenario_jobcoeff_4506_iotable_2020_xlsx_3[[#This Row],[2046]]+scenario_jobcoeff_1610_iotable_2020_xlsx_3[[#This Row],[2046]]</f>
        <v>0</v>
      </c>
      <c r="X144">
        <f>scenario_jobcoeff_4506_iotable_2020_xlsx_3[[#This Row],[2047]]+scenario_jobcoeff_1610_iotable_2020_xlsx_3[[#This Row],[2047]]</f>
        <v>0</v>
      </c>
      <c r="Y144">
        <f>scenario_jobcoeff_4506_iotable_2020_xlsx_3[[#This Row],[2048]]+scenario_jobcoeff_1610_iotable_2020_xlsx_3[[#This Row],[2048]]</f>
        <v>0</v>
      </c>
      <c r="Z144">
        <f>scenario_jobcoeff_4506_iotable_2020_xlsx_3[[#This Row],[2049]]+scenario_jobcoeff_1610_iotable_2020_xlsx_3[[#This Row],[2049]]</f>
        <v>0</v>
      </c>
      <c r="AA144">
        <f>scenario_jobcoeff_4506_iotable_2020_xlsx_3[[#This Row],[2050]]+scenario_jobcoeff_1610_iotable_2020_xlsx_3[[#This Row],[2050]]</f>
        <v>0</v>
      </c>
    </row>
    <row r="145" spans="1:27" x14ac:dyDescent="0.2">
      <c r="A145" t="s">
        <v>60</v>
      </c>
      <c r="B145" t="s">
        <v>61</v>
      </c>
      <c r="C145">
        <f>scenario_jobcoeff_4506_iotable_2020_xlsx_3[[#This Row],[2026]]+scenario_jobcoeff_1610_iotable_2020_xlsx_3[[#This Row],[2026]]</f>
        <v>169.27216413771006</v>
      </c>
      <c r="D145">
        <f>scenario_jobcoeff_4506_iotable_2020_xlsx_3[[#This Row],[2027]]+scenario_jobcoeff_1610_iotable_2020_xlsx_3[[#This Row],[2027]]</f>
        <v>159.10175197140924</v>
      </c>
      <c r="E145">
        <f>scenario_jobcoeff_4506_iotable_2020_xlsx_3[[#This Row],[2028]]+scenario_jobcoeff_1610_iotable_2020_xlsx_3[[#This Row],[2028]]</f>
        <v>168.01443693657808</v>
      </c>
      <c r="F145">
        <f>scenario_jobcoeff_4506_iotable_2020_xlsx_3[[#This Row],[2029]]+scenario_jobcoeff_1610_iotable_2020_xlsx_3[[#This Row],[2029]]</f>
        <v>170.29084310137125</v>
      </c>
      <c r="G145">
        <f>scenario_jobcoeff_4506_iotable_2020_xlsx_3[[#This Row],[2030]]+scenario_jobcoeff_1610_iotable_2020_xlsx_3[[#This Row],[2030]]</f>
        <v>127.6737076506401</v>
      </c>
      <c r="H145">
        <f>scenario_jobcoeff_4506_iotable_2020_xlsx_3[[#This Row],[2031]]+scenario_jobcoeff_1610_iotable_2020_xlsx_3[[#This Row],[2031]]</f>
        <v>139.69869881939431</v>
      </c>
      <c r="I145">
        <f>scenario_jobcoeff_4506_iotable_2020_xlsx_3[[#This Row],[2032]]+scenario_jobcoeff_1610_iotable_2020_xlsx_3[[#This Row],[2032]]</f>
        <v>156.49266910196425</v>
      </c>
      <c r="J145">
        <f>scenario_jobcoeff_4506_iotable_2020_xlsx_3[[#This Row],[2033]]+scenario_jobcoeff_1610_iotable_2020_xlsx_3[[#This Row],[2033]]</f>
        <v>163.23372088185658</v>
      </c>
      <c r="K145">
        <f>scenario_jobcoeff_4506_iotable_2020_xlsx_3[[#This Row],[2034]]+scenario_jobcoeff_1610_iotable_2020_xlsx_3[[#This Row],[2034]]</f>
        <v>178.86138583608493</v>
      </c>
      <c r="L145">
        <f>scenario_jobcoeff_4506_iotable_2020_xlsx_3[[#This Row],[2035]]+scenario_jobcoeff_1610_iotable_2020_xlsx_3[[#This Row],[2035]]</f>
        <v>193.05354321976034</v>
      </c>
      <c r="M145">
        <f>scenario_jobcoeff_4506_iotable_2020_xlsx_3[[#This Row],[2036]]+scenario_jobcoeff_1610_iotable_2020_xlsx_3[[#This Row],[2036]]</f>
        <v>190.79454592174073</v>
      </c>
      <c r="N145">
        <f>scenario_jobcoeff_4506_iotable_2020_xlsx_3[[#This Row],[2037]]+scenario_jobcoeff_1610_iotable_2020_xlsx_3[[#This Row],[2037]]</f>
        <v>189.45115844352506</v>
      </c>
      <c r="O145">
        <f>scenario_jobcoeff_4506_iotable_2020_xlsx_3[[#This Row],[2038]]+scenario_jobcoeff_1610_iotable_2020_xlsx_3[[#This Row],[2038]]</f>
        <v>189.45115844352506</v>
      </c>
      <c r="P145">
        <f>scenario_jobcoeff_4506_iotable_2020_xlsx_3[[#This Row],[2039]]+scenario_jobcoeff_1610_iotable_2020_xlsx_3[[#This Row],[2039]]</f>
        <v>189.45115844352506</v>
      </c>
      <c r="Q145">
        <f>scenario_jobcoeff_4506_iotable_2020_xlsx_3[[#This Row],[2040]]+scenario_jobcoeff_1610_iotable_2020_xlsx_3[[#This Row],[2040]]</f>
        <v>188.16361593221677</v>
      </c>
      <c r="R145">
        <f>scenario_jobcoeff_4506_iotable_2020_xlsx_3[[#This Row],[2041]]+scenario_jobcoeff_1610_iotable_2020_xlsx_3[[#This Row],[2041]]</f>
        <v>188.16361593221677</v>
      </c>
      <c r="S145">
        <f>scenario_jobcoeff_4506_iotable_2020_xlsx_3[[#This Row],[2042]]+scenario_jobcoeff_1610_iotable_2020_xlsx_3[[#This Row],[2042]]</f>
        <v>187.08401500245031</v>
      </c>
      <c r="T145">
        <f>scenario_jobcoeff_4506_iotable_2020_xlsx_3[[#This Row],[2043]]+scenario_jobcoeff_1610_iotable_2020_xlsx_3[[#This Row],[2043]]</f>
        <v>187.08401500245031</v>
      </c>
      <c r="U145">
        <f>scenario_jobcoeff_4506_iotable_2020_xlsx_3[[#This Row],[2044]]+scenario_jobcoeff_1610_iotable_2020_xlsx_3[[#This Row],[2044]]</f>
        <v>185.02360673356151</v>
      </c>
      <c r="V145">
        <f>scenario_jobcoeff_4506_iotable_2020_xlsx_3[[#This Row],[2045]]+scenario_jobcoeff_1610_iotable_2020_xlsx_3[[#This Row],[2045]]</f>
        <v>185.02360673356151</v>
      </c>
      <c r="W145">
        <f>scenario_jobcoeff_4506_iotable_2020_xlsx_3[[#This Row],[2046]]+scenario_jobcoeff_1610_iotable_2020_xlsx_3[[#This Row],[2046]]</f>
        <v>183.59722556030215</v>
      </c>
      <c r="X145">
        <f>scenario_jobcoeff_4506_iotable_2020_xlsx_3[[#This Row],[2047]]+scenario_jobcoeff_1610_iotable_2020_xlsx_3[[#This Row],[2047]]</f>
        <v>183.59722556030215</v>
      </c>
      <c r="Y145">
        <f>scenario_jobcoeff_4506_iotable_2020_xlsx_3[[#This Row],[2048]]+scenario_jobcoeff_1610_iotable_2020_xlsx_3[[#This Row],[2048]]</f>
        <v>183.59722556030215</v>
      </c>
      <c r="Z145">
        <f>scenario_jobcoeff_4506_iotable_2020_xlsx_3[[#This Row],[2049]]+scenario_jobcoeff_1610_iotable_2020_xlsx_3[[#This Row],[2049]]</f>
        <v>183.59722556030215</v>
      </c>
      <c r="AA145">
        <f>scenario_jobcoeff_4506_iotable_2020_xlsx_3[[#This Row],[2050]]+scenario_jobcoeff_1610_iotable_2020_xlsx_3[[#This Row],[2050]]</f>
        <v>183.59722556030215</v>
      </c>
    </row>
    <row r="146" spans="1:27" x14ac:dyDescent="0.2">
      <c r="A146" t="s">
        <v>52</v>
      </c>
      <c r="B146" t="s">
        <v>53</v>
      </c>
      <c r="C146">
        <f>scenario_jobcoeff_4506_iotable_2020_xlsx_3[[#This Row],[2026]]+scenario_jobcoeff_1610_iotable_2020_xlsx_3[[#This Row],[2026]]</f>
        <v>190.10065101376392</v>
      </c>
      <c r="D146">
        <f>scenario_jobcoeff_4506_iotable_2020_xlsx_3[[#This Row],[2027]]+scenario_jobcoeff_1610_iotable_2020_xlsx_3[[#This Row],[2027]]</f>
        <v>188.40419141372701</v>
      </c>
      <c r="E146">
        <f>scenario_jobcoeff_4506_iotable_2020_xlsx_3[[#This Row],[2028]]+scenario_jobcoeff_1610_iotable_2020_xlsx_3[[#This Row],[2028]]</f>
        <v>197.83551846481964</v>
      </c>
      <c r="F146">
        <f>scenario_jobcoeff_4506_iotable_2020_xlsx_3[[#This Row],[2029]]+scenario_jobcoeff_1610_iotable_2020_xlsx_3[[#This Row],[2029]]</f>
        <v>203.87070582827315</v>
      </c>
      <c r="G146">
        <f>scenario_jobcoeff_4506_iotable_2020_xlsx_3[[#This Row],[2030]]+scenario_jobcoeff_1610_iotable_2020_xlsx_3[[#This Row],[2030]]</f>
        <v>189.51151951064077</v>
      </c>
      <c r="H146">
        <f>scenario_jobcoeff_4506_iotable_2020_xlsx_3[[#This Row],[2031]]+scenario_jobcoeff_1610_iotable_2020_xlsx_3[[#This Row],[2031]]</f>
        <v>202.23626238467253</v>
      </c>
      <c r="I146">
        <f>scenario_jobcoeff_4506_iotable_2020_xlsx_3[[#This Row],[2032]]+scenario_jobcoeff_1610_iotable_2020_xlsx_3[[#This Row],[2032]]</f>
        <v>220.0074981952325</v>
      </c>
      <c r="J146">
        <f>scenario_jobcoeff_4506_iotable_2020_xlsx_3[[#This Row],[2033]]+scenario_jobcoeff_1610_iotable_2020_xlsx_3[[#This Row],[2033]]</f>
        <v>244.28800455770568</v>
      </c>
      <c r="K146">
        <f>scenario_jobcoeff_4506_iotable_2020_xlsx_3[[#This Row],[2034]]+scenario_jobcoeff_1610_iotable_2020_xlsx_3[[#This Row],[2034]]</f>
        <v>260.82506603853125</v>
      </c>
      <c r="L146">
        <f>scenario_jobcoeff_4506_iotable_2020_xlsx_3[[#This Row],[2035]]+scenario_jobcoeff_1610_iotable_2020_xlsx_3[[#This Row],[2035]]</f>
        <v>297.54937324634278</v>
      </c>
      <c r="M146">
        <f>scenario_jobcoeff_4506_iotable_2020_xlsx_3[[#This Row],[2036]]+scenario_jobcoeff_1610_iotable_2020_xlsx_3[[#This Row],[2036]]</f>
        <v>309.40650148672779</v>
      </c>
      <c r="N146">
        <f>scenario_jobcoeff_4506_iotable_2020_xlsx_3[[#This Row],[2037]]+scenario_jobcoeff_1610_iotable_2020_xlsx_3[[#This Row],[2037]]</f>
        <v>320.44025723290821</v>
      </c>
      <c r="O146">
        <f>scenario_jobcoeff_4506_iotable_2020_xlsx_3[[#This Row],[2038]]+scenario_jobcoeff_1610_iotable_2020_xlsx_3[[#This Row],[2038]]</f>
        <v>320.44025723290821</v>
      </c>
      <c r="P146">
        <f>scenario_jobcoeff_4506_iotable_2020_xlsx_3[[#This Row],[2039]]+scenario_jobcoeff_1610_iotable_2020_xlsx_3[[#This Row],[2039]]</f>
        <v>320.44025723290821</v>
      </c>
      <c r="Q146">
        <f>scenario_jobcoeff_4506_iotable_2020_xlsx_3[[#This Row],[2040]]+scenario_jobcoeff_1610_iotable_2020_xlsx_3[[#This Row],[2040]]</f>
        <v>330.01239913515229</v>
      </c>
      <c r="R146">
        <f>scenario_jobcoeff_4506_iotable_2020_xlsx_3[[#This Row],[2041]]+scenario_jobcoeff_1610_iotable_2020_xlsx_3[[#This Row],[2041]]</f>
        <v>330.01239913515229</v>
      </c>
      <c r="S146">
        <f>scenario_jobcoeff_4506_iotable_2020_xlsx_3[[#This Row],[2042]]+scenario_jobcoeff_1610_iotable_2020_xlsx_3[[#This Row],[2042]]</f>
        <v>340.9390803647857</v>
      </c>
      <c r="T146">
        <f>scenario_jobcoeff_4506_iotable_2020_xlsx_3[[#This Row],[2043]]+scenario_jobcoeff_1610_iotable_2020_xlsx_3[[#This Row],[2043]]</f>
        <v>340.9390803647857</v>
      </c>
      <c r="U146">
        <f>scenario_jobcoeff_4506_iotable_2020_xlsx_3[[#This Row],[2044]]+scenario_jobcoeff_1610_iotable_2020_xlsx_3[[#This Row],[2044]]</f>
        <v>350.23649475055254</v>
      </c>
      <c r="V146">
        <f>scenario_jobcoeff_4506_iotable_2020_xlsx_3[[#This Row],[2045]]+scenario_jobcoeff_1610_iotable_2020_xlsx_3[[#This Row],[2045]]</f>
        <v>350.23649475055254</v>
      </c>
      <c r="W146">
        <f>scenario_jobcoeff_4506_iotable_2020_xlsx_3[[#This Row],[2046]]+scenario_jobcoeff_1610_iotable_2020_xlsx_3[[#This Row],[2046]]</f>
        <v>358.50006773956687</v>
      </c>
      <c r="X146">
        <f>scenario_jobcoeff_4506_iotable_2020_xlsx_3[[#This Row],[2047]]+scenario_jobcoeff_1610_iotable_2020_xlsx_3[[#This Row],[2047]]</f>
        <v>358.50006773956687</v>
      </c>
      <c r="Y146">
        <f>scenario_jobcoeff_4506_iotable_2020_xlsx_3[[#This Row],[2048]]+scenario_jobcoeff_1610_iotable_2020_xlsx_3[[#This Row],[2048]]</f>
        <v>358.50006773956687</v>
      </c>
      <c r="Z146">
        <f>scenario_jobcoeff_4506_iotable_2020_xlsx_3[[#This Row],[2049]]+scenario_jobcoeff_1610_iotable_2020_xlsx_3[[#This Row],[2049]]</f>
        <v>358.50006773956687</v>
      </c>
      <c r="AA146">
        <f>scenario_jobcoeff_4506_iotable_2020_xlsx_3[[#This Row],[2050]]+scenario_jobcoeff_1610_iotable_2020_xlsx_3[[#This Row],[2050]]</f>
        <v>358.50006773956687</v>
      </c>
    </row>
    <row r="147" spans="1:27" x14ac:dyDescent="0.2">
      <c r="A147" t="s">
        <v>308</v>
      </c>
      <c r="B147" t="s">
        <v>309</v>
      </c>
      <c r="C147">
        <f>scenario_jobcoeff_4506_iotable_2020_xlsx_3[[#This Row],[2026]]+scenario_jobcoeff_1610_iotable_2020_xlsx_3[[#This Row],[2026]]</f>
        <v>2.2526313568911892E-2</v>
      </c>
      <c r="D147">
        <f>scenario_jobcoeff_4506_iotable_2020_xlsx_3[[#This Row],[2027]]+scenario_jobcoeff_1610_iotable_2020_xlsx_3[[#This Row],[2027]]</f>
        <v>2.3360349615414069E-2</v>
      </c>
      <c r="E147">
        <f>scenario_jobcoeff_4506_iotable_2020_xlsx_3[[#This Row],[2028]]+scenario_jobcoeff_1610_iotable_2020_xlsx_3[[#This Row],[2028]]</f>
        <v>2.4416411393493386E-2</v>
      </c>
      <c r="F147">
        <f>scenario_jobcoeff_4506_iotable_2020_xlsx_3[[#This Row],[2029]]+scenario_jobcoeff_1610_iotable_2020_xlsx_3[[#This Row],[2029]]</f>
        <v>2.5501792504854608E-2</v>
      </c>
      <c r="G147">
        <f>scenario_jobcoeff_4506_iotable_2020_xlsx_3[[#This Row],[2030]]+scenario_jobcoeff_1610_iotable_2020_xlsx_3[[#This Row],[2030]]</f>
        <v>2.736583589664883E-2</v>
      </c>
      <c r="H147">
        <f>scenario_jobcoeff_4506_iotable_2020_xlsx_3[[#This Row],[2031]]+scenario_jobcoeff_1610_iotable_2020_xlsx_3[[#This Row],[2031]]</f>
        <v>2.879067404639736E-2</v>
      </c>
      <c r="I147">
        <f>scenario_jobcoeff_4506_iotable_2020_xlsx_3[[#This Row],[2032]]+scenario_jobcoeff_1610_iotable_2020_xlsx_3[[#This Row],[2032]]</f>
        <v>3.0780587320223714E-2</v>
      </c>
      <c r="J147">
        <f>scenario_jobcoeff_4506_iotable_2020_xlsx_3[[#This Row],[2033]]+scenario_jobcoeff_1610_iotable_2020_xlsx_3[[#This Row],[2033]]</f>
        <v>3.543617094746554E-2</v>
      </c>
      <c r="K147">
        <f>scenario_jobcoeff_4506_iotable_2020_xlsx_3[[#This Row],[2034]]+scenario_jobcoeff_1610_iotable_2020_xlsx_3[[#This Row],[2034]]</f>
        <v>3.7287888999128736E-2</v>
      </c>
      <c r="L147">
        <f>scenario_jobcoeff_4506_iotable_2020_xlsx_3[[#This Row],[2035]]+scenario_jobcoeff_1610_iotable_2020_xlsx_3[[#This Row],[2035]]</f>
        <v>4.3851810957067652E-2</v>
      </c>
      <c r="M147">
        <f>scenario_jobcoeff_4506_iotable_2020_xlsx_3[[#This Row],[2036]]+scenario_jobcoeff_1610_iotable_2020_xlsx_3[[#This Row],[2036]]</f>
        <v>4.6788786474852254E-2</v>
      </c>
      <c r="N147">
        <f>scenario_jobcoeff_4506_iotable_2020_xlsx_3[[#This Row],[2037]]+scenario_jobcoeff_1610_iotable_2020_xlsx_3[[#This Row],[2037]]</f>
        <v>4.9431126782836524E-2</v>
      </c>
      <c r="O147">
        <f>scenario_jobcoeff_4506_iotable_2020_xlsx_3[[#This Row],[2038]]+scenario_jobcoeff_1610_iotable_2020_xlsx_3[[#This Row],[2038]]</f>
        <v>4.9431126782836524E-2</v>
      </c>
      <c r="P147">
        <f>scenario_jobcoeff_4506_iotable_2020_xlsx_3[[#This Row],[2039]]+scenario_jobcoeff_1610_iotable_2020_xlsx_3[[#This Row],[2039]]</f>
        <v>4.9431126782836524E-2</v>
      </c>
      <c r="Q147">
        <f>scenario_jobcoeff_4506_iotable_2020_xlsx_3[[#This Row],[2040]]+scenario_jobcoeff_1610_iotable_2020_xlsx_3[[#This Row],[2040]]</f>
        <v>5.1738038077262509E-2</v>
      </c>
      <c r="R147">
        <f>scenario_jobcoeff_4506_iotable_2020_xlsx_3[[#This Row],[2041]]+scenario_jobcoeff_1610_iotable_2020_xlsx_3[[#This Row],[2041]]</f>
        <v>5.1738038077262509E-2</v>
      </c>
      <c r="S147">
        <f>scenario_jobcoeff_4506_iotable_2020_xlsx_3[[#This Row],[2042]]+scenario_jobcoeff_1610_iotable_2020_xlsx_3[[#This Row],[2042]]</f>
        <v>5.4324765655293594E-2</v>
      </c>
      <c r="T147">
        <f>scenario_jobcoeff_4506_iotable_2020_xlsx_3[[#This Row],[2043]]+scenario_jobcoeff_1610_iotable_2020_xlsx_3[[#This Row],[2043]]</f>
        <v>5.4324765655293594E-2</v>
      </c>
      <c r="U147">
        <f>scenario_jobcoeff_4506_iotable_2020_xlsx_3[[#This Row],[2044]]+scenario_jobcoeff_1610_iotable_2020_xlsx_3[[#This Row],[2044]]</f>
        <v>5.6662260096738866E-2</v>
      </c>
      <c r="V147">
        <f>scenario_jobcoeff_4506_iotable_2020_xlsx_3[[#This Row],[2045]]+scenario_jobcoeff_1610_iotable_2020_xlsx_3[[#This Row],[2045]]</f>
        <v>5.6662260096738866E-2</v>
      </c>
      <c r="W147">
        <f>scenario_jobcoeff_4506_iotable_2020_xlsx_3[[#This Row],[2046]]+scenario_jobcoeff_1610_iotable_2020_xlsx_3[[#This Row],[2046]]</f>
        <v>5.8691435535282964E-2</v>
      </c>
      <c r="X147">
        <f>scenario_jobcoeff_4506_iotable_2020_xlsx_3[[#This Row],[2047]]+scenario_jobcoeff_1610_iotable_2020_xlsx_3[[#This Row],[2047]]</f>
        <v>5.8691435535282964E-2</v>
      </c>
      <c r="Y147">
        <f>scenario_jobcoeff_4506_iotable_2020_xlsx_3[[#This Row],[2048]]+scenario_jobcoeff_1610_iotable_2020_xlsx_3[[#This Row],[2048]]</f>
        <v>5.8691435535282964E-2</v>
      </c>
      <c r="Z147">
        <f>scenario_jobcoeff_4506_iotable_2020_xlsx_3[[#This Row],[2049]]+scenario_jobcoeff_1610_iotable_2020_xlsx_3[[#This Row],[2049]]</f>
        <v>5.8691435535282964E-2</v>
      </c>
      <c r="AA147">
        <f>scenario_jobcoeff_4506_iotable_2020_xlsx_3[[#This Row],[2050]]+scenario_jobcoeff_1610_iotable_2020_xlsx_3[[#This Row],[2050]]</f>
        <v>5.8691435535282964E-2</v>
      </c>
    </row>
    <row r="148" spans="1:27" x14ac:dyDescent="0.2">
      <c r="A148" t="s">
        <v>8</v>
      </c>
      <c r="B148" t="s">
        <v>9</v>
      </c>
      <c r="C148">
        <f>scenario_jobcoeff_4506_iotable_2020_xlsx_3[[#This Row],[2026]]+scenario_jobcoeff_1610_iotable_2020_xlsx_3[[#This Row],[2026]]</f>
        <v>1774.8686075060812</v>
      </c>
      <c r="D148">
        <f>scenario_jobcoeff_4506_iotable_2020_xlsx_3[[#This Row],[2027]]+scenario_jobcoeff_1610_iotable_2020_xlsx_3[[#This Row],[2027]]</f>
        <v>1784.2084287752509</v>
      </c>
      <c r="E148">
        <f>scenario_jobcoeff_4506_iotable_2020_xlsx_3[[#This Row],[2028]]+scenario_jobcoeff_1610_iotable_2020_xlsx_3[[#This Row],[2028]]</f>
        <v>1870.7671816222496</v>
      </c>
      <c r="F148">
        <f>scenario_jobcoeff_4506_iotable_2020_xlsx_3[[#This Row],[2029]]+scenario_jobcoeff_1610_iotable_2020_xlsx_3[[#This Row],[2029]]</f>
        <v>1936.120703139934</v>
      </c>
      <c r="G148">
        <f>scenario_jobcoeff_4506_iotable_2020_xlsx_3[[#This Row],[2030]]+scenario_jobcoeff_1610_iotable_2020_xlsx_3[[#This Row],[2030]]</f>
        <v>1888.7919920026641</v>
      </c>
      <c r="H148">
        <f>scenario_jobcoeff_4506_iotable_2020_xlsx_3[[#This Row],[2031]]+scenario_jobcoeff_1610_iotable_2020_xlsx_3[[#This Row],[2031]]</f>
        <v>2005.5770284570326</v>
      </c>
      <c r="I148">
        <f>scenario_jobcoeff_4506_iotable_2020_xlsx_3[[#This Row],[2032]]+scenario_jobcoeff_1610_iotable_2020_xlsx_3[[#This Row],[2032]]</f>
        <v>2168.6777246770607</v>
      </c>
      <c r="J148">
        <f>scenario_jobcoeff_4506_iotable_2020_xlsx_3[[#This Row],[2033]]+scenario_jobcoeff_1610_iotable_2020_xlsx_3[[#This Row],[2033]]</f>
        <v>2438.6335554313519</v>
      </c>
      <c r="K148">
        <f>scenario_jobcoeff_4506_iotable_2020_xlsx_3[[#This Row],[2034]]+scenario_jobcoeff_1610_iotable_2020_xlsx_3[[#This Row],[2034]]</f>
        <v>2590.4072570302778</v>
      </c>
      <c r="L148">
        <f>scenario_jobcoeff_4506_iotable_2020_xlsx_3[[#This Row],[2035]]+scenario_jobcoeff_1610_iotable_2020_xlsx_3[[#This Row],[2035]]</f>
        <v>2987.0965071740407</v>
      </c>
      <c r="M148">
        <f>scenario_jobcoeff_4506_iotable_2020_xlsx_3[[#This Row],[2036]]+scenario_jobcoeff_1610_iotable_2020_xlsx_3[[#This Row],[2036]]</f>
        <v>3135.0660783591011</v>
      </c>
      <c r="N148">
        <f>scenario_jobcoeff_4506_iotable_2020_xlsx_3[[#This Row],[2037]]+scenario_jobcoeff_1610_iotable_2020_xlsx_3[[#This Row],[2037]]</f>
        <v>3270.5544023993139</v>
      </c>
      <c r="O148">
        <f>scenario_jobcoeff_4506_iotable_2020_xlsx_3[[#This Row],[2038]]+scenario_jobcoeff_1610_iotable_2020_xlsx_3[[#This Row],[2038]]</f>
        <v>3270.5544023993139</v>
      </c>
      <c r="P148">
        <f>scenario_jobcoeff_4506_iotable_2020_xlsx_3[[#This Row],[2039]]+scenario_jobcoeff_1610_iotable_2020_xlsx_3[[#This Row],[2039]]</f>
        <v>3270.5544023993139</v>
      </c>
      <c r="Q148">
        <f>scenario_jobcoeff_4506_iotable_2020_xlsx_3[[#This Row],[2040]]+scenario_jobcoeff_1610_iotable_2020_xlsx_3[[#This Row],[2040]]</f>
        <v>3388.4499691243959</v>
      </c>
      <c r="R148">
        <f>scenario_jobcoeff_4506_iotable_2020_xlsx_3[[#This Row],[2041]]+scenario_jobcoeff_1610_iotable_2020_xlsx_3[[#This Row],[2041]]</f>
        <v>3388.4499691243959</v>
      </c>
      <c r="S148">
        <f>scenario_jobcoeff_4506_iotable_2020_xlsx_3[[#This Row],[2042]]+scenario_jobcoeff_1610_iotable_2020_xlsx_3[[#This Row],[2042]]</f>
        <v>3521.8944135487395</v>
      </c>
      <c r="T148">
        <f>scenario_jobcoeff_4506_iotable_2020_xlsx_3[[#This Row],[2043]]+scenario_jobcoeff_1610_iotable_2020_xlsx_3[[#This Row],[2043]]</f>
        <v>3521.8944135487395</v>
      </c>
      <c r="U148">
        <f>scenario_jobcoeff_4506_iotable_2020_xlsx_3[[#This Row],[2044]]+scenario_jobcoeff_1610_iotable_2020_xlsx_3[[#This Row],[2044]]</f>
        <v>3638.7608696684861</v>
      </c>
      <c r="V148">
        <f>scenario_jobcoeff_4506_iotable_2020_xlsx_3[[#This Row],[2045]]+scenario_jobcoeff_1610_iotable_2020_xlsx_3[[#This Row],[2045]]</f>
        <v>3638.7608696684861</v>
      </c>
      <c r="W148">
        <f>scenario_jobcoeff_4506_iotable_2020_xlsx_3[[#This Row],[2046]]+scenario_jobcoeff_1610_iotable_2020_xlsx_3[[#This Row],[2046]]</f>
        <v>3741.4548567718653</v>
      </c>
      <c r="X148">
        <f>scenario_jobcoeff_4506_iotable_2020_xlsx_3[[#This Row],[2047]]+scenario_jobcoeff_1610_iotable_2020_xlsx_3[[#This Row],[2047]]</f>
        <v>3741.4548567718653</v>
      </c>
      <c r="Y148">
        <f>scenario_jobcoeff_4506_iotable_2020_xlsx_3[[#This Row],[2048]]+scenario_jobcoeff_1610_iotable_2020_xlsx_3[[#This Row],[2048]]</f>
        <v>3741.4548567718653</v>
      </c>
      <c r="Z148">
        <f>scenario_jobcoeff_4506_iotable_2020_xlsx_3[[#This Row],[2049]]+scenario_jobcoeff_1610_iotable_2020_xlsx_3[[#This Row],[2049]]</f>
        <v>3741.4548567718653</v>
      </c>
      <c r="AA148">
        <f>scenario_jobcoeff_4506_iotable_2020_xlsx_3[[#This Row],[2050]]+scenario_jobcoeff_1610_iotable_2020_xlsx_3[[#This Row],[2050]]</f>
        <v>3741.4548567718653</v>
      </c>
    </row>
    <row r="149" spans="1:27" x14ac:dyDescent="0.2">
      <c r="A149" t="s">
        <v>88</v>
      </c>
      <c r="B149" t="s">
        <v>89</v>
      </c>
      <c r="C149">
        <f>scenario_jobcoeff_4506_iotable_2020_xlsx_3[[#This Row],[2026]]+scenario_jobcoeff_1610_iotable_2020_xlsx_3[[#This Row],[2026]]</f>
        <v>97.939246348160609</v>
      </c>
      <c r="D149">
        <f>scenario_jobcoeff_4506_iotable_2020_xlsx_3[[#This Row],[2027]]+scenario_jobcoeff_1610_iotable_2020_xlsx_3[[#This Row],[2027]]</f>
        <v>97.293503194512923</v>
      </c>
      <c r="E149">
        <f>scenario_jobcoeff_4506_iotable_2020_xlsx_3[[#This Row],[2028]]+scenario_jobcoeff_1610_iotable_2020_xlsx_3[[#This Row],[2028]]</f>
        <v>102.13892534080456</v>
      </c>
      <c r="F149">
        <f>scenario_jobcoeff_4506_iotable_2020_xlsx_3[[#This Row],[2029]]+scenario_jobcoeff_1610_iotable_2020_xlsx_3[[#This Row],[2029]]</f>
        <v>105.32988347939377</v>
      </c>
      <c r="G149">
        <f>scenario_jobcoeff_4506_iotable_2020_xlsx_3[[#This Row],[2030]]+scenario_jobcoeff_1610_iotable_2020_xlsx_3[[#This Row],[2030]]</f>
        <v>98.718408335972867</v>
      </c>
      <c r="H149">
        <f>scenario_jobcoeff_4506_iotable_2020_xlsx_3[[#This Row],[2031]]+scenario_jobcoeff_1610_iotable_2020_xlsx_3[[#This Row],[2031]]</f>
        <v>105.25585005479827</v>
      </c>
      <c r="I149">
        <f>scenario_jobcoeff_4506_iotable_2020_xlsx_3[[#This Row],[2032]]+scenario_jobcoeff_1610_iotable_2020_xlsx_3[[#This Row],[2032]]</f>
        <v>114.38596918829627</v>
      </c>
      <c r="J149">
        <f>scenario_jobcoeff_4506_iotable_2020_xlsx_3[[#This Row],[2033]]+scenario_jobcoeff_1610_iotable_2020_xlsx_3[[#This Row],[2033]]</f>
        <v>127.28741293347315</v>
      </c>
      <c r="K149">
        <f>scenario_jobcoeff_4506_iotable_2020_xlsx_3[[#This Row],[2034]]+scenario_jobcoeff_1610_iotable_2020_xlsx_3[[#This Row],[2034]]</f>
        <v>135.78346481458095</v>
      </c>
      <c r="L149">
        <f>scenario_jobcoeff_4506_iotable_2020_xlsx_3[[#This Row],[2035]]+scenario_jobcoeff_1610_iotable_2020_xlsx_3[[#This Row],[2035]]</f>
        <v>155.19158043351158</v>
      </c>
      <c r="M149">
        <f>scenario_jobcoeff_4506_iotable_2020_xlsx_3[[#This Row],[2036]]+scenario_jobcoeff_1610_iotable_2020_xlsx_3[[#This Row],[2036]]</f>
        <v>161.63818251862972</v>
      </c>
      <c r="N149">
        <f>scenario_jobcoeff_4506_iotable_2020_xlsx_3[[#This Row],[2037]]+scenario_jobcoeff_1610_iotable_2020_xlsx_3[[#This Row],[2037]]</f>
        <v>167.6171252509285</v>
      </c>
      <c r="O149">
        <f>scenario_jobcoeff_4506_iotable_2020_xlsx_3[[#This Row],[2038]]+scenario_jobcoeff_1610_iotable_2020_xlsx_3[[#This Row],[2038]]</f>
        <v>167.6171252509285</v>
      </c>
      <c r="P149">
        <f>scenario_jobcoeff_4506_iotable_2020_xlsx_3[[#This Row],[2039]]+scenario_jobcoeff_1610_iotable_2020_xlsx_3[[#This Row],[2039]]</f>
        <v>167.6171252509285</v>
      </c>
      <c r="Q149">
        <f>scenario_jobcoeff_4506_iotable_2020_xlsx_3[[#This Row],[2040]]+scenario_jobcoeff_1610_iotable_2020_xlsx_3[[#This Row],[2040]]</f>
        <v>172.80727123806977</v>
      </c>
      <c r="R149">
        <f>scenario_jobcoeff_4506_iotable_2020_xlsx_3[[#This Row],[2041]]+scenario_jobcoeff_1610_iotable_2020_xlsx_3[[#This Row],[2041]]</f>
        <v>172.80727123806977</v>
      </c>
      <c r="S149">
        <f>scenario_jobcoeff_4506_iotable_2020_xlsx_3[[#This Row],[2042]]+scenario_jobcoeff_1610_iotable_2020_xlsx_3[[#This Row],[2042]]</f>
        <v>178.72158310498656</v>
      </c>
      <c r="T149">
        <f>scenario_jobcoeff_4506_iotable_2020_xlsx_3[[#This Row],[2043]]+scenario_jobcoeff_1610_iotable_2020_xlsx_3[[#This Row],[2043]]</f>
        <v>178.72158310498656</v>
      </c>
      <c r="U149">
        <f>scenario_jobcoeff_4506_iotable_2020_xlsx_3[[#This Row],[2044]]+scenario_jobcoeff_1610_iotable_2020_xlsx_3[[#This Row],[2044]]</f>
        <v>183.78411439092707</v>
      </c>
      <c r="V149">
        <f>scenario_jobcoeff_4506_iotable_2020_xlsx_3[[#This Row],[2045]]+scenario_jobcoeff_1610_iotable_2020_xlsx_3[[#This Row],[2045]]</f>
        <v>183.78411439092707</v>
      </c>
      <c r="W149">
        <f>scenario_jobcoeff_4506_iotable_2020_xlsx_3[[#This Row],[2046]]+scenario_jobcoeff_1610_iotable_2020_xlsx_3[[#This Row],[2046]]</f>
        <v>188.27303578443917</v>
      </c>
      <c r="X149">
        <f>scenario_jobcoeff_4506_iotable_2020_xlsx_3[[#This Row],[2047]]+scenario_jobcoeff_1610_iotable_2020_xlsx_3[[#This Row],[2047]]</f>
        <v>188.27303578443917</v>
      </c>
      <c r="Y149">
        <f>scenario_jobcoeff_4506_iotable_2020_xlsx_3[[#This Row],[2048]]+scenario_jobcoeff_1610_iotable_2020_xlsx_3[[#This Row],[2048]]</f>
        <v>188.27303578443917</v>
      </c>
      <c r="Z149">
        <f>scenario_jobcoeff_4506_iotable_2020_xlsx_3[[#This Row],[2049]]+scenario_jobcoeff_1610_iotable_2020_xlsx_3[[#This Row],[2049]]</f>
        <v>188.27303578443917</v>
      </c>
      <c r="AA149">
        <f>scenario_jobcoeff_4506_iotable_2020_xlsx_3[[#This Row],[2050]]+scenario_jobcoeff_1610_iotable_2020_xlsx_3[[#This Row],[2050]]</f>
        <v>188.27303578443917</v>
      </c>
    </row>
    <row r="150" spans="1:27" x14ac:dyDescent="0.2">
      <c r="A150" t="s">
        <v>208</v>
      </c>
      <c r="B150" t="s">
        <v>209</v>
      </c>
      <c r="C150">
        <f>scenario_jobcoeff_4506_iotable_2020_xlsx_3[[#This Row],[2026]]+scenario_jobcoeff_1610_iotable_2020_xlsx_3[[#This Row],[2026]]</f>
        <v>15.181033182357929</v>
      </c>
      <c r="D150">
        <f>scenario_jobcoeff_4506_iotable_2020_xlsx_3[[#This Row],[2027]]+scenario_jobcoeff_1610_iotable_2020_xlsx_3[[#This Row],[2027]]</f>
        <v>14.630661538825603</v>
      </c>
      <c r="E150">
        <f>scenario_jobcoeff_4506_iotable_2020_xlsx_3[[#This Row],[2028]]+scenario_jobcoeff_1610_iotable_2020_xlsx_3[[#This Row],[2028]]</f>
        <v>15.408487051613202</v>
      </c>
      <c r="F150">
        <f>scenario_jobcoeff_4506_iotable_2020_xlsx_3[[#This Row],[2029]]+scenario_jobcoeff_1610_iotable_2020_xlsx_3[[#This Row],[2029]]</f>
        <v>15.742040152621085</v>
      </c>
      <c r="G150">
        <f>scenario_jobcoeff_4506_iotable_2020_xlsx_3[[#This Row],[2030]]+scenario_jobcoeff_1610_iotable_2020_xlsx_3[[#This Row],[2030]]</f>
        <v>13.16611946026698</v>
      </c>
      <c r="H150">
        <f>scenario_jobcoeff_4506_iotable_2020_xlsx_3[[#This Row],[2031]]+scenario_jobcoeff_1610_iotable_2020_xlsx_3[[#This Row],[2031]]</f>
        <v>14.215561346595946</v>
      </c>
      <c r="I150">
        <f>scenario_jobcoeff_4506_iotable_2020_xlsx_3[[#This Row],[2032]]+scenario_jobcoeff_1610_iotable_2020_xlsx_3[[#This Row],[2032]]</f>
        <v>15.681200331686254</v>
      </c>
      <c r="J150">
        <f>scenario_jobcoeff_4506_iotable_2020_xlsx_3[[#This Row],[2033]]+scenario_jobcoeff_1610_iotable_2020_xlsx_3[[#This Row],[2033]]</f>
        <v>16.9073235389247</v>
      </c>
      <c r="K150">
        <f>scenario_jobcoeff_4506_iotable_2020_xlsx_3[[#This Row],[2034]]+scenario_jobcoeff_1610_iotable_2020_xlsx_3[[#This Row],[2034]]</f>
        <v>18.27117703023513</v>
      </c>
      <c r="L150">
        <f>scenario_jobcoeff_4506_iotable_2020_xlsx_3[[#This Row],[2035]]+scenario_jobcoeff_1610_iotable_2020_xlsx_3[[#This Row],[2035]]</f>
        <v>20.317155163126543</v>
      </c>
      <c r="M150">
        <f>scenario_jobcoeff_4506_iotable_2020_xlsx_3[[#This Row],[2036]]+scenario_jobcoeff_1610_iotable_2020_xlsx_3[[#This Row],[2036]]</f>
        <v>20.649972556519188</v>
      </c>
      <c r="N150">
        <f>scenario_jobcoeff_4506_iotable_2020_xlsx_3[[#This Row],[2037]]+scenario_jobcoeff_1610_iotable_2020_xlsx_3[[#This Row],[2037]]</f>
        <v>20.996030408967822</v>
      </c>
      <c r="O150">
        <f>scenario_jobcoeff_4506_iotable_2020_xlsx_3[[#This Row],[2038]]+scenario_jobcoeff_1610_iotable_2020_xlsx_3[[#This Row],[2038]]</f>
        <v>20.996030408967822</v>
      </c>
      <c r="P150">
        <f>scenario_jobcoeff_4506_iotable_2020_xlsx_3[[#This Row],[2039]]+scenario_jobcoeff_1610_iotable_2020_xlsx_3[[#This Row],[2039]]</f>
        <v>20.996030408967822</v>
      </c>
      <c r="Q150">
        <f>scenario_jobcoeff_4506_iotable_2020_xlsx_3[[#This Row],[2040]]+scenario_jobcoeff_1610_iotable_2020_xlsx_3[[#This Row],[2040]]</f>
        <v>21.290396497281922</v>
      </c>
      <c r="R150">
        <f>scenario_jobcoeff_4506_iotable_2020_xlsx_3[[#This Row],[2041]]+scenario_jobcoeff_1610_iotable_2020_xlsx_3[[#This Row],[2041]]</f>
        <v>21.290396497281922</v>
      </c>
      <c r="S150">
        <f>scenario_jobcoeff_4506_iotable_2020_xlsx_3[[#This Row],[2042]]+scenario_jobcoeff_1610_iotable_2020_xlsx_3[[#This Row],[2042]]</f>
        <v>21.645109650006788</v>
      </c>
      <c r="T150">
        <f>scenario_jobcoeff_4506_iotable_2020_xlsx_3[[#This Row],[2043]]+scenario_jobcoeff_1610_iotable_2020_xlsx_3[[#This Row],[2043]]</f>
        <v>21.645109650006788</v>
      </c>
      <c r="U150">
        <f>scenario_jobcoeff_4506_iotable_2020_xlsx_3[[#This Row],[2044]]+scenario_jobcoeff_1610_iotable_2020_xlsx_3[[#This Row],[2044]]</f>
        <v>21.892228430207751</v>
      </c>
      <c r="V150">
        <f>scenario_jobcoeff_4506_iotable_2020_xlsx_3[[#This Row],[2045]]+scenario_jobcoeff_1610_iotable_2020_xlsx_3[[#This Row],[2045]]</f>
        <v>21.892228430207751</v>
      </c>
      <c r="W150">
        <f>scenario_jobcoeff_4506_iotable_2020_xlsx_3[[#This Row],[2046]]+scenario_jobcoeff_1610_iotable_2020_xlsx_3[[#This Row],[2046]]</f>
        <v>22.131268155818354</v>
      </c>
      <c r="X150">
        <f>scenario_jobcoeff_4506_iotable_2020_xlsx_3[[#This Row],[2047]]+scenario_jobcoeff_1610_iotable_2020_xlsx_3[[#This Row],[2047]]</f>
        <v>22.131268155818354</v>
      </c>
      <c r="Y150">
        <f>scenario_jobcoeff_4506_iotable_2020_xlsx_3[[#This Row],[2048]]+scenario_jobcoeff_1610_iotable_2020_xlsx_3[[#This Row],[2048]]</f>
        <v>22.131268155818354</v>
      </c>
      <c r="Z150">
        <f>scenario_jobcoeff_4506_iotable_2020_xlsx_3[[#This Row],[2049]]+scenario_jobcoeff_1610_iotable_2020_xlsx_3[[#This Row],[2049]]</f>
        <v>22.131268155818354</v>
      </c>
      <c r="AA150">
        <f>scenario_jobcoeff_4506_iotable_2020_xlsx_3[[#This Row],[2050]]+scenario_jobcoeff_1610_iotable_2020_xlsx_3[[#This Row],[2050]]</f>
        <v>22.131268155818354</v>
      </c>
    </row>
    <row r="151" spans="1:27" x14ac:dyDescent="0.2">
      <c r="A151" t="s">
        <v>22</v>
      </c>
      <c r="B151" t="s">
        <v>23</v>
      </c>
      <c r="C151">
        <f>scenario_jobcoeff_4506_iotable_2020_xlsx_3[[#This Row],[2026]]+scenario_jobcoeff_1610_iotable_2020_xlsx_3[[#This Row],[2026]]</f>
        <v>527.99069509257833</v>
      </c>
      <c r="D151">
        <f>scenario_jobcoeff_4506_iotable_2020_xlsx_3[[#This Row],[2027]]+scenario_jobcoeff_1610_iotable_2020_xlsx_3[[#This Row],[2027]]</f>
        <v>236.37058871441889</v>
      </c>
      <c r="E151">
        <f>scenario_jobcoeff_4506_iotable_2020_xlsx_3[[#This Row],[2028]]+scenario_jobcoeff_1610_iotable_2020_xlsx_3[[#This Row],[2028]]</f>
        <v>279.618135635935</v>
      </c>
      <c r="F151">
        <f>scenario_jobcoeff_4506_iotable_2020_xlsx_3[[#This Row],[2029]]+scenario_jobcoeff_1610_iotable_2020_xlsx_3[[#This Row],[2029]]</f>
        <v>193.756219495805</v>
      </c>
      <c r="G151">
        <f>scenario_jobcoeff_4506_iotable_2020_xlsx_3[[#This Row],[2030]]+scenario_jobcoeff_1610_iotable_2020_xlsx_3[[#This Row],[2030]]</f>
        <v>-834.46224663903877</v>
      </c>
      <c r="H151">
        <f>scenario_jobcoeff_4506_iotable_2020_xlsx_3[[#This Row],[2031]]+scenario_jobcoeff_1610_iotable_2020_xlsx_3[[#This Row],[2031]]</f>
        <v>-776.11267276383865</v>
      </c>
      <c r="I151">
        <f>scenario_jobcoeff_4506_iotable_2020_xlsx_3[[#This Row],[2032]]+scenario_jobcoeff_1610_iotable_2020_xlsx_3[[#This Row],[2032]]</f>
        <v>-694.62230026302791</v>
      </c>
      <c r="J151">
        <f>scenario_jobcoeff_4506_iotable_2020_xlsx_3[[#This Row],[2033]]+scenario_jobcoeff_1610_iotable_2020_xlsx_3[[#This Row],[2033]]</f>
        <v>-1120.1453194634794</v>
      </c>
      <c r="K151">
        <f>scenario_jobcoeff_4506_iotable_2020_xlsx_3[[#This Row],[2034]]+scenario_jobcoeff_1610_iotable_2020_xlsx_3[[#This Row],[2034]]</f>
        <v>-1044.3142790953971</v>
      </c>
      <c r="L151">
        <f>scenario_jobcoeff_4506_iotable_2020_xlsx_3[[#This Row],[2035]]+scenario_jobcoeff_1610_iotable_2020_xlsx_3[[#This Row],[2035]]</f>
        <v>-1555.5171642691075</v>
      </c>
      <c r="M151">
        <f>scenario_jobcoeff_4506_iotable_2020_xlsx_3[[#This Row],[2036]]+scenario_jobcoeff_1610_iotable_2020_xlsx_3[[#This Row],[2036]]</f>
        <v>-1947.2240616459699</v>
      </c>
      <c r="N151">
        <f>scenario_jobcoeff_4506_iotable_2020_xlsx_3[[#This Row],[2037]]+scenario_jobcoeff_1610_iotable_2020_xlsx_3[[#This Row],[2037]]</f>
        <v>-2286.5925227218872</v>
      </c>
      <c r="O151">
        <f>scenario_jobcoeff_4506_iotable_2020_xlsx_3[[#This Row],[2038]]+scenario_jobcoeff_1610_iotable_2020_xlsx_3[[#This Row],[2038]]</f>
        <v>-2286.5925227218872</v>
      </c>
      <c r="P151">
        <f>scenario_jobcoeff_4506_iotable_2020_xlsx_3[[#This Row],[2039]]+scenario_jobcoeff_1610_iotable_2020_xlsx_3[[#This Row],[2039]]</f>
        <v>-2286.5925227218872</v>
      </c>
      <c r="Q151">
        <f>scenario_jobcoeff_4506_iotable_2020_xlsx_3[[#This Row],[2040]]+scenario_jobcoeff_1610_iotable_2020_xlsx_3[[#This Row],[2040]]</f>
        <v>-2585.0513254518455</v>
      </c>
      <c r="R151">
        <f>scenario_jobcoeff_4506_iotable_2020_xlsx_3[[#This Row],[2041]]+scenario_jobcoeff_1610_iotable_2020_xlsx_3[[#This Row],[2041]]</f>
        <v>-2585.0513254518455</v>
      </c>
      <c r="S151">
        <f>scenario_jobcoeff_4506_iotable_2020_xlsx_3[[#This Row],[2042]]+scenario_jobcoeff_1610_iotable_2020_xlsx_3[[#This Row],[2042]]</f>
        <v>-2912.8188785757061</v>
      </c>
      <c r="T151">
        <f>scenario_jobcoeff_4506_iotable_2020_xlsx_3[[#This Row],[2043]]+scenario_jobcoeff_1610_iotable_2020_xlsx_3[[#This Row],[2043]]</f>
        <v>-2912.8188785757061</v>
      </c>
      <c r="U151">
        <f>scenario_jobcoeff_4506_iotable_2020_xlsx_3[[#This Row],[2044]]+scenario_jobcoeff_1610_iotable_2020_xlsx_3[[#This Row],[2044]]</f>
        <v>-3229.5417770206709</v>
      </c>
      <c r="V151">
        <f>scenario_jobcoeff_4506_iotable_2020_xlsx_3[[#This Row],[2045]]+scenario_jobcoeff_1610_iotable_2020_xlsx_3[[#This Row],[2045]]</f>
        <v>-3229.5417770206709</v>
      </c>
      <c r="W151">
        <f>scenario_jobcoeff_4506_iotable_2020_xlsx_3[[#This Row],[2046]]+scenario_jobcoeff_1610_iotable_2020_xlsx_3[[#This Row],[2046]]</f>
        <v>-3497.6308747165858</v>
      </c>
      <c r="X151">
        <f>scenario_jobcoeff_4506_iotable_2020_xlsx_3[[#This Row],[2047]]+scenario_jobcoeff_1610_iotable_2020_xlsx_3[[#This Row],[2047]]</f>
        <v>-3497.6308747165858</v>
      </c>
      <c r="Y151">
        <f>scenario_jobcoeff_4506_iotable_2020_xlsx_3[[#This Row],[2048]]+scenario_jobcoeff_1610_iotable_2020_xlsx_3[[#This Row],[2048]]</f>
        <v>-3497.6308747165858</v>
      </c>
      <c r="Z151">
        <f>scenario_jobcoeff_4506_iotable_2020_xlsx_3[[#This Row],[2049]]+scenario_jobcoeff_1610_iotable_2020_xlsx_3[[#This Row],[2049]]</f>
        <v>-3497.6308747165858</v>
      </c>
      <c r="AA151">
        <f>scenario_jobcoeff_4506_iotable_2020_xlsx_3[[#This Row],[2050]]+scenario_jobcoeff_1610_iotable_2020_xlsx_3[[#This Row],[2050]]</f>
        <v>-3497.6308747165858</v>
      </c>
    </row>
    <row r="152" spans="1:27" x14ac:dyDescent="0.2">
      <c r="A152" t="s">
        <v>40</v>
      </c>
      <c r="B152" t="s">
        <v>41</v>
      </c>
      <c r="C152">
        <f>scenario_jobcoeff_4506_iotable_2020_xlsx_3[[#This Row],[2026]]+scenario_jobcoeff_1610_iotable_2020_xlsx_3[[#This Row],[2026]]</f>
        <v>96.884316500108895</v>
      </c>
      <c r="D152">
        <f>scenario_jobcoeff_4506_iotable_2020_xlsx_3[[#This Row],[2027]]+scenario_jobcoeff_1610_iotable_2020_xlsx_3[[#This Row],[2027]]</f>
        <v>-34.171521748529756</v>
      </c>
      <c r="E152">
        <f>scenario_jobcoeff_4506_iotable_2020_xlsx_3[[#This Row],[2028]]+scenario_jobcoeff_1610_iotable_2020_xlsx_3[[#This Row],[2028]]</f>
        <v>-21.626804354132616</v>
      </c>
      <c r="F152">
        <f>scenario_jobcoeff_4506_iotable_2020_xlsx_3[[#This Row],[2029]]+scenario_jobcoeff_1610_iotable_2020_xlsx_3[[#This Row],[2029]]</f>
        <v>-65.119079993054015</v>
      </c>
      <c r="G152">
        <f>scenario_jobcoeff_4506_iotable_2020_xlsx_3[[#This Row],[2030]]+scenario_jobcoeff_1610_iotable_2020_xlsx_3[[#This Row],[2030]]</f>
        <v>-520.91777632393269</v>
      </c>
      <c r="H152">
        <f>scenario_jobcoeff_4506_iotable_2020_xlsx_3[[#This Row],[2031]]+scenario_jobcoeff_1610_iotable_2020_xlsx_3[[#This Row],[2031]]</f>
        <v>-503.99244838160479</v>
      </c>
      <c r="I152">
        <f>scenario_jobcoeff_4506_iotable_2020_xlsx_3[[#This Row],[2032]]+scenario_jobcoeff_1610_iotable_2020_xlsx_3[[#This Row],[2032]]</f>
        <v>-480.35472170910691</v>
      </c>
      <c r="J152">
        <f>scenario_jobcoeff_4506_iotable_2020_xlsx_3[[#This Row],[2033]]+scenario_jobcoeff_1610_iotable_2020_xlsx_3[[#This Row],[2033]]</f>
        <v>-691.67231480916075</v>
      </c>
      <c r="K152">
        <f>scenario_jobcoeff_4506_iotable_2020_xlsx_3[[#This Row],[2034]]+scenario_jobcoeff_1610_iotable_2020_xlsx_3[[#This Row],[2034]]</f>
        <v>-669.6761777134069</v>
      </c>
      <c r="L152">
        <f>scenario_jobcoeff_4506_iotable_2020_xlsx_3[[#This Row],[2035]]+scenario_jobcoeff_1610_iotable_2020_xlsx_3[[#This Row],[2035]]</f>
        <v>-929.21421588896703</v>
      </c>
      <c r="M152">
        <f>scenario_jobcoeff_4506_iotable_2020_xlsx_3[[#This Row],[2036]]+scenario_jobcoeff_1610_iotable_2020_xlsx_3[[#This Row],[2036]]</f>
        <v>-1115.8610607216333</v>
      </c>
      <c r="N152">
        <f>scenario_jobcoeff_4506_iotable_2020_xlsx_3[[#This Row],[2037]]+scenario_jobcoeff_1610_iotable_2020_xlsx_3[[#This Row],[2037]]</f>
        <v>-1278.1400528345839</v>
      </c>
      <c r="O152">
        <f>scenario_jobcoeff_4506_iotable_2020_xlsx_3[[#This Row],[2038]]+scenario_jobcoeff_1610_iotable_2020_xlsx_3[[#This Row],[2038]]</f>
        <v>-1278.1400528345839</v>
      </c>
      <c r="P152">
        <f>scenario_jobcoeff_4506_iotable_2020_xlsx_3[[#This Row],[2039]]+scenario_jobcoeff_1610_iotable_2020_xlsx_3[[#This Row],[2039]]</f>
        <v>-1278.1400528345839</v>
      </c>
      <c r="Q152">
        <f>scenario_jobcoeff_4506_iotable_2020_xlsx_3[[#This Row],[2040]]+scenario_jobcoeff_1610_iotable_2020_xlsx_3[[#This Row],[2040]]</f>
        <v>-1420.7581517928716</v>
      </c>
      <c r="R152">
        <f>scenario_jobcoeff_4506_iotable_2020_xlsx_3[[#This Row],[2041]]+scenario_jobcoeff_1610_iotable_2020_xlsx_3[[#This Row],[2041]]</f>
        <v>-1420.7581517928716</v>
      </c>
      <c r="S152">
        <f>scenario_jobcoeff_4506_iotable_2020_xlsx_3[[#This Row],[2042]]+scenario_jobcoeff_1610_iotable_2020_xlsx_3[[#This Row],[2042]]</f>
        <v>-1577.6925872291422</v>
      </c>
      <c r="T152">
        <f>scenario_jobcoeff_4506_iotable_2020_xlsx_3[[#This Row],[2043]]+scenario_jobcoeff_1610_iotable_2020_xlsx_3[[#This Row],[2043]]</f>
        <v>-1577.6925872291422</v>
      </c>
      <c r="U152">
        <f>scenario_jobcoeff_4506_iotable_2020_xlsx_3[[#This Row],[2044]]+scenario_jobcoeff_1610_iotable_2020_xlsx_3[[#This Row],[2044]]</f>
        <v>-1728.3922086441344</v>
      </c>
      <c r="V152">
        <f>scenario_jobcoeff_4506_iotable_2020_xlsx_3[[#This Row],[2045]]+scenario_jobcoeff_1610_iotable_2020_xlsx_3[[#This Row],[2045]]</f>
        <v>-1728.3922086441344</v>
      </c>
      <c r="W152">
        <f>scenario_jobcoeff_4506_iotable_2020_xlsx_3[[#This Row],[2046]]+scenario_jobcoeff_1610_iotable_2020_xlsx_3[[#This Row],[2046]]</f>
        <v>-1856.2470473604355</v>
      </c>
      <c r="X152">
        <f>scenario_jobcoeff_4506_iotable_2020_xlsx_3[[#This Row],[2047]]+scenario_jobcoeff_1610_iotable_2020_xlsx_3[[#This Row],[2047]]</f>
        <v>-1856.2470473604355</v>
      </c>
      <c r="Y152">
        <f>scenario_jobcoeff_4506_iotable_2020_xlsx_3[[#This Row],[2048]]+scenario_jobcoeff_1610_iotable_2020_xlsx_3[[#This Row],[2048]]</f>
        <v>-1856.2470473604355</v>
      </c>
      <c r="Z152">
        <f>scenario_jobcoeff_4506_iotable_2020_xlsx_3[[#This Row],[2049]]+scenario_jobcoeff_1610_iotable_2020_xlsx_3[[#This Row],[2049]]</f>
        <v>-1856.2470473604355</v>
      </c>
      <c r="AA152">
        <f>scenario_jobcoeff_4506_iotable_2020_xlsx_3[[#This Row],[2050]]+scenario_jobcoeff_1610_iotable_2020_xlsx_3[[#This Row],[2050]]</f>
        <v>-1856.2470473604355</v>
      </c>
    </row>
    <row r="153" spans="1:27" x14ac:dyDescent="0.2">
      <c r="A153" t="s">
        <v>18</v>
      </c>
      <c r="B153" t="s">
        <v>19</v>
      </c>
      <c r="C153">
        <f>scenario_jobcoeff_4506_iotable_2020_xlsx_3[[#This Row],[2026]]+scenario_jobcoeff_1610_iotable_2020_xlsx_3[[#This Row],[2026]]</f>
        <v>1016.5807475093997</v>
      </c>
      <c r="D153">
        <f>scenario_jobcoeff_4506_iotable_2020_xlsx_3[[#This Row],[2027]]+scenario_jobcoeff_1610_iotable_2020_xlsx_3[[#This Row],[2027]]</f>
        <v>991.17344026029321</v>
      </c>
      <c r="E153">
        <f>scenario_jobcoeff_4506_iotable_2020_xlsx_3[[#This Row],[2028]]+scenario_jobcoeff_1610_iotable_2020_xlsx_3[[#This Row],[2028]]</f>
        <v>1042.579239901796</v>
      </c>
      <c r="F153">
        <f>scenario_jobcoeff_4506_iotable_2020_xlsx_3[[#This Row],[2029]]+scenario_jobcoeff_1610_iotable_2020_xlsx_3[[#This Row],[2029]]</f>
        <v>1069.0099765462753</v>
      </c>
      <c r="G153">
        <f>scenario_jobcoeff_4506_iotable_2020_xlsx_3[[#This Row],[2030]]+scenario_jobcoeff_1610_iotable_2020_xlsx_3[[#This Row],[2030]]</f>
        <v>935.95122688985407</v>
      </c>
      <c r="H153">
        <f>scenario_jobcoeff_4506_iotable_2020_xlsx_3[[#This Row],[2031]]+scenario_jobcoeff_1610_iotable_2020_xlsx_3[[#This Row],[2031]]</f>
        <v>1005.307912235246</v>
      </c>
      <c r="I153">
        <f>scenario_jobcoeff_4506_iotable_2020_xlsx_3[[#This Row],[2032]]+scenario_jobcoeff_1610_iotable_2020_xlsx_3[[#This Row],[2032]]</f>
        <v>1102.1706954375004</v>
      </c>
      <c r="J153">
        <f>scenario_jobcoeff_4506_iotable_2020_xlsx_3[[#This Row],[2033]]+scenario_jobcoeff_1610_iotable_2020_xlsx_3[[#This Row],[2033]]</f>
        <v>1203.9458845967829</v>
      </c>
      <c r="K153">
        <f>scenario_jobcoeff_4506_iotable_2020_xlsx_3[[#This Row],[2034]]+scenario_jobcoeff_1610_iotable_2020_xlsx_3[[#This Row],[2034]]</f>
        <v>1294.0817546113899</v>
      </c>
      <c r="L153">
        <f>scenario_jobcoeff_4506_iotable_2020_xlsx_3[[#This Row],[2035]]+scenario_jobcoeff_1610_iotable_2020_xlsx_3[[#This Row],[2035]]</f>
        <v>1455.5552716793866</v>
      </c>
      <c r="M153">
        <f>scenario_jobcoeff_4506_iotable_2020_xlsx_3[[#This Row],[2036]]+scenario_jobcoeff_1610_iotable_2020_xlsx_3[[#This Row],[2036]]</f>
        <v>1494.7852158369949</v>
      </c>
      <c r="N153">
        <f>scenario_jobcoeff_4506_iotable_2020_xlsx_3[[#This Row],[2037]]+scenario_jobcoeff_1610_iotable_2020_xlsx_3[[#This Row],[2037]]</f>
        <v>1532.7222304683789</v>
      </c>
      <c r="O153">
        <f>scenario_jobcoeff_4506_iotable_2020_xlsx_3[[#This Row],[2038]]+scenario_jobcoeff_1610_iotable_2020_xlsx_3[[#This Row],[2038]]</f>
        <v>1532.7222304683789</v>
      </c>
      <c r="P153">
        <f>scenario_jobcoeff_4506_iotable_2020_xlsx_3[[#This Row],[2039]]+scenario_jobcoeff_1610_iotable_2020_xlsx_3[[#This Row],[2039]]</f>
        <v>1532.7222304683789</v>
      </c>
      <c r="Q153">
        <f>scenario_jobcoeff_4506_iotable_2020_xlsx_3[[#This Row],[2040]]+scenario_jobcoeff_1610_iotable_2020_xlsx_3[[#This Row],[2040]]</f>
        <v>1565.403483559154</v>
      </c>
      <c r="R153">
        <f>scenario_jobcoeff_4506_iotable_2020_xlsx_3[[#This Row],[2041]]+scenario_jobcoeff_1610_iotable_2020_xlsx_3[[#This Row],[2041]]</f>
        <v>1565.403483559154</v>
      </c>
      <c r="S153">
        <f>scenario_jobcoeff_4506_iotable_2020_xlsx_3[[#This Row],[2042]]+scenario_jobcoeff_1610_iotable_2020_xlsx_3[[#This Row],[2042]]</f>
        <v>1603.445345677877</v>
      </c>
      <c r="T153">
        <f>scenario_jobcoeff_4506_iotable_2020_xlsx_3[[#This Row],[2043]]+scenario_jobcoeff_1610_iotable_2020_xlsx_3[[#This Row],[2043]]</f>
        <v>1603.445345677877</v>
      </c>
      <c r="U153">
        <f>scenario_jobcoeff_4506_iotable_2020_xlsx_3[[#This Row],[2044]]+scenario_jobcoeff_1610_iotable_2020_xlsx_3[[#This Row],[2044]]</f>
        <v>1633.6610324935832</v>
      </c>
      <c r="V153">
        <f>scenario_jobcoeff_4506_iotable_2020_xlsx_3[[#This Row],[2045]]+scenario_jobcoeff_1610_iotable_2020_xlsx_3[[#This Row],[2045]]</f>
        <v>1633.6610324935832</v>
      </c>
      <c r="W153">
        <f>scenario_jobcoeff_4506_iotable_2020_xlsx_3[[#This Row],[2046]]+scenario_jobcoeff_1610_iotable_2020_xlsx_3[[#This Row],[2046]]</f>
        <v>1661.2806442814344</v>
      </c>
      <c r="X153">
        <f>scenario_jobcoeff_4506_iotable_2020_xlsx_3[[#This Row],[2047]]+scenario_jobcoeff_1610_iotable_2020_xlsx_3[[#This Row],[2047]]</f>
        <v>1661.2806442814344</v>
      </c>
      <c r="Y153">
        <f>scenario_jobcoeff_4506_iotable_2020_xlsx_3[[#This Row],[2048]]+scenario_jobcoeff_1610_iotable_2020_xlsx_3[[#This Row],[2048]]</f>
        <v>1661.2806442814344</v>
      </c>
      <c r="Z153">
        <f>scenario_jobcoeff_4506_iotable_2020_xlsx_3[[#This Row],[2049]]+scenario_jobcoeff_1610_iotable_2020_xlsx_3[[#This Row],[2049]]</f>
        <v>1661.2806442814344</v>
      </c>
      <c r="AA153">
        <f>scenario_jobcoeff_4506_iotable_2020_xlsx_3[[#This Row],[2050]]+scenario_jobcoeff_1610_iotable_2020_xlsx_3[[#This Row],[2050]]</f>
        <v>1661.2806442814344</v>
      </c>
    </row>
    <row r="154" spans="1:27" x14ac:dyDescent="0.2">
      <c r="A154" t="s">
        <v>12</v>
      </c>
      <c r="B154" t="s">
        <v>13</v>
      </c>
      <c r="C154">
        <f>scenario_jobcoeff_4506_iotable_2020_xlsx_3[[#This Row],[2026]]+scenario_jobcoeff_1610_iotable_2020_xlsx_3[[#This Row],[2026]]</f>
        <v>1534.0720851905157</v>
      </c>
      <c r="D154">
        <f>scenario_jobcoeff_4506_iotable_2020_xlsx_3[[#This Row],[2027]]+scenario_jobcoeff_1610_iotable_2020_xlsx_3[[#This Row],[2027]]</f>
        <v>1576.6042069681885</v>
      </c>
      <c r="E154">
        <f>scenario_jobcoeff_4506_iotable_2020_xlsx_3[[#This Row],[2028]]+scenario_jobcoeff_1610_iotable_2020_xlsx_3[[#This Row],[2028]]</f>
        <v>1649.3713931076616</v>
      </c>
      <c r="F154">
        <f>scenario_jobcoeff_4506_iotable_2020_xlsx_3[[#This Row],[2029]]+scenario_jobcoeff_1610_iotable_2020_xlsx_3[[#This Row],[2029]]</f>
        <v>1718.1841908016022</v>
      </c>
      <c r="G154">
        <f>scenario_jobcoeff_4506_iotable_2020_xlsx_3[[#This Row],[2030]]+scenario_jobcoeff_1610_iotable_2020_xlsx_3[[#This Row],[2030]]</f>
        <v>1795.9818420114057</v>
      </c>
      <c r="H154">
        <f>scenario_jobcoeff_4506_iotable_2020_xlsx_3[[#This Row],[2031]]+scenario_jobcoeff_1610_iotable_2020_xlsx_3[[#This Row],[2031]]</f>
        <v>1894.159301903896</v>
      </c>
      <c r="I154">
        <f>scenario_jobcoeff_4506_iotable_2020_xlsx_3[[#This Row],[2032]]+scenario_jobcoeff_1610_iotable_2020_xlsx_3[[#This Row],[2032]]</f>
        <v>2031.2728615493193</v>
      </c>
      <c r="J154">
        <f>scenario_jobcoeff_4506_iotable_2020_xlsx_3[[#This Row],[2033]]+scenario_jobcoeff_1610_iotable_2020_xlsx_3[[#This Row],[2033]]</f>
        <v>2323.8113085692985</v>
      </c>
      <c r="K154">
        <f>scenario_jobcoeff_4506_iotable_2020_xlsx_3[[#This Row],[2034]]+scenario_jobcoeff_1610_iotable_2020_xlsx_3[[#This Row],[2034]]</f>
        <v>2451.4026246647077</v>
      </c>
      <c r="L154">
        <f>scenario_jobcoeff_4506_iotable_2020_xlsx_3[[#This Row],[2035]]+scenario_jobcoeff_1610_iotable_2020_xlsx_3[[#This Row],[2035]]</f>
        <v>2867.9223108370429</v>
      </c>
      <c r="M154">
        <f>scenario_jobcoeff_4506_iotable_2020_xlsx_3[[#This Row],[2036]]+scenario_jobcoeff_1610_iotable_2020_xlsx_3[[#This Row],[2036]]</f>
        <v>3046.8185951358601</v>
      </c>
      <c r="N154">
        <f>scenario_jobcoeff_4506_iotable_2020_xlsx_3[[#This Row],[2037]]+scenario_jobcoeff_1610_iotable_2020_xlsx_3[[#This Row],[2037]]</f>
        <v>3208.3661336003206</v>
      </c>
      <c r="O154">
        <f>scenario_jobcoeff_4506_iotable_2020_xlsx_3[[#This Row],[2038]]+scenario_jobcoeff_1610_iotable_2020_xlsx_3[[#This Row],[2038]]</f>
        <v>3208.3661336003206</v>
      </c>
      <c r="P154">
        <f>scenario_jobcoeff_4506_iotable_2020_xlsx_3[[#This Row],[2039]]+scenario_jobcoeff_1610_iotable_2020_xlsx_3[[#This Row],[2039]]</f>
        <v>3208.3661336003206</v>
      </c>
      <c r="Q154">
        <f>scenario_jobcoeff_4506_iotable_2020_xlsx_3[[#This Row],[2040]]+scenario_jobcoeff_1610_iotable_2020_xlsx_3[[#This Row],[2040]]</f>
        <v>3349.3066524039818</v>
      </c>
      <c r="R154">
        <f>scenario_jobcoeff_4506_iotable_2020_xlsx_3[[#This Row],[2041]]+scenario_jobcoeff_1610_iotable_2020_xlsx_3[[#This Row],[2041]]</f>
        <v>3349.3066524039818</v>
      </c>
      <c r="S154">
        <f>scenario_jobcoeff_4506_iotable_2020_xlsx_3[[#This Row],[2042]]+scenario_jobcoeff_1610_iotable_2020_xlsx_3[[#This Row],[2042]]</f>
        <v>3507.6585463168562</v>
      </c>
      <c r="T154">
        <f>scenario_jobcoeff_4506_iotable_2020_xlsx_3[[#This Row],[2043]]+scenario_jobcoeff_1610_iotable_2020_xlsx_3[[#This Row],[2043]]</f>
        <v>3507.6585463168562</v>
      </c>
      <c r="U154">
        <f>scenario_jobcoeff_4506_iotable_2020_xlsx_3[[#This Row],[2044]]+scenario_jobcoeff_1610_iotable_2020_xlsx_3[[#This Row],[2044]]</f>
        <v>3649.8115578339275</v>
      </c>
      <c r="V154">
        <f>scenario_jobcoeff_4506_iotable_2020_xlsx_3[[#This Row],[2045]]+scenario_jobcoeff_1610_iotable_2020_xlsx_3[[#This Row],[2045]]</f>
        <v>3649.8115578339275</v>
      </c>
      <c r="W154">
        <f>scenario_jobcoeff_4506_iotable_2020_xlsx_3[[#This Row],[2046]]+scenario_jobcoeff_1610_iotable_2020_xlsx_3[[#This Row],[2046]]</f>
        <v>3773.5287896290283</v>
      </c>
      <c r="X154">
        <f>scenario_jobcoeff_4506_iotable_2020_xlsx_3[[#This Row],[2047]]+scenario_jobcoeff_1610_iotable_2020_xlsx_3[[#This Row],[2047]]</f>
        <v>3773.5287896290283</v>
      </c>
      <c r="Y154">
        <f>scenario_jobcoeff_4506_iotable_2020_xlsx_3[[#This Row],[2048]]+scenario_jobcoeff_1610_iotable_2020_xlsx_3[[#This Row],[2048]]</f>
        <v>3773.5287896290283</v>
      </c>
      <c r="Z154">
        <f>scenario_jobcoeff_4506_iotable_2020_xlsx_3[[#This Row],[2049]]+scenario_jobcoeff_1610_iotable_2020_xlsx_3[[#This Row],[2049]]</f>
        <v>3773.5287896290283</v>
      </c>
      <c r="AA154">
        <f>scenario_jobcoeff_4506_iotable_2020_xlsx_3[[#This Row],[2050]]+scenario_jobcoeff_1610_iotable_2020_xlsx_3[[#This Row],[2050]]</f>
        <v>3773.5287896290283</v>
      </c>
    </row>
    <row r="155" spans="1:27" x14ac:dyDescent="0.2">
      <c r="A155" t="s">
        <v>20</v>
      </c>
      <c r="B155" t="s">
        <v>21</v>
      </c>
      <c r="C155">
        <f>scenario_jobcoeff_4506_iotable_2020_xlsx_3[[#This Row],[2026]]+scenario_jobcoeff_1610_iotable_2020_xlsx_3[[#This Row],[2026]]</f>
        <v>902.56028885840101</v>
      </c>
      <c r="D155">
        <f>scenario_jobcoeff_4506_iotable_2020_xlsx_3[[#This Row],[2027]]+scenario_jobcoeff_1610_iotable_2020_xlsx_3[[#This Row],[2027]]</f>
        <v>895.09006120239508</v>
      </c>
      <c r="E155">
        <f>scenario_jobcoeff_4506_iotable_2020_xlsx_3[[#This Row],[2028]]+scenario_jobcoeff_1610_iotable_2020_xlsx_3[[#This Row],[2028]]</f>
        <v>939.83341231441864</v>
      </c>
      <c r="F155">
        <f>scenario_jobcoeff_4506_iotable_2020_xlsx_3[[#This Row],[2029]]+scenario_jobcoeff_1610_iotable_2020_xlsx_3[[#This Row],[2029]]</f>
        <v>968.69626023820547</v>
      </c>
      <c r="G155">
        <f>scenario_jobcoeff_4506_iotable_2020_xlsx_3[[#This Row],[2030]]+scenario_jobcoeff_1610_iotable_2020_xlsx_3[[#This Row],[2030]]</f>
        <v>902.53421896234465</v>
      </c>
      <c r="H155">
        <f>scenario_jobcoeff_4506_iotable_2020_xlsx_3[[#This Row],[2031]]+scenario_jobcoeff_1610_iotable_2020_xlsx_3[[#This Row],[2031]]</f>
        <v>962.90193128306828</v>
      </c>
      <c r="I155">
        <f>scenario_jobcoeff_4506_iotable_2020_xlsx_3[[#This Row],[2032]]+scenario_jobcoeff_1610_iotable_2020_xlsx_3[[#This Row],[2032]]</f>
        <v>1047.2108137191121</v>
      </c>
      <c r="J155">
        <f>scenario_jobcoeff_4506_iotable_2020_xlsx_3[[#This Row],[2033]]+scenario_jobcoeff_1610_iotable_2020_xlsx_3[[#This Row],[2033]]</f>
        <v>1163.493662761799</v>
      </c>
      <c r="K155">
        <f>scenario_jobcoeff_4506_iotable_2020_xlsx_3[[#This Row],[2034]]+scenario_jobcoeff_1610_iotable_2020_xlsx_3[[#This Row],[2034]]</f>
        <v>1241.9474735764684</v>
      </c>
      <c r="L155">
        <f>scenario_jobcoeff_4506_iotable_2020_xlsx_3[[#This Row],[2035]]+scenario_jobcoeff_1610_iotable_2020_xlsx_3[[#This Row],[2035]]</f>
        <v>1417.5558737752219</v>
      </c>
      <c r="M155">
        <f>scenario_jobcoeff_4506_iotable_2020_xlsx_3[[#This Row],[2036]]+scenario_jobcoeff_1610_iotable_2020_xlsx_3[[#This Row],[2036]]</f>
        <v>1474.7158595559549</v>
      </c>
      <c r="N155">
        <f>scenario_jobcoeff_4506_iotable_2020_xlsx_3[[#This Row],[2037]]+scenario_jobcoeff_1610_iotable_2020_xlsx_3[[#This Row],[2037]]</f>
        <v>1527.8554029580325</v>
      </c>
      <c r="O155">
        <f>scenario_jobcoeff_4506_iotable_2020_xlsx_3[[#This Row],[2038]]+scenario_jobcoeff_1610_iotable_2020_xlsx_3[[#This Row],[2038]]</f>
        <v>1527.8554029580325</v>
      </c>
      <c r="P155">
        <f>scenario_jobcoeff_4506_iotable_2020_xlsx_3[[#This Row],[2039]]+scenario_jobcoeff_1610_iotable_2020_xlsx_3[[#This Row],[2039]]</f>
        <v>1527.8554029580325</v>
      </c>
      <c r="Q155">
        <f>scenario_jobcoeff_4506_iotable_2020_xlsx_3[[#This Row],[2040]]+scenario_jobcoeff_1610_iotable_2020_xlsx_3[[#This Row],[2040]]</f>
        <v>1573.9639228836652</v>
      </c>
      <c r="R155">
        <f>scenario_jobcoeff_4506_iotable_2020_xlsx_3[[#This Row],[2041]]+scenario_jobcoeff_1610_iotable_2020_xlsx_3[[#This Row],[2041]]</f>
        <v>1573.9639228836652</v>
      </c>
      <c r="S155">
        <f>scenario_jobcoeff_4506_iotable_2020_xlsx_3[[#This Row],[2042]]+scenario_jobcoeff_1610_iotable_2020_xlsx_3[[#This Row],[2042]]</f>
        <v>1626.5708693371093</v>
      </c>
      <c r="T155">
        <f>scenario_jobcoeff_4506_iotable_2020_xlsx_3[[#This Row],[2043]]+scenario_jobcoeff_1610_iotable_2020_xlsx_3[[#This Row],[2043]]</f>
        <v>1626.5708693371093</v>
      </c>
      <c r="U155">
        <f>scenario_jobcoeff_4506_iotable_2020_xlsx_3[[#This Row],[2044]]+scenario_jobcoeff_1610_iotable_2020_xlsx_3[[#This Row],[2044]]</f>
        <v>1671.410674494012</v>
      </c>
      <c r="V155">
        <f>scenario_jobcoeff_4506_iotable_2020_xlsx_3[[#This Row],[2045]]+scenario_jobcoeff_1610_iotable_2020_xlsx_3[[#This Row],[2045]]</f>
        <v>1671.410674494012</v>
      </c>
      <c r="W155">
        <f>scenario_jobcoeff_4506_iotable_2020_xlsx_3[[#This Row],[2046]]+scenario_jobcoeff_1610_iotable_2020_xlsx_3[[#This Row],[2046]]</f>
        <v>1711.2371259114593</v>
      </c>
      <c r="X155">
        <f>scenario_jobcoeff_4506_iotable_2020_xlsx_3[[#This Row],[2047]]+scenario_jobcoeff_1610_iotable_2020_xlsx_3[[#This Row],[2047]]</f>
        <v>1711.2371259114593</v>
      </c>
      <c r="Y155">
        <f>scenario_jobcoeff_4506_iotable_2020_xlsx_3[[#This Row],[2048]]+scenario_jobcoeff_1610_iotable_2020_xlsx_3[[#This Row],[2048]]</f>
        <v>1711.2371259114593</v>
      </c>
      <c r="Z155">
        <f>scenario_jobcoeff_4506_iotable_2020_xlsx_3[[#This Row],[2049]]+scenario_jobcoeff_1610_iotable_2020_xlsx_3[[#This Row],[2049]]</f>
        <v>1711.2371259114593</v>
      </c>
      <c r="AA155">
        <f>scenario_jobcoeff_4506_iotable_2020_xlsx_3[[#This Row],[2050]]+scenario_jobcoeff_1610_iotable_2020_xlsx_3[[#This Row],[2050]]</f>
        <v>1711.2371259114593</v>
      </c>
    </row>
    <row r="156" spans="1:27" x14ac:dyDescent="0.2">
      <c r="A156" t="s">
        <v>82</v>
      </c>
      <c r="B156" t="s">
        <v>83</v>
      </c>
      <c r="C156">
        <f>scenario_jobcoeff_4506_iotable_2020_xlsx_3[[#This Row],[2026]]+scenario_jobcoeff_1610_iotable_2020_xlsx_3[[#This Row],[2026]]</f>
        <v>105.9102104726004</v>
      </c>
      <c r="D156">
        <f>scenario_jobcoeff_4506_iotable_2020_xlsx_3[[#This Row],[2027]]+scenario_jobcoeff_1610_iotable_2020_xlsx_3[[#This Row],[2027]]</f>
        <v>106.84322319945124</v>
      </c>
      <c r="E156">
        <f>scenario_jobcoeff_4506_iotable_2020_xlsx_3[[#This Row],[2028]]+scenario_jobcoeff_1610_iotable_2020_xlsx_3[[#This Row],[2028]]</f>
        <v>111.98604003385465</v>
      </c>
      <c r="F156">
        <f>scenario_jobcoeff_4506_iotable_2020_xlsx_3[[#This Row],[2029]]+scenario_jobcoeff_1610_iotable_2020_xlsx_3[[#This Row],[2029]]</f>
        <v>116.02020355489665</v>
      </c>
      <c r="G156">
        <f>scenario_jobcoeff_4506_iotable_2020_xlsx_3[[#This Row],[2030]]+scenario_jobcoeff_1610_iotable_2020_xlsx_3[[#This Row],[2030]]</f>
        <v>114.49015334193581</v>
      </c>
      <c r="H156">
        <f>scenario_jobcoeff_4506_iotable_2020_xlsx_3[[#This Row],[2031]]+scenario_jobcoeff_1610_iotable_2020_xlsx_3[[#This Row],[2031]]</f>
        <v>121.42883986097067</v>
      </c>
      <c r="I156">
        <f>scenario_jobcoeff_4506_iotable_2020_xlsx_3[[#This Row],[2032]]+scenario_jobcoeff_1610_iotable_2020_xlsx_3[[#This Row],[2032]]</f>
        <v>131.11933306511762</v>
      </c>
      <c r="J156">
        <f>scenario_jobcoeff_4506_iotable_2020_xlsx_3[[#This Row],[2033]]+scenario_jobcoeff_1610_iotable_2020_xlsx_3[[#This Row],[2033]]</f>
        <v>147.87367133284039</v>
      </c>
      <c r="K156">
        <f>scenario_jobcoeff_4506_iotable_2020_xlsx_3[[#This Row],[2034]]+scenario_jobcoeff_1610_iotable_2020_xlsx_3[[#This Row],[2034]]</f>
        <v>156.8911805035462</v>
      </c>
      <c r="L156">
        <f>scenario_jobcoeff_4506_iotable_2020_xlsx_3[[#This Row],[2035]]+scenario_jobcoeff_1610_iotable_2020_xlsx_3[[#This Row],[2035]]</f>
        <v>181.36542094956945</v>
      </c>
      <c r="M156">
        <f>scenario_jobcoeff_4506_iotable_2020_xlsx_3[[#This Row],[2036]]+scenario_jobcoeff_1610_iotable_2020_xlsx_3[[#This Row],[2036]]</f>
        <v>190.75111630994985</v>
      </c>
      <c r="N156">
        <f>scenario_jobcoeff_4506_iotable_2020_xlsx_3[[#This Row],[2037]]+scenario_jobcoeff_1610_iotable_2020_xlsx_3[[#This Row],[2037]]</f>
        <v>199.32050107321939</v>
      </c>
      <c r="O156">
        <f>scenario_jobcoeff_4506_iotable_2020_xlsx_3[[#This Row],[2038]]+scenario_jobcoeff_1610_iotable_2020_xlsx_3[[#This Row],[2038]]</f>
        <v>199.32050107321939</v>
      </c>
      <c r="P156">
        <f>scenario_jobcoeff_4506_iotable_2020_xlsx_3[[#This Row],[2039]]+scenario_jobcoeff_1610_iotable_2020_xlsx_3[[#This Row],[2039]]</f>
        <v>199.32050107321939</v>
      </c>
      <c r="Q156">
        <f>scenario_jobcoeff_4506_iotable_2020_xlsx_3[[#This Row],[2040]]+scenario_jobcoeff_1610_iotable_2020_xlsx_3[[#This Row],[2040]]</f>
        <v>206.78120445522683</v>
      </c>
      <c r="R156">
        <f>scenario_jobcoeff_4506_iotable_2020_xlsx_3[[#This Row],[2041]]+scenario_jobcoeff_1610_iotable_2020_xlsx_3[[#This Row],[2041]]</f>
        <v>206.78120445522683</v>
      </c>
      <c r="S156">
        <f>scenario_jobcoeff_4506_iotable_2020_xlsx_3[[#This Row],[2042]]+scenario_jobcoeff_1610_iotable_2020_xlsx_3[[#This Row],[2042]]</f>
        <v>215.2130465862129</v>
      </c>
      <c r="T156">
        <f>scenario_jobcoeff_4506_iotable_2020_xlsx_3[[#This Row],[2043]]+scenario_jobcoeff_1610_iotable_2020_xlsx_3[[#This Row],[2043]]</f>
        <v>215.2130465862129</v>
      </c>
      <c r="U156">
        <f>scenario_jobcoeff_4506_iotable_2020_xlsx_3[[#This Row],[2044]]+scenario_jobcoeff_1610_iotable_2020_xlsx_3[[#This Row],[2044]]</f>
        <v>222.63525710133402</v>
      </c>
      <c r="V156">
        <f>scenario_jobcoeff_4506_iotable_2020_xlsx_3[[#This Row],[2045]]+scenario_jobcoeff_1610_iotable_2020_xlsx_3[[#This Row],[2045]]</f>
        <v>222.63525710133402</v>
      </c>
      <c r="W156">
        <f>scenario_jobcoeff_4506_iotable_2020_xlsx_3[[#This Row],[2046]]+scenario_jobcoeff_1610_iotable_2020_xlsx_3[[#This Row],[2046]]</f>
        <v>229.14432369832124</v>
      </c>
      <c r="X156">
        <f>scenario_jobcoeff_4506_iotable_2020_xlsx_3[[#This Row],[2047]]+scenario_jobcoeff_1610_iotable_2020_xlsx_3[[#This Row],[2047]]</f>
        <v>229.14432369832124</v>
      </c>
      <c r="Y156">
        <f>scenario_jobcoeff_4506_iotable_2020_xlsx_3[[#This Row],[2048]]+scenario_jobcoeff_1610_iotable_2020_xlsx_3[[#This Row],[2048]]</f>
        <v>229.14432369832124</v>
      </c>
      <c r="Z156">
        <f>scenario_jobcoeff_4506_iotable_2020_xlsx_3[[#This Row],[2049]]+scenario_jobcoeff_1610_iotable_2020_xlsx_3[[#This Row],[2049]]</f>
        <v>229.14432369832124</v>
      </c>
      <c r="AA156">
        <f>scenario_jobcoeff_4506_iotable_2020_xlsx_3[[#This Row],[2050]]+scenario_jobcoeff_1610_iotable_2020_xlsx_3[[#This Row],[2050]]</f>
        <v>229.14432369832124</v>
      </c>
    </row>
    <row r="157" spans="1:27" x14ac:dyDescent="0.2">
      <c r="A157" t="s">
        <v>318</v>
      </c>
      <c r="B157" t="s">
        <v>319</v>
      </c>
      <c r="C157">
        <f>scenario_jobcoeff_4506_iotable_2020_xlsx_3[[#This Row],[2026]]+scenario_jobcoeff_1610_iotable_2020_xlsx_3[[#This Row],[2026]]</f>
        <v>0</v>
      </c>
      <c r="D157">
        <f>scenario_jobcoeff_4506_iotable_2020_xlsx_3[[#This Row],[2027]]+scenario_jobcoeff_1610_iotable_2020_xlsx_3[[#This Row],[2027]]</f>
        <v>0</v>
      </c>
      <c r="E157">
        <f>scenario_jobcoeff_4506_iotable_2020_xlsx_3[[#This Row],[2028]]+scenario_jobcoeff_1610_iotable_2020_xlsx_3[[#This Row],[2028]]</f>
        <v>0</v>
      </c>
      <c r="F157">
        <f>scenario_jobcoeff_4506_iotable_2020_xlsx_3[[#This Row],[2029]]+scenario_jobcoeff_1610_iotable_2020_xlsx_3[[#This Row],[2029]]</f>
        <v>0</v>
      </c>
      <c r="G157">
        <f>scenario_jobcoeff_4506_iotable_2020_xlsx_3[[#This Row],[2030]]+scenario_jobcoeff_1610_iotable_2020_xlsx_3[[#This Row],[2030]]</f>
        <v>0</v>
      </c>
      <c r="H157">
        <f>scenario_jobcoeff_4506_iotable_2020_xlsx_3[[#This Row],[2031]]+scenario_jobcoeff_1610_iotable_2020_xlsx_3[[#This Row],[2031]]</f>
        <v>0</v>
      </c>
      <c r="I157">
        <f>scenario_jobcoeff_4506_iotable_2020_xlsx_3[[#This Row],[2032]]+scenario_jobcoeff_1610_iotable_2020_xlsx_3[[#This Row],[2032]]</f>
        <v>0</v>
      </c>
      <c r="J157">
        <f>scenario_jobcoeff_4506_iotable_2020_xlsx_3[[#This Row],[2033]]+scenario_jobcoeff_1610_iotable_2020_xlsx_3[[#This Row],[2033]]</f>
        <v>0</v>
      </c>
      <c r="K157">
        <f>scenario_jobcoeff_4506_iotable_2020_xlsx_3[[#This Row],[2034]]+scenario_jobcoeff_1610_iotable_2020_xlsx_3[[#This Row],[2034]]</f>
        <v>0</v>
      </c>
      <c r="L157">
        <f>scenario_jobcoeff_4506_iotable_2020_xlsx_3[[#This Row],[2035]]+scenario_jobcoeff_1610_iotable_2020_xlsx_3[[#This Row],[2035]]</f>
        <v>0</v>
      </c>
      <c r="M157">
        <f>scenario_jobcoeff_4506_iotable_2020_xlsx_3[[#This Row],[2036]]+scenario_jobcoeff_1610_iotable_2020_xlsx_3[[#This Row],[2036]]</f>
        <v>0</v>
      </c>
      <c r="N157">
        <f>scenario_jobcoeff_4506_iotable_2020_xlsx_3[[#This Row],[2037]]+scenario_jobcoeff_1610_iotable_2020_xlsx_3[[#This Row],[2037]]</f>
        <v>0</v>
      </c>
      <c r="O157">
        <f>scenario_jobcoeff_4506_iotable_2020_xlsx_3[[#This Row],[2038]]+scenario_jobcoeff_1610_iotable_2020_xlsx_3[[#This Row],[2038]]</f>
        <v>0</v>
      </c>
      <c r="P157">
        <f>scenario_jobcoeff_4506_iotable_2020_xlsx_3[[#This Row],[2039]]+scenario_jobcoeff_1610_iotable_2020_xlsx_3[[#This Row],[2039]]</f>
        <v>0</v>
      </c>
      <c r="Q157">
        <f>scenario_jobcoeff_4506_iotable_2020_xlsx_3[[#This Row],[2040]]+scenario_jobcoeff_1610_iotable_2020_xlsx_3[[#This Row],[2040]]</f>
        <v>0</v>
      </c>
      <c r="R157">
        <f>scenario_jobcoeff_4506_iotable_2020_xlsx_3[[#This Row],[2041]]+scenario_jobcoeff_1610_iotable_2020_xlsx_3[[#This Row],[2041]]</f>
        <v>0</v>
      </c>
      <c r="S157">
        <f>scenario_jobcoeff_4506_iotable_2020_xlsx_3[[#This Row],[2042]]+scenario_jobcoeff_1610_iotable_2020_xlsx_3[[#This Row],[2042]]</f>
        <v>0</v>
      </c>
      <c r="T157">
        <f>scenario_jobcoeff_4506_iotable_2020_xlsx_3[[#This Row],[2043]]+scenario_jobcoeff_1610_iotable_2020_xlsx_3[[#This Row],[2043]]</f>
        <v>0</v>
      </c>
      <c r="U157">
        <f>scenario_jobcoeff_4506_iotable_2020_xlsx_3[[#This Row],[2044]]+scenario_jobcoeff_1610_iotable_2020_xlsx_3[[#This Row],[2044]]</f>
        <v>0</v>
      </c>
      <c r="V157">
        <f>scenario_jobcoeff_4506_iotable_2020_xlsx_3[[#This Row],[2045]]+scenario_jobcoeff_1610_iotable_2020_xlsx_3[[#This Row],[2045]]</f>
        <v>0</v>
      </c>
      <c r="W157">
        <f>scenario_jobcoeff_4506_iotable_2020_xlsx_3[[#This Row],[2046]]+scenario_jobcoeff_1610_iotable_2020_xlsx_3[[#This Row],[2046]]</f>
        <v>0</v>
      </c>
      <c r="X157">
        <f>scenario_jobcoeff_4506_iotable_2020_xlsx_3[[#This Row],[2047]]+scenario_jobcoeff_1610_iotable_2020_xlsx_3[[#This Row],[2047]]</f>
        <v>0</v>
      </c>
      <c r="Y157">
        <f>scenario_jobcoeff_4506_iotable_2020_xlsx_3[[#This Row],[2048]]+scenario_jobcoeff_1610_iotable_2020_xlsx_3[[#This Row],[2048]]</f>
        <v>0</v>
      </c>
      <c r="Z157">
        <f>scenario_jobcoeff_4506_iotable_2020_xlsx_3[[#This Row],[2049]]+scenario_jobcoeff_1610_iotable_2020_xlsx_3[[#This Row],[2049]]</f>
        <v>0</v>
      </c>
      <c r="AA157">
        <f>scenario_jobcoeff_4506_iotable_2020_xlsx_3[[#This Row],[2050]]+scenario_jobcoeff_1610_iotable_2020_xlsx_3[[#This Row],[2050]]</f>
        <v>0</v>
      </c>
    </row>
    <row r="158" spans="1:27" x14ac:dyDescent="0.2">
      <c r="A158" t="s">
        <v>120</v>
      </c>
      <c r="B158" t="s">
        <v>121</v>
      </c>
      <c r="C158">
        <f>scenario_jobcoeff_4506_iotable_2020_xlsx_3[[#This Row],[2026]]+scenario_jobcoeff_1610_iotable_2020_xlsx_3[[#This Row],[2026]]</f>
        <v>69.362872113836033</v>
      </c>
      <c r="D158">
        <f>scenario_jobcoeff_4506_iotable_2020_xlsx_3[[#This Row],[2027]]+scenario_jobcoeff_1610_iotable_2020_xlsx_3[[#This Row],[2027]]</f>
        <v>69.777542543422129</v>
      </c>
      <c r="E158">
        <f>scenario_jobcoeff_4506_iotable_2020_xlsx_3[[#This Row],[2028]]+scenario_jobcoeff_1610_iotable_2020_xlsx_3[[#This Row],[2028]]</f>
        <v>73.157355820804995</v>
      </c>
      <c r="F158">
        <f>scenario_jobcoeff_4506_iotable_2020_xlsx_3[[#This Row],[2029]]+scenario_jobcoeff_1610_iotable_2020_xlsx_3[[#This Row],[2029]]</f>
        <v>75.729173157812909</v>
      </c>
      <c r="G158">
        <f>scenario_jobcoeff_4506_iotable_2020_xlsx_3[[#This Row],[2030]]+scenario_jobcoeff_1610_iotable_2020_xlsx_3[[#This Row],[2030]]</f>
        <v>74.050625131430991</v>
      </c>
      <c r="H158">
        <f>scenario_jobcoeff_4506_iotable_2020_xlsx_3[[#This Row],[2031]]+scenario_jobcoeff_1610_iotable_2020_xlsx_3[[#This Row],[2031]]</f>
        <v>78.610667921162587</v>
      </c>
      <c r="I158">
        <f>scenario_jobcoeff_4506_iotable_2020_xlsx_3[[#This Row],[2032]]+scenario_jobcoeff_1610_iotable_2020_xlsx_3[[#This Row],[2032]]</f>
        <v>84.979173479569042</v>
      </c>
      <c r="J158">
        <f>scenario_jobcoeff_4506_iotable_2020_xlsx_3[[#This Row],[2033]]+scenario_jobcoeff_1610_iotable_2020_xlsx_3[[#This Row],[2033]]</f>
        <v>95.614533803291494</v>
      </c>
      <c r="K158">
        <f>scenario_jobcoeff_4506_iotable_2020_xlsx_3[[#This Row],[2034]]+scenario_jobcoeff_1610_iotable_2020_xlsx_3[[#This Row],[2034]]</f>
        <v>101.54076026739401</v>
      </c>
      <c r="L158">
        <f>scenario_jobcoeff_4506_iotable_2020_xlsx_3[[#This Row],[2035]]+scenario_jobcoeff_1610_iotable_2020_xlsx_3[[#This Row],[2035]]</f>
        <v>117.14974879925629</v>
      </c>
      <c r="M158">
        <f>scenario_jobcoeff_4506_iotable_2020_xlsx_3[[#This Row],[2036]]+scenario_jobcoeff_1610_iotable_2020_xlsx_3[[#This Row],[2036]]</f>
        <v>123.00599024324036</v>
      </c>
      <c r="N158">
        <f>scenario_jobcoeff_4506_iotable_2020_xlsx_3[[#This Row],[2037]]+scenario_jobcoeff_1610_iotable_2020_xlsx_3[[#This Row],[2037]]</f>
        <v>128.36500162268837</v>
      </c>
      <c r="O158">
        <f>scenario_jobcoeff_4506_iotable_2020_xlsx_3[[#This Row],[2038]]+scenario_jobcoeff_1610_iotable_2020_xlsx_3[[#This Row],[2038]]</f>
        <v>128.36500162268837</v>
      </c>
      <c r="P158">
        <f>scenario_jobcoeff_4506_iotable_2020_xlsx_3[[#This Row],[2039]]+scenario_jobcoeff_1610_iotable_2020_xlsx_3[[#This Row],[2039]]</f>
        <v>128.36500162268837</v>
      </c>
      <c r="Q158">
        <f>scenario_jobcoeff_4506_iotable_2020_xlsx_3[[#This Row],[2040]]+scenario_jobcoeff_1610_iotable_2020_xlsx_3[[#This Row],[2040]]</f>
        <v>133.02869372930638</v>
      </c>
      <c r="R158">
        <f>scenario_jobcoeff_4506_iotable_2020_xlsx_3[[#This Row],[2041]]+scenario_jobcoeff_1610_iotable_2020_xlsx_3[[#This Row],[2041]]</f>
        <v>133.02869372930638</v>
      </c>
      <c r="S158">
        <f>scenario_jobcoeff_4506_iotable_2020_xlsx_3[[#This Row],[2042]]+scenario_jobcoeff_1610_iotable_2020_xlsx_3[[#This Row],[2042]]</f>
        <v>138.30576949309238</v>
      </c>
      <c r="T158">
        <f>scenario_jobcoeff_4506_iotable_2020_xlsx_3[[#This Row],[2043]]+scenario_jobcoeff_1610_iotable_2020_xlsx_3[[#This Row],[2043]]</f>
        <v>138.30576949309238</v>
      </c>
      <c r="U158">
        <f>scenario_jobcoeff_4506_iotable_2020_xlsx_3[[#This Row],[2044]]+scenario_jobcoeff_1610_iotable_2020_xlsx_3[[#This Row],[2044]]</f>
        <v>142.93227287318871</v>
      </c>
      <c r="V158">
        <f>scenario_jobcoeff_4506_iotable_2020_xlsx_3[[#This Row],[2045]]+scenario_jobcoeff_1610_iotable_2020_xlsx_3[[#This Row],[2045]]</f>
        <v>142.93227287318871</v>
      </c>
      <c r="W158">
        <f>scenario_jobcoeff_4506_iotable_2020_xlsx_3[[#This Row],[2046]]+scenario_jobcoeff_1610_iotable_2020_xlsx_3[[#This Row],[2046]]</f>
        <v>146.99599237507579</v>
      </c>
      <c r="X158">
        <f>scenario_jobcoeff_4506_iotable_2020_xlsx_3[[#This Row],[2047]]+scenario_jobcoeff_1610_iotable_2020_xlsx_3[[#This Row],[2047]]</f>
        <v>146.99599237507579</v>
      </c>
      <c r="Y158">
        <f>scenario_jobcoeff_4506_iotable_2020_xlsx_3[[#This Row],[2048]]+scenario_jobcoeff_1610_iotable_2020_xlsx_3[[#This Row],[2048]]</f>
        <v>146.99599237507579</v>
      </c>
      <c r="Z158">
        <f>scenario_jobcoeff_4506_iotable_2020_xlsx_3[[#This Row],[2049]]+scenario_jobcoeff_1610_iotable_2020_xlsx_3[[#This Row],[2049]]</f>
        <v>146.99599237507579</v>
      </c>
      <c r="AA158">
        <f>scenario_jobcoeff_4506_iotable_2020_xlsx_3[[#This Row],[2050]]+scenario_jobcoeff_1610_iotable_2020_xlsx_3[[#This Row],[2050]]</f>
        <v>146.99599237507579</v>
      </c>
    </row>
    <row r="159" spans="1:27" x14ac:dyDescent="0.2">
      <c r="A159" t="s">
        <v>80</v>
      </c>
      <c r="B159" t="s">
        <v>81</v>
      </c>
      <c r="C159">
        <f>scenario_jobcoeff_4506_iotable_2020_xlsx_3[[#This Row],[2026]]+scenario_jobcoeff_1610_iotable_2020_xlsx_3[[#This Row],[2026]]</f>
        <v>113.36009908525764</v>
      </c>
      <c r="D159">
        <f>scenario_jobcoeff_4506_iotable_2020_xlsx_3[[#This Row],[2027]]+scenario_jobcoeff_1610_iotable_2020_xlsx_3[[#This Row],[2027]]</f>
        <v>112.58073543825077</v>
      </c>
      <c r="E159">
        <f>scenario_jobcoeff_4506_iotable_2020_xlsx_3[[#This Row],[2028]]+scenario_jobcoeff_1610_iotable_2020_xlsx_3[[#This Row],[2028]]</f>
        <v>118.190983808947</v>
      </c>
      <c r="F159">
        <f>scenario_jobcoeff_4506_iotable_2020_xlsx_3[[#This Row],[2029]]+scenario_jobcoeff_1610_iotable_2020_xlsx_3[[#This Row],[2029]]</f>
        <v>121.87294187024567</v>
      </c>
      <c r="G159">
        <f>scenario_jobcoeff_4506_iotable_2020_xlsx_3[[#This Row],[2030]]+scenario_jobcoeff_1610_iotable_2020_xlsx_3[[#This Row],[2030]]</f>
        <v>114.11042097143411</v>
      </c>
      <c r="H159">
        <f>scenario_jobcoeff_4506_iotable_2020_xlsx_3[[#This Row],[2031]]+scenario_jobcoeff_1610_iotable_2020_xlsx_3[[#This Row],[2031]]</f>
        <v>121.67976594164109</v>
      </c>
      <c r="I159">
        <f>scenario_jobcoeff_4506_iotable_2020_xlsx_3[[#This Row],[2032]]+scenario_jobcoeff_1610_iotable_2020_xlsx_3[[#This Row],[2032]]</f>
        <v>132.25102979574552</v>
      </c>
      <c r="J159">
        <f>scenario_jobcoeff_4506_iotable_2020_xlsx_3[[#This Row],[2033]]+scenario_jobcoeff_1610_iotable_2020_xlsx_3[[#This Row],[2033]]</f>
        <v>147.12895856620341</v>
      </c>
      <c r="K159">
        <f>scenario_jobcoeff_4506_iotable_2020_xlsx_3[[#This Row],[2034]]+scenario_jobcoeff_1610_iotable_2020_xlsx_3[[#This Row],[2034]]</f>
        <v>156.96607074843411</v>
      </c>
      <c r="L159">
        <f>scenario_jobcoeff_4506_iotable_2020_xlsx_3[[#This Row],[2035]]+scenario_jobcoeff_1610_iotable_2020_xlsx_3[[#This Row],[2035]]</f>
        <v>179.36177959203096</v>
      </c>
      <c r="M159">
        <f>scenario_jobcoeff_4506_iotable_2020_xlsx_3[[#This Row],[2036]]+scenario_jobcoeff_1610_iotable_2020_xlsx_3[[#This Row],[2036]]</f>
        <v>186.77613819489972</v>
      </c>
      <c r="N159">
        <f>scenario_jobcoeff_4506_iotable_2020_xlsx_3[[#This Row],[2037]]+scenario_jobcoeff_1610_iotable_2020_xlsx_3[[#This Row],[2037]]</f>
        <v>193.65528527529418</v>
      </c>
      <c r="O159">
        <f>scenario_jobcoeff_4506_iotable_2020_xlsx_3[[#This Row],[2038]]+scenario_jobcoeff_1610_iotable_2020_xlsx_3[[#This Row],[2038]]</f>
        <v>193.65528527529418</v>
      </c>
      <c r="P159">
        <f>scenario_jobcoeff_4506_iotable_2020_xlsx_3[[#This Row],[2039]]+scenario_jobcoeff_1610_iotable_2020_xlsx_3[[#This Row],[2039]]</f>
        <v>193.65528527529418</v>
      </c>
      <c r="Q159">
        <f>scenario_jobcoeff_4506_iotable_2020_xlsx_3[[#This Row],[2040]]+scenario_jobcoeff_1610_iotable_2020_xlsx_3[[#This Row],[2040]]</f>
        <v>199.62644414391409</v>
      </c>
      <c r="R159">
        <f>scenario_jobcoeff_4506_iotable_2020_xlsx_3[[#This Row],[2041]]+scenario_jobcoeff_1610_iotable_2020_xlsx_3[[#This Row],[2041]]</f>
        <v>199.62644414391409</v>
      </c>
      <c r="S159">
        <f>scenario_jobcoeff_4506_iotable_2020_xlsx_3[[#This Row],[2042]]+scenario_jobcoeff_1610_iotable_2020_xlsx_3[[#This Row],[2042]]</f>
        <v>206.43210884884476</v>
      </c>
      <c r="T159">
        <f>scenario_jobcoeff_4506_iotable_2020_xlsx_3[[#This Row],[2043]]+scenario_jobcoeff_1610_iotable_2020_xlsx_3[[#This Row],[2043]]</f>
        <v>206.43210884884476</v>
      </c>
      <c r="U159">
        <f>scenario_jobcoeff_4506_iotable_2020_xlsx_3[[#This Row],[2044]]+scenario_jobcoeff_1610_iotable_2020_xlsx_3[[#This Row],[2044]]</f>
        <v>212.25361099112337</v>
      </c>
      <c r="V159">
        <f>scenario_jobcoeff_4506_iotable_2020_xlsx_3[[#This Row],[2045]]+scenario_jobcoeff_1610_iotable_2020_xlsx_3[[#This Row],[2045]]</f>
        <v>212.25361099112337</v>
      </c>
      <c r="W159">
        <f>scenario_jobcoeff_4506_iotable_2020_xlsx_3[[#This Row],[2046]]+scenario_jobcoeff_1610_iotable_2020_xlsx_3[[#This Row],[2046]]</f>
        <v>217.41692140625591</v>
      </c>
      <c r="X159">
        <f>scenario_jobcoeff_4506_iotable_2020_xlsx_3[[#This Row],[2047]]+scenario_jobcoeff_1610_iotable_2020_xlsx_3[[#This Row],[2047]]</f>
        <v>217.41692140625591</v>
      </c>
      <c r="Y159">
        <f>scenario_jobcoeff_4506_iotable_2020_xlsx_3[[#This Row],[2048]]+scenario_jobcoeff_1610_iotable_2020_xlsx_3[[#This Row],[2048]]</f>
        <v>217.41692140625591</v>
      </c>
      <c r="Z159">
        <f>scenario_jobcoeff_4506_iotable_2020_xlsx_3[[#This Row],[2049]]+scenario_jobcoeff_1610_iotable_2020_xlsx_3[[#This Row],[2049]]</f>
        <v>217.41692140625591</v>
      </c>
      <c r="AA159">
        <f>scenario_jobcoeff_4506_iotable_2020_xlsx_3[[#This Row],[2050]]+scenario_jobcoeff_1610_iotable_2020_xlsx_3[[#This Row],[2050]]</f>
        <v>217.41692140625591</v>
      </c>
    </row>
    <row r="160" spans="1:27" x14ac:dyDescent="0.2">
      <c r="A160" t="s">
        <v>316</v>
      </c>
      <c r="B160" t="s">
        <v>317</v>
      </c>
      <c r="C160">
        <f>scenario_jobcoeff_4506_iotable_2020_xlsx_3[[#This Row],[2026]]+scenario_jobcoeff_1610_iotable_2020_xlsx_3[[#This Row],[2026]]</f>
        <v>0</v>
      </c>
      <c r="D160">
        <f>scenario_jobcoeff_4506_iotable_2020_xlsx_3[[#This Row],[2027]]+scenario_jobcoeff_1610_iotable_2020_xlsx_3[[#This Row],[2027]]</f>
        <v>0</v>
      </c>
      <c r="E160">
        <f>scenario_jobcoeff_4506_iotable_2020_xlsx_3[[#This Row],[2028]]+scenario_jobcoeff_1610_iotable_2020_xlsx_3[[#This Row],[2028]]</f>
        <v>0</v>
      </c>
      <c r="F160">
        <f>scenario_jobcoeff_4506_iotable_2020_xlsx_3[[#This Row],[2029]]+scenario_jobcoeff_1610_iotable_2020_xlsx_3[[#This Row],[2029]]</f>
        <v>0</v>
      </c>
      <c r="G160">
        <f>scenario_jobcoeff_4506_iotable_2020_xlsx_3[[#This Row],[2030]]+scenario_jobcoeff_1610_iotable_2020_xlsx_3[[#This Row],[2030]]</f>
        <v>0</v>
      </c>
      <c r="H160">
        <f>scenario_jobcoeff_4506_iotable_2020_xlsx_3[[#This Row],[2031]]+scenario_jobcoeff_1610_iotable_2020_xlsx_3[[#This Row],[2031]]</f>
        <v>0</v>
      </c>
      <c r="I160">
        <f>scenario_jobcoeff_4506_iotable_2020_xlsx_3[[#This Row],[2032]]+scenario_jobcoeff_1610_iotable_2020_xlsx_3[[#This Row],[2032]]</f>
        <v>0</v>
      </c>
      <c r="J160">
        <f>scenario_jobcoeff_4506_iotable_2020_xlsx_3[[#This Row],[2033]]+scenario_jobcoeff_1610_iotable_2020_xlsx_3[[#This Row],[2033]]</f>
        <v>0</v>
      </c>
      <c r="K160">
        <f>scenario_jobcoeff_4506_iotable_2020_xlsx_3[[#This Row],[2034]]+scenario_jobcoeff_1610_iotable_2020_xlsx_3[[#This Row],[2034]]</f>
        <v>0</v>
      </c>
      <c r="L160">
        <f>scenario_jobcoeff_4506_iotable_2020_xlsx_3[[#This Row],[2035]]+scenario_jobcoeff_1610_iotable_2020_xlsx_3[[#This Row],[2035]]</f>
        <v>0</v>
      </c>
      <c r="M160">
        <f>scenario_jobcoeff_4506_iotable_2020_xlsx_3[[#This Row],[2036]]+scenario_jobcoeff_1610_iotable_2020_xlsx_3[[#This Row],[2036]]</f>
        <v>0</v>
      </c>
      <c r="N160">
        <f>scenario_jobcoeff_4506_iotable_2020_xlsx_3[[#This Row],[2037]]+scenario_jobcoeff_1610_iotable_2020_xlsx_3[[#This Row],[2037]]</f>
        <v>0</v>
      </c>
      <c r="O160">
        <f>scenario_jobcoeff_4506_iotable_2020_xlsx_3[[#This Row],[2038]]+scenario_jobcoeff_1610_iotable_2020_xlsx_3[[#This Row],[2038]]</f>
        <v>0</v>
      </c>
      <c r="P160">
        <f>scenario_jobcoeff_4506_iotable_2020_xlsx_3[[#This Row],[2039]]+scenario_jobcoeff_1610_iotable_2020_xlsx_3[[#This Row],[2039]]</f>
        <v>0</v>
      </c>
      <c r="Q160">
        <f>scenario_jobcoeff_4506_iotable_2020_xlsx_3[[#This Row],[2040]]+scenario_jobcoeff_1610_iotable_2020_xlsx_3[[#This Row],[2040]]</f>
        <v>0</v>
      </c>
      <c r="R160">
        <f>scenario_jobcoeff_4506_iotable_2020_xlsx_3[[#This Row],[2041]]+scenario_jobcoeff_1610_iotable_2020_xlsx_3[[#This Row],[2041]]</f>
        <v>0</v>
      </c>
      <c r="S160">
        <f>scenario_jobcoeff_4506_iotable_2020_xlsx_3[[#This Row],[2042]]+scenario_jobcoeff_1610_iotable_2020_xlsx_3[[#This Row],[2042]]</f>
        <v>0</v>
      </c>
      <c r="T160">
        <f>scenario_jobcoeff_4506_iotable_2020_xlsx_3[[#This Row],[2043]]+scenario_jobcoeff_1610_iotable_2020_xlsx_3[[#This Row],[2043]]</f>
        <v>0</v>
      </c>
      <c r="U160">
        <f>scenario_jobcoeff_4506_iotable_2020_xlsx_3[[#This Row],[2044]]+scenario_jobcoeff_1610_iotable_2020_xlsx_3[[#This Row],[2044]]</f>
        <v>0</v>
      </c>
      <c r="V160">
        <f>scenario_jobcoeff_4506_iotable_2020_xlsx_3[[#This Row],[2045]]+scenario_jobcoeff_1610_iotable_2020_xlsx_3[[#This Row],[2045]]</f>
        <v>0</v>
      </c>
      <c r="W160">
        <f>scenario_jobcoeff_4506_iotable_2020_xlsx_3[[#This Row],[2046]]+scenario_jobcoeff_1610_iotable_2020_xlsx_3[[#This Row],[2046]]</f>
        <v>0</v>
      </c>
      <c r="X160">
        <f>scenario_jobcoeff_4506_iotable_2020_xlsx_3[[#This Row],[2047]]+scenario_jobcoeff_1610_iotable_2020_xlsx_3[[#This Row],[2047]]</f>
        <v>0</v>
      </c>
      <c r="Y160">
        <f>scenario_jobcoeff_4506_iotable_2020_xlsx_3[[#This Row],[2048]]+scenario_jobcoeff_1610_iotable_2020_xlsx_3[[#This Row],[2048]]</f>
        <v>0</v>
      </c>
      <c r="Z160">
        <f>scenario_jobcoeff_4506_iotable_2020_xlsx_3[[#This Row],[2049]]+scenario_jobcoeff_1610_iotable_2020_xlsx_3[[#This Row],[2049]]</f>
        <v>0</v>
      </c>
      <c r="AA160">
        <f>scenario_jobcoeff_4506_iotable_2020_xlsx_3[[#This Row],[2050]]+scenario_jobcoeff_1610_iotable_2020_xlsx_3[[#This Row],[2050]]</f>
        <v>0</v>
      </c>
    </row>
    <row r="161" spans="1:27" x14ac:dyDescent="0.2">
      <c r="A161" t="s">
        <v>110</v>
      </c>
      <c r="B161" t="s">
        <v>111</v>
      </c>
      <c r="C161">
        <f>scenario_jobcoeff_4506_iotable_2020_xlsx_3[[#This Row],[2026]]+scenario_jobcoeff_1610_iotable_2020_xlsx_3[[#This Row],[2026]]</f>
        <v>55.954647600934521</v>
      </c>
      <c r="D161">
        <f>scenario_jobcoeff_4506_iotable_2020_xlsx_3[[#This Row],[2027]]+scenario_jobcoeff_1610_iotable_2020_xlsx_3[[#This Row],[2027]]</f>
        <v>40.058206200929995</v>
      </c>
      <c r="E161">
        <f>scenario_jobcoeff_4506_iotable_2020_xlsx_3[[#This Row],[2028]]+scenario_jobcoeff_1610_iotable_2020_xlsx_3[[#This Row],[2028]]</f>
        <v>43.749388294177436</v>
      </c>
      <c r="F161">
        <f>scenario_jobcoeff_4506_iotable_2020_xlsx_3[[#This Row],[2029]]+scenario_jobcoeff_1610_iotable_2020_xlsx_3[[#This Row],[2029]]</f>
        <v>40.018410808723075</v>
      </c>
      <c r="G161">
        <f>scenario_jobcoeff_4506_iotable_2020_xlsx_3[[#This Row],[2030]]+scenario_jobcoeff_1610_iotable_2020_xlsx_3[[#This Row],[2030]]</f>
        <v>-17.247777786384219</v>
      </c>
      <c r="H161">
        <f>scenario_jobcoeff_4506_iotable_2020_xlsx_3[[#This Row],[2031]]+scenario_jobcoeff_1610_iotable_2020_xlsx_3[[#This Row],[2031]]</f>
        <v>-12.267636308588493</v>
      </c>
      <c r="I161">
        <f>scenario_jobcoeff_4506_iotable_2020_xlsx_3[[#This Row],[2032]]+scenario_jobcoeff_1610_iotable_2020_xlsx_3[[#This Row],[2032]]</f>
        <v>-5.3124255473184689</v>
      </c>
      <c r="J161">
        <f>scenario_jobcoeff_4506_iotable_2020_xlsx_3[[#This Row],[2033]]+scenario_jobcoeff_1610_iotable_2020_xlsx_3[[#This Row],[2033]]</f>
        <v>-24.62065191068848</v>
      </c>
      <c r="K161">
        <f>scenario_jobcoeff_4506_iotable_2020_xlsx_3[[#This Row],[2034]]+scenario_jobcoeff_1610_iotable_2020_xlsx_3[[#This Row],[2034]]</f>
        <v>-18.148465665606096</v>
      </c>
      <c r="L161">
        <f>scenario_jobcoeff_4506_iotable_2020_xlsx_3[[#This Row],[2035]]+scenario_jobcoeff_1610_iotable_2020_xlsx_3[[#This Row],[2035]]</f>
        <v>-40.246792371302945</v>
      </c>
      <c r="M161">
        <f>scenario_jobcoeff_4506_iotable_2020_xlsx_3[[#This Row],[2036]]+scenario_jobcoeff_1610_iotable_2020_xlsx_3[[#This Row],[2036]]</f>
        <v>-59.545249205737377</v>
      </c>
      <c r="N161">
        <f>scenario_jobcoeff_4506_iotable_2020_xlsx_3[[#This Row],[2037]]+scenario_jobcoeff_1610_iotable_2020_xlsx_3[[#This Row],[2037]]</f>
        <v>-76.154561151013723</v>
      </c>
      <c r="O161">
        <f>scenario_jobcoeff_4506_iotable_2020_xlsx_3[[#This Row],[2038]]+scenario_jobcoeff_1610_iotable_2020_xlsx_3[[#This Row],[2038]]</f>
        <v>-76.154561151013723</v>
      </c>
      <c r="P161">
        <f>scenario_jobcoeff_4506_iotable_2020_xlsx_3[[#This Row],[2039]]+scenario_jobcoeff_1610_iotable_2020_xlsx_3[[#This Row],[2039]]</f>
        <v>-76.154561151013723</v>
      </c>
      <c r="Q161">
        <f>scenario_jobcoeff_4506_iotable_2020_xlsx_3[[#This Row],[2040]]+scenario_jobcoeff_1610_iotable_2020_xlsx_3[[#This Row],[2040]]</f>
        <v>-90.780790303115481</v>
      </c>
      <c r="R161">
        <f>scenario_jobcoeff_4506_iotable_2020_xlsx_3[[#This Row],[2041]]+scenario_jobcoeff_1610_iotable_2020_xlsx_3[[#This Row],[2041]]</f>
        <v>-90.780790303115481</v>
      </c>
      <c r="S161">
        <f>scenario_jobcoeff_4506_iotable_2020_xlsx_3[[#This Row],[2042]]+scenario_jobcoeff_1610_iotable_2020_xlsx_3[[#This Row],[2042]]</f>
        <v>-106.78308962206052</v>
      </c>
      <c r="T161">
        <f>scenario_jobcoeff_4506_iotable_2020_xlsx_3[[#This Row],[2043]]+scenario_jobcoeff_1610_iotable_2020_xlsx_3[[#This Row],[2043]]</f>
        <v>-106.78308962206052</v>
      </c>
      <c r="U161">
        <f>scenario_jobcoeff_4506_iotable_2020_xlsx_3[[#This Row],[2044]]+scenario_jobcoeff_1610_iotable_2020_xlsx_3[[#This Row],[2044]]</f>
        <v>-122.42938726097748</v>
      </c>
      <c r="V161">
        <f>scenario_jobcoeff_4506_iotable_2020_xlsx_3[[#This Row],[2045]]+scenario_jobcoeff_1610_iotable_2020_xlsx_3[[#This Row],[2045]]</f>
        <v>-122.42938726097748</v>
      </c>
      <c r="W161">
        <f>scenario_jobcoeff_4506_iotable_2020_xlsx_3[[#This Row],[2046]]+scenario_jobcoeff_1610_iotable_2020_xlsx_3[[#This Row],[2046]]</f>
        <v>-135.6159304571874</v>
      </c>
      <c r="X161">
        <f>scenario_jobcoeff_4506_iotable_2020_xlsx_3[[#This Row],[2047]]+scenario_jobcoeff_1610_iotable_2020_xlsx_3[[#This Row],[2047]]</f>
        <v>-135.6159304571874</v>
      </c>
      <c r="Y161">
        <f>scenario_jobcoeff_4506_iotable_2020_xlsx_3[[#This Row],[2048]]+scenario_jobcoeff_1610_iotable_2020_xlsx_3[[#This Row],[2048]]</f>
        <v>-135.6159304571874</v>
      </c>
      <c r="Z161">
        <f>scenario_jobcoeff_4506_iotable_2020_xlsx_3[[#This Row],[2049]]+scenario_jobcoeff_1610_iotable_2020_xlsx_3[[#This Row],[2049]]</f>
        <v>-135.6159304571874</v>
      </c>
      <c r="AA161">
        <f>scenario_jobcoeff_4506_iotable_2020_xlsx_3[[#This Row],[2050]]+scenario_jobcoeff_1610_iotable_2020_xlsx_3[[#This Row],[2050]]</f>
        <v>-135.6159304571874</v>
      </c>
    </row>
    <row r="162" spans="1:27" x14ac:dyDescent="0.2">
      <c r="A162" t="s">
        <v>86</v>
      </c>
      <c r="B162" t="s">
        <v>87</v>
      </c>
      <c r="C162">
        <f>scenario_jobcoeff_4506_iotable_2020_xlsx_3[[#This Row],[2026]]+scenario_jobcoeff_1610_iotable_2020_xlsx_3[[#This Row],[2026]]</f>
        <v>56.167172755573056</v>
      </c>
      <c r="D162">
        <f>scenario_jobcoeff_4506_iotable_2020_xlsx_3[[#This Row],[2027]]+scenario_jobcoeff_1610_iotable_2020_xlsx_3[[#This Row],[2027]]</f>
        <v>19.573905557669747</v>
      </c>
      <c r="E162">
        <f>scenario_jobcoeff_4506_iotable_2020_xlsx_3[[#This Row],[2028]]+scenario_jobcoeff_1610_iotable_2020_xlsx_3[[#This Row],[2028]]</f>
        <v>24.505658300464106</v>
      </c>
      <c r="F162">
        <f>scenario_jobcoeff_4506_iotable_2020_xlsx_3[[#This Row],[2029]]+scenario_jobcoeff_1610_iotable_2020_xlsx_3[[#This Row],[2029]]</f>
        <v>13.379060544338174</v>
      </c>
      <c r="G162">
        <f>scenario_jobcoeff_4506_iotable_2020_xlsx_3[[#This Row],[2030]]+scenario_jobcoeff_1610_iotable_2020_xlsx_3[[#This Row],[2030]]</f>
        <v>-115.19272087079202</v>
      </c>
      <c r="H162">
        <f>scenario_jobcoeff_4506_iotable_2020_xlsx_3[[#This Row],[2031]]+scenario_jobcoeff_1610_iotable_2020_xlsx_3[[#This Row],[2031]]</f>
        <v>-108.53880194396538</v>
      </c>
      <c r="I162">
        <f>scenario_jobcoeff_4506_iotable_2020_xlsx_3[[#This Row],[2032]]+scenario_jobcoeff_1610_iotable_2020_xlsx_3[[#This Row],[2032]]</f>
        <v>-99.246012024076009</v>
      </c>
      <c r="J162">
        <f>scenario_jobcoeff_4506_iotable_2020_xlsx_3[[#This Row],[2033]]+scenario_jobcoeff_1610_iotable_2020_xlsx_3[[#This Row],[2033]]</f>
        <v>-154.08472371586785</v>
      </c>
      <c r="K162">
        <f>scenario_jobcoeff_4506_iotable_2020_xlsx_3[[#This Row],[2034]]+scenario_jobcoeff_1610_iotable_2020_xlsx_3[[#This Row],[2034]]</f>
        <v>-145.43729818667137</v>
      </c>
      <c r="L162">
        <f>scenario_jobcoeff_4506_iotable_2020_xlsx_3[[#This Row],[2035]]+scenario_jobcoeff_1610_iotable_2020_xlsx_3[[#This Row],[2035]]</f>
        <v>-211.72532371650294</v>
      </c>
      <c r="M162">
        <f>scenario_jobcoeff_4506_iotable_2020_xlsx_3[[#This Row],[2036]]+scenario_jobcoeff_1610_iotable_2020_xlsx_3[[#This Row],[2036]]</f>
        <v>-261.64009490651006</v>
      </c>
      <c r="N162">
        <f>scenario_jobcoeff_4506_iotable_2020_xlsx_3[[#This Row],[2037]]+scenario_jobcoeff_1610_iotable_2020_xlsx_3[[#This Row],[2037]]</f>
        <v>-304.92647501711571</v>
      </c>
      <c r="O162">
        <f>scenario_jobcoeff_4506_iotable_2020_xlsx_3[[#This Row],[2038]]+scenario_jobcoeff_1610_iotable_2020_xlsx_3[[#This Row],[2038]]</f>
        <v>-304.92647501711571</v>
      </c>
      <c r="P162">
        <f>scenario_jobcoeff_4506_iotable_2020_xlsx_3[[#This Row],[2039]]+scenario_jobcoeff_1610_iotable_2020_xlsx_3[[#This Row],[2039]]</f>
        <v>-304.92647501711571</v>
      </c>
      <c r="Q162">
        <f>scenario_jobcoeff_4506_iotable_2020_xlsx_3[[#This Row],[2040]]+scenario_jobcoeff_1610_iotable_2020_xlsx_3[[#This Row],[2040]]</f>
        <v>-342.98774265351278</v>
      </c>
      <c r="R162">
        <f>scenario_jobcoeff_4506_iotable_2020_xlsx_3[[#This Row],[2041]]+scenario_jobcoeff_1610_iotable_2020_xlsx_3[[#This Row],[2041]]</f>
        <v>-342.98774265351278</v>
      </c>
      <c r="S162">
        <f>scenario_jobcoeff_4506_iotable_2020_xlsx_3[[#This Row],[2042]]+scenario_jobcoeff_1610_iotable_2020_xlsx_3[[#This Row],[2042]]</f>
        <v>-384.80899584717974</v>
      </c>
      <c r="T162">
        <f>scenario_jobcoeff_4506_iotable_2020_xlsx_3[[#This Row],[2043]]+scenario_jobcoeff_1610_iotable_2020_xlsx_3[[#This Row],[2043]]</f>
        <v>-384.80899584717974</v>
      </c>
      <c r="U162">
        <f>scenario_jobcoeff_4506_iotable_2020_xlsx_3[[#This Row],[2044]]+scenario_jobcoeff_1610_iotable_2020_xlsx_3[[#This Row],[2044]]</f>
        <v>-425.15300475432917</v>
      </c>
      <c r="V162">
        <f>scenario_jobcoeff_4506_iotable_2020_xlsx_3[[#This Row],[2045]]+scenario_jobcoeff_1610_iotable_2020_xlsx_3[[#This Row],[2045]]</f>
        <v>-425.15300475432917</v>
      </c>
      <c r="W162">
        <f>scenario_jobcoeff_4506_iotable_2020_xlsx_3[[#This Row],[2046]]+scenario_jobcoeff_1610_iotable_2020_xlsx_3[[#This Row],[2046]]</f>
        <v>-459.32330175695273</v>
      </c>
      <c r="X162">
        <f>scenario_jobcoeff_4506_iotable_2020_xlsx_3[[#This Row],[2047]]+scenario_jobcoeff_1610_iotable_2020_xlsx_3[[#This Row],[2047]]</f>
        <v>-459.32330175695273</v>
      </c>
      <c r="Y162">
        <f>scenario_jobcoeff_4506_iotable_2020_xlsx_3[[#This Row],[2048]]+scenario_jobcoeff_1610_iotable_2020_xlsx_3[[#This Row],[2048]]</f>
        <v>-459.32330175695273</v>
      </c>
      <c r="Z162">
        <f>scenario_jobcoeff_4506_iotable_2020_xlsx_3[[#This Row],[2049]]+scenario_jobcoeff_1610_iotable_2020_xlsx_3[[#This Row],[2049]]</f>
        <v>-459.32330175695273</v>
      </c>
      <c r="AA162">
        <f>scenario_jobcoeff_4506_iotable_2020_xlsx_3[[#This Row],[2050]]+scenario_jobcoeff_1610_iotable_2020_xlsx_3[[#This Row],[2050]]</f>
        <v>-459.32330175695273</v>
      </c>
    </row>
    <row r="163" spans="1:27" x14ac:dyDescent="0.2">
      <c r="A163" t="s">
        <v>72</v>
      </c>
      <c r="B163" t="s">
        <v>73</v>
      </c>
      <c r="C163">
        <f>scenario_jobcoeff_4506_iotable_2020_xlsx_3[[#This Row],[2026]]+scenario_jobcoeff_1610_iotable_2020_xlsx_3[[#This Row],[2026]]</f>
        <v>-335.44670423521814</v>
      </c>
      <c r="D163">
        <f>scenario_jobcoeff_4506_iotable_2020_xlsx_3[[#This Row],[2027]]+scenario_jobcoeff_1610_iotable_2020_xlsx_3[[#This Row],[2027]]</f>
        <v>-728.75899744436151</v>
      </c>
      <c r="E163">
        <f>scenario_jobcoeff_4506_iotable_2020_xlsx_3[[#This Row],[2028]]+scenario_jobcoeff_1610_iotable_2020_xlsx_3[[#This Row],[2028]]</f>
        <v>-721.84638395620289</v>
      </c>
      <c r="F163">
        <f>scenario_jobcoeff_4506_iotable_2020_xlsx_3[[#This Row],[2029]]+scenario_jobcoeff_1610_iotable_2020_xlsx_3[[#This Row],[2029]]</f>
        <v>-874.25051379390766</v>
      </c>
      <c r="G163">
        <f>scenario_jobcoeff_4506_iotable_2020_xlsx_3[[#This Row],[2030]]+scenario_jobcoeff_1610_iotable_2020_xlsx_3[[#This Row],[2030]]</f>
        <v>-2214.100211901784</v>
      </c>
      <c r="H163">
        <f>scenario_jobcoeff_4506_iotable_2020_xlsx_3[[#This Row],[2031]]+scenario_jobcoeff_1610_iotable_2020_xlsx_3[[#This Row],[2031]]</f>
        <v>-2204.7737164099144</v>
      </c>
      <c r="I163">
        <f>scenario_jobcoeff_4506_iotable_2020_xlsx_3[[#This Row],[2032]]+scenario_jobcoeff_1610_iotable_2020_xlsx_3[[#This Row],[2032]]</f>
        <v>-2191.7484354818098</v>
      </c>
      <c r="J163">
        <f>scenario_jobcoeff_4506_iotable_2020_xlsx_3[[#This Row],[2033]]+scenario_jobcoeff_1610_iotable_2020_xlsx_3[[#This Row],[2033]]</f>
        <v>-2915.5182439294781</v>
      </c>
      <c r="K163">
        <f>scenario_jobcoeff_4506_iotable_2020_xlsx_3[[#This Row],[2034]]+scenario_jobcoeff_1610_iotable_2020_xlsx_3[[#This Row],[2034]]</f>
        <v>-2903.3975409120158</v>
      </c>
      <c r="L163">
        <f>scenario_jobcoeff_4506_iotable_2020_xlsx_3[[#This Row],[2035]]+scenario_jobcoeff_1610_iotable_2020_xlsx_3[[#This Row],[2035]]</f>
        <v>-3815.2148379353666</v>
      </c>
      <c r="M163">
        <f>scenario_jobcoeff_4506_iotable_2020_xlsx_3[[#This Row],[2036]]+scenario_jobcoeff_1610_iotable_2020_xlsx_3[[#This Row],[2036]]</f>
        <v>-4422.6908217006358</v>
      </c>
      <c r="N163">
        <f>scenario_jobcoeff_4506_iotable_2020_xlsx_3[[#This Row],[2037]]+scenario_jobcoeff_1610_iotable_2020_xlsx_3[[#This Row],[2037]]</f>
        <v>-4953.2601061139649</v>
      </c>
      <c r="O163">
        <f>scenario_jobcoeff_4506_iotable_2020_xlsx_3[[#This Row],[2038]]+scenario_jobcoeff_1610_iotable_2020_xlsx_3[[#This Row],[2038]]</f>
        <v>-4953.2601061139649</v>
      </c>
      <c r="P163">
        <f>scenario_jobcoeff_4506_iotable_2020_xlsx_3[[#This Row],[2039]]+scenario_jobcoeff_1610_iotable_2020_xlsx_3[[#This Row],[2039]]</f>
        <v>-4953.2601061139649</v>
      </c>
      <c r="Q163">
        <f>scenario_jobcoeff_4506_iotable_2020_xlsx_3[[#This Row],[2040]]+scenario_jobcoeff_1610_iotable_2020_xlsx_3[[#This Row],[2040]]</f>
        <v>-5419.1344292725444</v>
      </c>
      <c r="R163">
        <f>scenario_jobcoeff_4506_iotable_2020_xlsx_3[[#This Row],[2041]]+scenario_jobcoeff_1610_iotable_2020_xlsx_3[[#This Row],[2041]]</f>
        <v>-5419.1344292725444</v>
      </c>
      <c r="S163">
        <f>scenario_jobcoeff_4506_iotable_2020_xlsx_3[[#This Row],[2042]]+scenario_jobcoeff_1610_iotable_2020_xlsx_3[[#This Row],[2042]]</f>
        <v>-5933.0796776876632</v>
      </c>
      <c r="T163">
        <f>scenario_jobcoeff_4506_iotable_2020_xlsx_3[[#This Row],[2043]]+scenario_jobcoeff_1610_iotable_2020_xlsx_3[[#This Row],[2043]]</f>
        <v>-5933.0796776876632</v>
      </c>
      <c r="U163">
        <f>scenario_jobcoeff_4506_iotable_2020_xlsx_3[[#This Row],[2044]]+scenario_jobcoeff_1610_iotable_2020_xlsx_3[[#This Row],[2044]]</f>
        <v>-6422.6433995184061</v>
      </c>
      <c r="V163">
        <f>scenario_jobcoeff_4506_iotable_2020_xlsx_3[[#This Row],[2045]]+scenario_jobcoeff_1610_iotable_2020_xlsx_3[[#This Row],[2045]]</f>
        <v>-6422.6433995184061</v>
      </c>
      <c r="W163">
        <f>scenario_jobcoeff_4506_iotable_2020_xlsx_3[[#This Row],[2046]]+scenario_jobcoeff_1610_iotable_2020_xlsx_3[[#This Row],[2046]]</f>
        <v>-6839.2387846928414</v>
      </c>
      <c r="X163">
        <f>scenario_jobcoeff_4506_iotable_2020_xlsx_3[[#This Row],[2047]]+scenario_jobcoeff_1610_iotable_2020_xlsx_3[[#This Row],[2047]]</f>
        <v>-6839.2387846928414</v>
      </c>
      <c r="Y163">
        <f>scenario_jobcoeff_4506_iotable_2020_xlsx_3[[#This Row],[2048]]+scenario_jobcoeff_1610_iotable_2020_xlsx_3[[#This Row],[2048]]</f>
        <v>-6839.2387846928414</v>
      </c>
      <c r="Z163">
        <f>scenario_jobcoeff_4506_iotable_2020_xlsx_3[[#This Row],[2049]]+scenario_jobcoeff_1610_iotable_2020_xlsx_3[[#This Row],[2049]]</f>
        <v>-6839.2387846928414</v>
      </c>
      <c r="AA163">
        <f>scenario_jobcoeff_4506_iotable_2020_xlsx_3[[#This Row],[2050]]+scenario_jobcoeff_1610_iotable_2020_xlsx_3[[#This Row],[2050]]</f>
        <v>-6839.2387846928414</v>
      </c>
    </row>
    <row r="164" spans="1:27" x14ac:dyDescent="0.2">
      <c r="A164" t="s">
        <v>50</v>
      </c>
      <c r="B164" t="s">
        <v>51</v>
      </c>
      <c r="C164">
        <f>scenario_jobcoeff_4506_iotable_2020_xlsx_3[[#This Row],[2026]]+scenario_jobcoeff_1610_iotable_2020_xlsx_3[[#This Row],[2026]]</f>
        <v>140.6244158596063</v>
      </c>
      <c r="D164">
        <f>scenario_jobcoeff_4506_iotable_2020_xlsx_3[[#This Row],[2027]]+scenario_jobcoeff_1610_iotable_2020_xlsx_3[[#This Row],[2027]]</f>
        <v>82.882422645156481</v>
      </c>
      <c r="E164">
        <f>scenario_jobcoeff_4506_iotable_2020_xlsx_3[[#This Row],[2028]]+scenario_jobcoeff_1610_iotable_2020_xlsx_3[[#This Row],[2028]]</f>
        <v>93.21649380182356</v>
      </c>
      <c r="F164">
        <f>scenario_jobcoeff_4506_iotable_2020_xlsx_3[[#This Row],[2029]]+scenario_jobcoeff_1610_iotable_2020_xlsx_3[[#This Row],[2029]]</f>
        <v>77.476091606956913</v>
      </c>
      <c r="G164">
        <f>scenario_jobcoeff_4506_iotable_2020_xlsx_3[[#This Row],[2030]]+scenario_jobcoeff_1610_iotable_2020_xlsx_3[[#This Row],[2030]]</f>
        <v>-127.73158668107942</v>
      </c>
      <c r="H164">
        <f>scenario_jobcoeff_4506_iotable_2020_xlsx_3[[#This Row],[2031]]+scenario_jobcoeff_1610_iotable_2020_xlsx_3[[#This Row],[2031]]</f>
        <v>-113.78886180279204</v>
      </c>
      <c r="I164">
        <f>scenario_jobcoeff_4506_iotable_2020_xlsx_3[[#This Row],[2032]]+scenario_jobcoeff_1610_iotable_2020_xlsx_3[[#This Row],[2032]]</f>
        <v>-94.316605733911558</v>
      </c>
      <c r="J164">
        <f>scenario_jobcoeff_4506_iotable_2020_xlsx_3[[#This Row],[2033]]+scenario_jobcoeff_1610_iotable_2020_xlsx_3[[#This Row],[2033]]</f>
        <v>-173.41040728575172</v>
      </c>
      <c r="K164">
        <f>scenario_jobcoeff_4506_iotable_2020_xlsx_3[[#This Row],[2034]]+scenario_jobcoeff_1610_iotable_2020_xlsx_3[[#This Row],[2034]]</f>
        <v>-155.2904577665343</v>
      </c>
      <c r="L164">
        <f>scenario_jobcoeff_4506_iotable_2020_xlsx_3[[#This Row],[2035]]+scenario_jobcoeff_1610_iotable_2020_xlsx_3[[#This Row],[2035]]</f>
        <v>-248.85252416183675</v>
      </c>
      <c r="M164">
        <f>scenario_jobcoeff_4506_iotable_2020_xlsx_3[[#This Row],[2036]]+scenario_jobcoeff_1610_iotable_2020_xlsx_3[[#This Row],[2036]]</f>
        <v>-323.68515466692872</v>
      </c>
      <c r="N164">
        <f>scenario_jobcoeff_4506_iotable_2020_xlsx_3[[#This Row],[2037]]+scenario_jobcoeff_1610_iotable_2020_xlsx_3[[#This Row],[2037]]</f>
        <v>-388.37213128302108</v>
      </c>
      <c r="O164">
        <f>scenario_jobcoeff_4506_iotable_2020_xlsx_3[[#This Row],[2038]]+scenario_jobcoeff_1610_iotable_2020_xlsx_3[[#This Row],[2038]]</f>
        <v>-388.37213128302108</v>
      </c>
      <c r="P164">
        <f>scenario_jobcoeff_4506_iotable_2020_xlsx_3[[#This Row],[2039]]+scenario_jobcoeff_1610_iotable_2020_xlsx_3[[#This Row],[2039]]</f>
        <v>-388.37213128302108</v>
      </c>
      <c r="Q164">
        <f>scenario_jobcoeff_4506_iotable_2020_xlsx_3[[#This Row],[2040]]+scenario_jobcoeff_1610_iotable_2020_xlsx_3[[#This Row],[2040]]</f>
        <v>-445.28669783636428</v>
      </c>
      <c r="R164">
        <f>scenario_jobcoeff_4506_iotable_2020_xlsx_3[[#This Row],[2041]]+scenario_jobcoeff_1610_iotable_2020_xlsx_3[[#This Row],[2041]]</f>
        <v>-445.28669783636428</v>
      </c>
      <c r="S164">
        <f>scenario_jobcoeff_4506_iotable_2020_xlsx_3[[#This Row],[2042]]+scenario_jobcoeff_1610_iotable_2020_xlsx_3[[#This Row],[2042]]</f>
        <v>-507.7103213115073</v>
      </c>
      <c r="T164">
        <f>scenario_jobcoeff_4506_iotable_2020_xlsx_3[[#This Row],[2043]]+scenario_jobcoeff_1610_iotable_2020_xlsx_3[[#This Row],[2043]]</f>
        <v>-507.7103213115073</v>
      </c>
      <c r="U164">
        <f>scenario_jobcoeff_4506_iotable_2020_xlsx_3[[#This Row],[2044]]+scenario_jobcoeff_1610_iotable_2020_xlsx_3[[#This Row],[2044]]</f>
        <v>-568.27375619850272</v>
      </c>
      <c r="V164">
        <f>scenario_jobcoeff_4506_iotable_2020_xlsx_3[[#This Row],[2045]]+scenario_jobcoeff_1610_iotable_2020_xlsx_3[[#This Row],[2045]]</f>
        <v>-568.27375619850272</v>
      </c>
      <c r="W164">
        <f>scenario_jobcoeff_4506_iotable_2020_xlsx_3[[#This Row],[2046]]+scenario_jobcoeff_1610_iotable_2020_xlsx_3[[#This Row],[2046]]</f>
        <v>-619.46151482291123</v>
      </c>
      <c r="X164">
        <f>scenario_jobcoeff_4506_iotable_2020_xlsx_3[[#This Row],[2047]]+scenario_jobcoeff_1610_iotable_2020_xlsx_3[[#This Row],[2047]]</f>
        <v>-619.46151482291123</v>
      </c>
      <c r="Y164">
        <f>scenario_jobcoeff_4506_iotable_2020_xlsx_3[[#This Row],[2048]]+scenario_jobcoeff_1610_iotable_2020_xlsx_3[[#This Row],[2048]]</f>
        <v>-619.46151482291123</v>
      </c>
      <c r="Z164">
        <f>scenario_jobcoeff_4506_iotable_2020_xlsx_3[[#This Row],[2049]]+scenario_jobcoeff_1610_iotable_2020_xlsx_3[[#This Row],[2049]]</f>
        <v>-619.46151482291123</v>
      </c>
      <c r="AA164">
        <f>scenario_jobcoeff_4506_iotable_2020_xlsx_3[[#This Row],[2050]]+scenario_jobcoeff_1610_iotable_2020_xlsx_3[[#This Row],[2050]]</f>
        <v>-619.46151482291123</v>
      </c>
    </row>
    <row r="165" spans="1:27" x14ac:dyDescent="0.2">
      <c r="A165" t="s">
        <v>96</v>
      </c>
      <c r="B165" t="s">
        <v>97</v>
      </c>
      <c r="C165">
        <f>scenario_jobcoeff_4506_iotable_2020_xlsx_3[[#This Row],[2026]]+scenario_jobcoeff_1610_iotable_2020_xlsx_3[[#This Row],[2026]]</f>
        <v>69.643374269846021</v>
      </c>
      <c r="D165">
        <f>scenario_jobcoeff_4506_iotable_2020_xlsx_3[[#This Row],[2027]]+scenario_jobcoeff_1610_iotable_2020_xlsx_3[[#This Row],[2027]]</f>
        <v>51.259770816973891</v>
      </c>
      <c r="E165">
        <f>scenario_jobcoeff_4506_iotable_2020_xlsx_3[[#This Row],[2028]]+scenario_jobcoeff_1610_iotable_2020_xlsx_3[[#This Row],[2028]]</f>
        <v>55.77064857756924</v>
      </c>
      <c r="F165">
        <f>scenario_jobcoeff_4506_iotable_2020_xlsx_3[[#This Row],[2029]]+scenario_jobcoeff_1610_iotable_2020_xlsx_3[[#This Row],[2029]]</f>
        <v>51.628313580631115</v>
      </c>
      <c r="G165">
        <f>scenario_jobcoeff_4506_iotable_2020_xlsx_3[[#This Row],[2030]]+scenario_jobcoeff_1610_iotable_2020_xlsx_3[[#This Row],[2030]]</f>
        <v>-14.818772874322349</v>
      </c>
      <c r="H165">
        <f>scenario_jobcoeff_4506_iotable_2020_xlsx_3[[#This Row],[2031]]+scenario_jobcoeff_1610_iotable_2020_xlsx_3[[#This Row],[2031]]</f>
        <v>-8.7326983135728824</v>
      </c>
      <c r="I165">
        <f>scenario_jobcoeff_4506_iotable_2020_xlsx_3[[#This Row],[2032]]+scenario_jobcoeff_1610_iotable_2020_xlsx_3[[#This Row],[2032]]</f>
        <v>-0.23295358392076082</v>
      </c>
      <c r="J165">
        <f>scenario_jobcoeff_4506_iotable_2020_xlsx_3[[#This Row],[2033]]+scenario_jobcoeff_1610_iotable_2020_xlsx_3[[#This Row],[2033]]</f>
        <v>-21.856298522320117</v>
      </c>
      <c r="K165">
        <f>scenario_jobcoeff_4506_iotable_2020_xlsx_3[[#This Row],[2034]]+scenario_jobcoeff_1610_iotable_2020_xlsx_3[[#This Row],[2034]]</f>
        <v>-13.946842890536971</v>
      </c>
      <c r="L165">
        <f>scenario_jobcoeff_4506_iotable_2020_xlsx_3[[#This Row],[2035]]+scenario_jobcoeff_1610_iotable_2020_xlsx_3[[#This Row],[2035]]</f>
        <v>-38.455397044501609</v>
      </c>
      <c r="M165">
        <f>scenario_jobcoeff_4506_iotable_2020_xlsx_3[[#This Row],[2036]]+scenario_jobcoeff_1610_iotable_2020_xlsx_3[[#This Row],[2036]]</f>
        <v>-60.400376746102097</v>
      </c>
      <c r="N165">
        <f>scenario_jobcoeff_4506_iotable_2020_xlsx_3[[#This Row],[2037]]+scenario_jobcoeff_1610_iotable_2020_xlsx_3[[#This Row],[2037]]</f>
        <v>-79.265220966854599</v>
      </c>
      <c r="O165">
        <f>scenario_jobcoeff_4506_iotable_2020_xlsx_3[[#This Row],[2038]]+scenario_jobcoeff_1610_iotable_2020_xlsx_3[[#This Row],[2038]]</f>
        <v>-79.265220966854599</v>
      </c>
      <c r="P165">
        <f>scenario_jobcoeff_4506_iotable_2020_xlsx_3[[#This Row],[2039]]+scenario_jobcoeff_1610_iotable_2020_xlsx_3[[#This Row],[2039]]</f>
        <v>-79.265220966854599</v>
      </c>
      <c r="Q165">
        <f>scenario_jobcoeff_4506_iotable_2020_xlsx_3[[#This Row],[2040]]+scenario_jobcoeff_1610_iotable_2020_xlsx_3[[#This Row],[2040]]</f>
        <v>-95.881546079443467</v>
      </c>
      <c r="R165">
        <f>scenario_jobcoeff_4506_iotable_2020_xlsx_3[[#This Row],[2041]]+scenario_jobcoeff_1610_iotable_2020_xlsx_3[[#This Row],[2041]]</f>
        <v>-95.881546079443467</v>
      </c>
      <c r="S165">
        <f>scenario_jobcoeff_4506_iotable_2020_xlsx_3[[#This Row],[2042]]+scenario_jobcoeff_1610_iotable_2020_xlsx_3[[#This Row],[2042]]</f>
        <v>-114.04900942049846</v>
      </c>
      <c r="T165">
        <f>scenario_jobcoeff_4506_iotable_2020_xlsx_3[[#This Row],[2043]]+scenario_jobcoeff_1610_iotable_2020_xlsx_3[[#This Row],[2043]]</f>
        <v>-114.04900942049846</v>
      </c>
      <c r="U165">
        <f>scenario_jobcoeff_4506_iotable_2020_xlsx_3[[#This Row],[2044]]+scenario_jobcoeff_1610_iotable_2020_xlsx_3[[#This Row],[2044]]</f>
        <v>-131.84944790796641</v>
      </c>
      <c r="V165">
        <f>scenario_jobcoeff_4506_iotable_2020_xlsx_3[[#This Row],[2045]]+scenario_jobcoeff_1610_iotable_2020_xlsx_3[[#This Row],[2045]]</f>
        <v>-131.84944790796641</v>
      </c>
      <c r="W165">
        <f>scenario_jobcoeff_4506_iotable_2020_xlsx_3[[#This Row],[2046]]+scenario_jobcoeff_1610_iotable_2020_xlsx_3[[#This Row],[2046]]</f>
        <v>-146.84001572790424</v>
      </c>
      <c r="X165">
        <f>scenario_jobcoeff_4506_iotable_2020_xlsx_3[[#This Row],[2047]]+scenario_jobcoeff_1610_iotable_2020_xlsx_3[[#This Row],[2047]]</f>
        <v>-146.84001572790424</v>
      </c>
      <c r="Y165">
        <f>scenario_jobcoeff_4506_iotable_2020_xlsx_3[[#This Row],[2048]]+scenario_jobcoeff_1610_iotable_2020_xlsx_3[[#This Row],[2048]]</f>
        <v>-146.84001572790424</v>
      </c>
      <c r="Z165">
        <f>scenario_jobcoeff_4506_iotable_2020_xlsx_3[[#This Row],[2049]]+scenario_jobcoeff_1610_iotable_2020_xlsx_3[[#This Row],[2049]]</f>
        <v>-146.84001572790424</v>
      </c>
      <c r="AA165">
        <f>scenario_jobcoeff_4506_iotable_2020_xlsx_3[[#This Row],[2050]]+scenario_jobcoeff_1610_iotable_2020_xlsx_3[[#This Row],[2050]]</f>
        <v>-146.84001572790424</v>
      </c>
    </row>
    <row r="166" spans="1:27" x14ac:dyDescent="0.2">
      <c r="A166" t="s">
        <v>332</v>
      </c>
      <c r="B166" t="s">
        <v>333</v>
      </c>
      <c r="C166">
        <f>scenario_jobcoeff_4506_iotable_2020_xlsx_3[[#This Row],[2026]]+scenario_jobcoeff_1610_iotable_2020_xlsx_3[[#This Row],[2026]]</f>
        <v>0</v>
      </c>
      <c r="D166">
        <f>scenario_jobcoeff_4506_iotable_2020_xlsx_3[[#This Row],[2027]]+scenario_jobcoeff_1610_iotable_2020_xlsx_3[[#This Row],[2027]]</f>
        <v>0</v>
      </c>
      <c r="E166">
        <f>scenario_jobcoeff_4506_iotable_2020_xlsx_3[[#This Row],[2028]]+scenario_jobcoeff_1610_iotable_2020_xlsx_3[[#This Row],[2028]]</f>
        <v>0</v>
      </c>
      <c r="F166">
        <f>scenario_jobcoeff_4506_iotable_2020_xlsx_3[[#This Row],[2029]]+scenario_jobcoeff_1610_iotable_2020_xlsx_3[[#This Row],[2029]]</f>
        <v>0</v>
      </c>
      <c r="G166">
        <f>scenario_jobcoeff_4506_iotable_2020_xlsx_3[[#This Row],[2030]]+scenario_jobcoeff_1610_iotable_2020_xlsx_3[[#This Row],[2030]]</f>
        <v>0</v>
      </c>
      <c r="H166">
        <f>scenario_jobcoeff_4506_iotable_2020_xlsx_3[[#This Row],[2031]]+scenario_jobcoeff_1610_iotable_2020_xlsx_3[[#This Row],[2031]]</f>
        <v>0</v>
      </c>
      <c r="I166">
        <f>scenario_jobcoeff_4506_iotable_2020_xlsx_3[[#This Row],[2032]]+scenario_jobcoeff_1610_iotable_2020_xlsx_3[[#This Row],[2032]]</f>
        <v>0</v>
      </c>
      <c r="J166">
        <f>scenario_jobcoeff_4506_iotable_2020_xlsx_3[[#This Row],[2033]]+scenario_jobcoeff_1610_iotable_2020_xlsx_3[[#This Row],[2033]]</f>
        <v>0</v>
      </c>
      <c r="K166">
        <f>scenario_jobcoeff_4506_iotable_2020_xlsx_3[[#This Row],[2034]]+scenario_jobcoeff_1610_iotable_2020_xlsx_3[[#This Row],[2034]]</f>
        <v>0</v>
      </c>
      <c r="L166">
        <f>scenario_jobcoeff_4506_iotable_2020_xlsx_3[[#This Row],[2035]]+scenario_jobcoeff_1610_iotable_2020_xlsx_3[[#This Row],[2035]]</f>
        <v>0</v>
      </c>
      <c r="M166">
        <f>scenario_jobcoeff_4506_iotable_2020_xlsx_3[[#This Row],[2036]]+scenario_jobcoeff_1610_iotable_2020_xlsx_3[[#This Row],[2036]]</f>
        <v>0</v>
      </c>
      <c r="N166">
        <f>scenario_jobcoeff_4506_iotable_2020_xlsx_3[[#This Row],[2037]]+scenario_jobcoeff_1610_iotable_2020_xlsx_3[[#This Row],[2037]]</f>
        <v>0</v>
      </c>
      <c r="O166">
        <f>scenario_jobcoeff_4506_iotable_2020_xlsx_3[[#This Row],[2038]]+scenario_jobcoeff_1610_iotable_2020_xlsx_3[[#This Row],[2038]]</f>
        <v>0</v>
      </c>
      <c r="P166">
        <f>scenario_jobcoeff_4506_iotable_2020_xlsx_3[[#This Row],[2039]]+scenario_jobcoeff_1610_iotable_2020_xlsx_3[[#This Row],[2039]]</f>
        <v>0</v>
      </c>
      <c r="Q166">
        <f>scenario_jobcoeff_4506_iotable_2020_xlsx_3[[#This Row],[2040]]+scenario_jobcoeff_1610_iotable_2020_xlsx_3[[#This Row],[2040]]</f>
        <v>0</v>
      </c>
      <c r="R166">
        <f>scenario_jobcoeff_4506_iotable_2020_xlsx_3[[#This Row],[2041]]+scenario_jobcoeff_1610_iotable_2020_xlsx_3[[#This Row],[2041]]</f>
        <v>0</v>
      </c>
      <c r="S166">
        <f>scenario_jobcoeff_4506_iotable_2020_xlsx_3[[#This Row],[2042]]+scenario_jobcoeff_1610_iotable_2020_xlsx_3[[#This Row],[2042]]</f>
        <v>0</v>
      </c>
      <c r="T166">
        <f>scenario_jobcoeff_4506_iotable_2020_xlsx_3[[#This Row],[2043]]+scenario_jobcoeff_1610_iotable_2020_xlsx_3[[#This Row],[2043]]</f>
        <v>0</v>
      </c>
      <c r="U166">
        <f>scenario_jobcoeff_4506_iotable_2020_xlsx_3[[#This Row],[2044]]+scenario_jobcoeff_1610_iotable_2020_xlsx_3[[#This Row],[2044]]</f>
        <v>0</v>
      </c>
      <c r="V166">
        <f>scenario_jobcoeff_4506_iotable_2020_xlsx_3[[#This Row],[2045]]+scenario_jobcoeff_1610_iotable_2020_xlsx_3[[#This Row],[2045]]</f>
        <v>0</v>
      </c>
      <c r="W166">
        <f>scenario_jobcoeff_4506_iotable_2020_xlsx_3[[#This Row],[2046]]+scenario_jobcoeff_1610_iotable_2020_xlsx_3[[#This Row],[2046]]</f>
        <v>0</v>
      </c>
      <c r="X166">
        <f>scenario_jobcoeff_4506_iotable_2020_xlsx_3[[#This Row],[2047]]+scenario_jobcoeff_1610_iotable_2020_xlsx_3[[#This Row],[2047]]</f>
        <v>0</v>
      </c>
      <c r="Y166">
        <f>scenario_jobcoeff_4506_iotable_2020_xlsx_3[[#This Row],[2048]]+scenario_jobcoeff_1610_iotable_2020_xlsx_3[[#This Row],[2048]]</f>
        <v>0</v>
      </c>
      <c r="Z166">
        <f>scenario_jobcoeff_4506_iotable_2020_xlsx_3[[#This Row],[2049]]+scenario_jobcoeff_1610_iotable_2020_xlsx_3[[#This Row],[2049]]</f>
        <v>0</v>
      </c>
      <c r="AA166">
        <f>scenario_jobcoeff_4506_iotable_2020_xlsx_3[[#This Row],[2050]]+scenario_jobcoeff_1610_iotable_2020_xlsx_3[[#This Row],[2050]]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18C9-C5DD-2147-AF96-0499F935FD46}">
  <dimension ref="A1:AB381"/>
  <sheetViews>
    <sheetView tabSelected="1" topLeftCell="I364" workbookViewId="0">
      <selection activeCell="AA386" sqref="AA386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3" width="34.83203125" customWidth="1"/>
  </cols>
  <sheetData>
    <row r="1" spans="1:28" x14ac:dyDescent="0.2">
      <c r="A1" t="s">
        <v>1027</v>
      </c>
      <c r="B1" t="s">
        <v>1028</v>
      </c>
      <c r="C1">
        <v>2020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567</v>
      </c>
      <c r="B2" t="s">
        <v>568</v>
      </c>
      <c r="C2" s="1">
        <v>8382325</v>
      </c>
      <c r="D2" s="2">
        <f>$C2+total_production!C2</f>
        <v>8390323.7756955866</v>
      </c>
      <c r="E2" s="2">
        <f>$C2+total_production!D2</f>
        <v>8390312.6085525509</v>
      </c>
      <c r="F2" s="2">
        <f>$C2+total_production!E2</f>
        <v>8390705.8671783209</v>
      </c>
      <c r="G2" s="2">
        <f>$C2+total_production!F2</f>
        <v>8390981.3448554929</v>
      </c>
      <c r="H2" s="2">
        <f>$C2+total_production!G2</f>
        <v>8390584.5842520799</v>
      </c>
      <c r="I2" s="2">
        <f>$C2+total_production!H2</f>
        <v>8391115.1686405577</v>
      </c>
      <c r="J2" s="2">
        <f>$C2+total_production!I2</f>
        <v>8391856.1769562773</v>
      </c>
      <c r="K2" s="2">
        <f>$C2+total_production!J2</f>
        <v>8392981.2749252543</v>
      </c>
      <c r="L2" s="2">
        <f>$C2+total_production!K2</f>
        <v>8393670.8217978217</v>
      </c>
      <c r="M2" s="2">
        <f>$C2+total_production!L2</f>
        <v>8395344.7470580898</v>
      </c>
      <c r="N2" s="2">
        <f>$C2+total_production!M2</f>
        <v>8395932.7736995462</v>
      </c>
      <c r="O2" s="2">
        <f>$C2+total_production!N2</f>
        <v>8396474.6913702525</v>
      </c>
      <c r="P2" s="2">
        <f>$C2+total_production!O2</f>
        <v>8396474.6913702525</v>
      </c>
      <c r="Q2" s="2">
        <f>$C2+total_production!P2</f>
        <v>8396474.6913702525</v>
      </c>
      <c r="R2" s="2">
        <f>$C2+total_production!Q2</f>
        <v>8396945.6716349479</v>
      </c>
      <c r="S2" s="2">
        <f>$C2+total_production!R2</f>
        <v>8396945.6716349479</v>
      </c>
      <c r="T2" s="2">
        <f>$C2+total_production!S2</f>
        <v>8397480.586862959</v>
      </c>
      <c r="U2" s="2">
        <f>$C2+total_production!T2</f>
        <v>8397480.586862959</v>
      </c>
      <c r="V2" s="2">
        <f>$C2+total_production!U2</f>
        <v>8397943.6805276759</v>
      </c>
      <c r="W2" s="2">
        <f>$C2+total_production!V2</f>
        <v>8397943.6805276759</v>
      </c>
      <c r="X2" s="2">
        <f>$C2+total_production!W2</f>
        <v>8398352.4642363302</v>
      </c>
      <c r="Y2" s="2">
        <f>$C2+total_production!X2</f>
        <v>8398352.4642363302</v>
      </c>
      <c r="Z2" s="2">
        <f>$C2+total_production!Y2</f>
        <v>8398352.4642363302</v>
      </c>
      <c r="AA2" s="2">
        <f>$C2+total_production!Z2</f>
        <v>8398352.4642363302</v>
      </c>
      <c r="AB2" s="2">
        <f>$C2+total_production!AA2</f>
        <v>8398352.4642363302</v>
      </c>
    </row>
    <row r="3" spans="1:28" x14ac:dyDescent="0.2">
      <c r="A3" t="s">
        <v>839</v>
      </c>
      <c r="B3" t="s">
        <v>840</v>
      </c>
      <c r="C3" s="1">
        <v>280543</v>
      </c>
      <c r="D3" s="2">
        <f>$C3+total_production!C3</f>
        <v>281418.01030617446</v>
      </c>
      <c r="E3" s="2">
        <f>$C3+total_production!D3</f>
        <v>281467.48914890486</v>
      </c>
      <c r="F3" s="2">
        <f>$C3+total_production!E3</f>
        <v>281507.49546211842</v>
      </c>
      <c r="G3" s="2">
        <f>$C3+total_production!F3</f>
        <v>281555.76583933394</v>
      </c>
      <c r="H3" s="2">
        <f>$C3+total_production!G3</f>
        <v>281687.01504295372</v>
      </c>
      <c r="I3" s="2">
        <f>$C3+total_production!H3</f>
        <v>281740.99154554156</v>
      </c>
      <c r="J3" s="2">
        <f>$C3+total_production!I3</f>
        <v>281816.37453482585</v>
      </c>
      <c r="K3" s="2">
        <f>$C3+total_production!J3</f>
        <v>282026.56495040533</v>
      </c>
      <c r="L3" s="2">
        <f>$C3+total_production!K3</f>
        <v>282096.71275226289</v>
      </c>
      <c r="M3" s="2">
        <f>$C3+total_production!L3</f>
        <v>282388.18931354186</v>
      </c>
      <c r="N3" s="2">
        <f>$C3+total_production!M3</f>
        <v>282527.55462925439</v>
      </c>
      <c r="O3" s="2">
        <f>$C3+total_production!N3</f>
        <v>282652.22294140264</v>
      </c>
      <c r="P3" s="2">
        <f>$C3+total_production!O3</f>
        <v>282652.22294140264</v>
      </c>
      <c r="Q3" s="2">
        <f>$C3+total_production!P3</f>
        <v>282652.22294140264</v>
      </c>
      <c r="R3" s="2">
        <f>$C3+total_production!Q3</f>
        <v>282761.18455297442</v>
      </c>
      <c r="S3" s="2">
        <f>$C3+total_production!R3</f>
        <v>282761.18455297442</v>
      </c>
      <c r="T3" s="2">
        <f>$C3+total_production!S3</f>
        <v>282882.98426158936</v>
      </c>
      <c r="U3" s="2">
        <f>$C3+total_production!T3</f>
        <v>282882.98426158936</v>
      </c>
      <c r="V3" s="2">
        <f>$C3+total_production!U3</f>
        <v>282994.17580023827</v>
      </c>
      <c r="W3" s="2">
        <f>$C3+total_production!V3</f>
        <v>282994.17580023827</v>
      </c>
      <c r="X3" s="2">
        <f>$C3+total_production!W3</f>
        <v>283090.32456248073</v>
      </c>
      <c r="Y3" s="2">
        <f>$C3+total_production!X3</f>
        <v>283090.32456248073</v>
      </c>
      <c r="Z3" s="2">
        <f>$C3+total_production!Y3</f>
        <v>283090.32456248073</v>
      </c>
      <c r="AA3" s="2">
        <f>$C3+total_production!Z3</f>
        <v>283090.32456248073</v>
      </c>
      <c r="AB3" s="2">
        <f>$C3+total_production!AA3</f>
        <v>283090.32456248073</v>
      </c>
    </row>
    <row r="4" spans="1:28" x14ac:dyDescent="0.2">
      <c r="A4" t="s">
        <v>477</v>
      </c>
      <c r="B4" t="s">
        <v>478</v>
      </c>
      <c r="C4" s="1">
        <v>274189</v>
      </c>
      <c r="D4" s="2">
        <f>$C4+total_production!C4</f>
        <v>296723.07230894914</v>
      </c>
      <c r="E4" s="2">
        <f>$C4+total_production!D4</f>
        <v>298755.10281957249</v>
      </c>
      <c r="F4" s="2">
        <f>$C4+total_production!E4</f>
        <v>299740.3412397576</v>
      </c>
      <c r="G4" s="2">
        <f>$C4+total_production!F4</f>
        <v>301254.50396883499</v>
      </c>
      <c r="H4" s="2">
        <f>$C4+total_production!G4</f>
        <v>307245.0307519249</v>
      </c>
      <c r="I4" s="2">
        <f>$C4+total_production!H4</f>
        <v>308574.3140541109</v>
      </c>
      <c r="J4" s="2">
        <f>$C4+total_production!I4</f>
        <v>310430.77647979942</v>
      </c>
      <c r="K4" s="2">
        <f>$C4+total_production!J4</f>
        <v>317145.84113692946</v>
      </c>
      <c r="L4" s="2">
        <f>$C4+total_production!K4</f>
        <v>318873.37621652201</v>
      </c>
      <c r="M4" s="2">
        <f>$C4+total_production!L4</f>
        <v>327999.38865481346</v>
      </c>
      <c r="N4" s="2">
        <f>$C4+total_production!M4</f>
        <v>332710.044617092</v>
      </c>
      <c r="O4" s="2">
        <f>$C4+total_production!N4</f>
        <v>336897.92899389972</v>
      </c>
      <c r="P4" s="2">
        <f>$C4+total_production!O4</f>
        <v>336897.92899389972</v>
      </c>
      <c r="Q4" s="2">
        <f>$C4+total_production!P4</f>
        <v>336897.92899389972</v>
      </c>
      <c r="R4" s="2">
        <f>$C4+total_production!Q4</f>
        <v>340562.54364263627</v>
      </c>
      <c r="S4" s="2">
        <f>$C4+total_production!R4</f>
        <v>340562.54364263627</v>
      </c>
      <c r="T4" s="2">
        <f>$C4+total_production!S4</f>
        <v>344645.12633295811</v>
      </c>
      <c r="U4" s="2">
        <f>$C4+total_production!T4</f>
        <v>344645.12633295811</v>
      </c>
      <c r="V4" s="2">
        <f>$C4+total_production!U4</f>
        <v>348413.3933526997</v>
      </c>
      <c r="W4" s="2">
        <f>$C4+total_production!V4</f>
        <v>348413.3933526997</v>
      </c>
      <c r="X4" s="2">
        <f>$C4+total_production!W4</f>
        <v>351658.22511948959</v>
      </c>
      <c r="Y4" s="2">
        <f>$C4+total_production!X4</f>
        <v>351658.22511948959</v>
      </c>
      <c r="Z4" s="2">
        <f>$C4+total_production!Y4</f>
        <v>351658.22511948959</v>
      </c>
      <c r="AA4" s="2">
        <f>$C4+total_production!Z4</f>
        <v>351658.22511948959</v>
      </c>
      <c r="AB4" s="2">
        <f>$C4+total_production!AA4</f>
        <v>351658.22511948959</v>
      </c>
    </row>
    <row r="5" spans="1:28" x14ac:dyDescent="0.2">
      <c r="A5" t="s">
        <v>832</v>
      </c>
      <c r="B5" t="s">
        <v>833</v>
      </c>
      <c r="C5" s="1">
        <v>747911</v>
      </c>
      <c r="D5" s="2">
        <f>$C5+total_production!C5</f>
        <v>748805.4426551722</v>
      </c>
      <c r="E5" s="2">
        <f>$C5+total_production!D5</f>
        <v>748806.69186495792</v>
      </c>
      <c r="F5" s="2">
        <f>$C5+total_production!E5</f>
        <v>748850.51853766455</v>
      </c>
      <c r="G5" s="2">
        <f>$C5+total_production!F5</f>
        <v>748882.21661551145</v>
      </c>
      <c r="H5" s="2">
        <f>$C5+total_production!G5</f>
        <v>748846.45476013783</v>
      </c>
      <c r="I5" s="2">
        <f>$C5+total_production!H5</f>
        <v>748905.58569030231</v>
      </c>
      <c r="J5" s="2">
        <f>$C5+total_production!I5</f>
        <v>748988.16729639471</v>
      </c>
      <c r="K5" s="2">
        <f>$C5+total_production!J5</f>
        <v>749118.27042674308</v>
      </c>
      <c r="L5" s="2">
        <f>$C5+total_production!K5</f>
        <v>749195.11691686301</v>
      </c>
      <c r="M5" s="2">
        <f>$C5+total_production!L5</f>
        <v>749387.63813195308</v>
      </c>
      <c r="N5" s="2">
        <f>$C5+total_production!M5</f>
        <v>749457.08980005851</v>
      </c>
      <c r="O5" s="2">
        <f>$C5+total_production!N5</f>
        <v>749520.90985904972</v>
      </c>
      <c r="P5" s="2">
        <f>$C5+total_production!O5</f>
        <v>749520.90985904972</v>
      </c>
      <c r="Q5" s="2">
        <f>$C5+total_production!P5</f>
        <v>749520.90985904972</v>
      </c>
      <c r="R5" s="2">
        <f>$C5+total_production!Q5</f>
        <v>749576.40600282489</v>
      </c>
      <c r="S5" s="2">
        <f>$C5+total_production!R5</f>
        <v>749576.40600282489</v>
      </c>
      <c r="T5" s="2">
        <f>$C5+total_production!S5</f>
        <v>749639.33943984529</v>
      </c>
      <c r="U5" s="2">
        <f>$C5+total_production!T5</f>
        <v>749639.33943984529</v>
      </c>
      <c r="V5" s="2">
        <f>$C5+total_production!U5</f>
        <v>749694.1060564752</v>
      </c>
      <c r="W5" s="2">
        <f>$C5+total_production!V5</f>
        <v>749694.1060564752</v>
      </c>
      <c r="X5" s="2">
        <f>$C5+total_production!W5</f>
        <v>749742.35117446235</v>
      </c>
      <c r="Y5" s="2">
        <f>$C5+total_production!X5</f>
        <v>749742.35117446235</v>
      </c>
      <c r="Z5" s="2">
        <f>$C5+total_production!Y5</f>
        <v>749742.35117446235</v>
      </c>
      <c r="AA5" s="2">
        <f>$C5+total_production!Z5</f>
        <v>749742.35117446235</v>
      </c>
      <c r="AB5" s="2">
        <f>$C5+total_production!AA5</f>
        <v>749742.35117446235</v>
      </c>
    </row>
    <row r="6" spans="1:28" x14ac:dyDescent="0.2">
      <c r="A6" t="s">
        <v>586</v>
      </c>
      <c r="B6" t="s">
        <v>587</v>
      </c>
      <c r="C6" s="1">
        <v>5283053</v>
      </c>
      <c r="D6" s="2">
        <f>$C6+total_production!C6</f>
        <v>5290016.5743370736</v>
      </c>
      <c r="E6" s="2">
        <f>$C6+total_production!D6</f>
        <v>5289882.1618572976</v>
      </c>
      <c r="F6" s="2">
        <f>$C6+total_production!E6</f>
        <v>5290231.9360889038</v>
      </c>
      <c r="G6" s="2">
        <f>$C6+total_production!F6</f>
        <v>5290427.160886433</v>
      </c>
      <c r="H6" s="2">
        <f>$C6+total_production!G6</f>
        <v>5289652.2170159603</v>
      </c>
      <c r="I6" s="2">
        <f>$C6+total_production!H6</f>
        <v>5290124.1322763506</v>
      </c>
      <c r="J6" s="2">
        <f>$C6+total_production!I6</f>
        <v>5290783.2039336739</v>
      </c>
      <c r="K6" s="2">
        <f>$C6+total_production!J6</f>
        <v>5291548.4507763851</v>
      </c>
      <c r="L6" s="2">
        <f>$C6+total_production!K6</f>
        <v>5292161.7513162913</v>
      </c>
      <c r="M6" s="2">
        <f>$C6+total_production!L6</f>
        <v>5293352.5391308852</v>
      </c>
      <c r="N6" s="2">
        <f>$C6+total_production!M6</f>
        <v>5293679.9148315368</v>
      </c>
      <c r="O6" s="2">
        <f>$C6+total_production!N6</f>
        <v>5293990.8891805736</v>
      </c>
      <c r="P6" s="2">
        <f>$C6+total_production!O6</f>
        <v>5293990.8891805736</v>
      </c>
      <c r="Q6" s="2">
        <f>$C6+total_production!P6</f>
        <v>5293990.8891805736</v>
      </c>
      <c r="R6" s="2">
        <f>$C6+total_production!Q6</f>
        <v>5294259.650485279</v>
      </c>
      <c r="S6" s="2">
        <f>$C6+total_production!R6</f>
        <v>5294259.650485279</v>
      </c>
      <c r="T6" s="2">
        <f>$C6+total_production!S6</f>
        <v>5294569.6996583445</v>
      </c>
      <c r="U6" s="2">
        <f>$C6+total_production!T6</f>
        <v>5294569.6996583445</v>
      </c>
      <c r="V6" s="2">
        <f>$C6+total_production!U6</f>
        <v>5294823.9890716067</v>
      </c>
      <c r="W6" s="2">
        <f>$C6+total_production!V6</f>
        <v>5294823.9890716067</v>
      </c>
      <c r="X6" s="2">
        <f>$C6+total_production!W6</f>
        <v>5295053.3815327538</v>
      </c>
      <c r="Y6" s="2">
        <f>$C6+total_production!X6</f>
        <v>5295053.3815327538</v>
      </c>
      <c r="Z6" s="2">
        <f>$C6+total_production!Y6</f>
        <v>5295053.3815327538</v>
      </c>
      <c r="AA6" s="2">
        <f>$C6+total_production!Z6</f>
        <v>5295053.3815327538</v>
      </c>
      <c r="AB6" s="2">
        <f>$C6+total_production!AA6</f>
        <v>5295053.3815327538</v>
      </c>
    </row>
    <row r="7" spans="1:28" x14ac:dyDescent="0.2">
      <c r="A7" t="s">
        <v>714</v>
      </c>
      <c r="B7" t="s">
        <v>715</v>
      </c>
      <c r="C7" s="1">
        <v>1939940</v>
      </c>
      <c r="D7" s="2">
        <f>$C7+total_production!C7</f>
        <v>1942577.2077780066</v>
      </c>
      <c r="E7" s="2">
        <f>$C7+total_production!D7</f>
        <v>1942435.4879213863</v>
      </c>
      <c r="F7" s="2">
        <f>$C7+total_production!E7</f>
        <v>1942573.350300747</v>
      </c>
      <c r="G7" s="2">
        <f>$C7+total_production!F7</f>
        <v>1942614.800872749</v>
      </c>
      <c r="H7" s="2">
        <f>$C7+total_production!G7</f>
        <v>1942008.4772670381</v>
      </c>
      <c r="I7" s="2">
        <f>$C7+total_production!H7</f>
        <v>1942194.4811368927</v>
      </c>
      <c r="J7" s="2">
        <f>$C7+total_production!I7</f>
        <v>1942454.2520938059</v>
      </c>
      <c r="K7" s="2">
        <f>$C7+total_production!J7</f>
        <v>1942588.0242034253</v>
      </c>
      <c r="L7" s="2">
        <f>$C7+total_production!K7</f>
        <v>1942829.7546228063</v>
      </c>
      <c r="M7" s="2">
        <f>$C7+total_production!L7</f>
        <v>1943086.6249329306</v>
      </c>
      <c r="N7" s="2">
        <f>$C7+total_production!M7</f>
        <v>1943076.1946974031</v>
      </c>
      <c r="O7" s="2">
        <f>$C7+total_production!N7</f>
        <v>1943076.8437238422</v>
      </c>
      <c r="P7" s="2">
        <f>$C7+total_production!O7</f>
        <v>1943076.8437238422</v>
      </c>
      <c r="Q7" s="2">
        <f>$C7+total_production!P7</f>
        <v>1943076.8437238422</v>
      </c>
      <c r="R7" s="2">
        <f>$C7+total_production!Q7</f>
        <v>1943075.7402706705</v>
      </c>
      <c r="S7" s="2">
        <f>$C7+total_production!R7</f>
        <v>1943075.7402706705</v>
      </c>
      <c r="T7" s="2">
        <f>$C7+total_production!S7</f>
        <v>1943079.8051209243</v>
      </c>
      <c r="U7" s="2">
        <f>$C7+total_production!T7</f>
        <v>1943079.8051209243</v>
      </c>
      <c r="V7" s="2">
        <f>$C7+total_production!U7</f>
        <v>1943067.6812913951</v>
      </c>
      <c r="W7" s="2">
        <f>$C7+total_production!V7</f>
        <v>1943067.6812913951</v>
      </c>
      <c r="X7" s="2">
        <f>$C7+total_production!W7</f>
        <v>1943062.4317098055</v>
      </c>
      <c r="Y7" s="2">
        <f>$C7+total_production!X7</f>
        <v>1943062.4317098055</v>
      </c>
      <c r="Z7" s="2">
        <f>$C7+total_production!Y7</f>
        <v>1943062.4317098055</v>
      </c>
      <c r="AA7" s="2">
        <f>$C7+total_production!Z7</f>
        <v>1943062.4317098055</v>
      </c>
      <c r="AB7" s="2">
        <f>$C7+total_production!AA7</f>
        <v>1943062.4317098055</v>
      </c>
    </row>
    <row r="8" spans="1:28" x14ac:dyDescent="0.2">
      <c r="A8" t="s">
        <v>857</v>
      </c>
      <c r="B8" t="s">
        <v>858</v>
      </c>
      <c r="C8" s="1">
        <v>409859</v>
      </c>
      <c r="D8" s="2">
        <f>$C8+total_production!C8</f>
        <v>410508.73288001114</v>
      </c>
      <c r="E8" s="2">
        <f>$C8+total_production!D8</f>
        <v>410486.43269618572</v>
      </c>
      <c r="F8" s="2">
        <f>$C8+total_production!E8</f>
        <v>410519.64823990327</v>
      </c>
      <c r="G8" s="2">
        <f>$C8+total_production!F8</f>
        <v>410534.37293592462</v>
      </c>
      <c r="H8" s="2">
        <f>$C8+total_production!G8</f>
        <v>410428.44990897877</v>
      </c>
      <c r="I8" s="2">
        <f>$C8+total_production!H8</f>
        <v>410473.26430794271</v>
      </c>
      <c r="J8" s="2">
        <f>$C8+total_production!I8</f>
        <v>410535.85160417185</v>
      </c>
      <c r="K8" s="2">
        <f>$C8+total_production!J8</f>
        <v>410590.48504122824</v>
      </c>
      <c r="L8" s="2">
        <f>$C8+total_production!K8</f>
        <v>410648.72578355443</v>
      </c>
      <c r="M8" s="2">
        <f>$C8+total_production!L8</f>
        <v>410738.9742159493</v>
      </c>
      <c r="N8" s="2">
        <f>$C8+total_production!M8</f>
        <v>410755.07617551083</v>
      </c>
      <c r="O8" s="2">
        <f>$C8+total_production!N8</f>
        <v>410771.50583862903</v>
      </c>
      <c r="P8" s="2">
        <f>$C8+total_production!O8</f>
        <v>410771.50583862903</v>
      </c>
      <c r="Q8" s="2">
        <f>$C8+total_production!P8</f>
        <v>410771.50583862903</v>
      </c>
      <c r="R8" s="2">
        <f>$C8+total_production!Q8</f>
        <v>410785.52641530678</v>
      </c>
      <c r="S8" s="2">
        <f>$C8+total_production!R8</f>
        <v>410785.52641530678</v>
      </c>
      <c r="T8" s="2">
        <f>$C8+total_production!S8</f>
        <v>410802.27446385438</v>
      </c>
      <c r="U8" s="2">
        <f>$C8+total_production!T8</f>
        <v>410802.27446385438</v>
      </c>
      <c r="V8" s="2">
        <f>$C8+total_production!U8</f>
        <v>410814.34946711821</v>
      </c>
      <c r="W8" s="2">
        <f>$C8+total_production!V8</f>
        <v>410814.34946711821</v>
      </c>
      <c r="X8" s="2">
        <f>$C8+total_production!W8</f>
        <v>410825.85336999415</v>
      </c>
      <c r="Y8" s="2">
        <f>$C8+total_production!X8</f>
        <v>410825.85336999415</v>
      </c>
      <c r="Z8" s="2">
        <f>$C8+total_production!Y8</f>
        <v>410825.85336999415</v>
      </c>
      <c r="AA8" s="2">
        <f>$C8+total_production!Z8</f>
        <v>410825.85336999415</v>
      </c>
      <c r="AB8" s="2">
        <f>$C8+total_production!AA8</f>
        <v>410825.85336999415</v>
      </c>
    </row>
    <row r="9" spans="1:28" x14ac:dyDescent="0.2">
      <c r="A9" t="s">
        <v>879</v>
      </c>
      <c r="B9" t="s">
        <v>880</v>
      </c>
      <c r="C9" s="1">
        <v>1446259</v>
      </c>
      <c r="D9" s="2">
        <f>$C9+total_production!C9</f>
        <v>1446627.4926839629</v>
      </c>
      <c r="E9" s="2">
        <f>$C9+total_production!D9</f>
        <v>1446598.9073924008</v>
      </c>
      <c r="F9" s="2">
        <f>$C9+total_production!E9</f>
        <v>1446618.6927030659</v>
      </c>
      <c r="G9" s="2">
        <f>$C9+total_production!F9</f>
        <v>1446621.3429288382</v>
      </c>
      <c r="H9" s="2">
        <f>$C9+total_production!G9</f>
        <v>1446506.3667694533</v>
      </c>
      <c r="I9" s="2">
        <f>$C9+total_production!H9</f>
        <v>1446533.0611030858</v>
      </c>
      <c r="J9" s="2">
        <f>$C9+total_production!I9</f>
        <v>1446570.3421155578</v>
      </c>
      <c r="K9" s="2">
        <f>$C9+total_production!J9</f>
        <v>1446573.9430718019</v>
      </c>
      <c r="L9" s="2">
        <f>$C9+total_production!K9</f>
        <v>1446608.6349976696</v>
      </c>
      <c r="M9" s="2">
        <f>$C9+total_production!L9</f>
        <v>1446625.7553532021</v>
      </c>
      <c r="N9" s="2">
        <f>$C9+total_production!M9</f>
        <v>1446611.2986422838</v>
      </c>
      <c r="O9" s="2">
        <f>$C9+total_production!N9</f>
        <v>1446600.0622407349</v>
      </c>
      <c r="P9" s="2">
        <f>$C9+total_production!O9</f>
        <v>1446600.0622407349</v>
      </c>
      <c r="Q9" s="2">
        <f>$C9+total_production!P9</f>
        <v>1446600.0622407349</v>
      </c>
      <c r="R9" s="2">
        <f>$C9+total_production!Q9</f>
        <v>1446589.9575918799</v>
      </c>
      <c r="S9" s="2">
        <f>$C9+total_production!R9</f>
        <v>1446589.9575918799</v>
      </c>
      <c r="T9" s="2">
        <f>$C9+total_production!S9</f>
        <v>1446579.5627156666</v>
      </c>
      <c r="U9" s="2">
        <f>$C9+total_production!T9</f>
        <v>1446579.5627156666</v>
      </c>
      <c r="V9" s="2">
        <f>$C9+total_production!U9</f>
        <v>1446567.3824548377</v>
      </c>
      <c r="W9" s="2">
        <f>$C9+total_production!V9</f>
        <v>1446567.3824548377</v>
      </c>
      <c r="X9" s="2">
        <f>$C9+total_production!W9</f>
        <v>1446557.7394301472</v>
      </c>
      <c r="Y9" s="2">
        <f>$C9+total_production!X9</f>
        <v>1446557.7394301472</v>
      </c>
      <c r="Z9" s="2">
        <f>$C9+total_production!Y9</f>
        <v>1446557.7394301472</v>
      </c>
      <c r="AA9" s="2">
        <f>$C9+total_production!Z9</f>
        <v>1446557.7394301472</v>
      </c>
      <c r="AB9" s="2">
        <f>$C9+total_production!AA9</f>
        <v>1446557.7394301472</v>
      </c>
    </row>
    <row r="10" spans="1:28" x14ac:dyDescent="0.2">
      <c r="A10" t="s">
        <v>996</v>
      </c>
      <c r="B10" t="s">
        <v>997</v>
      </c>
      <c r="C10" s="1">
        <v>59947</v>
      </c>
      <c r="D10" s="2">
        <f>$C10+total_production!C10</f>
        <v>59947</v>
      </c>
      <c r="E10" s="2">
        <f>$C10+total_production!D10</f>
        <v>59947</v>
      </c>
      <c r="F10" s="2">
        <f>$C10+total_production!E10</f>
        <v>59947</v>
      </c>
      <c r="G10" s="2">
        <f>$C10+total_production!F10</f>
        <v>59947</v>
      </c>
      <c r="H10" s="2">
        <f>$C10+total_production!G10</f>
        <v>59947</v>
      </c>
      <c r="I10" s="2">
        <f>$C10+total_production!H10</f>
        <v>59947</v>
      </c>
      <c r="J10" s="2">
        <f>$C10+total_production!I10</f>
        <v>59947</v>
      </c>
      <c r="K10" s="2">
        <f>$C10+total_production!J10</f>
        <v>59947</v>
      </c>
      <c r="L10" s="2">
        <f>$C10+total_production!K10</f>
        <v>59947</v>
      </c>
      <c r="M10" s="2">
        <f>$C10+total_production!L10</f>
        <v>59947</v>
      </c>
      <c r="N10" s="2">
        <f>$C10+total_production!M10</f>
        <v>59947</v>
      </c>
      <c r="O10" s="2">
        <f>$C10+total_production!N10</f>
        <v>59947</v>
      </c>
      <c r="P10" s="2">
        <f>$C10+total_production!O10</f>
        <v>59947</v>
      </c>
      <c r="Q10" s="2">
        <f>$C10+total_production!P10</f>
        <v>59947</v>
      </c>
      <c r="R10" s="2">
        <f>$C10+total_production!Q10</f>
        <v>59947</v>
      </c>
      <c r="S10" s="2">
        <f>$C10+total_production!R10</f>
        <v>59947</v>
      </c>
      <c r="T10" s="2">
        <f>$C10+total_production!S10</f>
        <v>59947</v>
      </c>
      <c r="U10" s="2">
        <f>$C10+total_production!T10</f>
        <v>59947</v>
      </c>
      <c r="V10" s="2">
        <f>$C10+total_production!U10</f>
        <v>59947</v>
      </c>
      <c r="W10" s="2">
        <f>$C10+total_production!V10</f>
        <v>59947</v>
      </c>
      <c r="X10" s="2">
        <f>$C10+total_production!W10</f>
        <v>59947</v>
      </c>
      <c r="Y10" s="2">
        <f>$C10+total_production!X10</f>
        <v>59947</v>
      </c>
      <c r="Z10" s="2">
        <f>$C10+total_production!Y10</f>
        <v>59947</v>
      </c>
      <c r="AA10" s="2">
        <f>$C10+total_production!Z10</f>
        <v>59947</v>
      </c>
      <c r="AB10" s="2">
        <f>$C10+total_production!AA10</f>
        <v>59947</v>
      </c>
    </row>
    <row r="11" spans="1:28" x14ac:dyDescent="0.2">
      <c r="A11" t="s">
        <v>998</v>
      </c>
      <c r="B11" t="s">
        <v>999</v>
      </c>
      <c r="C11" s="1">
        <v>0</v>
      </c>
      <c r="D11" s="2">
        <f>$C11+total_production!C11</f>
        <v>0</v>
      </c>
      <c r="E11" s="2">
        <f>$C11+total_production!D11</f>
        <v>0</v>
      </c>
      <c r="F11" s="2">
        <f>$C11+total_production!E11</f>
        <v>0</v>
      </c>
      <c r="G11" s="2">
        <f>$C11+total_production!F11</f>
        <v>0</v>
      </c>
      <c r="H11" s="2">
        <f>$C11+total_production!G11</f>
        <v>0</v>
      </c>
      <c r="I11" s="2">
        <f>$C11+total_production!H11</f>
        <v>0</v>
      </c>
      <c r="J11" s="2">
        <f>$C11+total_production!I11</f>
        <v>0</v>
      </c>
      <c r="K11" s="2">
        <f>$C11+total_production!J11</f>
        <v>0</v>
      </c>
      <c r="L11" s="2">
        <f>$C11+total_production!K11</f>
        <v>0</v>
      </c>
      <c r="M11" s="2">
        <f>$C11+total_production!L11</f>
        <v>0</v>
      </c>
      <c r="N11" s="2">
        <f>$C11+total_production!M11</f>
        <v>0</v>
      </c>
      <c r="O11" s="2">
        <f>$C11+total_production!N11</f>
        <v>0</v>
      </c>
      <c r="P11" s="2">
        <f>$C11+total_production!O11</f>
        <v>0</v>
      </c>
      <c r="Q11" s="2">
        <f>$C11+total_production!P11</f>
        <v>0</v>
      </c>
      <c r="R11" s="2">
        <f>$C11+total_production!Q11</f>
        <v>0</v>
      </c>
      <c r="S11" s="2">
        <f>$C11+total_production!R11</f>
        <v>0</v>
      </c>
      <c r="T11" s="2">
        <f>$C11+total_production!S11</f>
        <v>0</v>
      </c>
      <c r="U11" s="2">
        <f>$C11+total_production!T11</f>
        <v>0</v>
      </c>
      <c r="V11" s="2">
        <f>$C11+total_production!U11</f>
        <v>0</v>
      </c>
      <c r="W11" s="2">
        <f>$C11+total_production!V11</f>
        <v>0</v>
      </c>
      <c r="X11" s="2">
        <f>$C11+total_production!W11</f>
        <v>0</v>
      </c>
      <c r="Y11" s="2">
        <f>$C11+total_production!X11</f>
        <v>0</v>
      </c>
      <c r="Z11" s="2">
        <f>$C11+total_production!Y11</f>
        <v>0</v>
      </c>
      <c r="AA11" s="2">
        <f>$C11+total_production!Z11</f>
        <v>0</v>
      </c>
      <c r="AB11" s="2">
        <f>$C11+total_production!AA11</f>
        <v>0</v>
      </c>
    </row>
    <row r="12" spans="1:28" x14ac:dyDescent="0.2">
      <c r="A12" t="s">
        <v>896</v>
      </c>
      <c r="B12" t="s">
        <v>897</v>
      </c>
      <c r="C12" s="1">
        <v>480822</v>
      </c>
      <c r="D12" s="2">
        <f>$C12+total_production!C12</f>
        <v>481066.93555721967</v>
      </c>
      <c r="E12" s="2">
        <f>$C12+total_production!D12</f>
        <v>481061.50944753067</v>
      </c>
      <c r="F12" s="2">
        <f>$C12+total_production!E12</f>
        <v>481073.8538505105</v>
      </c>
      <c r="G12" s="2">
        <f>$C12+total_production!F12</f>
        <v>481080.47087584017</v>
      </c>
      <c r="H12" s="2">
        <f>$C12+total_production!G12</f>
        <v>481050.80761347373</v>
      </c>
      <c r="I12" s="2">
        <f>$C12+total_production!H12</f>
        <v>481067.46267728403</v>
      </c>
      <c r="J12" s="2">
        <f>$C12+total_production!I12</f>
        <v>481090.72295604507</v>
      </c>
      <c r="K12" s="2">
        <f>$C12+total_production!J12</f>
        <v>481116.43979579624</v>
      </c>
      <c r="L12" s="2">
        <f>$C12+total_production!K12</f>
        <v>481138.08469793096</v>
      </c>
      <c r="M12" s="2">
        <f>$C12+total_production!L12</f>
        <v>481178.47678507899</v>
      </c>
      <c r="N12" s="2">
        <f>$C12+total_production!M12</f>
        <v>481188.95830852911</v>
      </c>
      <c r="O12" s="2">
        <f>$C12+total_production!N12</f>
        <v>481198.99588661286</v>
      </c>
      <c r="P12" s="2">
        <f>$C12+total_production!O12</f>
        <v>481198.99588661286</v>
      </c>
      <c r="Q12" s="2">
        <f>$C12+total_production!P12</f>
        <v>481198.99588661286</v>
      </c>
      <c r="R12" s="2">
        <f>$C12+total_production!Q12</f>
        <v>481207.6581212423</v>
      </c>
      <c r="S12" s="2">
        <f>$C12+total_production!R12</f>
        <v>481207.6581212423</v>
      </c>
      <c r="T12" s="2">
        <f>$C12+total_production!S12</f>
        <v>481217.69211671222</v>
      </c>
      <c r="U12" s="2">
        <f>$C12+total_production!T12</f>
        <v>481217.69211671222</v>
      </c>
      <c r="V12" s="2">
        <f>$C12+total_production!U12</f>
        <v>481225.8027235709</v>
      </c>
      <c r="W12" s="2">
        <f>$C12+total_production!V12</f>
        <v>481225.8027235709</v>
      </c>
      <c r="X12" s="2">
        <f>$C12+total_production!W12</f>
        <v>481233.16296831146</v>
      </c>
      <c r="Y12" s="2">
        <f>$C12+total_production!X12</f>
        <v>481233.16296831146</v>
      </c>
      <c r="Z12" s="2">
        <f>$C12+total_production!Y12</f>
        <v>481233.16296831146</v>
      </c>
      <c r="AA12" s="2">
        <f>$C12+total_production!Z12</f>
        <v>481233.16296831146</v>
      </c>
      <c r="AB12" s="2">
        <f>$C12+total_production!AA12</f>
        <v>481233.16296831146</v>
      </c>
    </row>
    <row r="13" spans="1:28" x14ac:dyDescent="0.2">
      <c r="A13" t="s">
        <v>562</v>
      </c>
      <c r="B13" t="s">
        <v>563</v>
      </c>
      <c r="C13" s="1">
        <v>325671</v>
      </c>
      <c r="D13" s="2">
        <f>$C13+total_production!C13</f>
        <v>334877.61515567068</v>
      </c>
      <c r="E13" s="2">
        <f>$C13+total_production!D13</f>
        <v>335677.89805354591</v>
      </c>
      <c r="F13" s="2">
        <f>$C13+total_production!E13</f>
        <v>336082.21024103533</v>
      </c>
      <c r="G13" s="2">
        <f>$C13+total_production!F13</f>
        <v>336690.13654037664</v>
      </c>
      <c r="H13" s="2">
        <f>$C13+total_production!G13</f>
        <v>339034.54200624384</v>
      </c>
      <c r="I13" s="2">
        <f>$C13+total_production!H13</f>
        <v>339580.03985599172</v>
      </c>
      <c r="J13" s="2">
        <f>$C13+total_production!I13</f>
        <v>340341.87614753726</v>
      </c>
      <c r="K13" s="2">
        <f>$C13+total_production!J13</f>
        <v>343033.98253156128</v>
      </c>
      <c r="L13" s="2">
        <f>$C13+total_production!K13</f>
        <v>343742.91092156817</v>
      </c>
      <c r="M13" s="2">
        <f>$C13+total_production!L13</f>
        <v>347407.49991481262</v>
      </c>
      <c r="N13" s="2">
        <f>$C13+total_production!M13</f>
        <v>349287.80434685771</v>
      </c>
      <c r="O13" s="2">
        <f>$C13+total_production!N13</f>
        <v>350960.22186790634</v>
      </c>
      <c r="P13" s="2">
        <f>$C13+total_production!O13</f>
        <v>350960.22186790634</v>
      </c>
      <c r="Q13" s="2">
        <f>$C13+total_production!P13</f>
        <v>350960.22186790634</v>
      </c>
      <c r="R13" s="2">
        <f>$C13+total_production!Q13</f>
        <v>352423.54157084285</v>
      </c>
      <c r="S13" s="2">
        <f>$C13+total_production!R13</f>
        <v>352423.54157084285</v>
      </c>
      <c r="T13" s="2">
        <f>$C13+total_production!S13</f>
        <v>354054.17789571587</v>
      </c>
      <c r="U13" s="2">
        <f>$C13+total_production!T13</f>
        <v>354054.17789571587</v>
      </c>
      <c r="V13" s="2">
        <f>$C13+total_production!U13</f>
        <v>355558.02042961353</v>
      </c>
      <c r="W13" s="2">
        <f>$C13+total_production!V13</f>
        <v>355558.02042961353</v>
      </c>
      <c r="X13" s="2">
        <f>$C13+total_production!W13</f>
        <v>356853.37939674588</v>
      </c>
      <c r="Y13" s="2">
        <f>$C13+total_production!X13</f>
        <v>356853.37939674588</v>
      </c>
      <c r="Z13" s="2">
        <f>$C13+total_production!Y13</f>
        <v>356853.37939674588</v>
      </c>
      <c r="AA13" s="2">
        <f>$C13+total_production!Z13</f>
        <v>356853.37939674588</v>
      </c>
      <c r="AB13" s="2">
        <f>$C13+total_production!AA13</f>
        <v>356853.37939674588</v>
      </c>
    </row>
    <row r="14" spans="1:28" x14ac:dyDescent="0.2">
      <c r="A14" t="s">
        <v>930</v>
      </c>
      <c r="B14" t="s">
        <v>931</v>
      </c>
      <c r="C14" s="1">
        <v>15217</v>
      </c>
      <c r="D14" s="2">
        <f>$C14+total_production!C14</f>
        <v>15244.808847083894</v>
      </c>
      <c r="E14" s="2">
        <f>$C14+total_production!D14</f>
        <v>15244.975870233618</v>
      </c>
      <c r="F14" s="2">
        <f>$C14+total_production!E14</f>
        <v>15246.330853325993</v>
      </c>
      <c r="G14" s="2">
        <f>$C14+total_production!F14</f>
        <v>15247.362218960001</v>
      </c>
      <c r="H14" s="2">
        <f>$C14+total_production!G14</f>
        <v>15246.691925138068</v>
      </c>
      <c r="I14" s="2">
        <f>$C14+total_production!H14</f>
        <v>15248.520067811492</v>
      </c>
      <c r="J14" s="2">
        <f>$C14+total_production!I14</f>
        <v>15251.073231743085</v>
      </c>
      <c r="K14" s="2">
        <f>$C14+total_production!J14</f>
        <v>15255.338472846417</v>
      </c>
      <c r="L14" s="2">
        <f>$C14+total_production!K14</f>
        <v>15257.714325001971</v>
      </c>
      <c r="M14" s="2">
        <f>$C14+total_production!L14</f>
        <v>15263.973909288285</v>
      </c>
      <c r="N14" s="2">
        <f>$C14+total_production!M14</f>
        <v>15266.322929662752</v>
      </c>
      <c r="O14" s="2">
        <f>$C14+total_production!N14</f>
        <v>15268.472453991599</v>
      </c>
      <c r="P14" s="2">
        <f>$C14+total_production!O14</f>
        <v>15268.472453991599</v>
      </c>
      <c r="Q14" s="2">
        <f>$C14+total_production!P14</f>
        <v>15268.472453991599</v>
      </c>
      <c r="R14" s="2">
        <f>$C14+total_production!Q14</f>
        <v>15270.343090734914</v>
      </c>
      <c r="S14" s="2">
        <f>$C14+total_production!R14</f>
        <v>15270.343090734914</v>
      </c>
      <c r="T14" s="2">
        <f>$C14+total_production!S14</f>
        <v>15272.459733467793</v>
      </c>
      <c r="U14" s="2">
        <f>$C14+total_production!T14</f>
        <v>15272.459733467793</v>
      </c>
      <c r="V14" s="2">
        <f>$C14+total_production!U14</f>
        <v>15274.31550779242</v>
      </c>
      <c r="W14" s="2">
        <f>$C14+total_production!V14</f>
        <v>15274.31550779242</v>
      </c>
      <c r="X14" s="2">
        <f>$C14+total_production!W14</f>
        <v>15275.94551276468</v>
      </c>
      <c r="Y14" s="2">
        <f>$C14+total_production!X14</f>
        <v>15275.94551276468</v>
      </c>
      <c r="Z14" s="2">
        <f>$C14+total_production!Y14</f>
        <v>15275.94551276468</v>
      </c>
      <c r="AA14" s="2">
        <f>$C14+total_production!Z14</f>
        <v>15275.94551276468</v>
      </c>
      <c r="AB14" s="2">
        <f>$C14+total_production!AA14</f>
        <v>15275.94551276468</v>
      </c>
    </row>
    <row r="15" spans="1:28" x14ac:dyDescent="0.2">
      <c r="A15" t="s">
        <v>783</v>
      </c>
      <c r="B15" t="s">
        <v>784</v>
      </c>
      <c r="C15" s="1">
        <v>2433055</v>
      </c>
      <c r="D15" s="2">
        <f>$C15+total_production!C15</f>
        <v>2434585.6786690443</v>
      </c>
      <c r="E15" s="2">
        <f>$C15+total_production!D15</f>
        <v>2434597.7219966901</v>
      </c>
      <c r="F15" s="2">
        <f>$C15+total_production!E15</f>
        <v>2434672.1347639649</v>
      </c>
      <c r="G15" s="2">
        <f>$C15+total_production!F15</f>
        <v>2434729.9234638559</v>
      </c>
      <c r="H15" s="2">
        <f>$C15+total_production!G15</f>
        <v>2434702.845838767</v>
      </c>
      <c r="I15" s="2">
        <f>$C15+total_production!H15</f>
        <v>2434803.243516102</v>
      </c>
      <c r="J15" s="2">
        <f>$C15+total_production!I15</f>
        <v>2434943.4578069849</v>
      </c>
      <c r="K15" s="2">
        <f>$C15+total_production!J15</f>
        <v>2435183.12553964</v>
      </c>
      <c r="L15" s="2">
        <f>$C15+total_production!K15</f>
        <v>2435313.6022478184</v>
      </c>
      <c r="M15" s="2">
        <f>$C15+total_production!L15</f>
        <v>2435664.2387212408</v>
      </c>
      <c r="N15" s="2">
        <f>$C15+total_production!M15</f>
        <v>2435797.7535291887</v>
      </c>
      <c r="O15" s="2">
        <f>$C15+total_production!N15</f>
        <v>2435919.7449032655</v>
      </c>
      <c r="P15" s="2">
        <f>$C15+total_production!O15</f>
        <v>2435919.7449032655</v>
      </c>
      <c r="Q15" s="2">
        <f>$C15+total_production!P15</f>
        <v>2435919.7449032655</v>
      </c>
      <c r="R15" s="2">
        <f>$C15+total_production!Q15</f>
        <v>2436025.9388207956</v>
      </c>
      <c r="S15" s="2">
        <f>$C15+total_production!R15</f>
        <v>2436025.9388207956</v>
      </c>
      <c r="T15" s="2">
        <f>$C15+total_production!S15</f>
        <v>2436146.0021103267</v>
      </c>
      <c r="U15" s="2">
        <f>$C15+total_production!T15</f>
        <v>2436146.0021103267</v>
      </c>
      <c r="V15" s="2">
        <f>$C15+total_production!U15</f>
        <v>2436251.5517978487</v>
      </c>
      <c r="W15" s="2">
        <f>$C15+total_production!V15</f>
        <v>2436251.5517978487</v>
      </c>
      <c r="X15" s="2">
        <f>$C15+total_production!W15</f>
        <v>2436344.1628854373</v>
      </c>
      <c r="Y15" s="2">
        <f>$C15+total_production!X15</f>
        <v>2436344.1628854373</v>
      </c>
      <c r="Z15" s="2">
        <f>$C15+total_production!Y15</f>
        <v>2436344.1628854373</v>
      </c>
      <c r="AA15" s="2">
        <f>$C15+total_production!Z15</f>
        <v>2436344.1628854373</v>
      </c>
      <c r="AB15" s="2">
        <f>$C15+total_production!AA15</f>
        <v>2436344.1628854373</v>
      </c>
    </row>
    <row r="16" spans="1:28" x14ac:dyDescent="0.2">
      <c r="A16" t="s">
        <v>465</v>
      </c>
      <c r="B16" t="s">
        <v>466</v>
      </c>
      <c r="C16" s="1">
        <v>6090755</v>
      </c>
      <c r="D16" s="2">
        <f>$C16+total_production!C16</f>
        <v>6115007.1076944554</v>
      </c>
      <c r="E16" s="2">
        <f>$C16+total_production!D16</f>
        <v>6116762.6327898242</v>
      </c>
      <c r="F16" s="2">
        <f>$C16+total_production!E16</f>
        <v>6117848.6300204825</v>
      </c>
      <c r="G16" s="2">
        <f>$C16+total_production!F16</f>
        <v>6119323.9165980453</v>
      </c>
      <c r="H16" s="2">
        <f>$C16+total_production!G16</f>
        <v>6124284.9856186202</v>
      </c>
      <c r="I16" s="2">
        <f>$C16+total_production!H16</f>
        <v>6125750.2126696147</v>
      </c>
      <c r="J16" s="2">
        <f>$C16+total_production!I16</f>
        <v>6127796.5326382779</v>
      </c>
      <c r="K16" s="2">
        <f>$C16+total_production!J16</f>
        <v>6134282.2889090506</v>
      </c>
      <c r="L16" s="2">
        <f>$C16+total_production!K16</f>
        <v>6136186.4963311991</v>
      </c>
      <c r="M16" s="2">
        <f>$C16+total_production!L16</f>
        <v>6145086.2049137847</v>
      </c>
      <c r="N16" s="2">
        <f>$C16+total_production!M16</f>
        <v>6149517.4691445362</v>
      </c>
      <c r="O16" s="2">
        <f>$C16+total_production!N16</f>
        <v>6153468.2461558329</v>
      </c>
      <c r="P16" s="2">
        <f>$C16+total_production!O16</f>
        <v>6153468.2461558329</v>
      </c>
      <c r="Q16" s="2">
        <f>$C16+total_production!P16</f>
        <v>6153468.2461558329</v>
      </c>
      <c r="R16" s="2">
        <f>$C16+total_production!Q16</f>
        <v>6156923.4797059614</v>
      </c>
      <c r="S16" s="2">
        <f>$C16+total_production!R16</f>
        <v>6156923.4797059614</v>
      </c>
      <c r="T16" s="2">
        <f>$C16+total_production!S16</f>
        <v>6160778.818408723</v>
      </c>
      <c r="U16" s="2">
        <f>$C16+total_production!T16</f>
        <v>6160778.818408723</v>
      </c>
      <c r="V16" s="2">
        <f>$C16+total_production!U16</f>
        <v>6164319.2902018158</v>
      </c>
      <c r="W16" s="2">
        <f>$C16+total_production!V16</f>
        <v>6164319.2902018158</v>
      </c>
      <c r="X16" s="2">
        <f>$C16+total_production!W16</f>
        <v>6167373.8687804444</v>
      </c>
      <c r="Y16" s="2">
        <f>$C16+total_production!X16</f>
        <v>6167373.8687804444</v>
      </c>
      <c r="Z16" s="2">
        <f>$C16+total_production!Y16</f>
        <v>6167373.8687804444</v>
      </c>
      <c r="AA16" s="2">
        <f>$C16+total_production!Z16</f>
        <v>6167373.8687804444</v>
      </c>
      <c r="AB16" s="2">
        <f>$C16+total_production!AA16</f>
        <v>6167373.8687804444</v>
      </c>
    </row>
    <row r="17" spans="1:28" x14ac:dyDescent="0.2">
      <c r="A17" t="s">
        <v>451</v>
      </c>
      <c r="B17" t="s">
        <v>452</v>
      </c>
      <c r="C17" s="1">
        <v>6718837</v>
      </c>
      <c r="D17" s="2">
        <f>$C17+total_production!C17</f>
        <v>6745594.413859454</v>
      </c>
      <c r="E17" s="2">
        <f>$C17+total_production!D17</f>
        <v>6747531.4765778417</v>
      </c>
      <c r="F17" s="2">
        <f>$C17+total_production!E17</f>
        <v>6748729.6490315422</v>
      </c>
      <c r="G17" s="2">
        <f>$C17+total_production!F17</f>
        <v>6750357.4035629034</v>
      </c>
      <c r="H17" s="2">
        <f>$C17+total_production!G17</f>
        <v>6755831.6091588587</v>
      </c>
      <c r="I17" s="2">
        <f>$C17+total_production!H17</f>
        <v>6757448.1829781616</v>
      </c>
      <c r="J17" s="2">
        <f>$C17+total_production!I17</f>
        <v>6759705.8721772609</v>
      </c>
      <c r="K17" s="2">
        <f>$C17+total_production!J17</f>
        <v>6766861.9458320746</v>
      </c>
      <c r="L17" s="2">
        <f>$C17+total_production!K17</f>
        <v>6768962.843343542</v>
      </c>
      <c r="M17" s="2">
        <f>$C17+total_production!L17</f>
        <v>6778782.3153900541</v>
      </c>
      <c r="N17" s="2">
        <f>$C17+total_production!M17</f>
        <v>6783671.6180040585</v>
      </c>
      <c r="O17" s="2">
        <f>$C17+total_production!N17</f>
        <v>6788030.7621535677</v>
      </c>
      <c r="P17" s="2">
        <f>$C17+total_production!O17</f>
        <v>6788030.7621535677</v>
      </c>
      <c r="Q17" s="2">
        <f>$C17+total_production!P17</f>
        <v>6788030.7621535677</v>
      </c>
      <c r="R17" s="2">
        <f>$C17+total_production!Q17</f>
        <v>6791843.1425510431</v>
      </c>
      <c r="S17" s="2">
        <f>$C17+total_production!R17</f>
        <v>6791843.1425510431</v>
      </c>
      <c r="T17" s="2">
        <f>$C17+total_production!S17</f>
        <v>6796096.9815981006</v>
      </c>
      <c r="U17" s="2">
        <f>$C17+total_production!T17</f>
        <v>6796096.9815981006</v>
      </c>
      <c r="V17" s="2">
        <f>$C17+total_production!U17</f>
        <v>6800003.4169963785</v>
      </c>
      <c r="W17" s="2">
        <f>$C17+total_production!V17</f>
        <v>6800003.4169963785</v>
      </c>
      <c r="X17" s="2">
        <f>$C17+total_production!W17</f>
        <v>6803373.7315184511</v>
      </c>
      <c r="Y17" s="2">
        <f>$C17+total_production!X17</f>
        <v>6803373.7315184511</v>
      </c>
      <c r="Z17" s="2">
        <f>$C17+total_production!Y17</f>
        <v>6803373.7315184511</v>
      </c>
      <c r="AA17" s="2">
        <f>$C17+total_production!Z17</f>
        <v>6803373.7315184511</v>
      </c>
      <c r="AB17" s="2">
        <f>$C17+total_production!AA17</f>
        <v>6803373.7315184511</v>
      </c>
    </row>
    <row r="18" spans="1:28" x14ac:dyDescent="0.2">
      <c r="A18" t="s">
        <v>687</v>
      </c>
      <c r="B18" t="s">
        <v>688</v>
      </c>
      <c r="C18" s="1">
        <v>3639634</v>
      </c>
      <c r="D18" s="2">
        <f>$C18+total_production!C18</f>
        <v>3642692.3486112948</v>
      </c>
      <c r="E18" s="2">
        <f>$C18+total_production!D18</f>
        <v>3642629.3305339012</v>
      </c>
      <c r="F18" s="2">
        <f>$C18+total_production!E18</f>
        <v>3642783.1855639322</v>
      </c>
      <c r="G18" s="2">
        <f>$C18+total_production!F18</f>
        <v>3642867.5013567284</v>
      </c>
      <c r="H18" s="2">
        <f>$C18+total_production!G18</f>
        <v>3642513.4239775976</v>
      </c>
      <c r="I18" s="2">
        <f>$C18+total_production!H18</f>
        <v>3642721.0051256604</v>
      </c>
      <c r="J18" s="2">
        <f>$C18+total_production!I18</f>
        <v>3643010.9106717738</v>
      </c>
      <c r="K18" s="2">
        <f>$C18+total_production!J18</f>
        <v>3643340.1540369801</v>
      </c>
      <c r="L18" s="2">
        <f>$C18+total_production!K18</f>
        <v>3643609.9262627731</v>
      </c>
      <c r="M18" s="2">
        <f>$C18+total_production!L18</f>
        <v>3644124.3938187486</v>
      </c>
      <c r="N18" s="2">
        <f>$C18+total_production!M18</f>
        <v>3644262.2765037059</v>
      </c>
      <c r="O18" s="2">
        <f>$C18+total_production!N18</f>
        <v>3644393.7145833508</v>
      </c>
      <c r="P18" s="2">
        <f>$C18+total_production!O18</f>
        <v>3644393.7145833508</v>
      </c>
      <c r="Q18" s="2">
        <f>$C18+total_production!P18</f>
        <v>3644393.7145833508</v>
      </c>
      <c r="R18" s="2">
        <f>$C18+total_production!Q18</f>
        <v>3644507.2376366453</v>
      </c>
      <c r="S18" s="2">
        <f>$C18+total_production!R18</f>
        <v>3644507.2376366453</v>
      </c>
      <c r="T18" s="2">
        <f>$C18+total_production!S18</f>
        <v>3644638.4346529362</v>
      </c>
      <c r="U18" s="2">
        <f>$C18+total_production!T18</f>
        <v>3644638.4346529362</v>
      </c>
      <c r="V18" s="2">
        <f>$C18+total_production!U18</f>
        <v>3644745.3586731921</v>
      </c>
      <c r="W18" s="2">
        <f>$C18+total_production!V18</f>
        <v>3644745.3586731921</v>
      </c>
      <c r="X18" s="2">
        <f>$C18+total_production!W18</f>
        <v>3644842.0635476625</v>
      </c>
      <c r="Y18" s="2">
        <f>$C18+total_production!X18</f>
        <v>3644842.0635476625</v>
      </c>
      <c r="Z18" s="2">
        <f>$C18+total_production!Y18</f>
        <v>3644842.0635476625</v>
      </c>
      <c r="AA18" s="2">
        <f>$C18+total_production!Z18</f>
        <v>3644842.0635476625</v>
      </c>
      <c r="AB18" s="2">
        <f>$C18+total_production!AA18</f>
        <v>3644842.0635476625</v>
      </c>
    </row>
    <row r="19" spans="1:28" x14ac:dyDescent="0.2">
      <c r="A19" t="s">
        <v>924</v>
      </c>
      <c r="B19" t="s">
        <v>925</v>
      </c>
      <c r="C19" s="1">
        <v>150309</v>
      </c>
      <c r="D19" s="2">
        <f>$C19+total_production!C19</f>
        <v>150367.43202570517</v>
      </c>
      <c r="E19" s="2">
        <f>$C19+total_production!D19</f>
        <v>150365.4709147235</v>
      </c>
      <c r="F19" s="2">
        <f>$C19+total_production!E19</f>
        <v>150368.45542887019</v>
      </c>
      <c r="G19" s="2">
        <f>$C19+total_production!F19</f>
        <v>150369.79553646073</v>
      </c>
      <c r="H19" s="2">
        <f>$C19+total_production!G19</f>
        <v>150360.42256666592</v>
      </c>
      <c r="I19" s="2">
        <f>$C19+total_production!H19</f>
        <v>150364.44927201868</v>
      </c>
      <c r="J19" s="2">
        <f>$C19+total_production!I19</f>
        <v>150370.07292438421</v>
      </c>
      <c r="K19" s="2">
        <f>$C19+total_production!J19</f>
        <v>150375.0625227578</v>
      </c>
      <c r="L19" s="2">
        <f>$C19+total_production!K19</f>
        <v>150380.29562449062</v>
      </c>
      <c r="M19" s="2">
        <f>$C19+total_production!L19</f>
        <v>150388.50677104606</v>
      </c>
      <c r="N19" s="2">
        <f>$C19+total_production!M19</f>
        <v>150390.02056949088</v>
      </c>
      <c r="O19" s="2">
        <f>$C19+total_production!N19</f>
        <v>150391.55538609729</v>
      </c>
      <c r="P19" s="2">
        <f>$C19+total_production!O19</f>
        <v>150391.55538609729</v>
      </c>
      <c r="Q19" s="2">
        <f>$C19+total_production!P19</f>
        <v>150391.55538609729</v>
      </c>
      <c r="R19" s="2">
        <f>$C19+total_production!Q19</f>
        <v>150392.86658905743</v>
      </c>
      <c r="S19" s="2">
        <f>$C19+total_production!R19</f>
        <v>150392.86658905743</v>
      </c>
      <c r="T19" s="2">
        <f>$C19+total_production!S19</f>
        <v>150394.42819761968</v>
      </c>
      <c r="U19" s="2">
        <f>$C19+total_production!T19</f>
        <v>150394.42819761968</v>
      </c>
      <c r="V19" s="2">
        <f>$C19+total_production!U19</f>
        <v>150395.56713873232</v>
      </c>
      <c r="W19" s="2">
        <f>$C19+total_production!V19</f>
        <v>150395.56713873232</v>
      </c>
      <c r="X19" s="2">
        <f>$C19+total_production!W19</f>
        <v>150396.64674924297</v>
      </c>
      <c r="Y19" s="2">
        <f>$C19+total_production!X19</f>
        <v>150396.64674924297</v>
      </c>
      <c r="Z19" s="2">
        <f>$C19+total_production!Y19</f>
        <v>150396.64674924297</v>
      </c>
      <c r="AA19" s="2">
        <f>$C19+total_production!Z19</f>
        <v>150396.64674924297</v>
      </c>
      <c r="AB19" s="2">
        <f>$C19+total_production!AA19</f>
        <v>150396.64674924297</v>
      </c>
    </row>
    <row r="20" spans="1:28" x14ac:dyDescent="0.2">
      <c r="A20" t="s">
        <v>894</v>
      </c>
      <c r="B20" t="s">
        <v>895</v>
      </c>
      <c r="C20" s="1">
        <v>229338</v>
      </c>
      <c r="D20" s="2">
        <f>$C20+total_production!C20</f>
        <v>229582.67059435943</v>
      </c>
      <c r="E20" s="2">
        <f>$C20+total_production!D20</f>
        <v>229556.18072498037</v>
      </c>
      <c r="F20" s="2">
        <f>$C20+total_production!E20</f>
        <v>229569.76407173916</v>
      </c>
      <c r="G20" s="2">
        <f>$C20+total_production!F20</f>
        <v>229568.8375451247</v>
      </c>
      <c r="H20" s="2">
        <f>$C20+total_production!G20</f>
        <v>229466.62607061779</v>
      </c>
      <c r="I20" s="2">
        <f>$C20+total_production!H20</f>
        <v>229484.95271690396</v>
      </c>
      <c r="J20" s="2">
        <f>$C20+total_production!I20</f>
        <v>229510.54750934834</v>
      </c>
      <c r="K20" s="2">
        <f>$C20+total_production!J20</f>
        <v>229500.03509674498</v>
      </c>
      <c r="L20" s="2">
        <f>$C20+total_production!K20</f>
        <v>229523.8523855792</v>
      </c>
      <c r="M20" s="2">
        <f>$C20+total_production!L20</f>
        <v>229519.16918530539</v>
      </c>
      <c r="N20" s="2">
        <f>$C20+total_production!M20</f>
        <v>229498.45522421109</v>
      </c>
      <c r="O20" s="2">
        <f>$C20+total_production!N20</f>
        <v>229481.30930493432</v>
      </c>
      <c r="P20" s="2">
        <f>$C20+total_production!O20</f>
        <v>229481.30930493432</v>
      </c>
      <c r="Q20" s="2">
        <f>$C20+total_production!P20</f>
        <v>229481.30930493432</v>
      </c>
      <c r="R20" s="2">
        <f>$C20+total_production!Q20</f>
        <v>229466.09192315055</v>
      </c>
      <c r="S20" s="2">
        <f>$C20+total_production!R20</f>
        <v>229466.09192315055</v>
      </c>
      <c r="T20" s="2">
        <f>$C20+total_production!S20</f>
        <v>229449.8161982272</v>
      </c>
      <c r="U20" s="2">
        <f>$C20+total_production!T20</f>
        <v>229449.8161982272</v>
      </c>
      <c r="V20" s="2">
        <f>$C20+total_production!U20</f>
        <v>229432.7625634936</v>
      </c>
      <c r="W20" s="2">
        <f>$C20+total_production!V20</f>
        <v>229432.7625634936</v>
      </c>
      <c r="X20" s="2">
        <f>$C20+total_production!W20</f>
        <v>229418.74175707041</v>
      </c>
      <c r="Y20" s="2">
        <f>$C20+total_production!X20</f>
        <v>229418.74175707041</v>
      </c>
      <c r="Z20" s="2">
        <f>$C20+total_production!Y20</f>
        <v>229418.74175707041</v>
      </c>
      <c r="AA20" s="2">
        <f>$C20+total_production!Z20</f>
        <v>229418.74175707041</v>
      </c>
      <c r="AB20" s="2">
        <f>$C20+total_production!AA20</f>
        <v>229418.74175707041</v>
      </c>
    </row>
    <row r="21" spans="1:28" x14ac:dyDescent="0.2">
      <c r="A21" t="s">
        <v>855</v>
      </c>
      <c r="B21" t="s">
        <v>856</v>
      </c>
      <c r="C21" s="1">
        <v>395307</v>
      </c>
      <c r="D21" s="2">
        <f>$C21+total_production!C21</f>
        <v>395934.05941035238</v>
      </c>
      <c r="E21" s="2">
        <f>$C21+total_production!D21</f>
        <v>395883.36071887123</v>
      </c>
      <c r="F21" s="2">
        <f>$C21+total_production!E21</f>
        <v>395917.15130401589</v>
      </c>
      <c r="G21" s="2">
        <f>$C21+total_production!F21</f>
        <v>395920.92594401119</v>
      </c>
      <c r="H21" s="2">
        <f>$C21+total_production!G21</f>
        <v>395718.19184283889</v>
      </c>
      <c r="I21" s="2">
        <f>$C21+total_production!H21</f>
        <v>395763.78208747786</v>
      </c>
      <c r="J21" s="2">
        <f>$C21+total_production!I21</f>
        <v>395827.45292123541</v>
      </c>
      <c r="K21" s="2">
        <f>$C21+total_production!J21</f>
        <v>395830.04897706711</v>
      </c>
      <c r="L21" s="2">
        <f>$C21+total_production!K21</f>
        <v>395889.29800755705</v>
      </c>
      <c r="M21" s="2">
        <f>$C21+total_production!L21</f>
        <v>395914.0384266621</v>
      </c>
      <c r="N21" s="2">
        <f>$C21+total_production!M21</f>
        <v>395886.39543880773</v>
      </c>
      <c r="O21" s="2">
        <f>$C21+total_production!N21</f>
        <v>395864.6237556035</v>
      </c>
      <c r="P21" s="2">
        <f>$C21+total_production!O21</f>
        <v>395864.6237556035</v>
      </c>
      <c r="Q21" s="2">
        <f>$C21+total_production!P21</f>
        <v>395864.6237556035</v>
      </c>
      <c r="R21" s="2">
        <f>$C21+total_production!Q21</f>
        <v>395845.10012826452</v>
      </c>
      <c r="S21" s="2">
        <f>$C21+total_production!R21</f>
        <v>395845.10012826452</v>
      </c>
      <c r="T21" s="2">
        <f>$C21+total_production!S21</f>
        <v>395824.84569955675</v>
      </c>
      <c r="U21" s="2">
        <f>$C21+total_production!T21</f>
        <v>395824.84569955675</v>
      </c>
      <c r="V21" s="2">
        <f>$C21+total_production!U21</f>
        <v>395801.66464879201</v>
      </c>
      <c r="W21" s="2">
        <f>$C21+total_production!V21</f>
        <v>395801.66464879201</v>
      </c>
      <c r="X21" s="2">
        <f>$C21+total_production!W21</f>
        <v>395783.17017276428</v>
      </c>
      <c r="Y21" s="2">
        <f>$C21+total_production!X21</f>
        <v>395783.17017276428</v>
      </c>
      <c r="Z21" s="2">
        <f>$C21+total_production!Y21</f>
        <v>395783.17017276428</v>
      </c>
      <c r="AA21" s="2">
        <f>$C21+total_production!Z21</f>
        <v>395783.17017276428</v>
      </c>
      <c r="AB21" s="2">
        <f>$C21+total_production!AA21</f>
        <v>395783.17017276428</v>
      </c>
    </row>
    <row r="22" spans="1:28" x14ac:dyDescent="0.2">
      <c r="A22" t="s">
        <v>870</v>
      </c>
      <c r="B22" t="s">
        <v>871</v>
      </c>
      <c r="C22" s="1">
        <v>469374</v>
      </c>
      <c r="D22" s="2">
        <f>$C22+total_production!C22</f>
        <v>469872.33279713563</v>
      </c>
      <c r="E22" s="2">
        <f>$C22+total_production!D22</f>
        <v>469857.48036701279</v>
      </c>
      <c r="F22" s="2">
        <f>$C22+total_production!E22</f>
        <v>469882.82224531053</v>
      </c>
      <c r="G22" s="2">
        <f>$C22+total_production!F22</f>
        <v>469894.92110667046</v>
      </c>
      <c r="H22" s="2">
        <f>$C22+total_production!G22</f>
        <v>469821.43569668673</v>
      </c>
      <c r="I22" s="2">
        <f>$C22+total_production!H22</f>
        <v>469855.62694925774</v>
      </c>
      <c r="J22" s="2">
        <f>$C22+total_production!I22</f>
        <v>469903.37807618518</v>
      </c>
      <c r="K22" s="2">
        <f>$C22+total_production!J22</f>
        <v>469949.14917787473</v>
      </c>
      <c r="L22" s="2">
        <f>$C22+total_production!K22</f>
        <v>469993.58409113548</v>
      </c>
      <c r="M22" s="2">
        <f>$C22+total_production!L22</f>
        <v>470067.61476250755</v>
      </c>
      <c r="N22" s="2">
        <f>$C22+total_production!M22</f>
        <v>470083.29683124705</v>
      </c>
      <c r="O22" s="2">
        <f>$C22+total_production!N22</f>
        <v>470098.80159421504</v>
      </c>
      <c r="P22" s="2">
        <f>$C22+total_production!O22</f>
        <v>470098.80159421504</v>
      </c>
      <c r="Q22" s="2">
        <f>$C22+total_production!P22</f>
        <v>470098.80159421504</v>
      </c>
      <c r="R22" s="2">
        <f>$C22+total_production!Q22</f>
        <v>470112.10575749405</v>
      </c>
      <c r="S22" s="2">
        <f>$C22+total_production!R22</f>
        <v>470112.10575749405</v>
      </c>
      <c r="T22" s="2">
        <f>$C22+total_production!S22</f>
        <v>470127.76134932722</v>
      </c>
      <c r="U22" s="2">
        <f>$C22+total_production!T22</f>
        <v>470127.76134932722</v>
      </c>
      <c r="V22" s="2">
        <f>$C22+total_production!U22</f>
        <v>470139.71062663669</v>
      </c>
      <c r="W22" s="2">
        <f>$C22+total_production!V22</f>
        <v>470139.71062663669</v>
      </c>
      <c r="X22" s="2">
        <f>$C22+total_production!W22</f>
        <v>470150.81771601178</v>
      </c>
      <c r="Y22" s="2">
        <f>$C22+total_production!X22</f>
        <v>470150.81771601178</v>
      </c>
      <c r="Z22" s="2">
        <f>$C22+total_production!Y22</f>
        <v>470150.81771601178</v>
      </c>
      <c r="AA22" s="2">
        <f>$C22+total_production!Z22</f>
        <v>470150.81771601178</v>
      </c>
      <c r="AB22" s="2">
        <f>$C22+total_production!AA22</f>
        <v>470150.81771601178</v>
      </c>
    </row>
    <row r="23" spans="1:28" x14ac:dyDescent="0.2">
      <c r="A23" t="s">
        <v>912</v>
      </c>
      <c r="B23" t="s">
        <v>913</v>
      </c>
      <c r="C23" s="1">
        <v>60987</v>
      </c>
      <c r="D23" s="2">
        <f>$C23+total_production!C23</f>
        <v>61114.507602099671</v>
      </c>
      <c r="E23" s="2">
        <f>$C23+total_production!D23</f>
        <v>61119.08649983845</v>
      </c>
      <c r="F23" s="2">
        <f>$C23+total_production!E23</f>
        <v>61125.072659762242</v>
      </c>
      <c r="G23" s="2">
        <f>$C23+total_production!F23</f>
        <v>61131.165518466638</v>
      </c>
      <c r="H23" s="2">
        <f>$C23+total_production!G23</f>
        <v>61141.227330639478</v>
      </c>
      <c r="I23" s="2">
        <f>$C23+total_production!H23</f>
        <v>61149.303855334299</v>
      </c>
      <c r="J23" s="2">
        <f>$C23+total_production!I23</f>
        <v>61160.58344080823</v>
      </c>
      <c r="K23" s="2">
        <f>$C23+total_production!J23</f>
        <v>61186.691738316942</v>
      </c>
      <c r="L23" s="2">
        <f>$C23+total_production!K23</f>
        <v>61197.187980696988</v>
      </c>
      <c r="M23" s="2">
        <f>$C23+total_production!L23</f>
        <v>61234.038667877765</v>
      </c>
      <c r="N23" s="2">
        <f>$C23+total_production!M23</f>
        <v>61250.452812527255</v>
      </c>
      <c r="O23" s="2">
        <f>$C23+total_production!N23</f>
        <v>61265.226257102731</v>
      </c>
      <c r="P23" s="2">
        <f>$C23+total_production!O23</f>
        <v>61265.226257102731</v>
      </c>
      <c r="Q23" s="2">
        <f>$C23+total_production!P23</f>
        <v>61265.226257102731</v>
      </c>
      <c r="R23" s="2">
        <f>$C23+total_production!Q23</f>
        <v>61278.12331160374</v>
      </c>
      <c r="S23" s="2">
        <f>$C23+total_production!R23</f>
        <v>61278.12331160374</v>
      </c>
      <c r="T23" s="2">
        <f>$C23+total_production!S23</f>
        <v>61292.58785836125</v>
      </c>
      <c r="U23" s="2">
        <f>$C23+total_production!T23</f>
        <v>61292.58785836125</v>
      </c>
      <c r="V23" s="2">
        <f>$C23+total_production!U23</f>
        <v>61305.64935931487</v>
      </c>
      <c r="W23" s="2">
        <f>$C23+total_production!V23</f>
        <v>61305.64935931487</v>
      </c>
      <c r="X23" s="2">
        <f>$C23+total_production!W23</f>
        <v>61316.991159706733</v>
      </c>
      <c r="Y23" s="2">
        <f>$C23+total_production!X23</f>
        <v>61316.991159706733</v>
      </c>
      <c r="Z23" s="2">
        <f>$C23+total_production!Y23</f>
        <v>61316.991159706733</v>
      </c>
      <c r="AA23" s="2">
        <f>$C23+total_production!Z23</f>
        <v>61316.991159706733</v>
      </c>
      <c r="AB23" s="2">
        <f>$C23+total_production!AA23</f>
        <v>61316.991159706733</v>
      </c>
    </row>
    <row r="24" spans="1:28" x14ac:dyDescent="0.2">
      <c r="A24" t="s">
        <v>663</v>
      </c>
      <c r="B24" t="s">
        <v>664</v>
      </c>
      <c r="C24" s="1">
        <v>3622871</v>
      </c>
      <c r="D24" s="2">
        <f>$C24+total_production!C24</f>
        <v>3626402.7091436191</v>
      </c>
      <c r="E24" s="2">
        <f>$C24+total_production!D24</f>
        <v>3626364.0139754936</v>
      </c>
      <c r="F24" s="2">
        <f>$C24+total_production!E24</f>
        <v>3626539.6567671788</v>
      </c>
      <c r="G24" s="2">
        <f>$C24+total_production!F24</f>
        <v>3626649.2115301779</v>
      </c>
      <c r="H24" s="2">
        <f>$C24+total_production!G24</f>
        <v>3626357.7178753586</v>
      </c>
      <c r="I24" s="2">
        <f>$C24+total_production!H24</f>
        <v>3626594.6950631677</v>
      </c>
      <c r="J24" s="2">
        <f>$C24+total_production!I24</f>
        <v>3626925.654794768</v>
      </c>
      <c r="K24" s="2">
        <f>$C24+total_production!J24</f>
        <v>3627364.4071068717</v>
      </c>
      <c r="L24" s="2">
        <f>$C24+total_production!K24</f>
        <v>3627672.3823927492</v>
      </c>
      <c r="M24" s="2">
        <f>$C24+total_production!L24</f>
        <v>3628339.308567483</v>
      </c>
      <c r="N24" s="2">
        <f>$C24+total_production!M24</f>
        <v>3628548.9674322647</v>
      </c>
      <c r="O24" s="2">
        <f>$C24+total_production!N24</f>
        <v>3628744.6962717474</v>
      </c>
      <c r="P24" s="2">
        <f>$C24+total_production!O24</f>
        <v>3628744.6962717474</v>
      </c>
      <c r="Q24" s="2">
        <f>$C24+total_production!P24</f>
        <v>3628744.6962717474</v>
      </c>
      <c r="R24" s="2">
        <f>$C24+total_production!Q24</f>
        <v>3628914.3961869506</v>
      </c>
      <c r="S24" s="2">
        <f>$C24+total_production!R24</f>
        <v>3628914.3961869506</v>
      </c>
      <c r="T24" s="2">
        <f>$C24+total_production!S24</f>
        <v>3629108.4334692289</v>
      </c>
      <c r="U24" s="2">
        <f>$C24+total_production!T24</f>
        <v>3629108.4334692289</v>
      </c>
      <c r="V24" s="2">
        <f>$C24+total_production!U24</f>
        <v>3629272.591609132</v>
      </c>
      <c r="W24" s="2">
        <f>$C24+total_production!V24</f>
        <v>3629272.591609132</v>
      </c>
      <c r="X24" s="2">
        <f>$C24+total_production!W24</f>
        <v>3629418.8315499164</v>
      </c>
      <c r="Y24" s="2">
        <f>$C24+total_production!X24</f>
        <v>3629418.8315499164</v>
      </c>
      <c r="Z24" s="2">
        <f>$C24+total_production!Y24</f>
        <v>3629418.8315499164</v>
      </c>
      <c r="AA24" s="2">
        <f>$C24+total_production!Z24</f>
        <v>3629418.8315499164</v>
      </c>
      <c r="AB24" s="2">
        <f>$C24+total_production!AA24</f>
        <v>3629418.8315499164</v>
      </c>
    </row>
    <row r="25" spans="1:28" x14ac:dyDescent="0.2">
      <c r="A25" t="s">
        <v>722</v>
      </c>
      <c r="B25" t="s">
        <v>723</v>
      </c>
      <c r="C25" s="1">
        <v>2331645</v>
      </c>
      <c r="D25" s="2">
        <f>$C25+total_production!C25</f>
        <v>2334214.4308862416</v>
      </c>
      <c r="E25" s="2">
        <f>$C25+total_production!D25</f>
        <v>2334175.3803911549</v>
      </c>
      <c r="F25" s="2">
        <f>$C25+total_production!E25</f>
        <v>2334303.8138827649</v>
      </c>
      <c r="G25" s="2">
        <f>$C25+total_production!F25</f>
        <v>2334379.620168699</v>
      </c>
      <c r="H25" s="2">
        <f>$C25+total_production!G25</f>
        <v>2334130.0061876648</v>
      </c>
      <c r="I25" s="2">
        <f>$C25+total_production!H25</f>
        <v>2334303.2886057477</v>
      </c>
      <c r="J25" s="2">
        <f>$C25+total_production!I25</f>
        <v>2334545.2929231683</v>
      </c>
      <c r="K25" s="2">
        <f>$C25+total_production!J25</f>
        <v>2334845.7735631438</v>
      </c>
      <c r="L25" s="2">
        <f>$C25+total_production!K25</f>
        <v>2335070.9711981574</v>
      </c>
      <c r="M25" s="2">
        <f>$C25+total_production!L25</f>
        <v>2335532.8880804847</v>
      </c>
      <c r="N25" s="2">
        <f>$C25+total_production!M25</f>
        <v>2335669.2911949214</v>
      </c>
      <c r="O25" s="2">
        <f>$C25+total_production!N25</f>
        <v>2335797.6347741317</v>
      </c>
      <c r="P25" s="2">
        <f>$C25+total_production!O25</f>
        <v>2335797.6347741317</v>
      </c>
      <c r="Q25" s="2">
        <f>$C25+total_production!P25</f>
        <v>2335797.6347741317</v>
      </c>
      <c r="R25" s="2">
        <f>$C25+total_production!Q25</f>
        <v>2335908.7496858332</v>
      </c>
      <c r="S25" s="2">
        <f>$C25+total_production!R25</f>
        <v>2335908.7496858332</v>
      </c>
      <c r="T25" s="2">
        <f>$C25+total_production!S25</f>
        <v>2336036.3145732982</v>
      </c>
      <c r="U25" s="2">
        <f>$C25+total_production!T25</f>
        <v>2336036.3145732982</v>
      </c>
      <c r="V25" s="2">
        <f>$C25+total_production!U25</f>
        <v>2336142.7328699492</v>
      </c>
      <c r="W25" s="2">
        <f>$C25+total_production!V25</f>
        <v>2336142.7328699492</v>
      </c>
      <c r="X25" s="2">
        <f>$C25+total_production!W25</f>
        <v>2336238.0715884725</v>
      </c>
      <c r="Y25" s="2">
        <f>$C25+total_production!X25</f>
        <v>2336238.0715884725</v>
      </c>
      <c r="Z25" s="2">
        <f>$C25+total_production!Y25</f>
        <v>2336238.0715884725</v>
      </c>
      <c r="AA25" s="2">
        <f>$C25+total_production!Z25</f>
        <v>2336238.0715884725</v>
      </c>
      <c r="AB25" s="2">
        <f>$C25+total_production!AA25</f>
        <v>2336238.0715884725</v>
      </c>
    </row>
    <row r="26" spans="1:28" x14ac:dyDescent="0.2">
      <c r="A26" t="s">
        <v>758</v>
      </c>
      <c r="B26" t="s">
        <v>263</v>
      </c>
      <c r="C26" s="1">
        <v>1197151</v>
      </c>
      <c r="D26" s="2">
        <f>$C26+total_production!C26</f>
        <v>1199187.9632196759</v>
      </c>
      <c r="E26" s="2">
        <f>$C26+total_production!D26</f>
        <v>1199285.003333695</v>
      </c>
      <c r="F26" s="2">
        <f>$C26+total_production!E26</f>
        <v>1199379.2136138214</v>
      </c>
      <c r="G26" s="2">
        <f>$C26+total_production!F26</f>
        <v>1199485.094061486</v>
      </c>
      <c r="H26" s="2">
        <f>$C26+total_production!G26</f>
        <v>1199728.1337213095</v>
      </c>
      <c r="I26" s="2">
        <f>$C26+total_production!H26</f>
        <v>1199855.2421954623</v>
      </c>
      <c r="J26" s="2">
        <f>$C26+total_production!I26</f>
        <v>1200032.7604911206</v>
      </c>
      <c r="K26" s="2">
        <f>$C26+total_production!J26</f>
        <v>1200490.8958901449</v>
      </c>
      <c r="L26" s="2">
        <f>$C26+total_production!K26</f>
        <v>1200656.0859197278</v>
      </c>
      <c r="M26" s="2">
        <f>$C26+total_production!L26</f>
        <v>1201295.8461120117</v>
      </c>
      <c r="N26" s="2">
        <f>$C26+total_production!M26</f>
        <v>1201593.4260160013</v>
      </c>
      <c r="O26" s="2">
        <f>$C26+total_production!N26</f>
        <v>1201860.2466512483</v>
      </c>
      <c r="P26" s="2">
        <f>$C26+total_production!O26</f>
        <v>1201860.2466512483</v>
      </c>
      <c r="Q26" s="2">
        <f>$C26+total_production!P26</f>
        <v>1201860.2466512483</v>
      </c>
      <c r="R26" s="2">
        <f>$C26+total_production!Q26</f>
        <v>1202093.3468907261</v>
      </c>
      <c r="S26" s="2">
        <f>$C26+total_production!R26</f>
        <v>1202093.3468907261</v>
      </c>
      <c r="T26" s="2">
        <f>$C26+total_production!S26</f>
        <v>1202354.2420278918</v>
      </c>
      <c r="U26" s="2">
        <f>$C26+total_production!T26</f>
        <v>1202354.2420278918</v>
      </c>
      <c r="V26" s="2">
        <f>$C26+total_production!U26</f>
        <v>1202591.426669758</v>
      </c>
      <c r="W26" s="2">
        <f>$C26+total_production!V26</f>
        <v>1202591.426669758</v>
      </c>
      <c r="X26" s="2">
        <f>$C26+total_production!W26</f>
        <v>1202796.8498039104</v>
      </c>
      <c r="Y26" s="2">
        <f>$C26+total_production!X26</f>
        <v>1202796.8498039104</v>
      </c>
      <c r="Z26" s="2">
        <f>$C26+total_production!Y26</f>
        <v>1202796.8498039104</v>
      </c>
      <c r="AA26" s="2">
        <f>$C26+total_production!Z26</f>
        <v>1202796.8498039104</v>
      </c>
      <c r="AB26" s="2">
        <f>$C26+total_production!AA26</f>
        <v>1202796.8498039104</v>
      </c>
    </row>
    <row r="27" spans="1:28" x14ac:dyDescent="0.2">
      <c r="A27" t="s">
        <v>868</v>
      </c>
      <c r="B27" t="s">
        <v>869</v>
      </c>
      <c r="C27" s="1">
        <v>156111</v>
      </c>
      <c r="D27" s="2">
        <f>$C27+total_production!C27</f>
        <v>113179.99222774213</v>
      </c>
      <c r="E27" s="2">
        <f>$C27+total_production!D27</f>
        <v>77301.446522559098</v>
      </c>
      <c r="F27" s="2">
        <f>$C27+total_production!E27</f>
        <v>77326.794652205688</v>
      </c>
      <c r="G27" s="2">
        <f>$C27+total_production!F27</f>
        <v>62993.419202421079</v>
      </c>
      <c r="H27" s="2">
        <f>$C27+total_production!G27</f>
        <v>-58677.35907936297</v>
      </c>
      <c r="I27" s="2">
        <f>$C27+total_production!H27</f>
        <v>-58643.159392474627</v>
      </c>
      <c r="J27" s="2">
        <f>$C27+total_production!I27</f>
        <v>-58595.39648627222</v>
      </c>
      <c r="K27" s="2">
        <f>$C27+total_production!J27</f>
        <v>-126382.82893340249</v>
      </c>
      <c r="L27" s="2">
        <f>$C27+total_production!K27</f>
        <v>-126338.38305891224</v>
      </c>
      <c r="M27" s="2">
        <f>$C27+total_production!L27</f>
        <v>-212133.08989510615</v>
      </c>
      <c r="N27" s="2">
        <f>$C27+total_production!M27</f>
        <v>-268479.96492338984</v>
      </c>
      <c r="O27" s="2">
        <f>$C27+total_production!N27</f>
        <v>-317736.93376748933</v>
      </c>
      <c r="P27" s="2">
        <f>$C27+total_production!O27</f>
        <v>-317736.93376748933</v>
      </c>
      <c r="Q27" s="2">
        <f>$C27+total_production!P27</f>
        <v>-317736.93376748933</v>
      </c>
      <c r="R27" s="2">
        <f>$C27+total_production!Q27</f>
        <v>-360980.27321281342</v>
      </c>
      <c r="S27" s="2">
        <f>$C27+total_production!R27</f>
        <v>-360980.27321281342</v>
      </c>
      <c r="T27" s="2">
        <f>$C27+total_production!S27</f>
        <v>-408709.2631812332</v>
      </c>
      <c r="U27" s="2">
        <f>$C27+total_production!T27</f>
        <v>-408709.2631812332</v>
      </c>
      <c r="V27" s="2">
        <f>$C27+total_production!U27</f>
        <v>-454102.47761547926</v>
      </c>
      <c r="W27" s="2">
        <f>$C27+total_production!V27</f>
        <v>-454102.47761547926</v>
      </c>
      <c r="X27" s="2">
        <f>$C27+total_production!W27</f>
        <v>-492752.59373772307</v>
      </c>
      <c r="Y27" s="2">
        <f>$C27+total_production!X27</f>
        <v>-492752.59373772307</v>
      </c>
      <c r="Z27" s="2">
        <f>$C27+total_production!Y27</f>
        <v>-492752.59373772307</v>
      </c>
      <c r="AA27" s="2">
        <f>$C27+total_production!Z27</f>
        <v>-492752.59373772307</v>
      </c>
      <c r="AB27" s="2">
        <f>$C27+total_production!AA27</f>
        <v>-492752.59373772307</v>
      </c>
    </row>
    <row r="28" spans="1:28" x14ac:dyDescent="0.2">
      <c r="A28" t="s">
        <v>1000</v>
      </c>
      <c r="B28" t="s">
        <v>1001</v>
      </c>
      <c r="C28" s="1">
        <v>0</v>
      </c>
      <c r="D28" s="2">
        <f>$C28+total_production!C28</f>
        <v>0</v>
      </c>
      <c r="E28" s="2">
        <f>$C28+total_production!D28</f>
        <v>0</v>
      </c>
      <c r="F28" s="2">
        <f>$C28+total_production!E28</f>
        <v>0</v>
      </c>
      <c r="G28" s="2">
        <f>$C28+total_production!F28</f>
        <v>0</v>
      </c>
      <c r="H28" s="2">
        <f>$C28+total_production!G28</f>
        <v>0</v>
      </c>
      <c r="I28" s="2">
        <f>$C28+total_production!H28</f>
        <v>0</v>
      </c>
      <c r="J28" s="2">
        <f>$C28+total_production!I28</f>
        <v>0</v>
      </c>
      <c r="K28" s="2">
        <f>$C28+total_production!J28</f>
        <v>0</v>
      </c>
      <c r="L28" s="2">
        <f>$C28+total_production!K28</f>
        <v>0</v>
      </c>
      <c r="M28" s="2">
        <f>$C28+total_production!L28</f>
        <v>0</v>
      </c>
      <c r="N28" s="2">
        <f>$C28+total_production!M28</f>
        <v>0</v>
      </c>
      <c r="O28" s="2">
        <f>$C28+total_production!N28</f>
        <v>0</v>
      </c>
      <c r="P28" s="2">
        <f>$C28+total_production!O28</f>
        <v>0</v>
      </c>
      <c r="Q28" s="2">
        <f>$C28+total_production!P28</f>
        <v>0</v>
      </c>
      <c r="R28" s="2">
        <f>$C28+total_production!Q28</f>
        <v>0</v>
      </c>
      <c r="S28" s="2">
        <f>$C28+total_production!R28</f>
        <v>0</v>
      </c>
      <c r="T28" s="2">
        <f>$C28+total_production!S28</f>
        <v>0</v>
      </c>
      <c r="U28" s="2">
        <f>$C28+total_production!T28</f>
        <v>0</v>
      </c>
      <c r="V28" s="2">
        <f>$C28+total_production!U28</f>
        <v>0</v>
      </c>
      <c r="W28" s="2">
        <f>$C28+total_production!V28</f>
        <v>0</v>
      </c>
      <c r="X28" s="2">
        <f>$C28+total_production!W28</f>
        <v>0</v>
      </c>
      <c r="Y28" s="2">
        <f>$C28+total_production!X28</f>
        <v>0</v>
      </c>
      <c r="Z28" s="2">
        <f>$C28+total_production!Y28</f>
        <v>0</v>
      </c>
      <c r="AA28" s="2">
        <f>$C28+total_production!Z28</f>
        <v>0</v>
      </c>
      <c r="AB28" s="2">
        <f>$C28+total_production!AA28</f>
        <v>0</v>
      </c>
    </row>
    <row r="29" spans="1:28" x14ac:dyDescent="0.2">
      <c r="A29" t="s">
        <v>900</v>
      </c>
      <c r="B29" t="s">
        <v>901</v>
      </c>
      <c r="C29" s="1">
        <v>82064</v>
      </c>
      <c r="D29" s="2">
        <f>$C29+total_production!C29</f>
        <v>82261.099963735833</v>
      </c>
      <c r="E29" s="2">
        <f>$C29+total_production!D29</f>
        <v>82261.649093914297</v>
      </c>
      <c r="F29" s="2">
        <f>$C29+total_production!E29</f>
        <v>82271.290491147112</v>
      </c>
      <c r="G29" s="2">
        <f>$C29+total_production!F29</f>
        <v>82278.373454778339</v>
      </c>
      <c r="H29" s="2">
        <f>$C29+total_production!G29</f>
        <v>82271.4363150016</v>
      </c>
      <c r="I29" s="2">
        <f>$C29+total_production!H29</f>
        <v>82284.444484485008</v>
      </c>
      <c r="J29" s="2">
        <f>$C29+total_production!I29</f>
        <v>82302.611550777947</v>
      </c>
      <c r="K29" s="2">
        <f>$C29+total_production!J29</f>
        <v>82331.751690806384</v>
      </c>
      <c r="L29" s="2">
        <f>$C29+total_production!K29</f>
        <v>82348.657093188944</v>
      </c>
      <c r="M29" s="2">
        <f>$C29+total_production!L29</f>
        <v>82391.666493281227</v>
      </c>
      <c r="N29" s="2">
        <f>$C29+total_production!M29</f>
        <v>82407.376225323344</v>
      </c>
      <c r="O29" s="2">
        <f>$C29+total_production!N29</f>
        <v>82421.792832577688</v>
      </c>
      <c r="P29" s="2">
        <f>$C29+total_production!O29</f>
        <v>82421.792832577688</v>
      </c>
      <c r="Q29" s="2">
        <f>$C29+total_production!P29</f>
        <v>82421.792832577688</v>
      </c>
      <c r="R29" s="2">
        <f>$C29+total_production!Q29</f>
        <v>82434.332253464905</v>
      </c>
      <c r="S29" s="2">
        <f>$C29+total_production!R29</f>
        <v>82434.332253464905</v>
      </c>
      <c r="T29" s="2">
        <f>$C29+total_production!S29</f>
        <v>82448.542127219756</v>
      </c>
      <c r="U29" s="2">
        <f>$C29+total_production!T29</f>
        <v>82448.542127219756</v>
      </c>
      <c r="V29" s="2">
        <f>$C29+total_production!U29</f>
        <v>82460.937493764184</v>
      </c>
      <c r="W29" s="2">
        <f>$C29+total_production!V29</f>
        <v>82460.937493764184</v>
      </c>
      <c r="X29" s="2">
        <f>$C29+total_production!W29</f>
        <v>82471.846616991956</v>
      </c>
      <c r="Y29" s="2">
        <f>$C29+total_production!X29</f>
        <v>82471.846616991956</v>
      </c>
      <c r="Z29" s="2">
        <f>$C29+total_production!Y29</f>
        <v>82471.846616991956</v>
      </c>
      <c r="AA29" s="2">
        <f>$C29+total_production!Z29</f>
        <v>82471.846616991956</v>
      </c>
      <c r="AB29" s="2">
        <f>$C29+total_production!AA29</f>
        <v>82471.846616991956</v>
      </c>
    </row>
    <row r="30" spans="1:28" x14ac:dyDescent="0.2">
      <c r="A30" t="s">
        <v>902</v>
      </c>
      <c r="B30" t="s">
        <v>903</v>
      </c>
      <c r="C30" s="1">
        <v>74188</v>
      </c>
      <c r="D30" s="2">
        <f>$C30+total_production!C30</f>
        <v>74365.094426320065</v>
      </c>
      <c r="E30" s="2">
        <f>$C30+total_production!D30</f>
        <v>74354.290873970531</v>
      </c>
      <c r="F30" s="2">
        <f>$C30+total_production!E30</f>
        <v>74363.625121626741</v>
      </c>
      <c r="G30" s="2">
        <f>$C30+total_production!F30</f>
        <v>74365.948364719734</v>
      </c>
      <c r="H30" s="2">
        <f>$C30+total_production!G30</f>
        <v>74320.799813164514</v>
      </c>
      <c r="I30" s="2">
        <f>$C30+total_production!H30</f>
        <v>74333.393576555856</v>
      </c>
      <c r="J30" s="2">
        <f>$C30+total_production!I30</f>
        <v>74350.981887862858</v>
      </c>
      <c r="K30" s="2">
        <f>$C30+total_production!J30</f>
        <v>74357.754123889332</v>
      </c>
      <c r="L30" s="2">
        <f>$C30+total_production!K30</f>
        <v>74374.120964582253</v>
      </c>
      <c r="M30" s="2">
        <f>$C30+total_production!L30</f>
        <v>74388.620253638044</v>
      </c>
      <c r="N30" s="2">
        <f>$C30+total_production!M30</f>
        <v>74386.015389527471</v>
      </c>
      <c r="O30" s="2">
        <f>$C30+total_production!N30</f>
        <v>74384.399509921306</v>
      </c>
      <c r="P30" s="2">
        <f>$C30+total_production!O30</f>
        <v>74384.399509921306</v>
      </c>
      <c r="Q30" s="2">
        <f>$C30+total_production!P30</f>
        <v>74384.399509921306</v>
      </c>
      <c r="R30" s="2">
        <f>$C30+total_production!Q30</f>
        <v>74382.867628183099</v>
      </c>
      <c r="S30" s="2">
        <f>$C30+total_production!R30</f>
        <v>74382.867628183099</v>
      </c>
      <c r="T30" s="2">
        <f>$C30+total_production!S30</f>
        <v>74381.534491110506</v>
      </c>
      <c r="U30" s="2">
        <f>$C30+total_production!T30</f>
        <v>74381.534491110506</v>
      </c>
      <c r="V30" s="2">
        <f>$C30+total_production!U30</f>
        <v>74379.184076417674</v>
      </c>
      <c r="W30" s="2">
        <f>$C30+total_production!V30</f>
        <v>74379.184076417674</v>
      </c>
      <c r="X30" s="2">
        <f>$C30+total_production!W30</f>
        <v>74377.526276976772</v>
      </c>
      <c r="Y30" s="2">
        <f>$C30+total_production!X30</f>
        <v>74377.526276976772</v>
      </c>
      <c r="Z30" s="2">
        <f>$C30+total_production!Y30</f>
        <v>74377.526276976772</v>
      </c>
      <c r="AA30" s="2">
        <f>$C30+total_production!Z30</f>
        <v>74377.526276976772</v>
      </c>
      <c r="AB30" s="2">
        <f>$C30+total_production!AA30</f>
        <v>74377.526276976772</v>
      </c>
    </row>
    <row r="31" spans="1:28" x14ac:dyDescent="0.2">
      <c r="A31" t="s">
        <v>906</v>
      </c>
      <c r="B31" t="s">
        <v>907</v>
      </c>
      <c r="C31" s="1">
        <v>139916</v>
      </c>
      <c r="D31" s="2">
        <f>$C31+total_production!C31</f>
        <v>140100.10962661458</v>
      </c>
      <c r="E31" s="2">
        <f>$C31+total_production!D31</f>
        <v>140105.2694750815</v>
      </c>
      <c r="F31" s="2">
        <f>$C31+total_production!E31</f>
        <v>140113.99923892008</v>
      </c>
      <c r="G31" s="2">
        <f>$C31+total_production!F31</f>
        <v>140122.27753598138</v>
      </c>
      <c r="H31" s="2">
        <f>$C31+total_production!G31</f>
        <v>140131.80520119646</v>
      </c>
      <c r="I31" s="2">
        <f>$C31+total_production!H31</f>
        <v>140143.58339525075</v>
      </c>
      <c r="J31" s="2">
        <f>$C31+total_production!I31</f>
        <v>140160.03269140024</v>
      </c>
      <c r="K31" s="2">
        <f>$C31+total_production!J31</f>
        <v>140195.23651343756</v>
      </c>
      <c r="L31" s="2">
        <f>$C31+total_production!K31</f>
        <v>140210.5434411403</v>
      </c>
      <c r="M31" s="2">
        <f>$C31+total_production!L31</f>
        <v>140260.64993012178</v>
      </c>
      <c r="N31" s="2">
        <f>$C31+total_production!M31</f>
        <v>140282.2019434637</v>
      </c>
      <c r="O31" s="2">
        <f>$C31+total_production!N31</f>
        <v>140301.66131998159</v>
      </c>
      <c r="P31" s="2">
        <f>$C31+total_production!O31</f>
        <v>140301.66131998159</v>
      </c>
      <c r="Q31" s="2">
        <f>$C31+total_production!P31</f>
        <v>140301.66131998159</v>
      </c>
      <c r="R31" s="2">
        <f>$C31+total_production!Q31</f>
        <v>140318.63888720464</v>
      </c>
      <c r="S31" s="2">
        <f>$C31+total_production!R31</f>
        <v>140318.63888720464</v>
      </c>
      <c r="T31" s="2">
        <f>$C31+total_production!S31</f>
        <v>140337.71244469183</v>
      </c>
      <c r="U31" s="2">
        <f>$C31+total_production!T31</f>
        <v>140337.71244469183</v>
      </c>
      <c r="V31" s="2">
        <f>$C31+total_production!U31</f>
        <v>140354.83890770198</v>
      </c>
      <c r="W31" s="2">
        <f>$C31+total_production!V31</f>
        <v>140354.83890770198</v>
      </c>
      <c r="X31" s="2">
        <f>$C31+total_production!W31</f>
        <v>140369.74287755592</v>
      </c>
      <c r="Y31" s="2">
        <f>$C31+total_production!X31</f>
        <v>140369.74287755592</v>
      </c>
      <c r="Z31" s="2">
        <f>$C31+total_production!Y31</f>
        <v>140369.74287755592</v>
      </c>
      <c r="AA31" s="2">
        <f>$C31+total_production!Z31</f>
        <v>140369.74287755592</v>
      </c>
      <c r="AB31" s="2">
        <f>$C31+total_production!AA31</f>
        <v>140369.74287755592</v>
      </c>
    </row>
    <row r="32" spans="1:28" x14ac:dyDescent="0.2">
      <c r="A32" t="s">
        <v>940</v>
      </c>
      <c r="B32" t="s">
        <v>941</v>
      </c>
      <c r="C32" s="1">
        <v>3904</v>
      </c>
      <c r="D32" s="2">
        <f>$C32+total_production!C32</f>
        <v>3912.4626250589272</v>
      </c>
      <c r="E32" s="2">
        <f>$C32+total_production!D32</f>
        <v>3912.743499549209</v>
      </c>
      <c r="F32" s="2">
        <f>$C32+total_production!E32</f>
        <v>3913.142166942032</v>
      </c>
      <c r="G32" s="2">
        <f>$C32+total_production!F32</f>
        <v>3913.5383115616887</v>
      </c>
      <c r="H32" s="2">
        <f>$C32+total_production!G32</f>
        <v>3914.1267936221288</v>
      </c>
      <c r="I32" s="2">
        <f>$C32+total_production!H32</f>
        <v>3914.6646755170573</v>
      </c>
      <c r="J32" s="2">
        <f>$C32+total_production!I32</f>
        <v>3915.4158754499463</v>
      </c>
      <c r="K32" s="2">
        <f>$C32+total_production!J32</f>
        <v>3917.1091108921969</v>
      </c>
      <c r="L32" s="2">
        <f>$C32+total_production!K32</f>
        <v>3917.8081415959141</v>
      </c>
      <c r="M32" s="2">
        <f>$C32+total_production!L32</f>
        <v>3920.2046952071637</v>
      </c>
      <c r="N32" s="2">
        <f>$C32+total_production!M32</f>
        <v>3921.260016783011</v>
      </c>
      <c r="O32" s="2">
        <f>$C32+total_production!N32</f>
        <v>3922.210829590842</v>
      </c>
      <c r="P32" s="2">
        <f>$C32+total_production!O32</f>
        <v>3922.210829590842</v>
      </c>
      <c r="Q32" s="2">
        <f>$C32+total_production!P32</f>
        <v>3922.210829590842</v>
      </c>
      <c r="R32" s="2">
        <f>$C32+total_production!Q32</f>
        <v>3923.040716062977</v>
      </c>
      <c r="S32" s="2">
        <f>$C32+total_production!R32</f>
        <v>3923.040716062977</v>
      </c>
      <c r="T32" s="2">
        <f>$C32+total_production!S32</f>
        <v>3923.9719823182181</v>
      </c>
      <c r="U32" s="2">
        <f>$C32+total_production!T32</f>
        <v>3923.9719823182181</v>
      </c>
      <c r="V32" s="2">
        <f>$C32+total_production!U32</f>
        <v>3924.8113785342434</v>
      </c>
      <c r="W32" s="2">
        <f>$C32+total_production!V32</f>
        <v>3924.8113785342434</v>
      </c>
      <c r="X32" s="2">
        <f>$C32+total_production!W32</f>
        <v>3925.5407723611784</v>
      </c>
      <c r="Y32" s="2">
        <f>$C32+total_production!X32</f>
        <v>3925.5407723611784</v>
      </c>
      <c r="Z32" s="2">
        <f>$C32+total_production!Y32</f>
        <v>3925.5407723611784</v>
      </c>
      <c r="AA32" s="2">
        <f>$C32+total_production!Z32</f>
        <v>3925.5407723611784</v>
      </c>
      <c r="AB32" s="2">
        <f>$C32+total_production!AA32</f>
        <v>3925.5407723611784</v>
      </c>
    </row>
    <row r="33" spans="1:28" x14ac:dyDescent="0.2">
      <c r="A33" t="s">
        <v>835</v>
      </c>
      <c r="B33" t="s">
        <v>836</v>
      </c>
      <c r="C33" s="1">
        <v>2392265</v>
      </c>
      <c r="D33" s="2">
        <f>$C33+total_production!C33</f>
        <v>2393043.0436200136</v>
      </c>
      <c r="E33" s="2">
        <f>$C33+total_production!D33</f>
        <v>2393004.0529891769</v>
      </c>
      <c r="F33" s="2">
        <f>$C33+total_production!E33</f>
        <v>2393044.5582801667</v>
      </c>
      <c r="G33" s="2">
        <f>$C33+total_production!F33</f>
        <v>2393057.7960659969</v>
      </c>
      <c r="H33" s="2">
        <f>$C33+total_production!G33</f>
        <v>2392888.6305993246</v>
      </c>
      <c r="I33" s="2">
        <f>$C33+total_production!H33</f>
        <v>2392943.2803225382</v>
      </c>
      <c r="J33" s="2">
        <f>$C33+total_production!I33</f>
        <v>2393019.6035243375</v>
      </c>
      <c r="K33" s="2">
        <f>$C33+total_production!J33</f>
        <v>2393063.9155741092</v>
      </c>
      <c r="L33" s="2">
        <f>$C33+total_production!K33</f>
        <v>2393134.9382927329</v>
      </c>
      <c r="M33" s="2">
        <f>$C33+total_production!L33</f>
        <v>2393216.7494444558</v>
      </c>
      <c r="N33" s="2">
        <f>$C33+total_production!M33</f>
        <v>2393217.8465155629</v>
      </c>
      <c r="O33" s="2">
        <f>$C33+total_production!N33</f>
        <v>2393221.6752782827</v>
      </c>
      <c r="P33" s="2">
        <f>$C33+total_production!O33</f>
        <v>2393221.6752782827</v>
      </c>
      <c r="Q33" s="2">
        <f>$C33+total_production!P33</f>
        <v>2393221.6752782827</v>
      </c>
      <c r="R33" s="2">
        <f>$C33+total_production!Q33</f>
        <v>2393224.544962035</v>
      </c>
      <c r="S33" s="2">
        <f>$C33+total_production!R33</f>
        <v>2393224.544962035</v>
      </c>
      <c r="T33" s="2">
        <f>$C33+total_production!S33</f>
        <v>2393229.2645181995</v>
      </c>
      <c r="U33" s="2">
        <f>$C33+total_production!T33</f>
        <v>2393229.2645181995</v>
      </c>
      <c r="V33" s="2">
        <f>$C33+total_production!U33</f>
        <v>2393229.0549472105</v>
      </c>
      <c r="W33" s="2">
        <f>$C33+total_production!V33</f>
        <v>2393229.0549472105</v>
      </c>
      <c r="X33" s="2">
        <f>$C33+total_production!W33</f>
        <v>2393230.3671520613</v>
      </c>
      <c r="Y33" s="2">
        <f>$C33+total_production!X33</f>
        <v>2393230.3671520613</v>
      </c>
      <c r="Z33" s="2">
        <f>$C33+total_production!Y33</f>
        <v>2393230.3671520613</v>
      </c>
      <c r="AA33" s="2">
        <f>$C33+total_production!Z33</f>
        <v>2393230.3671520613</v>
      </c>
      <c r="AB33" s="2">
        <f>$C33+total_production!AA33</f>
        <v>2393230.3671520613</v>
      </c>
    </row>
    <row r="34" spans="1:28" x14ac:dyDescent="0.2">
      <c r="A34" t="s">
        <v>803</v>
      </c>
      <c r="B34" t="s">
        <v>804</v>
      </c>
      <c r="C34" s="1">
        <v>932643</v>
      </c>
      <c r="D34" s="2">
        <f>$C34+total_production!C34</f>
        <v>933799.96140255604</v>
      </c>
      <c r="E34" s="2">
        <f>$C34+total_production!D34</f>
        <v>933745.93365634652</v>
      </c>
      <c r="F34" s="2">
        <f>$C34+total_production!E34</f>
        <v>933805.93069001753</v>
      </c>
      <c r="G34" s="2">
        <f>$C34+total_production!F34</f>
        <v>933827.02899374953</v>
      </c>
      <c r="H34" s="2">
        <f>$C34+total_production!G34</f>
        <v>933589.09091891209</v>
      </c>
      <c r="I34" s="2">
        <f>$C34+total_production!H34</f>
        <v>933670.03889394586</v>
      </c>
      <c r="J34" s="2">
        <f>$C34+total_production!I34</f>
        <v>933783.08994471794</v>
      </c>
      <c r="K34" s="2">
        <f>$C34+total_production!J34</f>
        <v>933855.77255581436</v>
      </c>
      <c r="L34" s="2">
        <f>$C34+total_production!K34</f>
        <v>933960.97245282866</v>
      </c>
      <c r="M34" s="2">
        <f>$C34+total_production!L34</f>
        <v>934091.07293399505</v>
      </c>
      <c r="N34" s="2">
        <f>$C34+total_production!M34</f>
        <v>934098.55323688872</v>
      </c>
      <c r="O34" s="2">
        <f>$C34+total_production!N34</f>
        <v>934109.34319820011</v>
      </c>
      <c r="P34" s="2">
        <f>$C34+total_production!O34</f>
        <v>934109.34319820011</v>
      </c>
      <c r="Q34" s="2">
        <f>$C34+total_production!P34</f>
        <v>934109.34319820011</v>
      </c>
      <c r="R34" s="2">
        <f>$C34+total_production!Q34</f>
        <v>934118.08759448479</v>
      </c>
      <c r="S34" s="2">
        <f>$C34+total_production!R34</f>
        <v>934118.08759448479</v>
      </c>
      <c r="T34" s="2">
        <f>$C34+total_production!S34</f>
        <v>934130.03829157737</v>
      </c>
      <c r="U34" s="2">
        <f>$C34+total_production!T34</f>
        <v>934130.03829157737</v>
      </c>
      <c r="V34" s="2">
        <f>$C34+total_production!U34</f>
        <v>934134.4448524199</v>
      </c>
      <c r="W34" s="2">
        <f>$C34+total_production!V34</f>
        <v>934134.4448524199</v>
      </c>
      <c r="X34" s="2">
        <f>$C34+total_production!W34</f>
        <v>934140.40488615644</v>
      </c>
      <c r="Y34" s="2">
        <f>$C34+total_production!X34</f>
        <v>934140.40488615644</v>
      </c>
      <c r="Z34" s="2">
        <f>$C34+total_production!Y34</f>
        <v>934140.40488615644</v>
      </c>
      <c r="AA34" s="2">
        <f>$C34+total_production!Z34</f>
        <v>934140.40488615644</v>
      </c>
      <c r="AB34" s="2">
        <f>$C34+total_production!AA34</f>
        <v>934140.40488615644</v>
      </c>
    </row>
    <row r="35" spans="1:28" x14ac:dyDescent="0.2">
      <c r="A35" t="s">
        <v>859</v>
      </c>
      <c r="B35" t="s">
        <v>860</v>
      </c>
      <c r="C35" s="1">
        <v>255509</v>
      </c>
      <c r="D35" s="2">
        <f>$C35+total_production!C35</f>
        <v>256201.26944702546</v>
      </c>
      <c r="E35" s="2">
        <f>$C35+total_production!D35</f>
        <v>256220.27241916087</v>
      </c>
      <c r="F35" s="2">
        <f>$C35+total_production!E35</f>
        <v>256253.12083694167</v>
      </c>
      <c r="G35" s="2">
        <f>$C35+total_production!F35</f>
        <v>256284.10545526326</v>
      </c>
      <c r="H35" s="2">
        <f>$C35+total_production!G35</f>
        <v>256318.55747997758</v>
      </c>
      <c r="I35" s="2">
        <f>$C35+total_production!H35</f>
        <v>256362.87655276715</v>
      </c>
      <c r="J35" s="2">
        <f>$C35+total_production!I35</f>
        <v>256424.77208191424</v>
      </c>
      <c r="K35" s="2">
        <f>$C35+total_production!J35</f>
        <v>256556.45698486961</v>
      </c>
      <c r="L35" s="2">
        <f>$C35+total_production!K35</f>
        <v>256614.05400185846</v>
      </c>
      <c r="M35" s="2">
        <f>$C35+total_production!L35</f>
        <v>256801.60730242461</v>
      </c>
      <c r="N35" s="2">
        <f>$C35+total_production!M35</f>
        <v>256882.05502976893</v>
      </c>
      <c r="O35" s="2">
        <f>$C35+total_production!N35</f>
        <v>256954.71012604493</v>
      </c>
      <c r="P35" s="2">
        <f>$C35+total_production!O35</f>
        <v>256954.71012604493</v>
      </c>
      <c r="Q35" s="2">
        <f>$C35+total_production!P35</f>
        <v>256954.71012604493</v>
      </c>
      <c r="R35" s="2">
        <f>$C35+total_production!Q35</f>
        <v>257018.09585308901</v>
      </c>
      <c r="S35" s="2">
        <f>$C35+total_production!R35</f>
        <v>257018.09585308901</v>
      </c>
      <c r="T35" s="2">
        <f>$C35+total_production!S35</f>
        <v>257089.31676147203</v>
      </c>
      <c r="U35" s="2">
        <f>$C35+total_production!T35</f>
        <v>257089.31676147203</v>
      </c>
      <c r="V35" s="2">
        <f>$C35+total_production!U35</f>
        <v>257153.23804007308</v>
      </c>
      <c r="W35" s="2">
        <f>$C35+total_production!V35</f>
        <v>257153.23804007308</v>
      </c>
      <c r="X35" s="2">
        <f>$C35+total_production!W35</f>
        <v>257208.8740815653</v>
      </c>
      <c r="Y35" s="2">
        <f>$C35+total_production!X35</f>
        <v>257208.8740815653</v>
      </c>
      <c r="Z35" s="2">
        <f>$C35+total_production!Y35</f>
        <v>257208.8740815653</v>
      </c>
      <c r="AA35" s="2">
        <f>$C35+total_production!Z35</f>
        <v>257208.8740815653</v>
      </c>
      <c r="AB35" s="2">
        <f>$C35+total_production!AA35</f>
        <v>257208.8740815653</v>
      </c>
    </row>
    <row r="36" spans="1:28" x14ac:dyDescent="0.2">
      <c r="A36" t="s">
        <v>405</v>
      </c>
      <c r="B36" t="s">
        <v>406</v>
      </c>
      <c r="C36" s="1">
        <v>9229204</v>
      </c>
      <c r="D36" s="2">
        <f>$C36+total_production!C36</f>
        <v>9289716.3339669891</v>
      </c>
      <c r="E36" s="2">
        <f>$C36+total_production!D36</f>
        <v>9294097.0919549707</v>
      </c>
      <c r="F36" s="2">
        <f>$C36+total_production!E36</f>
        <v>9296806.7752910051</v>
      </c>
      <c r="G36" s="2">
        <f>$C36+total_production!F36</f>
        <v>9300487.9900498912</v>
      </c>
      <c r="H36" s="2">
        <f>$C36+total_production!G36</f>
        <v>9312868.1984537728</v>
      </c>
      <c r="I36" s="2">
        <f>$C36+total_production!H36</f>
        <v>9316524.1021812446</v>
      </c>
      <c r="J36" s="2">
        <f>$C36+total_production!I36</f>
        <v>9321629.8970790096</v>
      </c>
      <c r="K36" s="2">
        <f>$C36+total_production!J36</f>
        <v>9337813.5767094251</v>
      </c>
      <c r="L36" s="2">
        <f>$C36+total_production!K36</f>
        <v>9342564.7850684207</v>
      </c>
      <c r="M36" s="2">
        <f>$C36+total_production!L36</f>
        <v>9364771.808774909</v>
      </c>
      <c r="N36" s="2">
        <f>$C36+total_production!M36</f>
        <v>9375829.1342500485</v>
      </c>
      <c r="O36" s="2">
        <f>$C36+total_production!N36</f>
        <v>9385687.4864299949</v>
      </c>
      <c r="P36" s="2">
        <f>$C36+total_production!O36</f>
        <v>9385687.4864299949</v>
      </c>
      <c r="Q36" s="2">
        <f>$C36+total_production!P36</f>
        <v>9385687.4864299949</v>
      </c>
      <c r="R36" s="2">
        <f>$C36+total_production!Q36</f>
        <v>9394309.314155072</v>
      </c>
      <c r="S36" s="2">
        <f>$C36+total_production!R36</f>
        <v>9394309.314155072</v>
      </c>
      <c r="T36" s="2">
        <f>$C36+total_production!S36</f>
        <v>9403929.514673464</v>
      </c>
      <c r="U36" s="2">
        <f>$C36+total_production!T36</f>
        <v>9403929.514673464</v>
      </c>
      <c r="V36" s="2">
        <f>$C36+total_production!U36</f>
        <v>9412764.0529137831</v>
      </c>
      <c r="W36" s="2">
        <f>$C36+total_production!V36</f>
        <v>9412764.0529137831</v>
      </c>
      <c r="X36" s="2">
        <f>$C36+total_production!W36</f>
        <v>9420386.1344036441</v>
      </c>
      <c r="Y36" s="2">
        <f>$C36+total_production!X36</f>
        <v>9420386.1344036441</v>
      </c>
      <c r="Z36" s="2">
        <f>$C36+total_production!Y36</f>
        <v>9420386.1344036441</v>
      </c>
      <c r="AA36" s="2">
        <f>$C36+total_production!Z36</f>
        <v>9420386.1344036441</v>
      </c>
      <c r="AB36" s="2">
        <f>$C36+total_production!AA36</f>
        <v>9420386.1344036441</v>
      </c>
    </row>
    <row r="37" spans="1:28" x14ac:dyDescent="0.2">
      <c r="A37" t="s">
        <v>683</v>
      </c>
      <c r="B37" t="s">
        <v>684</v>
      </c>
      <c r="C37" s="1">
        <v>3787563</v>
      </c>
      <c r="D37" s="2">
        <f>$C37+total_production!C37</f>
        <v>3790660.6118423347</v>
      </c>
      <c r="E37" s="2">
        <f>$C37+total_production!D37</f>
        <v>3790586.1008129879</v>
      </c>
      <c r="F37" s="2">
        <f>$C37+total_production!E37</f>
        <v>3790742.5660526897</v>
      </c>
      <c r="G37" s="2">
        <f>$C37+total_production!F37</f>
        <v>3790824.1427644417</v>
      </c>
      <c r="H37" s="2">
        <f>$C37+total_production!G37</f>
        <v>3790428.7159271869</v>
      </c>
      <c r="I37" s="2">
        <f>$C37+total_production!H37</f>
        <v>3790639.8187691462</v>
      </c>
      <c r="J37" s="2">
        <f>$C37+total_production!I37</f>
        <v>3790934.6426741844</v>
      </c>
      <c r="K37" s="2">
        <f>$C37+total_production!J37</f>
        <v>3791249.7559711146</v>
      </c>
      <c r="L37" s="2">
        <f>$C37+total_production!K37</f>
        <v>3791524.1049863216</v>
      </c>
      <c r="M37" s="2">
        <f>$C37+total_production!L37</f>
        <v>3792022.3428211082</v>
      </c>
      <c r="N37" s="2">
        <f>$C37+total_production!M37</f>
        <v>3792146.1828901996</v>
      </c>
      <c r="O37" s="2">
        <f>$C37+total_production!N37</f>
        <v>3792265.5297603873</v>
      </c>
      <c r="P37" s="2">
        <f>$C37+total_production!O37</f>
        <v>3792265.5297603873</v>
      </c>
      <c r="Q37" s="2">
        <f>$C37+total_production!P37</f>
        <v>3792265.5297603873</v>
      </c>
      <c r="R37" s="2">
        <f>$C37+total_production!Q37</f>
        <v>3792368.4061775641</v>
      </c>
      <c r="S37" s="2">
        <f>$C37+total_production!R37</f>
        <v>3792368.4061775641</v>
      </c>
      <c r="T37" s="2">
        <f>$C37+total_production!S37</f>
        <v>3792487.9519597795</v>
      </c>
      <c r="U37" s="2">
        <f>$C37+total_production!T37</f>
        <v>3792487.9519597795</v>
      </c>
      <c r="V37" s="2">
        <f>$C37+total_production!U37</f>
        <v>3792583.4929188411</v>
      </c>
      <c r="W37" s="2">
        <f>$C37+total_production!V37</f>
        <v>3792583.4929188411</v>
      </c>
      <c r="X37" s="2">
        <f>$C37+total_production!W37</f>
        <v>3792670.6014951528</v>
      </c>
      <c r="Y37" s="2">
        <f>$C37+total_production!X37</f>
        <v>3792670.6014951528</v>
      </c>
      <c r="Z37" s="2">
        <f>$C37+total_production!Y37</f>
        <v>3792670.6014951528</v>
      </c>
      <c r="AA37" s="2">
        <f>$C37+total_production!Z37</f>
        <v>3792670.6014951528</v>
      </c>
      <c r="AB37" s="2">
        <f>$C37+total_production!AA37</f>
        <v>3792670.6014951528</v>
      </c>
    </row>
    <row r="38" spans="1:28" x14ac:dyDescent="0.2">
      <c r="A38" t="s">
        <v>671</v>
      </c>
      <c r="B38" t="s">
        <v>672</v>
      </c>
      <c r="C38" s="1">
        <v>3202597</v>
      </c>
      <c r="D38" s="2">
        <f>$C38+total_production!C38</f>
        <v>3205867.4382211477</v>
      </c>
      <c r="E38" s="2">
        <f>$C38+total_production!D38</f>
        <v>3205731.1103595393</v>
      </c>
      <c r="F38" s="2">
        <f>$C38+total_production!E38</f>
        <v>3205899.7323957779</v>
      </c>
      <c r="G38" s="2">
        <f>$C38+total_production!F38</f>
        <v>3205965.2362922886</v>
      </c>
      <c r="H38" s="2">
        <f>$C38+total_production!G38</f>
        <v>3205349.1224057358</v>
      </c>
      <c r="I38" s="2">
        <f>$C38+total_production!H38</f>
        <v>3205576.6271929634</v>
      </c>
      <c r="J38" s="2">
        <f>$C38+total_production!I38</f>
        <v>3205894.3578741942</v>
      </c>
      <c r="K38" s="2">
        <f>$C38+total_production!J38</f>
        <v>3206127.9827928343</v>
      </c>
      <c r="L38" s="2">
        <f>$C38+total_production!K38</f>
        <v>3206423.6477576047</v>
      </c>
      <c r="M38" s="2">
        <f>$C38+total_production!L38</f>
        <v>3206826.4495517979</v>
      </c>
      <c r="N38" s="2">
        <f>$C38+total_production!M38</f>
        <v>3206871.8598699914</v>
      </c>
      <c r="O38" s="2">
        <f>$C38+total_production!N38</f>
        <v>3206923.504275525</v>
      </c>
      <c r="P38" s="2">
        <f>$C38+total_production!O38</f>
        <v>3206923.504275525</v>
      </c>
      <c r="Q38" s="2">
        <f>$C38+total_production!P38</f>
        <v>3206923.504275525</v>
      </c>
      <c r="R38" s="2">
        <f>$C38+total_production!Q38</f>
        <v>3206966.7966860081</v>
      </c>
      <c r="S38" s="2">
        <f>$C38+total_production!R38</f>
        <v>3206966.7966860081</v>
      </c>
      <c r="T38" s="2">
        <f>$C38+total_production!S38</f>
        <v>3207021.0422880147</v>
      </c>
      <c r="U38" s="2">
        <f>$C38+total_production!T38</f>
        <v>3207021.0422880147</v>
      </c>
      <c r="V38" s="2">
        <f>$C38+total_production!U38</f>
        <v>3207053.0728037818</v>
      </c>
      <c r="W38" s="2">
        <f>$C38+total_production!V38</f>
        <v>3207053.0728037818</v>
      </c>
      <c r="X38" s="2">
        <f>$C38+total_production!W38</f>
        <v>3207086.5514051863</v>
      </c>
      <c r="Y38" s="2">
        <f>$C38+total_production!X38</f>
        <v>3207086.5514051863</v>
      </c>
      <c r="Z38" s="2">
        <f>$C38+total_production!Y38</f>
        <v>3207086.5514051863</v>
      </c>
      <c r="AA38" s="2">
        <f>$C38+total_production!Z38</f>
        <v>3207086.5514051863</v>
      </c>
      <c r="AB38" s="2">
        <f>$C38+total_production!AA38</f>
        <v>3207086.5514051863</v>
      </c>
    </row>
    <row r="39" spans="1:28" x14ac:dyDescent="0.2">
      <c r="A39" t="s">
        <v>677</v>
      </c>
      <c r="B39" t="s">
        <v>678</v>
      </c>
      <c r="C39" s="1">
        <v>3357155</v>
      </c>
      <c r="D39" s="2">
        <f>$C39+total_production!C39</f>
        <v>3360325.6820787261</v>
      </c>
      <c r="E39" s="2">
        <f>$C39+total_production!D39</f>
        <v>3360218.6085190936</v>
      </c>
      <c r="F39" s="2">
        <f>$C39+total_production!E39</f>
        <v>3360380.5955741038</v>
      </c>
      <c r="G39" s="2">
        <f>$C39+total_production!F39</f>
        <v>3360453.0780241396</v>
      </c>
      <c r="H39" s="2">
        <f>$C39+total_production!G39</f>
        <v>3359942.2072739601</v>
      </c>
      <c r="I39" s="2">
        <f>$C39+total_production!H39</f>
        <v>3360160.7601470351</v>
      </c>
      <c r="J39" s="2">
        <f>$C39+total_production!I39</f>
        <v>3360465.9886835124</v>
      </c>
      <c r="K39" s="2">
        <f>$C39+total_production!J39</f>
        <v>3360735.6069141435</v>
      </c>
      <c r="L39" s="2">
        <f>$C39+total_production!K39</f>
        <v>3361019.6379813822</v>
      </c>
      <c r="M39" s="2">
        <f>$C39+total_production!L39</f>
        <v>3361463.7903698725</v>
      </c>
      <c r="N39" s="2">
        <f>$C39+total_production!M39</f>
        <v>3361544.958916374</v>
      </c>
      <c r="O39" s="2">
        <f>$C39+total_production!N39</f>
        <v>3361627.3933007848</v>
      </c>
      <c r="P39" s="2">
        <f>$C39+total_production!O39</f>
        <v>3361627.3933007848</v>
      </c>
      <c r="Q39" s="2">
        <f>$C39+total_production!P39</f>
        <v>3361627.3933007848</v>
      </c>
      <c r="R39" s="2">
        <f>$C39+total_production!Q39</f>
        <v>3361697.7969744094</v>
      </c>
      <c r="S39" s="2">
        <f>$C39+total_production!R39</f>
        <v>3361697.7969744094</v>
      </c>
      <c r="T39" s="2">
        <f>$C39+total_production!S39</f>
        <v>3361781.7124638767</v>
      </c>
      <c r="U39" s="2">
        <f>$C39+total_production!T39</f>
        <v>3361781.7124638767</v>
      </c>
      <c r="V39" s="2">
        <f>$C39+total_production!U39</f>
        <v>3361842.7285816562</v>
      </c>
      <c r="W39" s="2">
        <f>$C39+total_production!V39</f>
        <v>3361842.7285816562</v>
      </c>
      <c r="X39" s="2">
        <f>$C39+total_production!W39</f>
        <v>3361900.6434340789</v>
      </c>
      <c r="Y39" s="2">
        <f>$C39+total_production!X39</f>
        <v>3361900.6434340789</v>
      </c>
      <c r="Z39" s="2">
        <f>$C39+total_production!Y39</f>
        <v>3361900.6434340789</v>
      </c>
      <c r="AA39" s="2">
        <f>$C39+total_production!Z39</f>
        <v>3361900.6434340789</v>
      </c>
      <c r="AB39" s="2">
        <f>$C39+total_production!AA39</f>
        <v>3361900.6434340789</v>
      </c>
    </row>
    <row r="40" spans="1:28" x14ac:dyDescent="0.2">
      <c r="A40" t="s">
        <v>720</v>
      </c>
      <c r="B40" t="s">
        <v>721</v>
      </c>
      <c r="C40" s="1">
        <v>2613751</v>
      </c>
      <c r="D40" s="2">
        <f>$C40+total_production!C40</f>
        <v>2616283.507655567</v>
      </c>
      <c r="E40" s="2">
        <f>$C40+total_production!D40</f>
        <v>2616199.2922868631</v>
      </c>
      <c r="F40" s="2">
        <f>$C40+total_production!E40</f>
        <v>2616328.5979430783</v>
      </c>
      <c r="G40" s="2">
        <f>$C40+total_production!F40</f>
        <v>2616386.9591356129</v>
      </c>
      <c r="H40" s="2">
        <f>$C40+total_production!G40</f>
        <v>2615983.4158833669</v>
      </c>
      <c r="I40" s="2">
        <f>$C40+total_production!H40</f>
        <v>2616157.8750256044</v>
      </c>
      <c r="J40" s="2">
        <f>$C40+total_production!I40</f>
        <v>2616401.5227430235</v>
      </c>
      <c r="K40" s="2">
        <f>$C40+total_production!J40</f>
        <v>2616619.1198180411</v>
      </c>
      <c r="L40" s="2">
        <f>$C40+total_production!K40</f>
        <v>2616845.8467224375</v>
      </c>
      <c r="M40" s="2">
        <f>$C40+total_production!L40</f>
        <v>2617203.396651322</v>
      </c>
      <c r="N40" s="2">
        <f>$C40+total_production!M40</f>
        <v>2617270.1627162239</v>
      </c>
      <c r="O40" s="2">
        <f>$C40+total_production!N40</f>
        <v>2617337.690973809</v>
      </c>
      <c r="P40" s="2">
        <f>$C40+total_production!O40</f>
        <v>2617337.690973809</v>
      </c>
      <c r="Q40" s="2">
        <f>$C40+total_production!P40</f>
        <v>2617337.690973809</v>
      </c>
      <c r="R40" s="2">
        <f>$C40+total_production!Q40</f>
        <v>2617395.4051108211</v>
      </c>
      <c r="S40" s="2">
        <f>$C40+total_production!R40</f>
        <v>2617395.4051108211</v>
      </c>
      <c r="T40" s="2">
        <f>$C40+total_production!S40</f>
        <v>2617464.0621591322</v>
      </c>
      <c r="U40" s="2">
        <f>$C40+total_production!T40</f>
        <v>2617464.0621591322</v>
      </c>
      <c r="V40" s="2">
        <f>$C40+total_production!U40</f>
        <v>2617514.3579394398</v>
      </c>
      <c r="W40" s="2">
        <f>$C40+total_production!V40</f>
        <v>2617514.3579394398</v>
      </c>
      <c r="X40" s="2">
        <f>$C40+total_production!W40</f>
        <v>2617561.9420061596</v>
      </c>
      <c r="Y40" s="2">
        <f>$C40+total_production!X40</f>
        <v>2617561.9420061596</v>
      </c>
      <c r="Z40" s="2">
        <f>$C40+total_production!Y40</f>
        <v>2617561.9420061596</v>
      </c>
      <c r="AA40" s="2">
        <f>$C40+total_production!Z40</f>
        <v>2617561.9420061596</v>
      </c>
      <c r="AB40" s="2">
        <f>$C40+total_production!AA40</f>
        <v>2617561.9420061596</v>
      </c>
    </row>
    <row r="41" spans="1:28" x14ac:dyDescent="0.2">
      <c r="A41" t="s">
        <v>681</v>
      </c>
      <c r="B41" t="s">
        <v>682</v>
      </c>
      <c r="C41" s="1">
        <v>2579547</v>
      </c>
      <c r="D41" s="2">
        <f>$C41+total_production!C41</f>
        <v>2582725.4803931988</v>
      </c>
      <c r="E41" s="2">
        <f>$C41+total_production!D41</f>
        <v>2582707.5230413582</v>
      </c>
      <c r="F41" s="2">
        <f>$C41+total_production!E41</f>
        <v>2582864.5961284977</v>
      </c>
      <c r="G41" s="2">
        <f>$C41+total_production!F41</f>
        <v>2582969.2270149668</v>
      </c>
      <c r="H41" s="2">
        <f>$C41+total_production!G41</f>
        <v>2582764.9929471058</v>
      </c>
      <c r="I41" s="2">
        <f>$C41+total_production!H41</f>
        <v>2582976.9158965969</v>
      </c>
      <c r="J41" s="2">
        <f>$C41+total_production!I41</f>
        <v>2583272.8851547856</v>
      </c>
      <c r="K41" s="2">
        <f>$C41+total_production!J41</f>
        <v>2583696.7367500337</v>
      </c>
      <c r="L41" s="2">
        <f>$C41+total_production!K41</f>
        <v>2583972.1515760641</v>
      </c>
      <c r="M41" s="2">
        <f>$C41+total_production!L41</f>
        <v>2584608.4250522605</v>
      </c>
      <c r="N41" s="2">
        <f>$C41+total_production!M41</f>
        <v>2584822.0796186398</v>
      </c>
      <c r="O41" s="2">
        <f>$C41+total_production!N41</f>
        <v>2585019.9859072999</v>
      </c>
      <c r="P41" s="2">
        <f>$C41+total_production!O41</f>
        <v>2585019.9859072999</v>
      </c>
      <c r="Q41" s="2">
        <f>$C41+total_production!P41</f>
        <v>2585019.9859072999</v>
      </c>
      <c r="R41" s="2">
        <f>$C41+total_production!Q41</f>
        <v>2585191.8228009217</v>
      </c>
      <c r="S41" s="2">
        <f>$C41+total_production!R41</f>
        <v>2585191.8228009217</v>
      </c>
      <c r="T41" s="2">
        <f>$C41+total_production!S41</f>
        <v>2585387.5072012437</v>
      </c>
      <c r="U41" s="2">
        <f>$C41+total_production!T41</f>
        <v>2585387.5072012437</v>
      </c>
      <c r="V41" s="2">
        <f>$C41+total_production!U41</f>
        <v>2585555.3854950583</v>
      </c>
      <c r="W41" s="2">
        <f>$C41+total_production!V41</f>
        <v>2585555.3854950583</v>
      </c>
      <c r="X41" s="2">
        <f>$C41+total_production!W41</f>
        <v>2585704.1096526948</v>
      </c>
      <c r="Y41" s="2">
        <f>$C41+total_production!X41</f>
        <v>2585704.1096526948</v>
      </c>
      <c r="Z41" s="2">
        <f>$C41+total_production!Y41</f>
        <v>2585704.1096526948</v>
      </c>
      <c r="AA41" s="2">
        <f>$C41+total_production!Z41</f>
        <v>2585704.1096526948</v>
      </c>
      <c r="AB41" s="2">
        <f>$C41+total_production!AA41</f>
        <v>2585704.1096526948</v>
      </c>
    </row>
    <row r="42" spans="1:28" x14ac:dyDescent="0.2">
      <c r="A42" t="s">
        <v>571</v>
      </c>
      <c r="B42" t="s">
        <v>572</v>
      </c>
      <c r="C42" s="1">
        <v>5991187</v>
      </c>
      <c r="D42" s="2">
        <f>$C42+total_production!C42</f>
        <v>5998753.2380868867</v>
      </c>
      <c r="E42" s="2">
        <f>$C42+total_production!D42</f>
        <v>5998608.0477294903</v>
      </c>
      <c r="F42" s="2">
        <f>$C42+total_production!E42</f>
        <v>5998988.0424222872</v>
      </c>
      <c r="G42" s="2">
        <f>$C42+total_production!F42</f>
        <v>5999200.4687635303</v>
      </c>
      <c r="H42" s="2">
        <f>$C42+total_production!G42</f>
        <v>5998361.4020958813</v>
      </c>
      <c r="I42" s="2">
        <f>$C42+total_production!H42</f>
        <v>5998874.0907910289</v>
      </c>
      <c r="J42" s="2">
        <f>$C42+total_production!I42</f>
        <v>5999590.1061784578</v>
      </c>
      <c r="K42" s="2">
        <f>$C42+total_production!J42</f>
        <v>6000423.0502697118</v>
      </c>
      <c r="L42" s="2">
        <f>$C42+total_production!K42</f>
        <v>6001089.3399194209</v>
      </c>
      <c r="M42" s="2">
        <f>$C42+total_production!L42</f>
        <v>6002385.0117724948</v>
      </c>
      <c r="N42" s="2">
        <f>$C42+total_production!M42</f>
        <v>6002741.9855175754</v>
      </c>
      <c r="O42" s="2">
        <f>$C42+total_production!N42</f>
        <v>6003080.9756913586</v>
      </c>
      <c r="P42" s="2">
        <f>$C42+total_production!O42</f>
        <v>6003080.9756913586</v>
      </c>
      <c r="Q42" s="2">
        <f>$C42+total_production!P42</f>
        <v>6003080.9756913586</v>
      </c>
      <c r="R42" s="2">
        <f>$C42+total_production!Q42</f>
        <v>6003373.9654951049</v>
      </c>
      <c r="S42" s="2">
        <f>$C42+total_production!R42</f>
        <v>6003373.9654951049</v>
      </c>
      <c r="T42" s="2">
        <f>$C42+total_production!S42</f>
        <v>6003711.9149711542</v>
      </c>
      <c r="U42" s="2">
        <f>$C42+total_production!T42</f>
        <v>6003711.9149711542</v>
      </c>
      <c r="V42" s="2">
        <f>$C42+total_production!U42</f>
        <v>6003989.2325573657</v>
      </c>
      <c r="W42" s="2">
        <f>$C42+total_production!V42</f>
        <v>6003989.2325573657</v>
      </c>
      <c r="X42" s="2">
        <f>$C42+total_production!W42</f>
        <v>6004239.3450151505</v>
      </c>
      <c r="Y42" s="2">
        <f>$C42+total_production!X42</f>
        <v>6004239.3450151505</v>
      </c>
      <c r="Z42" s="2">
        <f>$C42+total_production!Y42</f>
        <v>6004239.3450151505</v>
      </c>
      <c r="AA42" s="2">
        <f>$C42+total_production!Z42</f>
        <v>6004239.3450151505</v>
      </c>
      <c r="AB42" s="2">
        <f>$C42+total_production!AA42</f>
        <v>6004239.3450151505</v>
      </c>
    </row>
    <row r="43" spans="1:28" x14ac:dyDescent="0.2">
      <c r="A43" t="s">
        <v>761</v>
      </c>
      <c r="B43" t="s">
        <v>762</v>
      </c>
      <c r="C43" s="1">
        <v>2549610</v>
      </c>
      <c r="D43" s="2">
        <f>$C43+total_production!C43</f>
        <v>2551411.146796884</v>
      </c>
      <c r="E43" s="2">
        <f>$C43+total_production!D43</f>
        <v>2551378.6616804902</v>
      </c>
      <c r="F43" s="2">
        <f>$C43+total_production!E43</f>
        <v>2551468.9961291086</v>
      </c>
      <c r="G43" s="2">
        <f>$C43+total_production!F43</f>
        <v>2551520.3074353752</v>
      </c>
      <c r="H43" s="2">
        <f>$C43+total_production!G43</f>
        <v>2551327.7238021493</v>
      </c>
      <c r="I43" s="2">
        <f>$C43+total_production!H43</f>
        <v>2551449.6030059038</v>
      </c>
      <c r="J43" s="2">
        <f>$C43+total_production!I43</f>
        <v>2551619.8181600939</v>
      </c>
      <c r="K43" s="2">
        <f>$C43+total_production!J43</f>
        <v>2551821.6704791174</v>
      </c>
      <c r="L43" s="2">
        <f>$C43+total_production!K43</f>
        <v>2551980.0645547919</v>
      </c>
      <c r="M43" s="2">
        <f>$C43+total_production!L43</f>
        <v>2552292.9401284005</v>
      </c>
      <c r="N43" s="2">
        <f>$C43+total_production!M43</f>
        <v>2552380.9927483764</v>
      </c>
      <c r="O43" s="2">
        <f>$C43+total_production!N43</f>
        <v>2552464.3688248731</v>
      </c>
      <c r="P43" s="2">
        <f>$C43+total_production!O43</f>
        <v>2552464.3688248731</v>
      </c>
      <c r="Q43" s="2">
        <f>$C43+total_production!P43</f>
        <v>2552464.3688248731</v>
      </c>
      <c r="R43" s="2">
        <f>$C43+total_production!Q43</f>
        <v>2552536.4688653103</v>
      </c>
      <c r="S43" s="2">
        <f>$C43+total_production!R43</f>
        <v>2552536.4688653103</v>
      </c>
      <c r="T43" s="2">
        <f>$C43+total_production!S43</f>
        <v>2552619.5110468362</v>
      </c>
      <c r="U43" s="2">
        <f>$C43+total_production!T43</f>
        <v>2552619.5110468362</v>
      </c>
      <c r="V43" s="2">
        <f>$C43+total_production!U43</f>
        <v>2552688.0070342743</v>
      </c>
      <c r="W43" s="2">
        <f>$C43+total_production!V43</f>
        <v>2552688.0070342743</v>
      </c>
      <c r="X43" s="2">
        <f>$C43+total_production!W43</f>
        <v>2552749.6538745551</v>
      </c>
      <c r="Y43" s="2">
        <f>$C43+total_production!X43</f>
        <v>2552749.6538745551</v>
      </c>
      <c r="Z43" s="2">
        <f>$C43+total_production!Y43</f>
        <v>2552749.6538745551</v>
      </c>
      <c r="AA43" s="2">
        <f>$C43+total_production!Z43</f>
        <v>2552749.6538745551</v>
      </c>
      <c r="AB43" s="2">
        <f>$C43+total_production!AA43</f>
        <v>2552749.6538745551</v>
      </c>
    </row>
    <row r="44" spans="1:28" x14ac:dyDescent="0.2">
      <c r="A44" t="s">
        <v>1002</v>
      </c>
      <c r="B44" t="s">
        <v>1003</v>
      </c>
      <c r="C44" s="1">
        <v>0</v>
      </c>
      <c r="D44" s="2">
        <f>$C44+total_production!C44</f>
        <v>0</v>
      </c>
      <c r="E44" s="2">
        <f>$C44+total_production!D44</f>
        <v>0</v>
      </c>
      <c r="F44" s="2">
        <f>$C44+total_production!E44</f>
        <v>0</v>
      </c>
      <c r="G44" s="2">
        <f>$C44+total_production!F44</f>
        <v>0</v>
      </c>
      <c r="H44" s="2">
        <f>$C44+total_production!G44</f>
        <v>0</v>
      </c>
      <c r="I44" s="2">
        <f>$C44+total_production!H44</f>
        <v>0</v>
      </c>
      <c r="J44" s="2">
        <f>$C44+total_production!I44</f>
        <v>0</v>
      </c>
      <c r="K44" s="2">
        <f>$C44+total_production!J44</f>
        <v>0</v>
      </c>
      <c r="L44" s="2">
        <f>$C44+total_production!K44</f>
        <v>0</v>
      </c>
      <c r="M44" s="2">
        <f>$C44+total_production!L44</f>
        <v>0</v>
      </c>
      <c r="N44" s="2">
        <f>$C44+total_production!M44</f>
        <v>0</v>
      </c>
      <c r="O44" s="2">
        <f>$C44+total_production!N44</f>
        <v>0</v>
      </c>
      <c r="P44" s="2">
        <f>$C44+total_production!O44</f>
        <v>0</v>
      </c>
      <c r="Q44" s="2">
        <f>$C44+total_production!P44</f>
        <v>0</v>
      </c>
      <c r="R44" s="2">
        <f>$C44+total_production!Q44</f>
        <v>0</v>
      </c>
      <c r="S44" s="2">
        <f>$C44+total_production!R44</f>
        <v>0</v>
      </c>
      <c r="T44" s="2">
        <f>$C44+total_production!S44</f>
        <v>0</v>
      </c>
      <c r="U44" s="2">
        <f>$C44+total_production!T44</f>
        <v>0</v>
      </c>
      <c r="V44" s="2">
        <f>$C44+total_production!U44</f>
        <v>0</v>
      </c>
      <c r="W44" s="2">
        <f>$C44+total_production!V44</f>
        <v>0</v>
      </c>
      <c r="X44" s="2">
        <f>$C44+total_production!W44</f>
        <v>0</v>
      </c>
      <c r="Y44" s="2">
        <f>$C44+total_production!X44</f>
        <v>0</v>
      </c>
      <c r="Z44" s="2">
        <f>$C44+total_production!Y44</f>
        <v>0</v>
      </c>
      <c r="AA44" s="2">
        <f>$C44+total_production!Z44</f>
        <v>0</v>
      </c>
      <c r="AB44" s="2">
        <f>$C44+total_production!AA44</f>
        <v>0</v>
      </c>
    </row>
    <row r="45" spans="1:28" x14ac:dyDescent="0.2">
      <c r="A45" t="s">
        <v>843</v>
      </c>
      <c r="B45" t="s">
        <v>844</v>
      </c>
      <c r="C45" s="1">
        <v>782340</v>
      </c>
      <c r="D45" s="2">
        <f>$C45+total_production!C45</f>
        <v>783095.49713703408</v>
      </c>
      <c r="E45" s="2">
        <f>$C45+total_production!D45</f>
        <v>783062.20773132076</v>
      </c>
      <c r="F45" s="2">
        <f>$C45+total_production!E45</f>
        <v>783101.26753985649</v>
      </c>
      <c r="G45" s="2">
        <f>$C45+total_production!F45</f>
        <v>783115.75683685031</v>
      </c>
      <c r="H45" s="2">
        <f>$C45+total_production!G45</f>
        <v>782967.2407866416</v>
      </c>
      <c r="I45" s="2">
        <f>$C45+total_production!H45</f>
        <v>783019.94026547775</v>
      </c>
      <c r="J45" s="2">
        <f>$C45+total_production!I45</f>
        <v>783093.53977744922</v>
      </c>
      <c r="K45" s="2">
        <f>$C45+total_production!J45</f>
        <v>783144.42211845506</v>
      </c>
      <c r="L45" s="2">
        <f>$C45+total_production!K45</f>
        <v>783212.91030168592</v>
      </c>
      <c r="M45" s="2">
        <f>$C45+total_production!L45</f>
        <v>783302.12090077926</v>
      </c>
      <c r="N45" s="2">
        <f>$C45+total_production!M45</f>
        <v>783309.95199792599</v>
      </c>
      <c r="O45" s="2">
        <f>$C45+total_production!N45</f>
        <v>783319.56527648086</v>
      </c>
      <c r="P45" s="2">
        <f>$C45+total_production!O45</f>
        <v>783319.56527648086</v>
      </c>
      <c r="Q45" s="2">
        <f>$C45+total_production!P45</f>
        <v>783319.56527648086</v>
      </c>
      <c r="R45" s="2">
        <f>$C45+total_production!Q45</f>
        <v>783327.53077032196</v>
      </c>
      <c r="S45" s="2">
        <f>$C45+total_production!R45</f>
        <v>783327.53077032196</v>
      </c>
      <c r="T45" s="2">
        <f>$C45+total_production!S45</f>
        <v>783337.8194517704</v>
      </c>
      <c r="U45" s="2">
        <f>$C45+total_production!T45</f>
        <v>783337.8194517704</v>
      </c>
      <c r="V45" s="2">
        <f>$C45+total_production!U45</f>
        <v>783343.07376891782</v>
      </c>
      <c r="W45" s="2">
        <f>$C45+total_production!V45</f>
        <v>783343.07376891782</v>
      </c>
      <c r="X45" s="2">
        <f>$C45+total_production!W45</f>
        <v>783348.98512559349</v>
      </c>
      <c r="Y45" s="2">
        <f>$C45+total_production!X45</f>
        <v>783348.98512559349</v>
      </c>
      <c r="Z45" s="2">
        <f>$C45+total_production!Y45</f>
        <v>783348.98512559349</v>
      </c>
      <c r="AA45" s="2">
        <f>$C45+total_production!Z45</f>
        <v>783348.98512559349</v>
      </c>
      <c r="AB45" s="2">
        <f>$C45+total_production!AA45</f>
        <v>783348.98512559349</v>
      </c>
    </row>
    <row r="46" spans="1:28" x14ac:dyDescent="0.2">
      <c r="A46" t="s">
        <v>797</v>
      </c>
      <c r="B46" t="s">
        <v>798</v>
      </c>
      <c r="C46" s="1">
        <v>1400902</v>
      </c>
      <c r="D46" s="2">
        <f>$C46+total_production!C46</f>
        <v>1402157.4578318251</v>
      </c>
      <c r="E46" s="2">
        <f>$C46+total_production!D46</f>
        <v>1402131.6848197312</v>
      </c>
      <c r="F46" s="2">
        <f>$C46+total_production!E46</f>
        <v>1402194.8368902034</v>
      </c>
      <c r="G46" s="2">
        <f>$C46+total_production!F46</f>
        <v>1402229.4830288056</v>
      </c>
      <c r="H46" s="2">
        <f>$C46+total_production!G46</f>
        <v>1402084.4643927193</v>
      </c>
      <c r="I46" s="2">
        <f>$C46+total_production!H46</f>
        <v>1402169.6691422067</v>
      </c>
      <c r="J46" s="2">
        <f>$C46+total_production!I46</f>
        <v>1402288.6651573176</v>
      </c>
      <c r="K46" s="2">
        <f>$C46+total_production!J46</f>
        <v>1402423.9851664547</v>
      </c>
      <c r="L46" s="2">
        <f>$C46+total_production!K46</f>
        <v>1402534.7171627458</v>
      </c>
      <c r="M46" s="2">
        <f>$C46+total_production!L46</f>
        <v>1402746.1122932602</v>
      </c>
      <c r="N46" s="2">
        <f>$C46+total_production!M46</f>
        <v>1402802.8555181003</v>
      </c>
      <c r="O46" s="2">
        <f>$C46+total_production!N46</f>
        <v>1402856.9349375982</v>
      </c>
      <c r="P46" s="2">
        <f>$C46+total_production!O46</f>
        <v>1402856.9349375982</v>
      </c>
      <c r="Q46" s="2">
        <f>$C46+total_production!P46</f>
        <v>1402856.9349375982</v>
      </c>
      <c r="R46" s="2">
        <f>$C46+total_production!Q46</f>
        <v>1402903.6451542866</v>
      </c>
      <c r="S46" s="2">
        <f>$C46+total_production!R46</f>
        <v>1402903.6451542866</v>
      </c>
      <c r="T46" s="2">
        <f>$C46+total_production!S46</f>
        <v>1402957.621634529</v>
      </c>
      <c r="U46" s="2">
        <f>$C46+total_production!T46</f>
        <v>1402957.621634529</v>
      </c>
      <c r="V46" s="2">
        <f>$C46+total_production!U46</f>
        <v>1403001.6287933097</v>
      </c>
      <c r="W46" s="2">
        <f>$C46+total_production!V46</f>
        <v>1403001.6287933097</v>
      </c>
      <c r="X46" s="2">
        <f>$C46+total_production!W46</f>
        <v>1403041.4237350873</v>
      </c>
      <c r="Y46" s="2">
        <f>$C46+total_production!X46</f>
        <v>1403041.4237350873</v>
      </c>
      <c r="Z46" s="2">
        <f>$C46+total_production!Y46</f>
        <v>1403041.4237350873</v>
      </c>
      <c r="AA46" s="2">
        <f>$C46+total_production!Z46</f>
        <v>1403041.4237350873</v>
      </c>
      <c r="AB46" s="2">
        <f>$C46+total_production!AA46</f>
        <v>1403041.4237350873</v>
      </c>
    </row>
    <row r="47" spans="1:28" x14ac:dyDescent="0.2">
      <c r="A47" t="s">
        <v>634</v>
      </c>
      <c r="B47" t="s">
        <v>635</v>
      </c>
      <c r="C47" s="1">
        <v>3074610</v>
      </c>
      <c r="D47" s="2">
        <f>$C47+total_production!C47</f>
        <v>3079056.0184052512</v>
      </c>
      <c r="E47" s="2">
        <f>$C47+total_production!D47</f>
        <v>3078524.4858928998</v>
      </c>
      <c r="F47" s="2">
        <f>$C47+total_production!E47</f>
        <v>3078774.2970470842</v>
      </c>
      <c r="G47" s="2">
        <f>$C47+total_production!F47</f>
        <v>3078739.5142391543</v>
      </c>
      <c r="H47" s="2">
        <f>$C47+total_production!G47</f>
        <v>3076709.3478881144</v>
      </c>
      <c r="I47" s="2">
        <f>$C47+total_production!H47</f>
        <v>3077046.3930024276</v>
      </c>
      <c r="J47" s="2">
        <f>$C47+total_production!I47</f>
        <v>3077517.1064985315</v>
      </c>
      <c r="K47" s="2">
        <f>$C47+total_production!J47</f>
        <v>3077239.873979385</v>
      </c>
      <c r="L47" s="2">
        <f>$C47+total_production!K47</f>
        <v>3077677.8974296334</v>
      </c>
      <c r="M47" s="2">
        <f>$C47+total_production!L47</f>
        <v>3077485.5627893358</v>
      </c>
      <c r="N47" s="2">
        <f>$C47+total_production!M47</f>
        <v>3077034.9010947184</v>
      </c>
      <c r="O47" s="2">
        <f>$C47+total_production!N47</f>
        <v>3076658.6285142042</v>
      </c>
      <c r="P47" s="2">
        <f>$C47+total_production!O47</f>
        <v>3076658.6285142042</v>
      </c>
      <c r="Q47" s="2">
        <f>$C47+total_production!P47</f>
        <v>3076658.6285142042</v>
      </c>
      <c r="R47" s="2">
        <f>$C47+total_production!Q47</f>
        <v>3076325.2642652788</v>
      </c>
      <c r="S47" s="2">
        <f>$C47+total_production!R47</f>
        <v>3076325.2642652788</v>
      </c>
      <c r="T47" s="2">
        <f>$C47+total_production!S47</f>
        <v>3075966.8850975758</v>
      </c>
      <c r="U47" s="2">
        <f>$C47+total_production!T47</f>
        <v>3075966.8850975758</v>
      </c>
      <c r="V47" s="2">
        <f>$C47+total_production!U47</f>
        <v>3075597.0929679363</v>
      </c>
      <c r="W47" s="2">
        <f>$C47+total_production!V47</f>
        <v>3075597.0929679363</v>
      </c>
      <c r="X47" s="2">
        <f>$C47+total_production!W47</f>
        <v>3075291.4187242221</v>
      </c>
      <c r="Y47" s="2">
        <f>$C47+total_production!X47</f>
        <v>3075291.4187242221</v>
      </c>
      <c r="Z47" s="2">
        <f>$C47+total_production!Y47</f>
        <v>3075291.4187242221</v>
      </c>
      <c r="AA47" s="2">
        <f>$C47+total_production!Z47</f>
        <v>3075291.4187242221</v>
      </c>
      <c r="AB47" s="2">
        <f>$C47+total_production!AA47</f>
        <v>3075291.4187242221</v>
      </c>
    </row>
    <row r="48" spans="1:28" x14ac:dyDescent="0.2">
      <c r="A48" t="s">
        <v>811</v>
      </c>
      <c r="B48" t="s">
        <v>812</v>
      </c>
      <c r="C48" s="1">
        <v>1060050</v>
      </c>
      <c r="D48" s="2">
        <f>$C48+total_production!C48</f>
        <v>1061169.0812306819</v>
      </c>
      <c r="E48" s="2">
        <f>$C48+total_production!D48</f>
        <v>1061136.3480853871</v>
      </c>
      <c r="F48" s="2">
        <f>$C48+total_production!E48</f>
        <v>1061193.2202203036</v>
      </c>
      <c r="G48" s="2">
        <f>$C48+total_production!F48</f>
        <v>1061220.61187921</v>
      </c>
      <c r="H48" s="2">
        <f>$C48+total_production!G48</f>
        <v>1061057.7258640444</v>
      </c>
      <c r="I48" s="2">
        <f>$C48+total_production!H48</f>
        <v>1061134.4577268655</v>
      </c>
      <c r="J48" s="2">
        <f>$C48+total_production!I48</f>
        <v>1061241.6206017372</v>
      </c>
      <c r="K48" s="2">
        <f>$C48+total_production!J48</f>
        <v>1061345.4721431735</v>
      </c>
      <c r="L48" s="2">
        <f>$C48+total_production!K48</f>
        <v>1061445.1927855136</v>
      </c>
      <c r="M48" s="2">
        <f>$C48+total_production!L48</f>
        <v>1061612.7653706686</v>
      </c>
      <c r="N48" s="2">
        <f>$C48+total_production!M48</f>
        <v>1061648.8997718431</v>
      </c>
      <c r="O48" s="2">
        <f>$C48+total_production!N48</f>
        <v>1061684.517920804</v>
      </c>
      <c r="P48" s="2">
        <f>$C48+total_production!O48</f>
        <v>1061684.517920804</v>
      </c>
      <c r="Q48" s="2">
        <f>$C48+total_production!P48</f>
        <v>1061684.517920804</v>
      </c>
      <c r="R48" s="2">
        <f>$C48+total_production!Q48</f>
        <v>1061715.0970807702</v>
      </c>
      <c r="S48" s="2">
        <f>$C48+total_production!R48</f>
        <v>1061715.0970807702</v>
      </c>
      <c r="T48" s="2">
        <f>$C48+total_production!S48</f>
        <v>1061751.0282176503</v>
      </c>
      <c r="U48" s="2">
        <f>$C48+total_production!T48</f>
        <v>1061751.0282176503</v>
      </c>
      <c r="V48" s="2">
        <f>$C48+total_production!U48</f>
        <v>1061778.6026101015</v>
      </c>
      <c r="W48" s="2">
        <f>$C48+total_production!V48</f>
        <v>1061778.6026101015</v>
      </c>
      <c r="X48" s="2">
        <f>$C48+total_production!W48</f>
        <v>1061804.1744022379</v>
      </c>
      <c r="Y48" s="2">
        <f>$C48+total_production!X48</f>
        <v>1061804.1744022379</v>
      </c>
      <c r="Z48" s="2">
        <f>$C48+total_production!Y48</f>
        <v>1061804.1744022379</v>
      </c>
      <c r="AA48" s="2">
        <f>$C48+total_production!Z48</f>
        <v>1061804.1744022379</v>
      </c>
      <c r="AB48" s="2">
        <f>$C48+total_production!AA48</f>
        <v>1061804.1744022379</v>
      </c>
    </row>
    <row r="49" spans="1:28" x14ac:dyDescent="0.2">
      <c r="A49" t="s">
        <v>559</v>
      </c>
      <c r="B49" t="s">
        <v>560</v>
      </c>
      <c r="C49" s="1">
        <v>5270104</v>
      </c>
      <c r="D49" s="2">
        <f>$C49+total_production!C49</f>
        <v>5279085.1724330895</v>
      </c>
      <c r="E49" s="2">
        <f>$C49+total_production!D49</f>
        <v>5279260.3358020009</v>
      </c>
      <c r="F49" s="2">
        <f>$C49+total_production!E49</f>
        <v>5279690.7375326762</v>
      </c>
      <c r="G49" s="2">
        <f>$C49+total_production!F49</f>
        <v>5280067.1880608276</v>
      </c>
      <c r="H49" s="2">
        <f>$C49+total_production!G49</f>
        <v>5280268.290759461</v>
      </c>
      <c r="I49" s="2">
        <f>$C49+total_production!H49</f>
        <v>5280848.9886109633</v>
      </c>
      <c r="J49" s="2">
        <f>$C49+total_production!I49</f>
        <v>5281659.9848374389</v>
      </c>
      <c r="K49" s="2">
        <f>$C49+total_production!J49</f>
        <v>5283245.7715703743</v>
      </c>
      <c r="L49" s="2">
        <f>$C49+total_production!K49</f>
        <v>5284000.4458429413</v>
      </c>
      <c r="M49" s="2">
        <f>$C49+total_production!L49</f>
        <v>5286281.1307911454</v>
      </c>
      <c r="N49" s="2">
        <f>$C49+total_production!M49</f>
        <v>5287219.1866891291</v>
      </c>
      <c r="O49" s="2">
        <f>$C49+total_production!N49</f>
        <v>5288069.7334588738</v>
      </c>
      <c r="P49" s="2">
        <f>$C49+total_production!O49</f>
        <v>5288069.7334588738</v>
      </c>
      <c r="Q49" s="2">
        <f>$C49+total_production!P49</f>
        <v>5288069.7334588738</v>
      </c>
      <c r="R49" s="2">
        <f>$C49+total_production!Q49</f>
        <v>5288811.2105262512</v>
      </c>
      <c r="S49" s="2">
        <f>$C49+total_production!R49</f>
        <v>5288811.2105262512</v>
      </c>
      <c r="T49" s="2">
        <f>$C49+total_production!S49</f>
        <v>5289646.1106822761</v>
      </c>
      <c r="U49" s="2">
        <f>$C49+total_production!T49</f>
        <v>5289646.1106822761</v>
      </c>
      <c r="V49" s="2">
        <f>$C49+total_production!U49</f>
        <v>5290390.1821277179</v>
      </c>
      <c r="W49" s="2">
        <f>$C49+total_production!V49</f>
        <v>5290390.1821277179</v>
      </c>
      <c r="X49" s="2">
        <f>$C49+total_production!W49</f>
        <v>5291039.5774519434</v>
      </c>
      <c r="Y49" s="2">
        <f>$C49+total_production!X49</f>
        <v>5291039.5774519434</v>
      </c>
      <c r="Z49" s="2">
        <f>$C49+total_production!Y49</f>
        <v>5291039.5774519434</v>
      </c>
      <c r="AA49" s="2">
        <f>$C49+total_production!Z49</f>
        <v>5291039.5774519434</v>
      </c>
      <c r="AB49" s="2">
        <f>$C49+total_production!AA49</f>
        <v>5291039.5774519434</v>
      </c>
    </row>
    <row r="50" spans="1:28" x14ac:dyDescent="0.2">
      <c r="A50" t="s">
        <v>336</v>
      </c>
      <c r="B50" t="s">
        <v>337</v>
      </c>
      <c r="C50" s="1">
        <v>2594804</v>
      </c>
      <c r="D50" s="2">
        <f>$C50+total_production!C50</f>
        <v>3630848.5722191925</v>
      </c>
      <c r="E50" s="2">
        <f>$C50+total_production!D50</f>
        <v>3724995.1798375538</v>
      </c>
      <c r="F50" s="2">
        <f>$C50+total_production!E50</f>
        <v>3770250.4767633928</v>
      </c>
      <c r="G50" s="2">
        <f>$C50+total_production!F50</f>
        <v>3840124.4959391477</v>
      </c>
      <c r="H50" s="2">
        <f>$C50+total_production!G50</f>
        <v>4118031.1860039807</v>
      </c>
      <c r="I50" s="2">
        <f>$C50+total_production!H50</f>
        <v>4179089.6154221985</v>
      </c>
      <c r="J50" s="2">
        <f>$C50+total_production!I50</f>
        <v>4264363.1457524635</v>
      </c>
      <c r="K50" s="2">
        <f>$C50+total_production!J50</f>
        <v>4574338.0224908674</v>
      </c>
      <c r="L50" s="2">
        <f>$C50+total_production!K50</f>
        <v>4653689.4884660523</v>
      </c>
      <c r="M50" s="2">
        <f>$C50+total_production!L50</f>
        <v>5074813.9250364192</v>
      </c>
      <c r="N50" s="2">
        <f>$C50+total_production!M50</f>
        <v>5292460.9661676381</v>
      </c>
      <c r="O50" s="2">
        <f>$C50+total_production!N50</f>
        <v>5485935.4934797678</v>
      </c>
      <c r="P50" s="2">
        <f>$C50+total_production!O50</f>
        <v>5485935.4934797678</v>
      </c>
      <c r="Q50" s="2">
        <f>$C50+total_production!P50</f>
        <v>5485935.4934797678</v>
      </c>
      <c r="R50" s="2">
        <f>$C50+total_production!Q50</f>
        <v>5655238.8476717416</v>
      </c>
      <c r="S50" s="2">
        <f>$C50+total_production!R50</f>
        <v>5655238.8476717416</v>
      </c>
      <c r="T50" s="2">
        <f>$C50+total_production!S50</f>
        <v>5843842.0670387568</v>
      </c>
      <c r="U50" s="2">
        <f>$C50+total_production!T50</f>
        <v>5843842.0670387568</v>
      </c>
      <c r="V50" s="2">
        <f>$C50+total_production!U50</f>
        <v>6017954.9658392174</v>
      </c>
      <c r="W50" s="2">
        <f>$C50+total_production!V50</f>
        <v>6017954.9658392174</v>
      </c>
      <c r="X50" s="2">
        <f>$C50+total_production!W50</f>
        <v>6167872.6711163651</v>
      </c>
      <c r="Y50" s="2">
        <f>$C50+total_production!X50</f>
        <v>6167872.6711163651</v>
      </c>
      <c r="Z50" s="2">
        <f>$C50+total_production!Y50</f>
        <v>6167872.6711163651</v>
      </c>
      <c r="AA50" s="2">
        <f>$C50+total_production!Z50</f>
        <v>6167872.6711163651</v>
      </c>
      <c r="AB50" s="2">
        <f>$C50+total_production!AA50</f>
        <v>6167872.6711163651</v>
      </c>
    </row>
    <row r="51" spans="1:28" x14ac:dyDescent="0.2">
      <c r="A51" t="s">
        <v>575</v>
      </c>
      <c r="B51" t="s">
        <v>576</v>
      </c>
      <c r="C51" s="1">
        <v>4503221</v>
      </c>
      <c r="D51" s="2">
        <f>$C51+total_production!C51</f>
        <v>4510495.5811584825</v>
      </c>
      <c r="E51" s="2">
        <f>$C51+total_production!D51</f>
        <v>4510129.9676907873</v>
      </c>
      <c r="F51" s="2">
        <f>$C51+total_production!E51</f>
        <v>4510508.7484149355</v>
      </c>
      <c r="G51" s="2">
        <f>$C51+total_production!F51</f>
        <v>4510632.1413291181</v>
      </c>
      <c r="H51" s="2">
        <f>$C51+total_production!G51</f>
        <v>4509046.829184656</v>
      </c>
      <c r="I51" s="2">
        <f>$C51+total_production!H51</f>
        <v>4509557.8799937647</v>
      </c>
      <c r="J51" s="2">
        <f>$C51+total_production!I51</f>
        <v>4510271.6079275822</v>
      </c>
      <c r="K51" s="2">
        <f>$C51+total_production!J51</f>
        <v>4510684.1015419662</v>
      </c>
      <c r="L51" s="2">
        <f>$C51+total_production!K51</f>
        <v>4511348.2625968279</v>
      </c>
      <c r="M51" s="2">
        <f>$C51+total_production!L51</f>
        <v>4512110.9235506272</v>
      </c>
      <c r="N51" s="2">
        <f>$C51+total_production!M51</f>
        <v>4512119.6159529705</v>
      </c>
      <c r="O51" s="2">
        <f>$C51+total_production!N51</f>
        <v>4512154.0505519612</v>
      </c>
      <c r="P51" s="2">
        <f>$C51+total_production!O51</f>
        <v>4512154.0505519612</v>
      </c>
      <c r="Q51" s="2">
        <f>$C51+total_production!P51</f>
        <v>4512154.0505519612</v>
      </c>
      <c r="R51" s="2">
        <f>$C51+total_production!Q51</f>
        <v>4512179.6836554678</v>
      </c>
      <c r="S51" s="2">
        <f>$C51+total_production!R51</f>
        <v>4512179.6836554678</v>
      </c>
      <c r="T51" s="2">
        <f>$C51+total_production!S51</f>
        <v>4512222.4908800349</v>
      </c>
      <c r="U51" s="2">
        <f>$C51+total_production!T51</f>
        <v>4512222.4908800349</v>
      </c>
      <c r="V51" s="2">
        <f>$C51+total_production!U51</f>
        <v>4512219.2689518696</v>
      </c>
      <c r="W51" s="2">
        <f>$C51+total_production!V51</f>
        <v>4512219.2689518696</v>
      </c>
      <c r="X51" s="2">
        <f>$C51+total_production!W51</f>
        <v>4512230.4652056675</v>
      </c>
      <c r="Y51" s="2">
        <f>$C51+total_production!X51</f>
        <v>4512230.4652056675</v>
      </c>
      <c r="Z51" s="2">
        <f>$C51+total_production!Y51</f>
        <v>4512230.4652056675</v>
      </c>
      <c r="AA51" s="2">
        <f>$C51+total_production!Z51</f>
        <v>4512230.4652056675</v>
      </c>
      <c r="AB51" s="2">
        <f>$C51+total_production!AA51</f>
        <v>4512230.4652056675</v>
      </c>
    </row>
    <row r="52" spans="1:28" x14ac:dyDescent="0.2">
      <c r="A52" t="s">
        <v>706</v>
      </c>
      <c r="B52" t="s">
        <v>707</v>
      </c>
      <c r="C52" s="1">
        <v>1784844</v>
      </c>
      <c r="D52" s="2">
        <f>$C52+total_production!C52</f>
        <v>1787507.2676370121</v>
      </c>
      <c r="E52" s="2">
        <f>$C52+total_production!D52</f>
        <v>1787291.6543621956</v>
      </c>
      <c r="F52" s="2">
        <f>$C52+total_production!E52</f>
        <v>1787435.1877480887</v>
      </c>
      <c r="G52" s="2">
        <f>$C52+total_production!F52</f>
        <v>1787451.1179045935</v>
      </c>
      <c r="H52" s="2">
        <f>$C52+total_production!G52</f>
        <v>1786589.0802008468</v>
      </c>
      <c r="I52" s="2">
        <f>$C52+total_production!H52</f>
        <v>1786782.73539056</v>
      </c>
      <c r="J52" s="2">
        <f>$C52+total_production!I52</f>
        <v>1787053.192096554</v>
      </c>
      <c r="K52" s="2">
        <f>$C52+total_production!J52</f>
        <v>1787063.730013184</v>
      </c>
      <c r="L52" s="2">
        <f>$C52+total_production!K52</f>
        <v>1787315.4040792198</v>
      </c>
      <c r="M52" s="2">
        <f>$C52+total_production!L52</f>
        <v>1787419.8752085266</v>
      </c>
      <c r="N52" s="2">
        <f>$C52+total_production!M52</f>
        <v>1787302.0485033265</v>
      </c>
      <c r="O52" s="2">
        <f>$C52+total_production!N52</f>
        <v>1787209.2126899695</v>
      </c>
      <c r="P52" s="2">
        <f>$C52+total_production!O52</f>
        <v>1787209.2126899695</v>
      </c>
      <c r="Q52" s="2">
        <f>$C52+total_production!P52</f>
        <v>1787209.2126899695</v>
      </c>
      <c r="R52" s="2">
        <f>$C52+total_production!Q52</f>
        <v>1787125.9694237453</v>
      </c>
      <c r="S52" s="2">
        <f>$C52+total_production!R52</f>
        <v>1787125.9694237453</v>
      </c>
      <c r="T52" s="2">
        <f>$C52+total_production!S52</f>
        <v>1787039.5895261904</v>
      </c>
      <c r="U52" s="2">
        <f>$C52+total_production!T52</f>
        <v>1787039.5895261904</v>
      </c>
      <c r="V52" s="2">
        <f>$C52+total_production!U52</f>
        <v>1786940.794999369</v>
      </c>
      <c r="W52" s="2">
        <f>$C52+total_production!V52</f>
        <v>1786940.794999369</v>
      </c>
      <c r="X52" s="2">
        <f>$C52+total_production!W52</f>
        <v>1786861.9564504451</v>
      </c>
      <c r="Y52" s="2">
        <f>$C52+total_production!X52</f>
        <v>1786861.9564504451</v>
      </c>
      <c r="Z52" s="2">
        <f>$C52+total_production!Y52</f>
        <v>1786861.9564504451</v>
      </c>
      <c r="AA52" s="2">
        <f>$C52+total_production!Z52</f>
        <v>1786861.9564504451</v>
      </c>
      <c r="AB52" s="2">
        <f>$C52+total_production!AA52</f>
        <v>1786861.9564504451</v>
      </c>
    </row>
    <row r="53" spans="1:28" x14ac:dyDescent="0.2">
      <c r="A53" t="s">
        <v>809</v>
      </c>
      <c r="B53" t="s">
        <v>810</v>
      </c>
      <c r="C53" s="1">
        <v>1487592</v>
      </c>
      <c r="D53" s="2">
        <f>$C53+total_production!C53</f>
        <v>1488590.0178315334</v>
      </c>
      <c r="E53" s="2">
        <f>$C53+total_production!D53</f>
        <v>1488451.7111858374</v>
      </c>
      <c r="F53" s="2">
        <f>$C53+total_production!E53</f>
        <v>1488508.9161841208</v>
      </c>
      <c r="G53" s="2">
        <f>$C53+total_production!F53</f>
        <v>1488494.3153902455</v>
      </c>
      <c r="H53" s="2">
        <f>$C53+total_production!G53</f>
        <v>1487973.1744176629</v>
      </c>
      <c r="I53" s="2">
        <f>$C53+total_production!H53</f>
        <v>1488050.3553796127</v>
      </c>
      <c r="J53" s="2">
        <f>$C53+total_production!I53</f>
        <v>1488158.1454613828</v>
      </c>
      <c r="K53" s="2">
        <f>$C53+total_production!J53</f>
        <v>1488063.2836101672</v>
      </c>
      <c r="L53" s="2">
        <f>$C53+total_production!K53</f>
        <v>1488163.5879012281</v>
      </c>
      <c r="M53" s="2">
        <f>$C53+total_production!L53</f>
        <v>1488079.8243824944</v>
      </c>
      <c r="N53" s="2">
        <f>$C53+total_production!M53</f>
        <v>1487950.5544399114</v>
      </c>
      <c r="O53" s="2">
        <f>$C53+total_production!N53</f>
        <v>1487841.5987355208</v>
      </c>
      <c r="P53" s="2">
        <f>$C53+total_production!O53</f>
        <v>1487841.5987355208</v>
      </c>
      <c r="Q53" s="2">
        <f>$C53+total_production!P53</f>
        <v>1487841.5987355208</v>
      </c>
      <c r="R53" s="2">
        <f>$C53+total_production!Q53</f>
        <v>1487745.2514751155</v>
      </c>
      <c r="S53" s="2">
        <f>$C53+total_production!R53</f>
        <v>1487745.2514751155</v>
      </c>
      <c r="T53" s="2">
        <f>$C53+total_production!S53</f>
        <v>1487641.0999625954</v>
      </c>
      <c r="U53" s="2">
        <f>$C53+total_production!T53</f>
        <v>1487641.0999625954</v>
      </c>
      <c r="V53" s="2">
        <f>$C53+total_production!U53</f>
        <v>1487535.4171345914</v>
      </c>
      <c r="W53" s="2">
        <f>$C53+total_production!V53</f>
        <v>1487535.4171345914</v>
      </c>
      <c r="X53" s="2">
        <f>$C53+total_production!W53</f>
        <v>1487447.5363907323</v>
      </c>
      <c r="Y53" s="2">
        <f>$C53+total_production!X53</f>
        <v>1487447.5363907323</v>
      </c>
      <c r="Z53" s="2">
        <f>$C53+total_production!Y53</f>
        <v>1487447.5363907323</v>
      </c>
      <c r="AA53" s="2">
        <f>$C53+total_production!Z53</f>
        <v>1487447.5363907323</v>
      </c>
      <c r="AB53" s="2">
        <f>$C53+total_production!AA53</f>
        <v>1487447.5363907323</v>
      </c>
    </row>
    <row r="54" spans="1:28" x14ac:dyDescent="0.2">
      <c r="A54" t="s">
        <v>636</v>
      </c>
      <c r="B54" t="s">
        <v>145</v>
      </c>
      <c r="C54" s="1">
        <v>3803225</v>
      </c>
      <c r="D54" s="2">
        <f>$C54+total_production!C54</f>
        <v>3807900.8525774986</v>
      </c>
      <c r="E54" s="2">
        <f>$C54+total_production!D54</f>
        <v>3807562.5225579669</v>
      </c>
      <c r="F54" s="2">
        <f>$C54+total_production!E54</f>
        <v>3807812.1311926637</v>
      </c>
      <c r="G54" s="2">
        <f>$C54+total_production!F54</f>
        <v>3807854.4852244407</v>
      </c>
      <c r="H54" s="2">
        <f>$C54+total_production!G54</f>
        <v>3806479.5644809781</v>
      </c>
      <c r="I54" s="2">
        <f>$C54+total_production!H54</f>
        <v>3806816.3363560759</v>
      </c>
      <c r="J54" s="2">
        <f>$C54+total_production!I54</f>
        <v>3807286.6682492993</v>
      </c>
      <c r="K54" s="2">
        <f>$C54+total_production!J54</f>
        <v>3807374.2720536306</v>
      </c>
      <c r="L54" s="2">
        <f>$C54+total_production!K54</f>
        <v>3807811.9404025031</v>
      </c>
      <c r="M54" s="2">
        <f>$C54+total_production!L54</f>
        <v>3808081.3164310334</v>
      </c>
      <c r="N54" s="2">
        <f>$C54+total_production!M54</f>
        <v>3807933.9755324302</v>
      </c>
      <c r="O54" s="2">
        <f>$C54+total_production!N54</f>
        <v>3807822.8534016241</v>
      </c>
      <c r="P54" s="2">
        <f>$C54+total_production!O54</f>
        <v>3807822.8534016241</v>
      </c>
      <c r="Q54" s="2">
        <f>$C54+total_production!P54</f>
        <v>3807822.8534016241</v>
      </c>
      <c r="R54" s="2">
        <f>$C54+total_production!Q54</f>
        <v>3807722.2690144917</v>
      </c>
      <c r="S54" s="2">
        <f>$C54+total_production!R54</f>
        <v>3807722.2690144917</v>
      </c>
      <c r="T54" s="2">
        <f>$C54+total_production!S54</f>
        <v>3807620.8135337513</v>
      </c>
      <c r="U54" s="2">
        <f>$C54+total_production!T54</f>
        <v>3807620.8135337513</v>
      </c>
      <c r="V54" s="2">
        <f>$C54+total_production!U54</f>
        <v>3807495.3793461742</v>
      </c>
      <c r="W54" s="2">
        <f>$C54+total_production!V54</f>
        <v>3807495.3793461742</v>
      </c>
      <c r="X54" s="2">
        <f>$C54+total_production!W54</f>
        <v>3807397.7615837385</v>
      </c>
      <c r="Y54" s="2">
        <f>$C54+total_production!X54</f>
        <v>3807397.7615837385</v>
      </c>
      <c r="Z54" s="2">
        <f>$C54+total_production!Y54</f>
        <v>3807397.7615837385</v>
      </c>
      <c r="AA54" s="2">
        <f>$C54+total_production!Z54</f>
        <v>3807397.7615837385</v>
      </c>
      <c r="AB54" s="2">
        <f>$C54+total_production!AA54</f>
        <v>3807397.7615837385</v>
      </c>
    </row>
    <row r="55" spans="1:28" x14ac:dyDescent="0.2">
      <c r="A55" t="s">
        <v>453</v>
      </c>
      <c r="B55" t="s">
        <v>269</v>
      </c>
      <c r="C55" s="1">
        <v>10551557</v>
      </c>
      <c r="D55" s="2">
        <f>$C55+total_production!C55</f>
        <v>10577711.52473513</v>
      </c>
      <c r="E55" s="2">
        <f>$C55+total_production!D55</f>
        <v>10579230.559210818</v>
      </c>
      <c r="F55" s="2">
        <f>$C55+total_production!E55</f>
        <v>10580423.986723807</v>
      </c>
      <c r="G55" s="2">
        <f>$C55+total_production!F55</f>
        <v>10581881.15221432</v>
      </c>
      <c r="H55" s="2">
        <f>$C55+total_production!G55</f>
        <v>10585942.346680822</v>
      </c>
      <c r="I55" s="2">
        <f>$C55+total_production!H55</f>
        <v>10587552.518627919</v>
      </c>
      <c r="J55" s="2">
        <f>$C55+total_production!I55</f>
        <v>10589801.267042775</v>
      </c>
      <c r="K55" s="2">
        <f>$C55+total_production!J55</f>
        <v>10596152.844765775</v>
      </c>
      <c r="L55" s="2">
        <f>$C55+total_production!K55</f>
        <v>10598245.422411347</v>
      </c>
      <c r="M55" s="2">
        <f>$C55+total_production!L55</f>
        <v>10607043.485974668</v>
      </c>
      <c r="N55" s="2">
        <f>$C55+total_production!M55</f>
        <v>10611268.518179514</v>
      </c>
      <c r="O55" s="2">
        <f>$C55+total_production!N55</f>
        <v>10615046.617120739</v>
      </c>
      <c r="P55" s="2">
        <f>$C55+total_production!O55</f>
        <v>10615046.617120739</v>
      </c>
      <c r="Q55" s="2">
        <f>$C55+total_production!P55</f>
        <v>10615046.617120739</v>
      </c>
      <c r="R55" s="2">
        <f>$C55+total_production!Q55</f>
        <v>10618348.951522185</v>
      </c>
      <c r="S55" s="2">
        <f>$C55+total_production!R55</f>
        <v>10618348.951522185</v>
      </c>
      <c r="T55" s="2">
        <f>$C55+total_production!S55</f>
        <v>10622039.643999506</v>
      </c>
      <c r="U55" s="2">
        <f>$C55+total_production!T55</f>
        <v>10622039.643999506</v>
      </c>
      <c r="V55" s="2">
        <f>$C55+total_production!U55</f>
        <v>10625411.077276224</v>
      </c>
      <c r="W55" s="2">
        <f>$C55+total_production!V55</f>
        <v>10625411.077276224</v>
      </c>
      <c r="X55" s="2">
        <f>$C55+total_production!W55</f>
        <v>10628325.67787662</v>
      </c>
      <c r="Y55" s="2">
        <f>$C55+total_production!X55</f>
        <v>10628325.67787662</v>
      </c>
      <c r="Z55" s="2">
        <f>$C55+total_production!Y55</f>
        <v>10628325.67787662</v>
      </c>
      <c r="AA55" s="2">
        <f>$C55+total_production!Z55</f>
        <v>10628325.67787662</v>
      </c>
      <c r="AB55" s="2">
        <f>$C55+total_production!AA55</f>
        <v>10628325.67787662</v>
      </c>
    </row>
    <row r="56" spans="1:28" x14ac:dyDescent="0.2">
      <c r="A56" t="s">
        <v>864</v>
      </c>
      <c r="B56" t="s">
        <v>865</v>
      </c>
      <c r="C56" s="1">
        <v>516493</v>
      </c>
      <c r="D56" s="2">
        <f>$C56+total_production!C56</f>
        <v>517021.91773846664</v>
      </c>
      <c r="E56" s="2">
        <f>$C56+total_production!D56</f>
        <v>517007.14671769162</v>
      </c>
      <c r="F56" s="2">
        <f>$C56+total_production!E56</f>
        <v>517033.9849235416</v>
      </c>
      <c r="G56" s="2">
        <f>$C56+total_production!F56</f>
        <v>517047.18152228068</v>
      </c>
      <c r="H56" s="2">
        <f>$C56+total_production!G56</f>
        <v>516972.60654685664</v>
      </c>
      <c r="I56" s="2">
        <f>$C56+total_production!H56</f>
        <v>517008.81664399261</v>
      </c>
      <c r="J56" s="2">
        <f>$C56+total_production!I56</f>
        <v>517059.38726701395</v>
      </c>
      <c r="K56" s="2">
        <f>$C56+total_production!J56</f>
        <v>517109.67365101835</v>
      </c>
      <c r="L56" s="2">
        <f>$C56+total_production!K56</f>
        <v>517156.73225239775</v>
      </c>
      <c r="M56" s="2">
        <f>$C56+total_production!L56</f>
        <v>517237.42877199774</v>
      </c>
      <c r="N56" s="2">
        <f>$C56+total_production!M56</f>
        <v>517255.54296791449</v>
      </c>
      <c r="O56" s="2">
        <f>$C56+total_production!N56</f>
        <v>517273.27992155525</v>
      </c>
      <c r="P56" s="2">
        <f>$C56+total_production!O56</f>
        <v>517273.27992155525</v>
      </c>
      <c r="Q56" s="2">
        <f>$C56+total_production!P56</f>
        <v>517273.27992155525</v>
      </c>
      <c r="R56" s="2">
        <f>$C56+total_production!Q56</f>
        <v>517288.52557942958</v>
      </c>
      <c r="S56" s="2">
        <f>$C56+total_production!R56</f>
        <v>517288.52557942958</v>
      </c>
      <c r="T56" s="2">
        <f>$C56+total_production!S56</f>
        <v>517306.38143977604</v>
      </c>
      <c r="U56" s="2">
        <f>$C56+total_production!T56</f>
        <v>517306.38143977604</v>
      </c>
      <c r="V56" s="2">
        <f>$C56+total_production!U56</f>
        <v>517320.2496261762</v>
      </c>
      <c r="W56" s="2">
        <f>$C56+total_production!V56</f>
        <v>517320.2496261762</v>
      </c>
      <c r="X56" s="2">
        <f>$C56+total_production!W56</f>
        <v>517333.04567967058</v>
      </c>
      <c r="Y56" s="2">
        <f>$C56+total_production!X56</f>
        <v>517333.04567967058</v>
      </c>
      <c r="Z56" s="2">
        <f>$C56+total_production!Y56</f>
        <v>517333.04567967058</v>
      </c>
      <c r="AA56" s="2">
        <f>$C56+total_production!Z56</f>
        <v>517333.04567967058</v>
      </c>
      <c r="AB56" s="2">
        <f>$C56+total_production!AA56</f>
        <v>517333.04567967058</v>
      </c>
    </row>
    <row r="57" spans="1:28" x14ac:dyDescent="0.2">
      <c r="A57" t="s">
        <v>653</v>
      </c>
      <c r="B57" t="s">
        <v>654</v>
      </c>
      <c r="C57" s="1">
        <v>2635415</v>
      </c>
      <c r="D57" s="2">
        <f>$C57+total_production!C57</f>
        <v>2639149.4627613123</v>
      </c>
      <c r="E57" s="2">
        <f>$C57+total_production!D57</f>
        <v>2639037.8006020621</v>
      </c>
      <c r="F57" s="2">
        <f>$C57+total_production!E57</f>
        <v>2639227.7317976728</v>
      </c>
      <c r="G57" s="2">
        <f>$C57+total_production!F57</f>
        <v>2639318.271084486</v>
      </c>
      <c r="H57" s="2">
        <f>$C57+total_production!G57</f>
        <v>2638766.3399607143</v>
      </c>
      <c r="I57" s="2">
        <f>$C57+total_production!H57</f>
        <v>2639022.595057671</v>
      </c>
      <c r="J57" s="2">
        <f>$C57+total_production!I57</f>
        <v>2639380.4781049555</v>
      </c>
      <c r="K57" s="2">
        <f>$C57+total_production!J57</f>
        <v>2639722.8653669669</v>
      </c>
      <c r="L57" s="2">
        <f>$C57+total_production!K57</f>
        <v>2640055.8942018203</v>
      </c>
      <c r="M57" s="2">
        <f>$C57+total_production!L57</f>
        <v>2640609.9056324135</v>
      </c>
      <c r="N57" s="2">
        <f>$C57+total_production!M57</f>
        <v>2640726.8938594055</v>
      </c>
      <c r="O57" s="2">
        <f>$C57+total_production!N57</f>
        <v>2640842.6217873427</v>
      </c>
      <c r="P57" s="2">
        <f>$C57+total_production!O57</f>
        <v>2640842.6217873427</v>
      </c>
      <c r="Q57" s="2">
        <f>$C57+total_production!P57</f>
        <v>2640842.6217873427</v>
      </c>
      <c r="R57" s="2">
        <f>$C57+total_production!Q57</f>
        <v>2640941.91493337</v>
      </c>
      <c r="S57" s="2">
        <f>$C57+total_production!R57</f>
        <v>2640941.91493337</v>
      </c>
      <c r="T57" s="2">
        <f>$C57+total_production!S57</f>
        <v>2641058.7880616738</v>
      </c>
      <c r="U57" s="2">
        <f>$C57+total_production!T57</f>
        <v>2641058.7880616738</v>
      </c>
      <c r="V57" s="2">
        <f>$C57+total_production!U57</f>
        <v>2641147.9058906897</v>
      </c>
      <c r="W57" s="2">
        <f>$C57+total_production!V57</f>
        <v>2641147.9058906897</v>
      </c>
      <c r="X57" s="2">
        <f>$C57+total_production!W57</f>
        <v>2641230.7769436757</v>
      </c>
      <c r="Y57" s="2">
        <f>$C57+total_production!X57</f>
        <v>2641230.7769436757</v>
      </c>
      <c r="Z57" s="2">
        <f>$C57+total_production!Y57</f>
        <v>2641230.7769436757</v>
      </c>
      <c r="AA57" s="2">
        <f>$C57+total_production!Z57</f>
        <v>2641230.7769436757</v>
      </c>
      <c r="AB57" s="2">
        <f>$C57+total_production!AA57</f>
        <v>2641230.7769436757</v>
      </c>
    </row>
    <row r="58" spans="1:28" x14ac:dyDescent="0.2">
      <c r="A58" t="s">
        <v>667</v>
      </c>
      <c r="B58" t="s">
        <v>668</v>
      </c>
      <c r="C58" s="1">
        <v>2470638</v>
      </c>
      <c r="D58" s="2">
        <f>$C58+total_production!C58</f>
        <v>2473890.0643440895</v>
      </c>
      <c r="E58" s="2">
        <f>$C58+total_production!D58</f>
        <v>2473712.1707211523</v>
      </c>
      <c r="F58" s="2">
        <f>$C58+total_production!E58</f>
        <v>2473882.3614416607</v>
      </c>
      <c r="G58" s="2">
        <f>$C58+total_production!F58</f>
        <v>2473932.355713347</v>
      </c>
      <c r="H58" s="2">
        <f>$C58+total_production!G58</f>
        <v>2473173.87982802</v>
      </c>
      <c r="I58" s="2">
        <f>$C58+total_production!H58</f>
        <v>2473403.501083469</v>
      </c>
      <c r="J58" s="2">
        <f>$C58+total_production!I58</f>
        <v>2473724.1876009167</v>
      </c>
      <c r="K58" s="2">
        <f>$C58+total_production!J58</f>
        <v>2473883.7665050388</v>
      </c>
      <c r="L58" s="2">
        <f>$C58+total_production!K58</f>
        <v>2474182.1820295211</v>
      </c>
      <c r="M58" s="2">
        <f>$C58+total_production!L58</f>
        <v>2474492.2463848079</v>
      </c>
      <c r="N58" s="2">
        <f>$C58+total_production!M58</f>
        <v>2474474.7485032678</v>
      </c>
      <c r="O58" s="2">
        <f>$C58+total_production!N58</f>
        <v>2474471.509333313</v>
      </c>
      <c r="P58" s="2">
        <f>$C58+total_production!O58</f>
        <v>2474471.509333313</v>
      </c>
      <c r="Q58" s="2">
        <f>$C58+total_production!P58</f>
        <v>2474471.509333313</v>
      </c>
      <c r="R58" s="2">
        <f>$C58+total_production!Q58</f>
        <v>2474466.6000361759</v>
      </c>
      <c r="S58" s="2">
        <f>$C58+total_production!R58</f>
        <v>2474466.6000361759</v>
      </c>
      <c r="T58" s="2">
        <f>$C58+total_production!S58</f>
        <v>2474467.7029745257</v>
      </c>
      <c r="U58" s="2">
        <f>$C58+total_production!T58</f>
        <v>2474467.7029745257</v>
      </c>
      <c r="V58" s="2">
        <f>$C58+total_production!U58</f>
        <v>2474449.0128729767</v>
      </c>
      <c r="W58" s="2">
        <f>$C58+total_production!V58</f>
        <v>2474449.0128729767</v>
      </c>
      <c r="X58" s="2">
        <f>$C58+total_production!W58</f>
        <v>2474439.3620209461</v>
      </c>
      <c r="Y58" s="2">
        <f>$C58+total_production!X58</f>
        <v>2474439.3620209461</v>
      </c>
      <c r="Z58" s="2">
        <f>$C58+total_production!Y58</f>
        <v>2474439.3620209461</v>
      </c>
      <c r="AA58" s="2">
        <f>$C58+total_production!Z58</f>
        <v>2474439.3620209461</v>
      </c>
      <c r="AB58" s="2">
        <f>$C58+total_production!AA58</f>
        <v>2474439.3620209461</v>
      </c>
    </row>
    <row r="59" spans="1:28" x14ac:dyDescent="0.2">
      <c r="A59" t="s">
        <v>799</v>
      </c>
      <c r="B59" t="s">
        <v>800</v>
      </c>
      <c r="C59" s="1">
        <v>740197</v>
      </c>
      <c r="D59" s="2">
        <f>$C59+total_production!C59</f>
        <v>741416.47558710596</v>
      </c>
      <c r="E59" s="2">
        <f>$C59+total_production!D59</f>
        <v>741403.5327788525</v>
      </c>
      <c r="F59" s="2">
        <f>$C59+total_production!E59</f>
        <v>741464.15619551262</v>
      </c>
      <c r="G59" s="2">
        <f>$C59+total_production!F59</f>
        <v>741502.13437220734</v>
      </c>
      <c r="H59" s="2">
        <f>$C59+total_production!G59</f>
        <v>741402.92477029923</v>
      </c>
      <c r="I59" s="2">
        <f>$C59+total_production!H59</f>
        <v>741484.7178610242</v>
      </c>
      <c r="J59" s="2">
        <f>$C59+total_production!I59</f>
        <v>741598.94919106644</v>
      </c>
      <c r="K59" s="2">
        <f>$C59+total_production!J59</f>
        <v>741751.16627881024</v>
      </c>
      <c r="L59" s="2">
        <f>$C59+total_production!K59</f>
        <v>741857.46448722319</v>
      </c>
      <c r="M59" s="2">
        <f>$C59+total_production!L59</f>
        <v>742088.64382480318</v>
      </c>
      <c r="N59" s="2">
        <f>$C59+total_production!M59</f>
        <v>742161.65684762958</v>
      </c>
      <c r="O59" s="2">
        <f>$C59+total_production!N59</f>
        <v>742229.78027012618</v>
      </c>
      <c r="P59" s="2">
        <f>$C59+total_production!O59</f>
        <v>742229.78027012618</v>
      </c>
      <c r="Q59" s="2">
        <f>$C59+total_production!P59</f>
        <v>742229.78027012618</v>
      </c>
      <c r="R59" s="2">
        <f>$C59+total_production!Q59</f>
        <v>742288.85050397075</v>
      </c>
      <c r="S59" s="2">
        <f>$C59+total_production!R59</f>
        <v>742288.85050397075</v>
      </c>
      <c r="T59" s="2">
        <f>$C59+total_production!S59</f>
        <v>742356.37249274086</v>
      </c>
      <c r="U59" s="2">
        <f>$C59+total_production!T59</f>
        <v>742356.37249274086</v>
      </c>
      <c r="V59" s="2">
        <f>$C59+total_production!U59</f>
        <v>742413.55470894068</v>
      </c>
      <c r="W59" s="2">
        <f>$C59+total_production!V59</f>
        <v>742413.55470894068</v>
      </c>
      <c r="X59" s="2">
        <f>$C59+total_production!W59</f>
        <v>742464.47478476679</v>
      </c>
      <c r="Y59" s="2">
        <f>$C59+total_production!X59</f>
        <v>742464.47478476679</v>
      </c>
      <c r="Z59" s="2">
        <f>$C59+total_production!Y59</f>
        <v>742464.47478476679</v>
      </c>
      <c r="AA59" s="2">
        <f>$C59+total_production!Z59</f>
        <v>742464.47478476679</v>
      </c>
      <c r="AB59" s="2">
        <f>$C59+total_production!AA59</f>
        <v>742464.47478476679</v>
      </c>
    </row>
    <row r="60" spans="1:28" x14ac:dyDescent="0.2">
      <c r="A60" t="s">
        <v>583</v>
      </c>
      <c r="B60" t="s">
        <v>243</v>
      </c>
      <c r="C60" s="1">
        <v>3840025</v>
      </c>
      <c r="D60" s="2">
        <f>$C60+total_production!C60</f>
        <v>3847121.0359317763</v>
      </c>
      <c r="E60" s="2">
        <f>$C60+total_production!D60</f>
        <v>3846814.274607067</v>
      </c>
      <c r="F60" s="2">
        <f>$C60+total_production!E60</f>
        <v>3847180.7940526106</v>
      </c>
      <c r="G60" s="2">
        <f>$C60+total_production!F60</f>
        <v>3847318.999529745</v>
      </c>
      <c r="H60" s="2">
        <f>$C60+total_production!G60</f>
        <v>3845944.4178899848</v>
      </c>
      <c r="I60" s="2">
        <f>$C60+total_production!H60</f>
        <v>3846438.9257866577</v>
      </c>
      <c r="J60" s="2">
        <f>$C60+total_production!I60</f>
        <v>3847129.5500710895</v>
      </c>
      <c r="K60" s="2">
        <f>$C60+total_production!J60</f>
        <v>3847617.6200672933</v>
      </c>
      <c r="L60" s="2">
        <f>$C60+total_production!K60</f>
        <v>3848260.2819718197</v>
      </c>
      <c r="M60" s="2">
        <f>$C60+total_production!L60</f>
        <v>3849110.8287469829</v>
      </c>
      <c r="N60" s="2">
        <f>$C60+total_production!M60</f>
        <v>3849193.1307704872</v>
      </c>
      <c r="O60" s="2">
        <f>$C60+total_production!N60</f>
        <v>3849291.046646494</v>
      </c>
      <c r="P60" s="2">
        <f>$C60+total_production!O60</f>
        <v>3849291.046646494</v>
      </c>
      <c r="Q60" s="2">
        <f>$C60+total_production!P60</f>
        <v>3849291.046646494</v>
      </c>
      <c r="R60" s="2">
        <f>$C60+total_production!Q60</f>
        <v>3849372.5592151294</v>
      </c>
      <c r="S60" s="2">
        <f>$C60+total_production!R60</f>
        <v>3849372.5592151294</v>
      </c>
      <c r="T60" s="2">
        <f>$C60+total_production!S60</f>
        <v>3849476.5737177329</v>
      </c>
      <c r="U60" s="2">
        <f>$C60+total_production!T60</f>
        <v>3849476.5737177329</v>
      </c>
      <c r="V60" s="2">
        <f>$C60+total_production!U60</f>
        <v>3849532.9820004613</v>
      </c>
      <c r="W60" s="2">
        <f>$C60+total_production!V60</f>
        <v>3849532.9820004613</v>
      </c>
      <c r="X60" s="2">
        <f>$C60+total_production!W60</f>
        <v>3849594.5004750248</v>
      </c>
      <c r="Y60" s="2">
        <f>$C60+total_production!X60</f>
        <v>3849594.5004750248</v>
      </c>
      <c r="Z60" s="2">
        <f>$C60+total_production!Y60</f>
        <v>3849594.5004750248</v>
      </c>
      <c r="AA60" s="2">
        <f>$C60+total_production!Z60</f>
        <v>3849594.5004750248</v>
      </c>
      <c r="AB60" s="2">
        <f>$C60+total_production!AA60</f>
        <v>3849594.5004750248</v>
      </c>
    </row>
    <row r="61" spans="1:28" x14ac:dyDescent="0.2">
      <c r="A61" t="s">
        <v>1004</v>
      </c>
      <c r="B61" t="s">
        <v>313</v>
      </c>
      <c r="C61" s="1">
        <v>204508</v>
      </c>
      <c r="D61" s="2">
        <f>$C61+total_production!C61</f>
        <v>204508</v>
      </c>
      <c r="E61" s="2">
        <f>$C61+total_production!D61</f>
        <v>204508</v>
      </c>
      <c r="F61" s="2">
        <f>$C61+total_production!E61</f>
        <v>204508</v>
      </c>
      <c r="G61" s="2">
        <f>$C61+total_production!F61</f>
        <v>204508</v>
      </c>
      <c r="H61" s="2">
        <f>$C61+total_production!G61</f>
        <v>204508</v>
      </c>
      <c r="I61" s="2">
        <f>$C61+total_production!H61</f>
        <v>204508</v>
      </c>
      <c r="J61" s="2">
        <f>$C61+total_production!I61</f>
        <v>204508</v>
      </c>
      <c r="K61" s="2">
        <f>$C61+total_production!J61</f>
        <v>204508</v>
      </c>
      <c r="L61" s="2">
        <f>$C61+total_production!K61</f>
        <v>204508</v>
      </c>
      <c r="M61" s="2">
        <f>$C61+total_production!L61</f>
        <v>204508</v>
      </c>
      <c r="N61" s="2">
        <f>$C61+total_production!M61</f>
        <v>204508</v>
      </c>
      <c r="O61" s="2">
        <f>$C61+total_production!N61</f>
        <v>204508</v>
      </c>
      <c r="P61" s="2">
        <f>$C61+total_production!O61</f>
        <v>204508</v>
      </c>
      <c r="Q61" s="2">
        <f>$C61+total_production!P61</f>
        <v>204508</v>
      </c>
      <c r="R61" s="2">
        <f>$C61+total_production!Q61</f>
        <v>204508</v>
      </c>
      <c r="S61" s="2">
        <f>$C61+total_production!R61</f>
        <v>204508</v>
      </c>
      <c r="T61" s="2">
        <f>$C61+total_production!S61</f>
        <v>204508</v>
      </c>
      <c r="U61" s="2">
        <f>$C61+total_production!T61</f>
        <v>204508</v>
      </c>
      <c r="V61" s="2">
        <f>$C61+total_production!U61</f>
        <v>204508</v>
      </c>
      <c r="W61" s="2">
        <f>$C61+total_production!V61</f>
        <v>204508</v>
      </c>
      <c r="X61" s="2">
        <f>$C61+total_production!W61</f>
        <v>204508</v>
      </c>
      <c r="Y61" s="2">
        <f>$C61+total_production!X61</f>
        <v>204508</v>
      </c>
      <c r="Z61" s="2">
        <f>$C61+total_production!Y61</f>
        <v>204508</v>
      </c>
      <c r="AA61" s="2">
        <f>$C61+total_production!Z61</f>
        <v>204508</v>
      </c>
      <c r="AB61" s="2">
        <f>$C61+total_production!AA61</f>
        <v>204508</v>
      </c>
    </row>
    <row r="62" spans="1:28" x14ac:dyDescent="0.2">
      <c r="A62" t="s">
        <v>837</v>
      </c>
      <c r="B62" t="s">
        <v>838</v>
      </c>
      <c r="C62" s="1">
        <v>1091077</v>
      </c>
      <c r="D62" s="2">
        <f>$C62+total_production!C62</f>
        <v>1091728.967502234</v>
      </c>
      <c r="E62" s="2">
        <f>$C62+total_production!D62</f>
        <v>1091593.3053693753</v>
      </c>
      <c r="F62" s="2">
        <f>$C62+total_production!E62</f>
        <v>1091633.3683896554</v>
      </c>
      <c r="G62" s="2">
        <f>$C62+total_production!F62</f>
        <v>1091607.6227365565</v>
      </c>
      <c r="H62" s="2">
        <f>$C62+total_production!G62</f>
        <v>1091111.0923015294</v>
      </c>
      <c r="I62" s="2">
        <f>$C62+total_production!H62</f>
        <v>1091165.1453132699</v>
      </c>
      <c r="J62" s="2">
        <f>$C62+total_production!I62</f>
        <v>1091240.6351543947</v>
      </c>
      <c r="K62" s="2">
        <f>$C62+total_production!J62</f>
        <v>1091100.811947013</v>
      </c>
      <c r="L62" s="2">
        <f>$C62+total_production!K62</f>
        <v>1091171.059180079</v>
      </c>
      <c r="M62" s="2">
        <f>$C62+total_production!L62</f>
        <v>1091019.4962642854</v>
      </c>
      <c r="N62" s="2">
        <f>$C62+total_production!M62</f>
        <v>1090867.985545875</v>
      </c>
      <c r="O62" s="2">
        <f>$C62+total_production!N62</f>
        <v>1090738.3723608421</v>
      </c>
      <c r="P62" s="2">
        <f>$C62+total_production!O62</f>
        <v>1090738.3723608421</v>
      </c>
      <c r="Q62" s="2">
        <f>$C62+total_production!P62</f>
        <v>1090738.3723608421</v>
      </c>
      <c r="R62" s="2">
        <f>$C62+total_production!Q62</f>
        <v>1090624.0978085415</v>
      </c>
      <c r="S62" s="2">
        <f>$C62+total_production!R62</f>
        <v>1090624.0978085415</v>
      </c>
      <c r="T62" s="2">
        <f>$C62+total_production!S62</f>
        <v>1090499.5021270143</v>
      </c>
      <c r="U62" s="2">
        <f>$C62+total_production!T62</f>
        <v>1090499.5021270143</v>
      </c>
      <c r="V62" s="2">
        <f>$C62+total_production!U62</f>
        <v>1090376.3650465538</v>
      </c>
      <c r="W62" s="2">
        <f>$C62+total_production!V62</f>
        <v>1090376.3650465538</v>
      </c>
      <c r="X62" s="2">
        <f>$C62+total_production!W62</f>
        <v>1090272.9916486323</v>
      </c>
      <c r="Y62" s="2">
        <f>$C62+total_production!X62</f>
        <v>1090272.9916486323</v>
      </c>
      <c r="Z62" s="2">
        <f>$C62+total_production!Y62</f>
        <v>1090272.9916486323</v>
      </c>
      <c r="AA62" s="2">
        <f>$C62+total_production!Z62</f>
        <v>1090272.9916486323</v>
      </c>
      <c r="AB62" s="2">
        <f>$C62+total_production!AA62</f>
        <v>1090272.9916486323</v>
      </c>
    </row>
    <row r="63" spans="1:28" x14ac:dyDescent="0.2">
      <c r="A63" t="s">
        <v>841</v>
      </c>
      <c r="B63" t="s">
        <v>842</v>
      </c>
      <c r="C63" s="1">
        <v>526655</v>
      </c>
      <c r="D63" s="2">
        <f>$C63+total_production!C63</f>
        <v>527255.22389247699</v>
      </c>
      <c r="E63" s="2">
        <f>$C63+total_production!D63</f>
        <v>527089.86375359213</v>
      </c>
      <c r="F63" s="2">
        <f>$C63+total_production!E63</f>
        <v>527129.15223554347</v>
      </c>
      <c r="G63" s="2">
        <f>$C63+total_production!F63</f>
        <v>527090.9760170622</v>
      </c>
      <c r="H63" s="2">
        <f>$C63+total_production!G63</f>
        <v>526494.46016785444</v>
      </c>
      <c r="I63" s="2">
        <f>$C63+total_production!H63</f>
        <v>526547.46817277616</v>
      </c>
      <c r="J63" s="2">
        <f>$C63+total_production!I63</f>
        <v>526621.498568882</v>
      </c>
      <c r="K63" s="2">
        <f>$C63+total_production!J63</f>
        <v>526423.24650452461</v>
      </c>
      <c r="L63" s="2">
        <f>$C63+total_production!K63</f>
        <v>526492.13564790797</v>
      </c>
      <c r="M63" s="2">
        <f>$C63+total_production!L63</f>
        <v>526266.11700584251</v>
      </c>
      <c r="N63" s="2">
        <f>$C63+total_production!M63</f>
        <v>526066.74086784408</v>
      </c>
      <c r="O63" s="2">
        <f>$C63+total_production!N63</f>
        <v>525895.22858154448</v>
      </c>
      <c r="P63" s="2">
        <f>$C63+total_production!O63</f>
        <v>525895.22858154448</v>
      </c>
      <c r="Q63" s="2">
        <f>$C63+total_production!P63</f>
        <v>525895.22858154448</v>
      </c>
      <c r="R63" s="2">
        <f>$C63+total_production!Q63</f>
        <v>525744.17992059584</v>
      </c>
      <c r="S63" s="2">
        <f>$C63+total_production!R63</f>
        <v>525744.17992059584</v>
      </c>
      <c r="T63" s="2">
        <f>$C63+total_production!S63</f>
        <v>525578.96503026015</v>
      </c>
      <c r="U63" s="2">
        <f>$C63+total_production!T63</f>
        <v>525578.96503026015</v>
      </c>
      <c r="V63" s="2">
        <f>$C63+total_production!U63</f>
        <v>525417.28891013179</v>
      </c>
      <c r="W63" s="2">
        <f>$C63+total_production!V63</f>
        <v>525417.28891013179</v>
      </c>
      <c r="X63" s="2">
        <f>$C63+total_production!W63</f>
        <v>525281.0720967782</v>
      </c>
      <c r="Y63" s="2">
        <f>$C63+total_production!X63</f>
        <v>525281.0720967782</v>
      </c>
      <c r="Z63" s="2">
        <f>$C63+total_production!Y63</f>
        <v>525281.0720967782</v>
      </c>
      <c r="AA63" s="2">
        <f>$C63+total_production!Z63</f>
        <v>525281.0720967782</v>
      </c>
      <c r="AB63" s="2">
        <f>$C63+total_production!AA63</f>
        <v>525281.0720967782</v>
      </c>
    </row>
    <row r="64" spans="1:28" x14ac:dyDescent="0.2">
      <c r="A64" t="s">
        <v>710</v>
      </c>
      <c r="B64" t="s">
        <v>711</v>
      </c>
      <c r="C64" s="1">
        <v>2621354</v>
      </c>
      <c r="D64" s="2">
        <f>$C64+total_production!C64</f>
        <v>2623240.0940500307</v>
      </c>
      <c r="E64" s="2">
        <f>$C64+total_production!D64</f>
        <v>2622425.8846356366</v>
      </c>
      <c r="F64" s="2">
        <f>$C64+total_production!E64</f>
        <v>2622566.8511324404</v>
      </c>
      <c r="G64" s="2">
        <f>$C64+total_production!F64</f>
        <v>2622341.5155468187</v>
      </c>
      <c r="H64" s="2">
        <f>$C64+total_production!G64</f>
        <v>2619452.2562876209</v>
      </c>
      <c r="I64" s="2">
        <f>$C64+total_production!H64</f>
        <v>2619642.4482315504</v>
      </c>
      <c r="J64" s="2">
        <f>$C64+total_production!I64</f>
        <v>2619908.0682066102</v>
      </c>
      <c r="K64" s="2">
        <f>$C64+total_production!J64</f>
        <v>2618778.9291926404</v>
      </c>
      <c r="L64" s="2">
        <f>$C64+total_production!K64</f>
        <v>2619026.1024283636</v>
      </c>
      <c r="M64" s="2">
        <f>$C64+total_production!L64</f>
        <v>2617686.248801481</v>
      </c>
      <c r="N64" s="2">
        <f>$C64+total_production!M64</f>
        <v>2616623.7292458955</v>
      </c>
      <c r="O64" s="2">
        <f>$C64+total_production!N64</f>
        <v>2615704.8556104293</v>
      </c>
      <c r="P64" s="2">
        <f>$C64+total_production!O64</f>
        <v>2615704.8556104293</v>
      </c>
      <c r="Q64" s="2">
        <f>$C64+total_production!P64</f>
        <v>2615704.8556104293</v>
      </c>
      <c r="R64" s="2">
        <f>$C64+total_production!Q64</f>
        <v>2614896.4592121062</v>
      </c>
      <c r="S64" s="2">
        <f>$C64+total_production!R64</f>
        <v>2614896.4592121062</v>
      </c>
      <c r="T64" s="2">
        <f>$C64+total_production!S64</f>
        <v>2614009.5910811201</v>
      </c>
      <c r="U64" s="2">
        <f>$C64+total_production!T64</f>
        <v>2614009.5910811201</v>
      </c>
      <c r="V64" s="2">
        <f>$C64+total_production!U64</f>
        <v>2613149.8298714543</v>
      </c>
      <c r="W64" s="2">
        <f>$C64+total_production!V64</f>
        <v>2613149.8298714543</v>
      </c>
      <c r="X64" s="2">
        <f>$C64+total_production!W64</f>
        <v>2612422.9550696495</v>
      </c>
      <c r="Y64" s="2">
        <f>$C64+total_production!X64</f>
        <v>2612422.9550696495</v>
      </c>
      <c r="Z64" s="2">
        <f>$C64+total_production!Y64</f>
        <v>2612422.9550696495</v>
      </c>
      <c r="AA64" s="2">
        <f>$C64+total_production!Z64</f>
        <v>2612422.9550696495</v>
      </c>
      <c r="AB64" s="2">
        <f>$C64+total_production!AA64</f>
        <v>2612422.9550696495</v>
      </c>
    </row>
    <row r="65" spans="1:28" x14ac:dyDescent="0.2">
      <c r="A65" t="s">
        <v>724</v>
      </c>
      <c r="B65" t="s">
        <v>725</v>
      </c>
      <c r="C65" s="1">
        <v>512066</v>
      </c>
      <c r="D65" s="2">
        <f>$C65+total_production!C65</f>
        <v>514820.72690278903</v>
      </c>
      <c r="E65" s="2">
        <f>$C65+total_production!D65</f>
        <v>514949.74856000976</v>
      </c>
      <c r="F65" s="2">
        <f>$C65+total_production!E65</f>
        <v>515077.2871665603</v>
      </c>
      <c r="G65" s="2">
        <f>$C65+total_production!F65</f>
        <v>515219.685288593</v>
      </c>
      <c r="H65" s="2">
        <f>$C65+total_production!G65</f>
        <v>515540.7433606828</v>
      </c>
      <c r="I65" s="2">
        <f>$C65+total_production!H65</f>
        <v>515712.81840018422</v>
      </c>
      <c r="J65" s="2">
        <f>$C65+total_production!I65</f>
        <v>515953.13650596951</v>
      </c>
      <c r="K65" s="2">
        <f>$C65+total_production!J65</f>
        <v>516568.90348212252</v>
      </c>
      <c r="L65" s="2">
        <f>$C65+total_production!K65</f>
        <v>516792.53200929367</v>
      </c>
      <c r="M65" s="2">
        <f>$C65+total_production!L65</f>
        <v>517652.99559636315</v>
      </c>
      <c r="N65" s="2">
        <f>$C65+total_production!M65</f>
        <v>518052.1590640723</v>
      </c>
      <c r="O65" s="2">
        <f>$C65+total_production!N65</f>
        <v>518410.14586654853</v>
      </c>
      <c r="P65" s="2">
        <f>$C65+total_production!O65</f>
        <v>518410.14586654853</v>
      </c>
      <c r="Q65" s="2">
        <f>$C65+total_production!P65</f>
        <v>518410.14586654853</v>
      </c>
      <c r="R65" s="2">
        <f>$C65+total_production!Q65</f>
        <v>518722.87700494175</v>
      </c>
      <c r="S65" s="2">
        <f>$C65+total_production!R65</f>
        <v>518722.87700494175</v>
      </c>
      <c r="T65" s="2">
        <f>$C65+total_production!S65</f>
        <v>519072.94209580758</v>
      </c>
      <c r="U65" s="2">
        <f>$C65+total_production!T65</f>
        <v>519072.94209580758</v>
      </c>
      <c r="V65" s="2">
        <f>$C65+total_production!U65</f>
        <v>519391.06189968943</v>
      </c>
      <c r="W65" s="2">
        <f>$C65+total_production!V65</f>
        <v>519391.06189968943</v>
      </c>
      <c r="X65" s="2">
        <f>$C65+total_production!W65</f>
        <v>519666.62558115815</v>
      </c>
      <c r="Y65" s="2">
        <f>$C65+total_production!X65</f>
        <v>519666.62558115815</v>
      </c>
      <c r="Z65" s="2">
        <f>$C65+total_production!Y65</f>
        <v>519666.62558115815</v>
      </c>
      <c r="AA65" s="2">
        <f>$C65+total_production!Z65</f>
        <v>519666.62558115815</v>
      </c>
      <c r="AB65" s="2">
        <f>$C65+total_production!AA65</f>
        <v>519666.62558115815</v>
      </c>
    </row>
    <row r="66" spans="1:28" x14ac:dyDescent="0.2">
      <c r="A66" t="s">
        <v>866</v>
      </c>
      <c r="B66" t="s">
        <v>867</v>
      </c>
      <c r="C66" s="1">
        <v>863803</v>
      </c>
      <c r="D66" s="2">
        <f>$C66+total_production!C66</f>
        <v>864110.28128705989</v>
      </c>
      <c r="E66" s="2">
        <f>$C66+total_production!D66</f>
        <v>863932.06195511983</v>
      </c>
      <c r="F66" s="2">
        <f>$C66+total_production!E66</f>
        <v>863957.73656612821</v>
      </c>
      <c r="G66" s="2">
        <f>$C66+total_production!F66</f>
        <v>863904.7255187924</v>
      </c>
      <c r="H66" s="2">
        <f>$C66+total_production!G66</f>
        <v>863277.03443047812</v>
      </c>
      <c r="I66" s="2">
        <f>$C66+total_production!H66</f>
        <v>863311.67460589588</v>
      </c>
      <c r="J66" s="2">
        <f>$C66+total_production!I66</f>
        <v>863360.05269352894</v>
      </c>
      <c r="K66" s="2">
        <f>$C66+total_production!J66</f>
        <v>863097.79856335872</v>
      </c>
      <c r="L66" s="2">
        <f>$C66+total_production!K66</f>
        <v>863142.81689624453</v>
      </c>
      <c r="M66" s="2">
        <f>$C66+total_production!L66</f>
        <v>862827.13563600136</v>
      </c>
      <c r="N66" s="2">
        <f>$C66+total_production!M66</f>
        <v>862586.58636126097</v>
      </c>
      <c r="O66" s="2">
        <f>$C66+total_production!N66</f>
        <v>862378.11577209726</v>
      </c>
      <c r="P66" s="2">
        <f>$C66+total_production!O66</f>
        <v>862378.11577209726</v>
      </c>
      <c r="Q66" s="2">
        <f>$C66+total_production!P66</f>
        <v>862378.11577209726</v>
      </c>
      <c r="R66" s="2">
        <f>$C66+total_production!Q66</f>
        <v>862194.78639459575</v>
      </c>
      <c r="S66" s="2">
        <f>$C66+total_production!R66</f>
        <v>862194.78639459575</v>
      </c>
      <c r="T66" s="2">
        <f>$C66+total_production!S66</f>
        <v>861993.41989576479</v>
      </c>
      <c r="U66" s="2">
        <f>$C66+total_production!T66</f>
        <v>861993.41989576479</v>
      </c>
      <c r="V66" s="2">
        <f>$C66+total_production!U66</f>
        <v>861798.94255097839</v>
      </c>
      <c r="W66" s="2">
        <f>$C66+total_production!V66</f>
        <v>861798.94255097839</v>
      </c>
      <c r="X66" s="2">
        <f>$C66+total_production!W66</f>
        <v>861634.29540620279</v>
      </c>
      <c r="Y66" s="2">
        <f>$C66+total_production!X66</f>
        <v>861634.29540620279</v>
      </c>
      <c r="Z66" s="2">
        <f>$C66+total_production!Y66</f>
        <v>861634.29540620279</v>
      </c>
      <c r="AA66" s="2">
        <f>$C66+total_production!Z66</f>
        <v>861634.29540620279</v>
      </c>
      <c r="AB66" s="2">
        <f>$C66+total_production!AA66</f>
        <v>861634.29540620279</v>
      </c>
    </row>
    <row r="67" spans="1:28" x14ac:dyDescent="0.2">
      <c r="A67" t="s">
        <v>736</v>
      </c>
      <c r="B67" t="s">
        <v>233</v>
      </c>
      <c r="C67" s="1">
        <v>2326358</v>
      </c>
      <c r="D67" s="2">
        <f>$C67+total_production!C67</f>
        <v>2327986.3535121884</v>
      </c>
      <c r="E67" s="2">
        <f>$C67+total_production!D67</f>
        <v>2327446.465466002</v>
      </c>
      <c r="F67" s="2">
        <f>$C67+total_production!E67</f>
        <v>2327558.4769701059</v>
      </c>
      <c r="G67" s="2">
        <f>$C67+total_production!F67</f>
        <v>2327422.2580822972</v>
      </c>
      <c r="H67" s="2">
        <f>$C67+total_production!G67</f>
        <v>2325489.5214718706</v>
      </c>
      <c r="I67" s="2">
        <f>$C67+total_production!H67</f>
        <v>2325640.6473506507</v>
      </c>
      <c r="J67" s="2">
        <f>$C67+total_production!I67</f>
        <v>2325851.7080892031</v>
      </c>
      <c r="K67" s="2">
        <f>$C67+total_production!J67</f>
        <v>2325157.0310562113</v>
      </c>
      <c r="L67" s="2">
        <f>$C67+total_production!K67</f>
        <v>2325353.4340777476</v>
      </c>
      <c r="M67" s="2">
        <f>$C67+total_production!L67</f>
        <v>2324545.1735405768</v>
      </c>
      <c r="N67" s="2">
        <f>$C67+total_production!M67</f>
        <v>2323869.1835990115</v>
      </c>
      <c r="O67" s="2">
        <f>$C67+total_production!N67</f>
        <v>2323286.1650046064</v>
      </c>
      <c r="P67" s="2">
        <f>$C67+total_production!O67</f>
        <v>2323286.1650046064</v>
      </c>
      <c r="Q67" s="2">
        <f>$C67+total_production!P67</f>
        <v>2323286.1650046064</v>
      </c>
      <c r="R67" s="2">
        <f>$C67+total_production!Q67</f>
        <v>2322772.9694844489</v>
      </c>
      <c r="S67" s="2">
        <f>$C67+total_production!R67</f>
        <v>2322772.9694844489</v>
      </c>
      <c r="T67" s="2">
        <f>$C67+total_production!S67</f>
        <v>2322210.8206435782</v>
      </c>
      <c r="U67" s="2">
        <f>$C67+total_production!T67</f>
        <v>2322210.8206435782</v>
      </c>
      <c r="V67" s="2">
        <f>$C67+total_production!U67</f>
        <v>2321663.2257602727</v>
      </c>
      <c r="W67" s="2">
        <f>$C67+total_production!V67</f>
        <v>2321663.2257602727</v>
      </c>
      <c r="X67" s="2">
        <f>$C67+total_production!W67</f>
        <v>2321201.0862478665</v>
      </c>
      <c r="Y67" s="2">
        <f>$C67+total_production!X67</f>
        <v>2321201.0862478665</v>
      </c>
      <c r="Z67" s="2">
        <f>$C67+total_production!Y67</f>
        <v>2321201.0862478665</v>
      </c>
      <c r="AA67" s="2">
        <f>$C67+total_production!Z67</f>
        <v>2321201.0862478665</v>
      </c>
      <c r="AB67" s="2">
        <f>$C67+total_production!AA67</f>
        <v>2321201.0862478665</v>
      </c>
    </row>
    <row r="68" spans="1:28" x14ac:dyDescent="0.2">
      <c r="A68" t="s">
        <v>537</v>
      </c>
      <c r="B68" t="s">
        <v>137</v>
      </c>
      <c r="C68" s="1">
        <v>6148201</v>
      </c>
      <c r="D68" s="2">
        <f>$C68+total_production!C68</f>
        <v>6152798.3485192647</v>
      </c>
      <c r="E68" s="2">
        <f>$C68+total_production!D68</f>
        <v>6147336.5765378559</v>
      </c>
      <c r="F68" s="2">
        <f>$C68+total_production!E68</f>
        <v>6147886.8496801537</v>
      </c>
      <c r="G68" s="2">
        <f>$C68+total_production!F68</f>
        <v>6146093.857335357</v>
      </c>
      <c r="H68" s="2">
        <f>$C68+total_production!G68</f>
        <v>6127073.3074218286</v>
      </c>
      <c r="I68" s="2">
        <f>$C68+total_production!H68</f>
        <v>6127815.7357363487</v>
      </c>
      <c r="J68" s="2">
        <f>$C68+total_production!I68</f>
        <v>6128852.6029469762</v>
      </c>
      <c r="K68" s="2">
        <f>$C68+total_production!J68</f>
        <v>6120125.9765586434</v>
      </c>
      <c r="L68" s="2">
        <f>$C68+total_production!K68</f>
        <v>6121090.8355584554</v>
      </c>
      <c r="M68" s="2">
        <f>$C68+total_production!L68</f>
        <v>6110393.3440876678</v>
      </c>
      <c r="N68" s="2">
        <f>$C68+total_production!M68</f>
        <v>6102657.1095617842</v>
      </c>
      <c r="O68" s="2">
        <f>$C68+total_production!N68</f>
        <v>6095933.033957703</v>
      </c>
      <c r="P68" s="2">
        <f>$C68+total_production!O68</f>
        <v>6095933.033957703</v>
      </c>
      <c r="Q68" s="2">
        <f>$C68+total_production!P68</f>
        <v>6095933.033957703</v>
      </c>
      <c r="R68" s="2">
        <f>$C68+total_production!Q68</f>
        <v>6090023.2430548025</v>
      </c>
      <c r="S68" s="2">
        <f>$C68+total_production!R68</f>
        <v>6090023.2430548025</v>
      </c>
      <c r="T68" s="2">
        <f>$C68+total_production!S68</f>
        <v>6083521.3802927779</v>
      </c>
      <c r="U68" s="2">
        <f>$C68+total_production!T68</f>
        <v>6083521.3802927779</v>
      </c>
      <c r="V68" s="2">
        <f>$C68+total_production!U68</f>
        <v>6077274.2865448911</v>
      </c>
      <c r="W68" s="2">
        <f>$C68+total_production!V68</f>
        <v>6077274.2865448911</v>
      </c>
      <c r="X68" s="2">
        <f>$C68+total_production!W68</f>
        <v>6071975.3122127829</v>
      </c>
      <c r="Y68" s="2">
        <f>$C68+total_production!X68</f>
        <v>6071975.3122127829</v>
      </c>
      <c r="Z68" s="2">
        <f>$C68+total_production!Y68</f>
        <v>6071975.3122127829</v>
      </c>
      <c r="AA68" s="2">
        <f>$C68+total_production!Z68</f>
        <v>6071975.3122127829</v>
      </c>
      <c r="AB68" s="2">
        <f>$C68+total_production!AA68</f>
        <v>6071975.3122127829</v>
      </c>
    </row>
    <row r="69" spans="1:28" x14ac:dyDescent="0.2">
      <c r="A69" t="s">
        <v>595</v>
      </c>
      <c r="B69" t="s">
        <v>596</v>
      </c>
      <c r="C69" s="1">
        <v>3072003</v>
      </c>
      <c r="D69" s="2">
        <f>$C69+total_production!C69</f>
        <v>3078278.0561211593</v>
      </c>
      <c r="E69" s="2">
        <f>$C69+total_production!D69</f>
        <v>3077871.374531961</v>
      </c>
      <c r="F69" s="2">
        <f>$C69+total_production!E69</f>
        <v>3078203.5376258222</v>
      </c>
      <c r="G69" s="2">
        <f>$C69+total_production!F69</f>
        <v>3078277.3181287032</v>
      </c>
      <c r="H69" s="2">
        <f>$C69+total_production!G69</f>
        <v>3076595.3073258721</v>
      </c>
      <c r="I69" s="2">
        <f>$C69+total_production!H69</f>
        <v>3077043.4616459082</v>
      </c>
      <c r="J69" s="2">
        <f>$C69+total_production!I69</f>
        <v>3077669.3490355187</v>
      </c>
      <c r="K69" s="2">
        <f>$C69+total_production!J69</f>
        <v>3077868.2906034305</v>
      </c>
      <c r="L69" s="2">
        <f>$C69+total_production!K69</f>
        <v>3078450.7114520641</v>
      </c>
      <c r="M69" s="2">
        <f>$C69+total_production!L69</f>
        <v>3078913.4428019384</v>
      </c>
      <c r="N69" s="2">
        <f>$C69+total_production!M69</f>
        <v>3078785.8072585366</v>
      </c>
      <c r="O69" s="2">
        <f>$C69+total_production!N69</f>
        <v>3078697.7604368147</v>
      </c>
      <c r="P69" s="2">
        <f>$C69+total_production!O69</f>
        <v>3078697.7604368147</v>
      </c>
      <c r="Q69" s="2">
        <f>$C69+total_production!P69</f>
        <v>3078697.7604368147</v>
      </c>
      <c r="R69" s="2">
        <f>$C69+total_production!Q69</f>
        <v>3078616.4320574482</v>
      </c>
      <c r="S69" s="2">
        <f>$C69+total_production!R69</f>
        <v>3078616.4320574482</v>
      </c>
      <c r="T69" s="2">
        <f>$C69+total_production!S69</f>
        <v>3078539.393880208</v>
      </c>
      <c r="U69" s="2">
        <f>$C69+total_production!T69</f>
        <v>3078539.393880208</v>
      </c>
      <c r="V69" s="2">
        <f>$C69+total_production!U69</f>
        <v>3078427.6057506609</v>
      </c>
      <c r="W69" s="2">
        <f>$C69+total_production!V69</f>
        <v>3078427.6057506609</v>
      </c>
      <c r="X69" s="2">
        <f>$C69+total_production!W69</f>
        <v>3078344.6453379914</v>
      </c>
      <c r="Y69" s="2">
        <f>$C69+total_production!X69</f>
        <v>3078344.6453379914</v>
      </c>
      <c r="Z69" s="2">
        <f>$C69+total_production!Y69</f>
        <v>3078344.6453379914</v>
      </c>
      <c r="AA69" s="2">
        <f>$C69+total_production!Z69</f>
        <v>3078344.6453379914</v>
      </c>
      <c r="AB69" s="2">
        <f>$C69+total_production!AA69</f>
        <v>3078344.6453379914</v>
      </c>
    </row>
    <row r="70" spans="1:28" x14ac:dyDescent="0.2">
      <c r="A70" t="s">
        <v>731</v>
      </c>
      <c r="B70" t="s">
        <v>732</v>
      </c>
      <c r="C70" s="1">
        <v>1808069</v>
      </c>
      <c r="D70" s="2">
        <f>$C70+total_production!C70</f>
        <v>1809847.6292578438</v>
      </c>
      <c r="E70" s="2">
        <f>$C70+total_production!D70</f>
        <v>1809404.2001424392</v>
      </c>
      <c r="F70" s="2">
        <f>$C70+total_production!E70</f>
        <v>1809517.8543147331</v>
      </c>
      <c r="G70" s="2">
        <f>$C70+total_production!F70</f>
        <v>1809421.3883506178</v>
      </c>
      <c r="H70" s="2">
        <f>$C70+total_production!G70</f>
        <v>1807814.2004635679</v>
      </c>
      <c r="I70" s="2">
        <f>$C70+total_production!H70</f>
        <v>1807967.5426296452</v>
      </c>
      <c r="J70" s="2">
        <f>$C70+total_production!I70</f>
        <v>1808181.6986106373</v>
      </c>
      <c r="K70" s="2">
        <f>$C70+total_production!J70</f>
        <v>1807674.2535381045</v>
      </c>
      <c r="L70" s="2">
        <f>$C70+total_production!K70</f>
        <v>1807873.5368441113</v>
      </c>
      <c r="M70" s="2">
        <f>$C70+total_production!L70</f>
        <v>1807303.3325807271</v>
      </c>
      <c r="N70" s="2">
        <f>$C70+total_production!M70</f>
        <v>1806781.4648416361</v>
      </c>
      <c r="O70" s="2">
        <f>$C70+total_production!N70</f>
        <v>1806333.2971486738</v>
      </c>
      <c r="P70" s="2">
        <f>$C70+total_production!O70</f>
        <v>1806333.2971486738</v>
      </c>
      <c r="Q70" s="2">
        <f>$C70+total_production!P70</f>
        <v>1806333.2971486738</v>
      </c>
      <c r="R70" s="2">
        <f>$C70+total_production!Q70</f>
        <v>1805938.4682254631</v>
      </c>
      <c r="S70" s="2">
        <f>$C70+total_production!R70</f>
        <v>1805938.4682254631</v>
      </c>
      <c r="T70" s="2">
        <f>$C70+total_production!S70</f>
        <v>1805507.0298050551</v>
      </c>
      <c r="U70" s="2">
        <f>$C70+total_production!T70</f>
        <v>1805507.0298050551</v>
      </c>
      <c r="V70" s="2">
        <f>$C70+total_production!U70</f>
        <v>1805083.5500261365</v>
      </c>
      <c r="W70" s="2">
        <f>$C70+total_production!V70</f>
        <v>1805083.5500261365</v>
      </c>
      <c r="X70" s="2">
        <f>$C70+total_production!W70</f>
        <v>1804727.1514964912</v>
      </c>
      <c r="Y70" s="2">
        <f>$C70+total_production!X70</f>
        <v>1804727.1514964912</v>
      </c>
      <c r="Z70" s="2">
        <f>$C70+total_production!Y70</f>
        <v>1804727.1514964912</v>
      </c>
      <c r="AA70" s="2">
        <f>$C70+total_production!Z70</f>
        <v>1804727.1514964912</v>
      </c>
      <c r="AB70" s="2">
        <f>$C70+total_production!AA70</f>
        <v>1804727.1514964912</v>
      </c>
    </row>
    <row r="71" spans="1:28" x14ac:dyDescent="0.2">
      <c r="A71" t="s">
        <v>548</v>
      </c>
      <c r="B71" t="s">
        <v>549</v>
      </c>
      <c r="C71" s="1">
        <v>5685419</v>
      </c>
      <c r="D71" s="2">
        <f>$C71+total_production!C71</f>
        <v>5687547.1700917203</v>
      </c>
      <c r="E71" s="2">
        <f>$C71+total_production!D71</f>
        <v>5681447.4487190228</v>
      </c>
      <c r="F71" s="2">
        <f>$C71+total_production!E71</f>
        <v>5681914.4472108521</v>
      </c>
      <c r="G71" s="2">
        <f>$C71+total_production!F71</f>
        <v>5679806.995307616</v>
      </c>
      <c r="H71" s="2">
        <f>$C71+total_production!G71</f>
        <v>5658699.4510472286</v>
      </c>
      <c r="I71" s="2">
        <f>$C71+total_production!H71</f>
        <v>5659329.5252349749</v>
      </c>
      <c r="J71" s="2">
        <f>$C71+total_production!I71</f>
        <v>5660209.4799090624</v>
      </c>
      <c r="K71" s="2">
        <f>$C71+total_production!J71</f>
        <v>5650033.5065458259</v>
      </c>
      <c r="L71" s="2">
        <f>$C71+total_production!K71</f>
        <v>5650852.3502492607</v>
      </c>
      <c r="M71" s="2">
        <f>$C71+total_production!L71</f>
        <v>5638267.2861942388</v>
      </c>
      <c r="N71" s="2">
        <f>$C71+total_production!M71</f>
        <v>5629400.2307281317</v>
      </c>
      <c r="O71" s="2">
        <f>$C71+total_production!N71</f>
        <v>5621681.685107613</v>
      </c>
      <c r="P71" s="2">
        <f>$C71+total_production!O71</f>
        <v>5621681.685107613</v>
      </c>
      <c r="Q71" s="2">
        <f>$C71+total_production!P71</f>
        <v>5621681.685107613</v>
      </c>
      <c r="R71" s="2">
        <f>$C71+total_production!Q71</f>
        <v>5614899.8528419593</v>
      </c>
      <c r="S71" s="2">
        <f>$C71+total_production!R71</f>
        <v>5614899.8528419593</v>
      </c>
      <c r="T71" s="2">
        <f>$C71+total_production!S71</f>
        <v>5607432.2808711035</v>
      </c>
      <c r="U71" s="2">
        <f>$C71+total_production!T71</f>
        <v>5607432.2808711035</v>
      </c>
      <c r="V71" s="2">
        <f>$C71+total_production!U71</f>
        <v>5600276.4558924399</v>
      </c>
      <c r="W71" s="2">
        <f>$C71+total_production!V71</f>
        <v>5600276.4558924399</v>
      </c>
      <c r="X71" s="2">
        <f>$C71+total_production!W71</f>
        <v>5594200.657786034</v>
      </c>
      <c r="Y71" s="2">
        <f>$C71+total_production!X71</f>
        <v>5594200.657786034</v>
      </c>
      <c r="Z71" s="2">
        <f>$C71+total_production!Y71</f>
        <v>5594200.657786034</v>
      </c>
      <c r="AA71" s="2">
        <f>$C71+total_production!Z71</f>
        <v>5594200.657786034</v>
      </c>
      <c r="AB71" s="2">
        <f>$C71+total_production!AA71</f>
        <v>5594200.657786034</v>
      </c>
    </row>
    <row r="72" spans="1:28" x14ac:dyDescent="0.2">
      <c r="A72" t="s">
        <v>769</v>
      </c>
      <c r="B72" t="s">
        <v>770</v>
      </c>
      <c r="C72" s="1">
        <v>1208308</v>
      </c>
      <c r="D72" s="2">
        <f>$C72+total_production!C72</f>
        <v>1209910.2257043184</v>
      </c>
      <c r="E72" s="2">
        <f>$C72+total_production!D72</f>
        <v>1209767.2372740172</v>
      </c>
      <c r="F72" s="2">
        <f>$C72+total_production!E72</f>
        <v>1209854.3761936778</v>
      </c>
      <c r="G72" s="2">
        <f>$C72+total_production!F72</f>
        <v>1209859.2114051392</v>
      </c>
      <c r="H72" s="2">
        <f>$C72+total_production!G72</f>
        <v>1209294.8781863141</v>
      </c>
      <c r="I72" s="2">
        <f>$C72+total_production!H72</f>
        <v>1209412.4459836131</v>
      </c>
      <c r="J72" s="2">
        <f>$C72+total_production!I72</f>
        <v>1209576.6398750111</v>
      </c>
      <c r="K72" s="2">
        <f>$C72+total_production!J72</f>
        <v>1209560.1703607258</v>
      </c>
      <c r="L72" s="2">
        <f>$C72+total_production!K72</f>
        <v>1209712.9613374351</v>
      </c>
      <c r="M72" s="2">
        <f>$C72+total_production!L72</f>
        <v>1209747.4386346901</v>
      </c>
      <c r="N72" s="2">
        <f>$C72+total_production!M72</f>
        <v>1209656.9059770287</v>
      </c>
      <c r="O72" s="2">
        <f>$C72+total_production!N72</f>
        <v>1209583.9353737708</v>
      </c>
      <c r="P72" s="2">
        <f>$C72+total_production!O72</f>
        <v>1209583.9353737708</v>
      </c>
      <c r="Q72" s="2">
        <f>$C72+total_production!P72</f>
        <v>1209583.9353737708</v>
      </c>
      <c r="R72" s="2">
        <f>$C72+total_production!Q72</f>
        <v>1209518.8163727052</v>
      </c>
      <c r="S72" s="2">
        <f>$C72+total_production!R72</f>
        <v>1209518.8163727052</v>
      </c>
      <c r="T72" s="2">
        <f>$C72+total_production!S72</f>
        <v>1209450.2801888909</v>
      </c>
      <c r="U72" s="2">
        <f>$C72+total_production!T72</f>
        <v>1209450.2801888909</v>
      </c>
      <c r="V72" s="2">
        <f>$C72+total_production!U72</f>
        <v>1209374.9957574662</v>
      </c>
      <c r="W72" s="2">
        <f>$C72+total_production!V72</f>
        <v>1209374.9957574662</v>
      </c>
      <c r="X72" s="2">
        <f>$C72+total_production!W72</f>
        <v>1209314.1000039089</v>
      </c>
      <c r="Y72" s="2">
        <f>$C72+total_production!X72</f>
        <v>1209314.1000039089</v>
      </c>
      <c r="Z72" s="2">
        <f>$C72+total_production!Y72</f>
        <v>1209314.1000039089</v>
      </c>
      <c r="AA72" s="2">
        <f>$C72+total_production!Z72</f>
        <v>1209314.1000039089</v>
      </c>
      <c r="AB72" s="2">
        <f>$C72+total_production!AA72</f>
        <v>1209314.1000039089</v>
      </c>
    </row>
    <row r="73" spans="1:28" x14ac:dyDescent="0.2">
      <c r="A73" t="s">
        <v>922</v>
      </c>
      <c r="B73" t="s">
        <v>923</v>
      </c>
      <c r="C73" s="1">
        <v>74299</v>
      </c>
      <c r="D73" s="2">
        <f>$C73+total_production!C73</f>
        <v>74371.050462210318</v>
      </c>
      <c r="E73" s="2">
        <f>$C73+total_production!D73</f>
        <v>74365.539991875485</v>
      </c>
      <c r="F73" s="2">
        <f>$C73+total_production!E73</f>
        <v>74369.403884628235</v>
      </c>
      <c r="G73" s="2">
        <f>$C73+total_production!F73</f>
        <v>74369.95024155741</v>
      </c>
      <c r="H73" s="2">
        <f>$C73+total_production!G73</f>
        <v>74347.740483263144</v>
      </c>
      <c r="I73" s="2">
        <f>$C73+total_production!H73</f>
        <v>74352.953645897112</v>
      </c>
      <c r="J73" s="2">
        <f>$C73+total_production!I73</f>
        <v>74360.234291439774</v>
      </c>
      <c r="K73" s="2">
        <f>$C73+total_production!J73</f>
        <v>74361.073668696292</v>
      </c>
      <c r="L73" s="2">
        <f>$C73+total_production!K73</f>
        <v>74367.848688973012</v>
      </c>
      <c r="M73" s="2">
        <f>$C73+total_production!L73</f>
        <v>74371.364480781122</v>
      </c>
      <c r="N73" s="2">
        <f>$C73+total_production!M73</f>
        <v>74368.65433658949</v>
      </c>
      <c r="O73" s="2">
        <f>$C73+total_production!N73</f>
        <v>74366.55885980092</v>
      </c>
      <c r="P73" s="2">
        <f>$C73+total_production!O73</f>
        <v>74366.55885980092</v>
      </c>
      <c r="Q73" s="2">
        <f>$C73+total_production!P73</f>
        <v>74366.55885980092</v>
      </c>
      <c r="R73" s="2">
        <f>$C73+total_production!Q73</f>
        <v>74364.672330183748</v>
      </c>
      <c r="S73" s="2">
        <f>$C73+total_production!R73</f>
        <v>74364.672330183748</v>
      </c>
      <c r="T73" s="2">
        <f>$C73+total_production!S73</f>
        <v>74362.738129315112</v>
      </c>
      <c r="U73" s="2">
        <f>$C73+total_production!T73</f>
        <v>74362.738129315112</v>
      </c>
      <c r="V73" s="2">
        <f>$C73+total_production!U73</f>
        <v>74360.450563530365</v>
      </c>
      <c r="W73" s="2">
        <f>$C73+total_production!V73</f>
        <v>74360.450563530365</v>
      </c>
      <c r="X73" s="2">
        <f>$C73+total_production!W73</f>
        <v>74358.64496182384</v>
      </c>
      <c r="Y73" s="2">
        <f>$C73+total_production!X73</f>
        <v>74358.64496182384</v>
      </c>
      <c r="Z73" s="2">
        <f>$C73+total_production!Y73</f>
        <v>74358.64496182384</v>
      </c>
      <c r="AA73" s="2">
        <f>$C73+total_production!Z73</f>
        <v>74358.64496182384</v>
      </c>
      <c r="AB73" s="2">
        <f>$C73+total_production!AA73</f>
        <v>74358.64496182384</v>
      </c>
    </row>
    <row r="74" spans="1:28" x14ac:dyDescent="0.2">
      <c r="A74" t="s">
        <v>944</v>
      </c>
      <c r="B74" t="s">
        <v>945</v>
      </c>
      <c r="C74" s="1">
        <v>3779</v>
      </c>
      <c r="D74" s="2">
        <f>$C74+total_production!C74</f>
        <v>3782.3071497512406</v>
      </c>
      <c r="E74" s="2">
        <f>$C74+total_production!D74</f>
        <v>3782.2044558222856</v>
      </c>
      <c r="F74" s="2">
        <f>$C74+total_production!E74</f>
        <v>3782.3728806579243</v>
      </c>
      <c r="G74" s="2">
        <f>$C74+total_production!F74</f>
        <v>3782.4516977499147</v>
      </c>
      <c r="H74" s="2">
        <f>$C74+total_production!G74</f>
        <v>3781.9498010282655</v>
      </c>
      <c r="I74" s="2">
        <f>$C74+total_production!H74</f>
        <v>3782.1770397525188</v>
      </c>
      <c r="J74" s="2">
        <f>$C74+total_production!I74</f>
        <v>3782.494398853129</v>
      </c>
      <c r="K74" s="2">
        <f>$C74+total_production!J74</f>
        <v>3782.7910648100233</v>
      </c>
      <c r="L74" s="2">
        <f>$C74+total_production!K74</f>
        <v>3783.0863839996528</v>
      </c>
      <c r="M74" s="2">
        <f>$C74+total_production!L74</f>
        <v>3783.5688630204259</v>
      </c>
      <c r="N74" s="2">
        <f>$C74+total_production!M74</f>
        <v>3783.6668279960795</v>
      </c>
      <c r="O74" s="2">
        <f>$C74+total_production!N74</f>
        <v>3783.7644020165717</v>
      </c>
      <c r="P74" s="2">
        <f>$C74+total_production!O74</f>
        <v>3783.7644020165717</v>
      </c>
      <c r="Q74" s="2">
        <f>$C74+total_production!P74</f>
        <v>3783.7644020165717</v>
      </c>
      <c r="R74" s="2">
        <f>$C74+total_production!Q74</f>
        <v>3783.8480187454115</v>
      </c>
      <c r="S74" s="2">
        <f>$C74+total_production!R74</f>
        <v>3783.8480187454115</v>
      </c>
      <c r="T74" s="2">
        <f>$C74+total_production!S74</f>
        <v>3783.9467648741297</v>
      </c>
      <c r="U74" s="2">
        <f>$C74+total_production!T74</f>
        <v>3783.9467648741297</v>
      </c>
      <c r="V74" s="2">
        <f>$C74+total_production!U74</f>
        <v>3784.0211382671605</v>
      </c>
      <c r="W74" s="2">
        <f>$C74+total_production!V74</f>
        <v>3784.0211382671605</v>
      </c>
      <c r="X74" s="2">
        <f>$C74+total_production!W74</f>
        <v>3784.090663383738</v>
      </c>
      <c r="Y74" s="2">
        <f>$C74+total_production!X74</f>
        <v>3784.090663383738</v>
      </c>
      <c r="Z74" s="2">
        <f>$C74+total_production!Y74</f>
        <v>3784.090663383738</v>
      </c>
      <c r="AA74" s="2">
        <f>$C74+total_production!Z74</f>
        <v>3784.090663383738</v>
      </c>
      <c r="AB74" s="2">
        <f>$C74+total_production!AA74</f>
        <v>3784.090663383738</v>
      </c>
    </row>
    <row r="75" spans="1:28" x14ac:dyDescent="0.2">
      <c r="A75" t="s">
        <v>746</v>
      </c>
      <c r="B75" t="s">
        <v>747</v>
      </c>
      <c r="C75" s="1">
        <v>1136387</v>
      </c>
      <c r="D75" s="2">
        <f>$C75+total_production!C75</f>
        <v>1138050.8103305665</v>
      </c>
      <c r="E75" s="2">
        <f>$C75+total_production!D75</f>
        <v>1137706.5144422727</v>
      </c>
      <c r="F75" s="2">
        <f>$C75+total_production!E75</f>
        <v>1137808.6409897914</v>
      </c>
      <c r="G75" s="2">
        <f>$C75+total_production!F75</f>
        <v>1137743.6222816964</v>
      </c>
      <c r="H75" s="2">
        <f>$C75+total_production!G75</f>
        <v>1136483.0699755633</v>
      </c>
      <c r="I75" s="2">
        <f>$C75+total_production!H75</f>
        <v>1136620.8590746738</v>
      </c>
      <c r="J75" s="2">
        <f>$C75+total_production!I75</f>
        <v>1136813.2938135646</v>
      </c>
      <c r="K75" s="2">
        <f>$C75+total_production!J75</f>
        <v>1136459.7518354498</v>
      </c>
      <c r="L75" s="2">
        <f>$C75+total_production!K75</f>
        <v>1136638.8223931761</v>
      </c>
      <c r="M75" s="2">
        <f>$C75+total_production!L75</f>
        <v>1136256.1220301799</v>
      </c>
      <c r="N75" s="2">
        <f>$C75+total_production!M75</f>
        <v>1135872.2984994831</v>
      </c>
      <c r="O75" s="2">
        <f>$C75+total_production!N75</f>
        <v>1135543.9931506179</v>
      </c>
      <c r="P75" s="2">
        <f>$C75+total_production!O75</f>
        <v>1135543.9931506179</v>
      </c>
      <c r="Q75" s="2">
        <f>$C75+total_production!P75</f>
        <v>1135543.9931506179</v>
      </c>
      <c r="R75" s="2">
        <f>$C75+total_production!Q75</f>
        <v>1135254.5321148119</v>
      </c>
      <c r="S75" s="2">
        <f>$C75+total_production!R75</f>
        <v>1135254.5321148119</v>
      </c>
      <c r="T75" s="2">
        <f>$C75+total_production!S75</f>
        <v>1134938.9520751133</v>
      </c>
      <c r="U75" s="2">
        <f>$C75+total_production!T75</f>
        <v>1134938.9520751133</v>
      </c>
      <c r="V75" s="2">
        <f>$C75+total_production!U75</f>
        <v>1134626.9906211593</v>
      </c>
      <c r="W75" s="2">
        <f>$C75+total_production!V75</f>
        <v>1134626.9906211593</v>
      </c>
      <c r="X75" s="2">
        <f>$C75+total_production!W75</f>
        <v>1134365.1225855667</v>
      </c>
      <c r="Y75" s="2">
        <f>$C75+total_production!X75</f>
        <v>1134365.1225855667</v>
      </c>
      <c r="Z75" s="2">
        <f>$C75+total_production!Y75</f>
        <v>1134365.1225855667</v>
      </c>
      <c r="AA75" s="2">
        <f>$C75+total_production!Z75</f>
        <v>1134365.1225855667</v>
      </c>
      <c r="AB75" s="2">
        <f>$C75+total_production!AA75</f>
        <v>1134365.1225855667</v>
      </c>
    </row>
    <row r="76" spans="1:28" x14ac:dyDescent="0.2">
      <c r="A76" t="s">
        <v>820</v>
      </c>
      <c r="B76" t="s">
        <v>821</v>
      </c>
      <c r="C76" s="1">
        <v>681292</v>
      </c>
      <c r="D76" s="2">
        <f>$C76+total_production!C76</f>
        <v>682283.4230563828</v>
      </c>
      <c r="E76" s="2">
        <f>$C76+total_production!D76</f>
        <v>682188.65332237817</v>
      </c>
      <c r="F76" s="2">
        <f>$C76+total_production!E76</f>
        <v>682242.94697059516</v>
      </c>
      <c r="G76" s="2">
        <f>$C76+total_production!F76</f>
        <v>682243.68847357505</v>
      </c>
      <c r="H76" s="2">
        <f>$C76+total_production!G76</f>
        <v>681872.81811536057</v>
      </c>
      <c r="I76" s="2">
        <f>$C76+total_production!H76</f>
        <v>681946.0710849067</v>
      </c>
      <c r="J76" s="2">
        <f>$C76+total_production!I76</f>
        <v>682048.37537572952</v>
      </c>
      <c r="K76" s="2">
        <f>$C76+total_production!J76</f>
        <v>682027.37437787873</v>
      </c>
      <c r="L76" s="2">
        <f>$C76+total_production!K76</f>
        <v>682122.57385444432</v>
      </c>
      <c r="M76" s="2">
        <f>$C76+total_production!L76</f>
        <v>682130.46090511698</v>
      </c>
      <c r="N76" s="2">
        <f>$C76+total_production!M76</f>
        <v>682065.12941420951</v>
      </c>
      <c r="O76" s="2">
        <f>$C76+total_production!N76</f>
        <v>682011.86281306949</v>
      </c>
      <c r="P76" s="2">
        <f>$C76+total_production!O76</f>
        <v>682011.86281306949</v>
      </c>
      <c r="Q76" s="2">
        <f>$C76+total_production!P76</f>
        <v>682011.86281306949</v>
      </c>
      <c r="R76" s="2">
        <f>$C76+total_production!Q76</f>
        <v>681964.4407346053</v>
      </c>
      <c r="S76" s="2">
        <f>$C76+total_production!R76</f>
        <v>681964.4407346053</v>
      </c>
      <c r="T76" s="2">
        <f>$C76+total_production!S76</f>
        <v>681914.17897260771</v>
      </c>
      <c r="U76" s="2">
        <f>$C76+total_production!T76</f>
        <v>681914.17897260771</v>
      </c>
      <c r="V76" s="2">
        <f>$C76+total_production!U76</f>
        <v>681860.08296616713</v>
      </c>
      <c r="W76" s="2">
        <f>$C76+total_production!V76</f>
        <v>681860.08296616713</v>
      </c>
      <c r="X76" s="2">
        <f>$C76+total_production!W76</f>
        <v>681816.01981247508</v>
      </c>
      <c r="Y76" s="2">
        <f>$C76+total_production!X76</f>
        <v>681816.01981247508</v>
      </c>
      <c r="Z76" s="2">
        <f>$C76+total_production!Y76</f>
        <v>681816.01981247508</v>
      </c>
      <c r="AA76" s="2">
        <f>$C76+total_production!Z76</f>
        <v>681816.01981247508</v>
      </c>
      <c r="AB76" s="2">
        <f>$C76+total_production!AA76</f>
        <v>681816.01981247508</v>
      </c>
    </row>
    <row r="77" spans="1:28" x14ac:dyDescent="0.2">
      <c r="A77" t="s">
        <v>928</v>
      </c>
      <c r="B77" t="s">
        <v>929</v>
      </c>
      <c r="C77" s="1">
        <v>31359</v>
      </c>
      <c r="D77" s="2">
        <f>$C77+total_production!C77</f>
        <v>31395.989184271344</v>
      </c>
      <c r="E77" s="2">
        <f>$C77+total_production!D77</f>
        <v>31391.023485793139</v>
      </c>
      <c r="F77" s="2">
        <f>$C77+total_production!E77</f>
        <v>31393.134126211993</v>
      </c>
      <c r="G77" s="2">
        <f>$C77+total_production!F77</f>
        <v>31392.650324153754</v>
      </c>
      <c r="H77" s="2">
        <f>$C77+total_production!G77</f>
        <v>31373.887699908762</v>
      </c>
      <c r="I77" s="2">
        <f>$C77+total_production!H77</f>
        <v>31376.735375159969</v>
      </c>
      <c r="J77" s="2">
        <f>$C77+total_production!I77</f>
        <v>31380.71240706561</v>
      </c>
      <c r="K77" s="2">
        <f>$C77+total_production!J77</f>
        <v>31377.472020844394</v>
      </c>
      <c r="L77" s="2">
        <f>$C77+total_production!K77</f>
        <v>31381.17285638762</v>
      </c>
      <c r="M77" s="2">
        <f>$C77+total_production!L77</f>
        <v>31378.410989655997</v>
      </c>
      <c r="N77" s="2">
        <f>$C77+total_production!M77</f>
        <v>31373.857173485481</v>
      </c>
      <c r="O77" s="2">
        <f>$C77+total_production!N77</f>
        <v>31370.025734501756</v>
      </c>
      <c r="P77" s="2">
        <f>$C77+total_production!O77</f>
        <v>31370.025734501756</v>
      </c>
      <c r="Q77" s="2">
        <f>$C77+total_production!P77</f>
        <v>31370.025734501756</v>
      </c>
      <c r="R77" s="2">
        <f>$C77+total_production!Q77</f>
        <v>31366.636470983678</v>
      </c>
      <c r="S77" s="2">
        <f>$C77+total_production!R77</f>
        <v>31366.636470983678</v>
      </c>
      <c r="T77" s="2">
        <f>$C77+total_production!S77</f>
        <v>31362.976439812563</v>
      </c>
      <c r="U77" s="2">
        <f>$C77+total_production!T77</f>
        <v>31362.976439812563</v>
      </c>
      <c r="V77" s="2">
        <f>$C77+total_production!U77</f>
        <v>31359.250954279039</v>
      </c>
      <c r="W77" s="2">
        <f>$C77+total_production!V77</f>
        <v>31359.250954279039</v>
      </c>
      <c r="X77" s="2">
        <f>$C77+total_production!W77</f>
        <v>31356.156482213548</v>
      </c>
      <c r="Y77" s="2">
        <f>$C77+total_production!X77</f>
        <v>31356.156482213548</v>
      </c>
      <c r="Z77" s="2">
        <f>$C77+total_production!Y77</f>
        <v>31356.156482213548</v>
      </c>
      <c r="AA77" s="2">
        <f>$C77+total_production!Z77</f>
        <v>31356.156482213548</v>
      </c>
      <c r="AB77" s="2">
        <f>$C77+total_production!AA77</f>
        <v>31356.156482213548</v>
      </c>
    </row>
    <row r="78" spans="1:28" x14ac:dyDescent="0.2">
      <c r="A78" t="s">
        <v>659</v>
      </c>
      <c r="B78" t="s">
        <v>660</v>
      </c>
      <c r="C78" s="1">
        <v>1104518</v>
      </c>
      <c r="D78" s="2">
        <f>$C78+total_production!C78</f>
        <v>1106381.7883419457</v>
      </c>
      <c r="E78" s="2">
        <f>$C78+total_production!D78</f>
        <v>1104808.949773862</v>
      </c>
      <c r="F78" s="2">
        <f>$C78+total_production!E78</f>
        <v>1104993.9114562946</v>
      </c>
      <c r="G78" s="2">
        <f>$C78+total_production!F78</f>
        <v>1104496.4425297545</v>
      </c>
      <c r="H78" s="2">
        <f>$C78+total_production!G78</f>
        <v>1098994.8696273761</v>
      </c>
      <c r="I78" s="2">
        <f>$C78+total_production!H78</f>
        <v>1099244.4198590401</v>
      </c>
      <c r="J78" s="2">
        <f>$C78+total_production!I78</f>
        <v>1099592.9389652717</v>
      </c>
      <c r="K78" s="2">
        <f>$C78+total_production!J78</f>
        <v>1097157.1469074453</v>
      </c>
      <c r="L78" s="2">
        <f>$C78+total_production!K78</f>
        <v>1097481.4621069301</v>
      </c>
      <c r="M78" s="2">
        <f>$C78+total_production!L78</f>
        <v>1094515.4748111765</v>
      </c>
      <c r="N78" s="2">
        <f>$C78+total_production!M78</f>
        <v>1092328.4588188338</v>
      </c>
      <c r="O78" s="2">
        <f>$C78+total_production!N78</f>
        <v>1090429.6608285587</v>
      </c>
      <c r="P78" s="2">
        <f>$C78+total_production!O78</f>
        <v>1090429.6608285587</v>
      </c>
      <c r="Q78" s="2">
        <f>$C78+total_production!P78</f>
        <v>1090429.6608285587</v>
      </c>
      <c r="R78" s="2">
        <f>$C78+total_production!Q78</f>
        <v>1088760.4481278097</v>
      </c>
      <c r="S78" s="2">
        <f>$C78+total_production!R78</f>
        <v>1088760.4481278097</v>
      </c>
      <c r="T78" s="2">
        <f>$C78+total_production!S78</f>
        <v>1086925.1373719224</v>
      </c>
      <c r="U78" s="2">
        <f>$C78+total_production!T78</f>
        <v>1086925.1373719224</v>
      </c>
      <c r="V78" s="2">
        <f>$C78+total_production!U78</f>
        <v>1085158.3044924377</v>
      </c>
      <c r="W78" s="2">
        <f>$C78+total_production!V78</f>
        <v>1085158.3044924377</v>
      </c>
      <c r="X78" s="2">
        <f>$C78+total_production!W78</f>
        <v>1083660.7026854658</v>
      </c>
      <c r="Y78" s="2">
        <f>$C78+total_production!X78</f>
        <v>1083660.7026854658</v>
      </c>
      <c r="Z78" s="2">
        <f>$C78+total_production!Y78</f>
        <v>1083660.7026854658</v>
      </c>
      <c r="AA78" s="2">
        <f>$C78+total_production!Z78</f>
        <v>1083660.7026854658</v>
      </c>
      <c r="AB78" s="2">
        <f>$C78+total_production!AA78</f>
        <v>1083660.7026854658</v>
      </c>
    </row>
    <row r="79" spans="1:28" x14ac:dyDescent="0.2">
      <c r="A79" t="s">
        <v>475</v>
      </c>
      <c r="B79" t="s">
        <v>476</v>
      </c>
      <c r="C79" s="1">
        <v>1876531</v>
      </c>
      <c r="D79" s="2">
        <f>$C79+total_production!C79</f>
        <v>1898239.4293838968</v>
      </c>
      <c r="E79" s="2">
        <f>$C79+total_production!D79</f>
        <v>1899565.6480006531</v>
      </c>
      <c r="F79" s="2">
        <f>$C79+total_production!E79</f>
        <v>1900552.3130568501</v>
      </c>
      <c r="G79" s="2">
        <f>$C79+total_production!F79</f>
        <v>1901785.1665629349</v>
      </c>
      <c r="H79" s="2">
        <f>$C79+total_production!G79</f>
        <v>1905381.3078913828</v>
      </c>
      <c r="I79" s="2">
        <f>$C79+total_production!H79</f>
        <v>1906712.516010334</v>
      </c>
      <c r="J79" s="2">
        <f>$C79+total_production!I79</f>
        <v>1908571.6666139266</v>
      </c>
      <c r="K79" s="2">
        <f>$C79+total_production!J79</f>
        <v>1913955.9043861956</v>
      </c>
      <c r="L79" s="2">
        <f>$C79+total_production!K79</f>
        <v>1915685.9409554843</v>
      </c>
      <c r="M79" s="2">
        <f>$C79+total_production!L79</f>
        <v>1923128.1911502921</v>
      </c>
      <c r="N79" s="2">
        <f>$C79+total_production!M79</f>
        <v>1926731.806021184</v>
      </c>
      <c r="O79" s="2">
        <f>$C79+total_production!N79</f>
        <v>1929952.0097338404</v>
      </c>
      <c r="P79" s="2">
        <f>$C79+total_production!O79</f>
        <v>1929952.0097338404</v>
      </c>
      <c r="Q79" s="2">
        <f>$C79+total_production!P79</f>
        <v>1929952.0097338404</v>
      </c>
      <c r="R79" s="2">
        <f>$C79+total_production!Q79</f>
        <v>1932767.0735555866</v>
      </c>
      <c r="S79" s="2">
        <f>$C79+total_production!R79</f>
        <v>1932767.0735555866</v>
      </c>
      <c r="T79" s="2">
        <f>$C79+total_production!S79</f>
        <v>1935912.0167251534</v>
      </c>
      <c r="U79" s="2">
        <f>$C79+total_production!T79</f>
        <v>1935912.0167251534</v>
      </c>
      <c r="V79" s="2">
        <f>$C79+total_production!U79</f>
        <v>1938788.4229977501</v>
      </c>
      <c r="W79" s="2">
        <f>$C79+total_production!V79</f>
        <v>1938788.4229977501</v>
      </c>
      <c r="X79" s="2">
        <f>$C79+total_production!W79</f>
        <v>1941273.9128540794</v>
      </c>
      <c r="Y79" s="2">
        <f>$C79+total_production!X79</f>
        <v>1941273.9128540794</v>
      </c>
      <c r="Z79" s="2">
        <f>$C79+total_production!Y79</f>
        <v>1941273.9128540794</v>
      </c>
      <c r="AA79" s="2">
        <f>$C79+total_production!Z79</f>
        <v>1941273.9128540794</v>
      </c>
      <c r="AB79" s="2">
        <f>$C79+total_production!AA79</f>
        <v>1941273.9128540794</v>
      </c>
    </row>
    <row r="80" spans="1:28" x14ac:dyDescent="0.2">
      <c r="A80" t="s">
        <v>892</v>
      </c>
      <c r="B80" t="s">
        <v>893</v>
      </c>
      <c r="C80" s="1">
        <v>199522</v>
      </c>
      <c r="D80" s="2">
        <f>$C80+total_production!C80</f>
        <v>199806.32965205627</v>
      </c>
      <c r="E80" s="2">
        <f>$C80+total_production!D80</f>
        <v>199792.70022624132</v>
      </c>
      <c r="F80" s="2">
        <f>$C80+total_production!E80</f>
        <v>199807.46573866371</v>
      </c>
      <c r="G80" s="2">
        <f>$C80+total_production!F80</f>
        <v>199812.52492478967</v>
      </c>
      <c r="H80" s="2">
        <f>$C80+total_production!G80</f>
        <v>199752.83842395418</v>
      </c>
      <c r="I80" s="2">
        <f>$C80+total_production!H80</f>
        <v>199772.76004770451</v>
      </c>
      <c r="J80" s="2">
        <f>$C80+total_production!I80</f>
        <v>199800.5823681161</v>
      </c>
      <c r="K80" s="2">
        <f>$C80+total_production!J80</f>
        <v>199817.84004975346</v>
      </c>
      <c r="L80" s="2">
        <f>$C80+total_production!K80</f>
        <v>199843.73016950037</v>
      </c>
      <c r="M80" s="2">
        <f>$C80+total_production!L80</f>
        <v>199874.95116862271</v>
      </c>
      <c r="N80" s="2">
        <f>$C80+total_production!M80</f>
        <v>199876.26879890147</v>
      </c>
      <c r="O80" s="2">
        <f>$C80+total_production!N80</f>
        <v>199878.46677791103</v>
      </c>
      <c r="P80" s="2">
        <f>$C80+total_production!O80</f>
        <v>199878.46677791103</v>
      </c>
      <c r="Q80" s="2">
        <f>$C80+total_production!P80</f>
        <v>199878.46677791103</v>
      </c>
      <c r="R80" s="2">
        <f>$C80+total_production!Q80</f>
        <v>199880.21718953861</v>
      </c>
      <c r="S80" s="2">
        <f>$C80+total_production!R80</f>
        <v>199880.21718953861</v>
      </c>
      <c r="T80" s="2">
        <f>$C80+total_production!S80</f>
        <v>199882.71501554977</v>
      </c>
      <c r="U80" s="2">
        <f>$C80+total_production!T80</f>
        <v>199882.71501554977</v>
      </c>
      <c r="V80" s="2">
        <f>$C80+total_production!U80</f>
        <v>199883.37792025128</v>
      </c>
      <c r="W80" s="2">
        <f>$C80+total_production!V80</f>
        <v>199883.37792025128</v>
      </c>
      <c r="X80" s="2">
        <f>$C80+total_production!W80</f>
        <v>199884.4857555404</v>
      </c>
      <c r="Y80" s="2">
        <f>$C80+total_production!X80</f>
        <v>199884.4857555404</v>
      </c>
      <c r="Z80" s="2">
        <f>$C80+total_production!Y80</f>
        <v>199884.4857555404</v>
      </c>
      <c r="AA80" s="2">
        <f>$C80+total_production!Z80</f>
        <v>199884.4857555404</v>
      </c>
      <c r="AB80" s="2">
        <f>$C80+total_production!AA80</f>
        <v>199884.4857555404</v>
      </c>
    </row>
    <row r="81" spans="1:28" x14ac:dyDescent="0.2">
      <c r="A81" t="s">
        <v>625</v>
      </c>
      <c r="B81" t="s">
        <v>626</v>
      </c>
      <c r="C81" s="1">
        <v>2461180</v>
      </c>
      <c r="D81" s="2">
        <f>$C81+total_production!C81</f>
        <v>2466702.4466420636</v>
      </c>
      <c r="E81" s="2">
        <f>$C81+total_production!D81</f>
        <v>2466745.2392863552</v>
      </c>
      <c r="F81" s="2">
        <f>$C81+total_production!E81</f>
        <v>2467013.7478820183</v>
      </c>
      <c r="G81" s="2">
        <f>$C81+total_production!F81</f>
        <v>2467222.0050945031</v>
      </c>
      <c r="H81" s="2">
        <f>$C81+total_production!G81</f>
        <v>2467122.0474021737</v>
      </c>
      <c r="I81" s="2">
        <f>$C81+total_production!H81</f>
        <v>2467484.3190974267</v>
      </c>
      <c r="J81" s="2">
        <f>$C81+total_production!I81</f>
        <v>2467990.2637587506</v>
      </c>
      <c r="K81" s="2">
        <f>$C81+total_production!J81</f>
        <v>2468853.8168661445</v>
      </c>
      <c r="L81" s="2">
        <f>$C81+total_production!K81</f>
        <v>2469324.6247525178</v>
      </c>
      <c r="M81" s="2">
        <f>$C81+total_production!L81</f>
        <v>2470588.2598618763</v>
      </c>
      <c r="N81" s="2">
        <f>$C81+total_production!M81</f>
        <v>2471068.9866352803</v>
      </c>
      <c r="O81" s="2">
        <f>$C81+total_production!N81</f>
        <v>2471508.2639173018</v>
      </c>
      <c r="P81" s="2">
        <f>$C81+total_production!O81</f>
        <v>2471508.2639173018</v>
      </c>
      <c r="Q81" s="2">
        <f>$C81+total_production!P81</f>
        <v>2471508.2639173018</v>
      </c>
      <c r="R81" s="2">
        <f>$C81+total_production!Q81</f>
        <v>2471890.6495718407</v>
      </c>
      <c r="S81" s="2">
        <f>$C81+total_production!R81</f>
        <v>2471890.6495718407</v>
      </c>
      <c r="T81" s="2">
        <f>$C81+total_production!S81</f>
        <v>2472322.9979081783</v>
      </c>
      <c r="U81" s="2">
        <f>$C81+total_production!T81</f>
        <v>2472322.9979081783</v>
      </c>
      <c r="V81" s="2">
        <f>$C81+total_production!U81</f>
        <v>2472703.0191590465</v>
      </c>
      <c r="W81" s="2">
        <f>$C81+total_production!V81</f>
        <v>2472703.0191590465</v>
      </c>
      <c r="X81" s="2">
        <f>$C81+total_production!W81</f>
        <v>2473036.4780699033</v>
      </c>
      <c r="Y81" s="2">
        <f>$C81+total_production!X81</f>
        <v>2473036.4780699033</v>
      </c>
      <c r="Z81" s="2">
        <f>$C81+total_production!Y81</f>
        <v>2473036.4780699033</v>
      </c>
      <c r="AA81" s="2">
        <f>$C81+total_production!Z81</f>
        <v>2473036.4780699033</v>
      </c>
      <c r="AB81" s="2">
        <f>$C81+total_production!AA81</f>
        <v>2473036.4780699033</v>
      </c>
    </row>
    <row r="82" spans="1:28" x14ac:dyDescent="0.2">
      <c r="A82" t="s">
        <v>645</v>
      </c>
      <c r="B82" t="s">
        <v>646</v>
      </c>
      <c r="C82" s="1">
        <v>1054045</v>
      </c>
      <c r="D82" s="2">
        <f>$C82+total_production!C82</f>
        <v>1059100.3964870675</v>
      </c>
      <c r="E82" s="2">
        <f>$C82+total_production!D82</f>
        <v>1059441.7871775171</v>
      </c>
      <c r="F82" s="2">
        <f>$C82+total_production!E82</f>
        <v>1059669.6245602833</v>
      </c>
      <c r="G82" s="2">
        <f>$C82+total_production!F82</f>
        <v>1059968.3688506342</v>
      </c>
      <c r="H82" s="2">
        <f>$C82+total_production!G82</f>
        <v>1060917.9373796571</v>
      </c>
      <c r="I82" s="2">
        <f>$C82+total_production!H82</f>
        <v>1061225.3354899215</v>
      </c>
      <c r="J82" s="2">
        <f>$C82+total_production!I82</f>
        <v>1061654.6443065561</v>
      </c>
      <c r="K82" s="2">
        <f>$C82+total_production!J82</f>
        <v>1062964.4277987771</v>
      </c>
      <c r="L82" s="2">
        <f>$C82+total_production!K82</f>
        <v>1063363.9220360168</v>
      </c>
      <c r="M82" s="2">
        <f>$C82+total_production!L82</f>
        <v>1065166.6088355656</v>
      </c>
      <c r="N82" s="2">
        <f>$C82+total_production!M82</f>
        <v>1066053.9761599749</v>
      </c>
      <c r="O82" s="2">
        <f>$C82+total_production!N82</f>
        <v>1066845.8595163291</v>
      </c>
      <c r="P82" s="2">
        <f>$C82+total_production!O82</f>
        <v>1066845.8595163291</v>
      </c>
      <c r="Q82" s="2">
        <f>$C82+total_production!P82</f>
        <v>1066845.8595163291</v>
      </c>
      <c r="R82" s="2">
        <f>$C82+total_production!Q82</f>
        <v>1067538.2940963311</v>
      </c>
      <c r="S82" s="2">
        <f>$C82+total_production!R82</f>
        <v>1067538.2940963311</v>
      </c>
      <c r="T82" s="2">
        <f>$C82+total_production!S82</f>
        <v>1068311.3013406803</v>
      </c>
      <c r="U82" s="2">
        <f>$C82+total_production!T82</f>
        <v>1068311.3013406803</v>
      </c>
      <c r="V82" s="2">
        <f>$C82+total_production!U82</f>
        <v>1069020.0063624557</v>
      </c>
      <c r="W82" s="2">
        <f>$C82+total_production!V82</f>
        <v>1069020.0063624557</v>
      </c>
      <c r="X82" s="2">
        <f>$C82+total_production!W82</f>
        <v>1069631.8335309725</v>
      </c>
      <c r="Y82" s="2">
        <f>$C82+total_production!X82</f>
        <v>1069631.8335309725</v>
      </c>
      <c r="Z82" s="2">
        <f>$C82+total_production!Y82</f>
        <v>1069631.8335309725</v>
      </c>
      <c r="AA82" s="2">
        <f>$C82+total_production!Z82</f>
        <v>1069631.8335309725</v>
      </c>
      <c r="AB82" s="2">
        <f>$C82+total_production!AA82</f>
        <v>1069631.8335309725</v>
      </c>
    </row>
    <row r="83" spans="1:28" x14ac:dyDescent="0.2">
      <c r="A83" t="s">
        <v>848</v>
      </c>
      <c r="B83" t="s">
        <v>849</v>
      </c>
      <c r="C83" s="1">
        <v>939455</v>
      </c>
      <c r="D83" s="2">
        <f>$C83+total_production!C83</f>
        <v>940124.06859377702</v>
      </c>
      <c r="E83" s="2">
        <f>$C83+total_production!D83</f>
        <v>940069.64350152633</v>
      </c>
      <c r="F83" s="2">
        <f>$C83+total_production!E83</f>
        <v>940105.71745897445</v>
      </c>
      <c r="G83" s="2">
        <f>$C83+total_production!F83</f>
        <v>940109.62697672262</v>
      </c>
      <c r="H83" s="2">
        <f>$C83+total_production!G83</f>
        <v>939892.17450020835</v>
      </c>
      <c r="I83" s="2">
        <f>$C83+total_production!H83</f>
        <v>939940.84546989144</v>
      </c>
      <c r="J83" s="2">
        <f>$C83+total_production!I83</f>
        <v>940008.81881032989</v>
      </c>
      <c r="K83" s="2">
        <f>$C83+total_production!J83</f>
        <v>940011.0219661739</v>
      </c>
      <c r="L83" s="2">
        <f>$C83+total_production!K83</f>
        <v>940074.27470345516</v>
      </c>
      <c r="M83" s="2">
        <f>$C83+total_production!L83</f>
        <v>940099.96750354872</v>
      </c>
      <c r="N83" s="2">
        <f>$C83+total_production!M83</f>
        <v>940069.98434051138</v>
      </c>
      <c r="O83" s="2">
        <f>$C83+total_production!N83</f>
        <v>940046.32863371796</v>
      </c>
      <c r="P83" s="2">
        <f>$C83+total_production!O83</f>
        <v>940046.32863371796</v>
      </c>
      <c r="Q83" s="2">
        <f>$C83+total_production!P83</f>
        <v>940046.32863371796</v>
      </c>
      <c r="R83" s="2">
        <f>$C83+total_production!Q83</f>
        <v>940025.12329578272</v>
      </c>
      <c r="S83" s="2">
        <f>$C83+total_production!R83</f>
        <v>940025.12329578272</v>
      </c>
      <c r="T83" s="2">
        <f>$C83+total_production!S83</f>
        <v>940003.10017135693</v>
      </c>
      <c r="U83" s="2">
        <f>$C83+total_production!T83</f>
        <v>940003.10017135693</v>
      </c>
      <c r="V83" s="2">
        <f>$C83+total_production!U83</f>
        <v>939977.9722615506</v>
      </c>
      <c r="W83" s="2">
        <f>$C83+total_production!V83</f>
        <v>939977.9722615506</v>
      </c>
      <c r="X83" s="2">
        <f>$C83+total_production!W83</f>
        <v>939957.90412079438</v>
      </c>
      <c r="Y83" s="2">
        <f>$C83+total_production!X83</f>
        <v>939957.90412079438</v>
      </c>
      <c r="Z83" s="2">
        <f>$C83+total_production!Y83</f>
        <v>939957.90412079438</v>
      </c>
      <c r="AA83" s="2">
        <f>$C83+total_production!Z83</f>
        <v>939957.90412079438</v>
      </c>
      <c r="AB83" s="2">
        <f>$C83+total_production!AA83</f>
        <v>939957.90412079438</v>
      </c>
    </row>
    <row r="84" spans="1:28" x14ac:dyDescent="0.2">
      <c r="A84" t="s">
        <v>824</v>
      </c>
      <c r="B84" t="s">
        <v>825</v>
      </c>
      <c r="C84" s="1">
        <v>1684939</v>
      </c>
      <c r="D84" s="2">
        <f>$C84+total_production!C84</f>
        <v>1685924.985379728</v>
      </c>
      <c r="E84" s="2">
        <f>$C84+total_production!D84</f>
        <v>1685879.8880981824</v>
      </c>
      <c r="F84" s="2">
        <f>$C84+total_production!E84</f>
        <v>1685930.9625160103</v>
      </c>
      <c r="G84" s="2">
        <f>$C84+total_production!F84</f>
        <v>1685949.2813651455</v>
      </c>
      <c r="H84" s="2">
        <f>$C84+total_production!G84</f>
        <v>1685749.7653973086</v>
      </c>
      <c r="I84" s="2">
        <f>$C84+total_production!H84</f>
        <v>1685818.6749824372</v>
      </c>
      <c r="J84" s="2">
        <f>$C84+total_production!I84</f>
        <v>1685914.9133503984</v>
      </c>
      <c r="K84" s="2">
        <f>$C84+total_production!J84</f>
        <v>1685978.4807059008</v>
      </c>
      <c r="L84" s="2">
        <f>$C84+total_production!K84</f>
        <v>1686068.0355249781</v>
      </c>
      <c r="M84" s="2">
        <f>$C84+total_production!L84</f>
        <v>1686180.932084779</v>
      </c>
      <c r="N84" s="2">
        <f>$C84+total_production!M84</f>
        <v>1686188.7074191049</v>
      </c>
      <c r="O84" s="2">
        <f>$C84+total_production!N84</f>
        <v>1686199.1231539755</v>
      </c>
      <c r="P84" s="2">
        <f>$C84+total_production!O84</f>
        <v>1686199.1231539755</v>
      </c>
      <c r="Q84" s="2">
        <f>$C84+total_production!P84</f>
        <v>1686199.1231539755</v>
      </c>
      <c r="R84" s="2">
        <f>$C84+total_production!Q84</f>
        <v>1686207.6473082274</v>
      </c>
      <c r="S84" s="2">
        <f>$C84+total_production!R84</f>
        <v>1686207.6473082274</v>
      </c>
      <c r="T84" s="2">
        <f>$C84+total_production!S84</f>
        <v>1686219.0130041435</v>
      </c>
      <c r="U84" s="2">
        <f>$C84+total_production!T84</f>
        <v>1686219.0130041435</v>
      </c>
      <c r="V84" s="2">
        <f>$C84+total_production!U84</f>
        <v>1686223.8980882745</v>
      </c>
      <c r="W84" s="2">
        <f>$C84+total_production!V84</f>
        <v>1686223.8980882745</v>
      </c>
      <c r="X84" s="2">
        <f>$C84+total_production!W84</f>
        <v>1686229.9372070206</v>
      </c>
      <c r="Y84" s="2">
        <f>$C84+total_production!X84</f>
        <v>1686229.9372070206</v>
      </c>
      <c r="Z84" s="2">
        <f>$C84+total_production!Y84</f>
        <v>1686229.9372070206</v>
      </c>
      <c r="AA84" s="2">
        <f>$C84+total_production!Z84</f>
        <v>1686229.9372070206</v>
      </c>
      <c r="AB84" s="2">
        <f>$C84+total_production!AA84</f>
        <v>1686229.9372070206</v>
      </c>
    </row>
    <row r="85" spans="1:28" x14ac:dyDescent="0.2">
      <c r="A85" t="s">
        <v>621</v>
      </c>
      <c r="B85" t="s">
        <v>622</v>
      </c>
      <c r="C85" s="1">
        <v>1895785</v>
      </c>
      <c r="D85" s="2">
        <f>$C85+total_production!C85</f>
        <v>1900891.9395282373</v>
      </c>
      <c r="E85" s="2">
        <f>$C85+total_production!D85</f>
        <v>1900524.9322871566</v>
      </c>
      <c r="F85" s="2">
        <f>$C85+total_production!E85</f>
        <v>1900797.4039403431</v>
      </c>
      <c r="G85" s="2">
        <f>$C85+total_production!F85</f>
        <v>1900844.5623186768</v>
      </c>
      <c r="H85" s="2">
        <f>$C85+total_production!G85</f>
        <v>1899351.5449280427</v>
      </c>
      <c r="I85" s="2">
        <f>$C85+total_production!H85</f>
        <v>1899719.1635790002</v>
      </c>
      <c r="J85" s="2">
        <f>$C85+total_production!I85</f>
        <v>1900232.5757397956</v>
      </c>
      <c r="K85" s="2">
        <f>$C85+total_production!J85</f>
        <v>1900332.5771295878</v>
      </c>
      <c r="L85" s="2">
        <f>$C85+total_production!K85</f>
        <v>1900810.3339135607</v>
      </c>
      <c r="M85" s="2">
        <f>$C85+total_production!L85</f>
        <v>1901109.91986094</v>
      </c>
      <c r="N85" s="2">
        <f>$C85+total_production!M85</f>
        <v>1900952.7171207112</v>
      </c>
      <c r="O85" s="2">
        <f>$C85+total_production!N85</f>
        <v>1900834.5934974884</v>
      </c>
      <c r="P85" s="2">
        <f>$C85+total_production!O85</f>
        <v>1900834.5934974884</v>
      </c>
      <c r="Q85" s="2">
        <f>$C85+total_production!P85</f>
        <v>1900834.5934974884</v>
      </c>
      <c r="R85" s="2">
        <f>$C85+total_production!Q85</f>
        <v>1900727.5849631708</v>
      </c>
      <c r="S85" s="2">
        <f>$C85+total_production!R85</f>
        <v>1900727.5849631708</v>
      </c>
      <c r="T85" s="2">
        <f>$C85+total_production!S85</f>
        <v>1900619.9149062163</v>
      </c>
      <c r="U85" s="2">
        <f>$C85+total_production!T85</f>
        <v>1900619.9149062163</v>
      </c>
      <c r="V85" s="2">
        <f>$C85+total_production!U85</f>
        <v>1900485.9189660025</v>
      </c>
      <c r="W85" s="2">
        <f>$C85+total_production!V85</f>
        <v>1900485.9189660025</v>
      </c>
      <c r="X85" s="2">
        <f>$C85+total_production!W85</f>
        <v>1900381.8525008638</v>
      </c>
      <c r="Y85" s="2">
        <f>$C85+total_production!X85</f>
        <v>1900381.8525008638</v>
      </c>
      <c r="Z85" s="2">
        <f>$C85+total_production!Y85</f>
        <v>1900381.8525008638</v>
      </c>
      <c r="AA85" s="2">
        <f>$C85+total_production!Z85</f>
        <v>1900381.8525008638</v>
      </c>
      <c r="AB85" s="2">
        <f>$C85+total_production!AA85</f>
        <v>1900381.8525008638</v>
      </c>
    </row>
    <row r="86" spans="1:28" x14ac:dyDescent="0.2">
      <c r="A86" t="s">
        <v>340</v>
      </c>
      <c r="B86" t="s">
        <v>341</v>
      </c>
      <c r="C86" s="1">
        <v>558919</v>
      </c>
      <c r="D86" s="2">
        <f>$C86+total_production!C86</f>
        <v>833378.24609276035</v>
      </c>
      <c r="E86" s="2">
        <f>$C86+total_production!D86</f>
        <v>858291.80670512281</v>
      </c>
      <c r="F86" s="2">
        <f>$C86+total_production!E86</f>
        <v>870282.01462579868</v>
      </c>
      <c r="G86" s="2">
        <f>$C86+total_production!F86</f>
        <v>888782.77250472922</v>
      </c>
      <c r="H86" s="2">
        <f>$C86+total_production!G86</f>
        <v>962310.62390436209</v>
      </c>
      <c r="I86" s="2">
        <f>$C86+total_production!H86</f>
        <v>978487.80787542416</v>
      </c>
      <c r="J86" s="2">
        <f>$C86+total_production!I86</f>
        <v>1001080.6849140049</v>
      </c>
      <c r="K86" s="2">
        <f>$C86+total_production!J86</f>
        <v>1083150.1497520893</v>
      </c>
      <c r="L86" s="2">
        <f>$C86+total_production!K86</f>
        <v>1104173.9997869716</v>
      </c>
      <c r="M86" s="2">
        <f>$C86+total_production!L86</f>
        <v>1215676.9025309097</v>
      </c>
      <c r="N86" s="2">
        <f>$C86+total_production!M86</f>
        <v>1273294.1406096541</v>
      </c>
      <c r="O86" s="2">
        <f>$C86+total_production!N86</f>
        <v>1324512.9397667812</v>
      </c>
      <c r="P86" s="2">
        <f>$C86+total_production!O86</f>
        <v>1324512.9397667812</v>
      </c>
      <c r="Q86" s="2">
        <f>$C86+total_production!P86</f>
        <v>1324512.9397667812</v>
      </c>
      <c r="R86" s="2">
        <f>$C86+total_production!Q86</f>
        <v>1369332.7505398658</v>
      </c>
      <c r="S86" s="2">
        <f>$C86+total_production!R86</f>
        <v>1369332.7505398658</v>
      </c>
      <c r="T86" s="2">
        <f>$C86+total_production!S86</f>
        <v>1419262.2030055905</v>
      </c>
      <c r="U86" s="2">
        <f>$C86+total_production!T86</f>
        <v>1419262.2030055905</v>
      </c>
      <c r="V86" s="2">
        <f>$C86+total_production!U86</f>
        <v>1465354.4738122553</v>
      </c>
      <c r="W86" s="2">
        <f>$C86+total_production!V86</f>
        <v>1465354.4738122553</v>
      </c>
      <c r="X86" s="2">
        <f>$C86+total_production!W86</f>
        <v>1505042.0052994443</v>
      </c>
      <c r="Y86" s="2">
        <f>$C86+total_production!X86</f>
        <v>1505042.0052994443</v>
      </c>
      <c r="Z86" s="2">
        <f>$C86+total_production!Y86</f>
        <v>1505042.0052994443</v>
      </c>
      <c r="AA86" s="2">
        <f>$C86+total_production!Z86</f>
        <v>1505042.0052994443</v>
      </c>
      <c r="AB86" s="2">
        <f>$C86+total_production!AA86</f>
        <v>1505042.0052994443</v>
      </c>
    </row>
    <row r="87" spans="1:28" x14ac:dyDescent="0.2">
      <c r="A87" t="s">
        <v>689</v>
      </c>
      <c r="B87" t="s">
        <v>305</v>
      </c>
      <c r="C87" s="1">
        <v>212425</v>
      </c>
      <c r="D87" s="2">
        <f>$C87+total_production!C87</f>
        <v>208853.43224166668</v>
      </c>
      <c r="E87" s="2">
        <f>$C87+total_production!D87</f>
        <v>208471.98864324371</v>
      </c>
      <c r="F87" s="2">
        <f>$C87+total_production!E87</f>
        <v>208319.36094428416</v>
      </c>
      <c r="G87" s="2">
        <f>$C87+total_production!F87</f>
        <v>208058.1341493552</v>
      </c>
      <c r="H87" s="2">
        <f>$C87+total_production!G87</f>
        <v>206904.12633713207</v>
      </c>
      <c r="I87" s="2">
        <f>$C87+total_production!H87</f>
        <v>206698.20110368461</v>
      </c>
      <c r="J87" s="2">
        <f>$C87+total_production!I87</f>
        <v>206410.60818969281</v>
      </c>
      <c r="K87" s="2">
        <f>$C87+total_production!J87</f>
        <v>205244.27944145948</v>
      </c>
      <c r="L87" s="2">
        <f>$C87+total_production!K87</f>
        <v>204976.65924043182</v>
      </c>
      <c r="M87" s="2">
        <f>$C87+total_production!L87</f>
        <v>203403.32072491408</v>
      </c>
      <c r="N87" s="2">
        <f>$C87+total_production!M87</f>
        <v>202568.82211357483</v>
      </c>
      <c r="O87" s="2">
        <f>$C87+total_production!N87</f>
        <v>201828.48530729898</v>
      </c>
      <c r="P87" s="2">
        <f>$C87+total_production!O87</f>
        <v>201828.48530729898</v>
      </c>
      <c r="Q87" s="2">
        <f>$C87+total_production!P87</f>
        <v>201828.48530729898</v>
      </c>
      <c r="R87" s="2">
        <f>$C87+total_production!Q87</f>
        <v>201180.39097704823</v>
      </c>
      <c r="S87" s="2">
        <f>$C87+total_production!R87</f>
        <v>201180.39097704823</v>
      </c>
      <c r="T87" s="2">
        <f>$C87+total_production!S87</f>
        <v>200459.20639436724</v>
      </c>
      <c r="U87" s="2">
        <f>$C87+total_production!T87</f>
        <v>200459.20639436724</v>
      </c>
      <c r="V87" s="2">
        <f>$C87+total_production!U87</f>
        <v>199791.06178811265</v>
      </c>
      <c r="W87" s="2">
        <f>$C87+total_production!V87</f>
        <v>199791.06178811265</v>
      </c>
      <c r="X87" s="2">
        <f>$C87+total_production!W87</f>
        <v>199216.53849239097</v>
      </c>
      <c r="Y87" s="2">
        <f>$C87+total_production!X87</f>
        <v>199216.53849239097</v>
      </c>
      <c r="Z87" s="2">
        <f>$C87+total_production!Y87</f>
        <v>199216.53849239097</v>
      </c>
      <c r="AA87" s="2">
        <f>$C87+total_production!Z87</f>
        <v>199216.53849239097</v>
      </c>
      <c r="AB87" s="2">
        <f>$C87+total_production!AA87</f>
        <v>199216.53849239097</v>
      </c>
    </row>
    <row r="88" spans="1:28" x14ac:dyDescent="0.2">
      <c r="A88" t="s">
        <v>632</v>
      </c>
      <c r="B88" t="s">
        <v>633</v>
      </c>
      <c r="C88" s="1">
        <v>2366782</v>
      </c>
      <c r="D88" s="2">
        <f>$C88+total_production!C88</f>
        <v>2371803.6075300118</v>
      </c>
      <c r="E88" s="2">
        <f>$C88+total_production!D88</f>
        <v>2371723.9803231186</v>
      </c>
      <c r="F88" s="2">
        <f>$C88+total_production!E88</f>
        <v>2371975.1829609224</v>
      </c>
      <c r="G88" s="2">
        <f>$C88+total_production!F88</f>
        <v>2372122.1528330431</v>
      </c>
      <c r="H88" s="2">
        <f>$C88+total_production!G88</f>
        <v>2371622.9195997361</v>
      </c>
      <c r="I88" s="2">
        <f>$C88+total_production!H88</f>
        <v>2371961.8421032196</v>
      </c>
      <c r="J88" s="2">
        <f>$C88+total_production!I88</f>
        <v>2372435.1775403703</v>
      </c>
      <c r="K88" s="2">
        <f>$C88+total_production!J88</f>
        <v>2373016.7424010802</v>
      </c>
      <c r="L88" s="2">
        <f>$C88+total_production!K88</f>
        <v>2373457.2057041763</v>
      </c>
      <c r="M88" s="2">
        <f>$C88+total_production!L88</f>
        <v>2374352.8895432404</v>
      </c>
      <c r="N88" s="2">
        <f>$C88+total_production!M88</f>
        <v>2374614.5747119873</v>
      </c>
      <c r="O88" s="2">
        <f>$C88+total_production!N88</f>
        <v>2374861.1384707354</v>
      </c>
      <c r="P88" s="2">
        <f>$C88+total_production!O88</f>
        <v>2374861.1384707354</v>
      </c>
      <c r="Q88" s="2">
        <f>$C88+total_production!P88</f>
        <v>2374861.1384707354</v>
      </c>
      <c r="R88" s="2">
        <f>$C88+total_production!Q88</f>
        <v>2375074.5496401787</v>
      </c>
      <c r="S88" s="2">
        <f>$C88+total_production!R88</f>
        <v>2375074.5496401787</v>
      </c>
      <c r="T88" s="2">
        <f>$C88+total_production!S88</f>
        <v>2375319.7287464798</v>
      </c>
      <c r="U88" s="2">
        <f>$C88+total_production!T88</f>
        <v>2375319.7287464798</v>
      </c>
      <c r="V88" s="2">
        <f>$C88+total_production!U88</f>
        <v>2375523.7592128385</v>
      </c>
      <c r="W88" s="2">
        <f>$C88+total_production!V88</f>
        <v>2375523.7592128385</v>
      </c>
      <c r="X88" s="2">
        <f>$C88+total_production!W88</f>
        <v>2375706.7300243163</v>
      </c>
      <c r="Y88" s="2">
        <f>$C88+total_production!X88</f>
        <v>2375706.7300243163</v>
      </c>
      <c r="Z88" s="2">
        <f>$C88+total_production!Y88</f>
        <v>2375706.7300243163</v>
      </c>
      <c r="AA88" s="2">
        <f>$C88+total_production!Z88</f>
        <v>2375706.7300243163</v>
      </c>
      <c r="AB88" s="2">
        <f>$C88+total_production!AA88</f>
        <v>2375706.7300243163</v>
      </c>
    </row>
    <row r="89" spans="1:28" x14ac:dyDescent="0.2">
      <c r="A89" t="s">
        <v>501</v>
      </c>
      <c r="B89" t="s">
        <v>502</v>
      </c>
      <c r="C89" s="1">
        <v>5222438</v>
      </c>
      <c r="D89" s="2">
        <f>$C89+total_production!C89</f>
        <v>5239165.2715085763</v>
      </c>
      <c r="E89" s="2">
        <f>$C89+total_production!D89</f>
        <v>5239733.0068116561</v>
      </c>
      <c r="F89" s="2">
        <f>$C89+total_production!E89</f>
        <v>5240520.2686323924</v>
      </c>
      <c r="G89" s="2">
        <f>$C89+total_production!F89</f>
        <v>5241307.7818742562</v>
      </c>
      <c r="H89" s="2">
        <f>$C89+total_production!G89</f>
        <v>5242514.2357085794</v>
      </c>
      <c r="I89" s="2">
        <f>$C89+total_production!H89</f>
        <v>5243576.4090580083</v>
      </c>
      <c r="J89" s="2">
        <f>$C89+total_production!I89</f>
        <v>5245059.8286643028</v>
      </c>
      <c r="K89" s="2">
        <f>$C89+total_production!J89</f>
        <v>5248428.2628012309</v>
      </c>
      <c r="L89" s="2">
        <f>$C89+total_production!K89</f>
        <v>5249808.6620876202</v>
      </c>
      <c r="M89" s="2">
        <f>$C89+total_production!L89</f>
        <v>5254572.5414715167</v>
      </c>
      <c r="N89" s="2">
        <f>$C89+total_production!M89</f>
        <v>5256677.0812918022</v>
      </c>
      <c r="O89" s="2">
        <f>$C89+total_production!N89</f>
        <v>5258572.6576958429</v>
      </c>
      <c r="P89" s="2">
        <f>$C89+total_production!O89</f>
        <v>5258572.6576958429</v>
      </c>
      <c r="Q89" s="2">
        <f>$C89+total_production!P89</f>
        <v>5258572.6576958429</v>
      </c>
      <c r="R89" s="2">
        <f>$C89+total_production!Q89</f>
        <v>5260227.2422513571</v>
      </c>
      <c r="S89" s="2">
        <f>$C89+total_production!R89</f>
        <v>5260227.2422513571</v>
      </c>
      <c r="T89" s="2">
        <f>$C89+total_production!S89</f>
        <v>5262083.6620737407</v>
      </c>
      <c r="U89" s="2">
        <f>$C89+total_production!T89</f>
        <v>5262083.6620737407</v>
      </c>
      <c r="V89" s="2">
        <f>$C89+total_production!U89</f>
        <v>5263757.8096175846</v>
      </c>
      <c r="W89" s="2">
        <f>$C89+total_production!V89</f>
        <v>5263757.8096175846</v>
      </c>
      <c r="X89" s="2">
        <f>$C89+total_production!W89</f>
        <v>5265212.2715808908</v>
      </c>
      <c r="Y89" s="2">
        <f>$C89+total_production!X89</f>
        <v>5265212.2715808908</v>
      </c>
      <c r="Z89" s="2">
        <f>$C89+total_production!Y89</f>
        <v>5265212.2715808908</v>
      </c>
      <c r="AA89" s="2">
        <f>$C89+total_production!Z89</f>
        <v>5265212.2715808908</v>
      </c>
      <c r="AB89" s="2">
        <f>$C89+total_production!AA89</f>
        <v>5265212.2715808908</v>
      </c>
    </row>
    <row r="90" spans="1:28" x14ac:dyDescent="0.2">
      <c r="A90" t="s">
        <v>432</v>
      </c>
      <c r="B90" t="s">
        <v>433</v>
      </c>
      <c r="C90" s="1">
        <v>7254403</v>
      </c>
      <c r="D90" s="2">
        <f>$C90+total_production!C90</f>
        <v>7286553.4278401546</v>
      </c>
      <c r="E90" s="2">
        <f>$C90+total_production!D90</f>
        <v>7288461.1657263944</v>
      </c>
      <c r="F90" s="2">
        <f>$C90+total_production!E90</f>
        <v>7289925.7803630047</v>
      </c>
      <c r="G90" s="2">
        <f>$C90+total_production!F90</f>
        <v>7291731.474119666</v>
      </c>
      <c r="H90" s="2">
        <f>$C90+total_production!G90</f>
        <v>7296863.0906951213</v>
      </c>
      <c r="I90" s="2">
        <f>$C90+total_production!H90</f>
        <v>7298839.1482063746</v>
      </c>
      <c r="J90" s="2">
        <f>$C90+total_production!I90</f>
        <v>7301598.8883720776</v>
      </c>
      <c r="K90" s="2">
        <f>$C90+total_production!J90</f>
        <v>7309476.0879535358</v>
      </c>
      <c r="L90" s="2">
        <f>$C90+total_production!K90</f>
        <v>7312044.1700654291</v>
      </c>
      <c r="M90" s="2">
        <f>$C90+total_production!L90</f>
        <v>7322945.6694108406</v>
      </c>
      <c r="N90" s="2">
        <f>$C90+total_production!M90</f>
        <v>7328199.1785514038</v>
      </c>
      <c r="O90" s="2">
        <f>$C90+total_production!N90</f>
        <v>7332895.5909077907</v>
      </c>
      <c r="P90" s="2">
        <f>$C90+total_production!O90</f>
        <v>7332895.5909077907</v>
      </c>
      <c r="Q90" s="2">
        <f>$C90+total_production!P90</f>
        <v>7332895.5909077907</v>
      </c>
      <c r="R90" s="2">
        <f>$C90+total_production!Q90</f>
        <v>7337000.8275710857</v>
      </c>
      <c r="S90" s="2">
        <f>$C90+total_production!R90</f>
        <v>7337000.8275710857</v>
      </c>
      <c r="T90" s="2">
        <f>$C90+total_production!S90</f>
        <v>7341588.1174486121</v>
      </c>
      <c r="U90" s="2">
        <f>$C90+total_production!T90</f>
        <v>7341588.1174486121</v>
      </c>
      <c r="V90" s="2">
        <f>$C90+total_production!U90</f>
        <v>7345780.7622251045</v>
      </c>
      <c r="W90" s="2">
        <f>$C90+total_production!V90</f>
        <v>7345780.7622251045</v>
      </c>
      <c r="X90" s="2">
        <f>$C90+total_production!W90</f>
        <v>7349404.5814328287</v>
      </c>
      <c r="Y90" s="2">
        <f>$C90+total_production!X90</f>
        <v>7349404.5814328287</v>
      </c>
      <c r="Z90" s="2">
        <f>$C90+total_production!Y90</f>
        <v>7349404.5814328287</v>
      </c>
      <c r="AA90" s="2">
        <f>$C90+total_production!Z90</f>
        <v>7349404.5814328287</v>
      </c>
      <c r="AB90" s="2">
        <f>$C90+total_production!AA90</f>
        <v>7349404.5814328287</v>
      </c>
    </row>
    <row r="91" spans="1:28" x14ac:dyDescent="0.2">
      <c r="A91" t="s">
        <v>555</v>
      </c>
      <c r="B91" t="s">
        <v>556</v>
      </c>
      <c r="C91" s="1">
        <v>3323011</v>
      </c>
      <c r="D91" s="2">
        <f>$C91+total_production!C91</f>
        <v>3332361.7920748531</v>
      </c>
      <c r="E91" s="2">
        <f>$C91+total_production!D91</f>
        <v>3332775.94737519</v>
      </c>
      <c r="F91" s="2">
        <f>$C91+total_production!E91</f>
        <v>3333210.2859713943</v>
      </c>
      <c r="G91" s="2">
        <f>$C91+total_production!F91</f>
        <v>3333685.135773371</v>
      </c>
      <c r="H91" s="2">
        <f>$C91+total_production!G91</f>
        <v>3334692.957294025</v>
      </c>
      <c r="I91" s="2">
        <f>$C91+total_production!H91</f>
        <v>3335278.9667630028</v>
      </c>
      <c r="J91" s="2">
        <f>$C91+total_production!I91</f>
        <v>3336097.3811359704</v>
      </c>
      <c r="K91" s="2">
        <f>$C91+total_production!J91</f>
        <v>3338146.676091318</v>
      </c>
      <c r="L91" s="2">
        <f>$C91+total_production!K91</f>
        <v>3338908.2533359639</v>
      </c>
      <c r="M91" s="2">
        <f>$C91+total_production!L91</f>
        <v>3341778.1839573048</v>
      </c>
      <c r="N91" s="2">
        <f>$C91+total_production!M91</f>
        <v>3343097.8965091133</v>
      </c>
      <c r="O91" s="2">
        <f>$C91+total_production!N91</f>
        <v>3344282.3686543368</v>
      </c>
      <c r="P91" s="2">
        <f>$C91+total_production!O91</f>
        <v>3344282.3686543368</v>
      </c>
      <c r="Q91" s="2">
        <f>$C91+total_production!P91</f>
        <v>3344282.3686543368</v>
      </c>
      <c r="R91" s="2">
        <f>$C91+total_production!Q91</f>
        <v>3345316.9533241712</v>
      </c>
      <c r="S91" s="2">
        <f>$C91+total_production!R91</f>
        <v>3345316.9533241712</v>
      </c>
      <c r="T91" s="2">
        <f>$C91+total_production!S91</f>
        <v>3346475.5227041654</v>
      </c>
      <c r="U91" s="2">
        <f>$C91+total_production!T91</f>
        <v>3346475.5227041654</v>
      </c>
      <c r="V91" s="2">
        <f>$C91+total_production!U91</f>
        <v>3347526.9470118419</v>
      </c>
      <c r="W91" s="2">
        <f>$C91+total_production!V91</f>
        <v>3347526.9470118419</v>
      </c>
      <c r="X91" s="2">
        <f>$C91+total_production!W91</f>
        <v>3348438.1895599645</v>
      </c>
      <c r="Y91" s="2">
        <f>$C91+total_production!X91</f>
        <v>3348438.1895599645</v>
      </c>
      <c r="Z91" s="2">
        <f>$C91+total_production!Y91</f>
        <v>3348438.1895599645</v>
      </c>
      <c r="AA91" s="2">
        <f>$C91+total_production!Z91</f>
        <v>3348438.1895599645</v>
      </c>
      <c r="AB91" s="2">
        <f>$C91+total_production!AA91</f>
        <v>3348438.1895599645</v>
      </c>
    </row>
    <row r="92" spans="1:28" x14ac:dyDescent="0.2">
      <c r="A92" t="s">
        <v>756</v>
      </c>
      <c r="B92" t="s">
        <v>757</v>
      </c>
      <c r="C92" s="1">
        <v>868448</v>
      </c>
      <c r="D92" s="2">
        <f>$C92+total_production!C92</f>
        <v>869425.26082930772</v>
      </c>
      <c r="E92" s="2">
        <f>$C92+total_production!D92</f>
        <v>868641.08624965709</v>
      </c>
      <c r="F92" s="2">
        <f>$C92+total_production!E92</f>
        <v>868735.66035486851</v>
      </c>
      <c r="G92" s="2">
        <f>$C92+total_production!F92</f>
        <v>868489.31388142309</v>
      </c>
      <c r="H92" s="2">
        <f>$C92+total_production!G92</f>
        <v>865744.22782362043</v>
      </c>
      <c r="I92" s="2">
        <f>$C92+total_production!H92</f>
        <v>865871.82717043953</v>
      </c>
      <c r="J92" s="2">
        <f>$C92+total_production!I92</f>
        <v>866050.03101345978</v>
      </c>
      <c r="K92" s="2">
        <f>$C92+total_production!J92</f>
        <v>864842.48183487216</v>
      </c>
      <c r="L92" s="2">
        <f>$C92+total_production!K92</f>
        <v>865008.30980201869</v>
      </c>
      <c r="M92" s="2">
        <f>$C92+total_production!L92</f>
        <v>863539.74307503959</v>
      </c>
      <c r="N92" s="2">
        <f>$C92+total_production!M92</f>
        <v>862452.98621041363</v>
      </c>
      <c r="O92" s="2">
        <f>$C92+total_production!N92</f>
        <v>861509.63739602535</v>
      </c>
      <c r="P92" s="2">
        <f>$C92+total_production!O92</f>
        <v>861509.63739602535</v>
      </c>
      <c r="Q92" s="2">
        <f>$C92+total_production!P92</f>
        <v>861509.63739602535</v>
      </c>
      <c r="R92" s="2">
        <f>$C92+total_production!Q92</f>
        <v>860680.3171349715</v>
      </c>
      <c r="S92" s="2">
        <f>$C92+total_production!R92</f>
        <v>860680.3171349715</v>
      </c>
      <c r="T92" s="2">
        <f>$C92+total_production!S92</f>
        <v>859768.57650585321</v>
      </c>
      <c r="U92" s="2">
        <f>$C92+total_production!T92</f>
        <v>859768.57650585321</v>
      </c>
      <c r="V92" s="2">
        <f>$C92+total_production!U92</f>
        <v>858890.54221271421</v>
      </c>
      <c r="W92" s="2">
        <f>$C92+total_production!V92</f>
        <v>858890.54221271421</v>
      </c>
      <c r="X92" s="2">
        <f>$C92+total_production!W92</f>
        <v>858146.40109101392</v>
      </c>
      <c r="Y92" s="2">
        <f>$C92+total_production!X92</f>
        <v>858146.40109101392</v>
      </c>
      <c r="Z92" s="2">
        <f>$C92+total_production!Y92</f>
        <v>858146.40109101392</v>
      </c>
      <c r="AA92" s="2">
        <f>$C92+total_production!Z92</f>
        <v>858146.40109101392</v>
      </c>
      <c r="AB92" s="2">
        <f>$C92+total_production!AA92</f>
        <v>858146.40109101392</v>
      </c>
    </row>
    <row r="93" spans="1:28" x14ac:dyDescent="0.2">
      <c r="A93" t="s">
        <v>651</v>
      </c>
      <c r="B93" t="s">
        <v>652</v>
      </c>
      <c r="C93" s="1">
        <v>2337667</v>
      </c>
      <c r="D93" s="2">
        <f>$C93+total_production!C93</f>
        <v>2340688.3706996953</v>
      </c>
      <c r="E93" s="2">
        <f>$C93+total_production!D93</f>
        <v>2339770.8005978502</v>
      </c>
      <c r="F93" s="2">
        <f>$C93+total_production!E93</f>
        <v>2339973.6319598304</v>
      </c>
      <c r="G93" s="2">
        <f>$C93+total_production!F93</f>
        <v>2339750.991131369</v>
      </c>
      <c r="H93" s="2">
        <f>$C93+total_production!G93</f>
        <v>2336454.8238547784</v>
      </c>
      <c r="I93" s="2">
        <f>$C93+total_production!H93</f>
        <v>2336728.4838512992</v>
      </c>
      <c r="J93" s="2">
        <f>$C93+total_production!I93</f>
        <v>2337110.6743897041</v>
      </c>
      <c r="K93" s="2">
        <f>$C93+total_production!J93</f>
        <v>2335966.3529071994</v>
      </c>
      <c r="L93" s="2">
        <f>$C93+total_production!K93</f>
        <v>2336322.0011298871</v>
      </c>
      <c r="M93" s="2">
        <f>$C93+total_production!L93</f>
        <v>2335002.2071906212</v>
      </c>
      <c r="N93" s="2">
        <f>$C93+total_production!M93</f>
        <v>2333872.5136695439</v>
      </c>
      <c r="O93" s="2">
        <f>$C93+total_production!N93</f>
        <v>2332899.2991324351</v>
      </c>
      <c r="P93" s="2">
        <f>$C93+total_production!O93</f>
        <v>2332899.2991324351</v>
      </c>
      <c r="Q93" s="2">
        <f>$C93+total_production!P93</f>
        <v>2332899.2991324351</v>
      </c>
      <c r="R93" s="2">
        <f>$C93+total_production!Q93</f>
        <v>2332042.4456278626</v>
      </c>
      <c r="S93" s="2">
        <f>$C93+total_production!R93</f>
        <v>2332042.4456278626</v>
      </c>
      <c r="T93" s="2">
        <f>$C93+total_production!S93</f>
        <v>2331104.4634436951</v>
      </c>
      <c r="U93" s="2">
        <f>$C93+total_production!T93</f>
        <v>2331104.4634436951</v>
      </c>
      <c r="V93" s="2">
        <f>$C93+total_production!U93</f>
        <v>2330188.9175765491</v>
      </c>
      <c r="W93" s="2">
        <f>$C93+total_production!V93</f>
        <v>2330188.9175765491</v>
      </c>
      <c r="X93" s="2">
        <f>$C93+total_production!W93</f>
        <v>2329416.8204129236</v>
      </c>
      <c r="Y93" s="2">
        <f>$C93+total_production!X93</f>
        <v>2329416.8204129236</v>
      </c>
      <c r="Z93" s="2">
        <f>$C93+total_production!Y93</f>
        <v>2329416.8204129236</v>
      </c>
      <c r="AA93" s="2">
        <f>$C93+total_production!Z93</f>
        <v>2329416.8204129236</v>
      </c>
      <c r="AB93" s="2">
        <f>$C93+total_production!AA93</f>
        <v>2329416.8204129236</v>
      </c>
    </row>
    <row r="94" spans="1:28" x14ac:dyDescent="0.2">
      <c r="A94" t="s">
        <v>619</v>
      </c>
      <c r="B94" t="s">
        <v>620</v>
      </c>
      <c r="C94" s="1">
        <v>1953987</v>
      </c>
      <c r="D94" s="2">
        <f>$C94+total_production!C94</f>
        <v>1959725.1628067994</v>
      </c>
      <c r="E94" s="2">
        <f>$C94+total_production!D94</f>
        <v>1959868.9923942853</v>
      </c>
      <c r="F94" s="2">
        <f>$C94+total_production!E94</f>
        <v>1960142.0834970803</v>
      </c>
      <c r="G94" s="2">
        <f>$C94+total_production!F94</f>
        <v>1960394.0175880427</v>
      </c>
      <c r="H94" s="2">
        <f>$C94+total_production!G94</f>
        <v>1960632.447580575</v>
      </c>
      <c r="I94" s="2">
        <f>$C94+total_production!H94</f>
        <v>1961000.9019927089</v>
      </c>
      <c r="J94" s="2">
        <f>$C94+total_production!I94</f>
        <v>1961515.4813683624</v>
      </c>
      <c r="K94" s="2">
        <f>$C94+total_production!J94</f>
        <v>1962583.4940343222</v>
      </c>
      <c r="L94" s="2">
        <f>$C94+total_production!K94</f>
        <v>1963062.336972577</v>
      </c>
      <c r="M94" s="2">
        <f>$C94+total_production!L94</f>
        <v>1964587.7029847158</v>
      </c>
      <c r="N94" s="2">
        <f>$C94+total_production!M94</f>
        <v>1965234.2737019265</v>
      </c>
      <c r="O94" s="2">
        <f>$C94+total_production!N94</f>
        <v>1965818.8573797029</v>
      </c>
      <c r="P94" s="2">
        <f>$C94+total_production!O94</f>
        <v>1965818.8573797029</v>
      </c>
      <c r="Q94" s="2">
        <f>$C94+total_production!P94</f>
        <v>1965818.8573797029</v>
      </c>
      <c r="R94" s="2">
        <f>$C94+total_production!Q94</f>
        <v>1966328.7529006964</v>
      </c>
      <c r="S94" s="2">
        <f>$C94+total_production!R94</f>
        <v>1966328.7529006964</v>
      </c>
      <c r="T94" s="2">
        <f>$C94+total_production!S94</f>
        <v>1966902.016220297</v>
      </c>
      <c r="U94" s="2">
        <f>$C94+total_production!T94</f>
        <v>1966902.016220297</v>
      </c>
      <c r="V94" s="2">
        <f>$C94+total_production!U94</f>
        <v>1967415.5161485635</v>
      </c>
      <c r="W94" s="2">
        <f>$C94+total_production!V94</f>
        <v>1967415.5161485635</v>
      </c>
      <c r="X94" s="2">
        <f>$C94+total_production!W94</f>
        <v>1967862.7970519739</v>
      </c>
      <c r="Y94" s="2">
        <f>$C94+total_production!X94</f>
        <v>1967862.7970519739</v>
      </c>
      <c r="Z94" s="2">
        <f>$C94+total_production!Y94</f>
        <v>1967862.7970519739</v>
      </c>
      <c r="AA94" s="2">
        <f>$C94+total_production!Z94</f>
        <v>1967862.7970519739</v>
      </c>
      <c r="AB94" s="2">
        <f>$C94+total_production!AA94</f>
        <v>1967862.7970519739</v>
      </c>
    </row>
    <row r="95" spans="1:28" x14ac:dyDescent="0.2">
      <c r="A95" t="s">
        <v>481</v>
      </c>
      <c r="B95" t="s">
        <v>85</v>
      </c>
      <c r="C95" s="1">
        <v>10355915</v>
      </c>
      <c r="D95" s="2">
        <f>$C95+total_production!C95</f>
        <v>10374557.298490258</v>
      </c>
      <c r="E95" s="2">
        <f>$C95+total_production!D95</f>
        <v>10374214.056795094</v>
      </c>
      <c r="F95" s="2">
        <f>$C95+total_production!E95</f>
        <v>10375149.456687156</v>
      </c>
      <c r="G95" s="2">
        <f>$C95+total_production!F95</f>
        <v>10375678.032452943</v>
      </c>
      <c r="H95" s="2">
        <f>$C95+total_production!G95</f>
        <v>10373660.587699033</v>
      </c>
      <c r="I95" s="2">
        <f>$C95+total_production!H95</f>
        <v>10374922.62887801</v>
      </c>
      <c r="J95" s="2">
        <f>$C95+total_production!I95</f>
        <v>10376685.181694698</v>
      </c>
      <c r="K95" s="2">
        <f>$C95+total_production!J95</f>
        <v>10378762.351687178</v>
      </c>
      <c r="L95" s="2">
        <f>$C95+total_production!K95</f>
        <v>10380402.498979324</v>
      </c>
      <c r="M95" s="2">
        <f>$C95+total_production!L95</f>
        <v>10383625.847001251</v>
      </c>
      <c r="N95" s="2">
        <f>$C95+total_production!M95</f>
        <v>10384526.832992394</v>
      </c>
      <c r="O95" s="2">
        <f>$C95+total_production!N95</f>
        <v>10385380.7508695</v>
      </c>
      <c r="P95" s="2">
        <f>$C95+total_production!O95</f>
        <v>10385380.7508695</v>
      </c>
      <c r="Q95" s="2">
        <f>$C95+total_production!P95</f>
        <v>10385380.7508695</v>
      </c>
      <c r="R95" s="2">
        <f>$C95+total_production!Q95</f>
        <v>10386119.058284298</v>
      </c>
      <c r="S95" s="2">
        <f>$C95+total_production!R95</f>
        <v>10386119.058284298</v>
      </c>
      <c r="T95" s="2">
        <f>$C95+total_production!S95</f>
        <v>10386969.81110321</v>
      </c>
      <c r="U95" s="2">
        <f>$C95+total_production!T95</f>
        <v>10386969.81110321</v>
      </c>
      <c r="V95" s="2">
        <f>$C95+total_production!U95</f>
        <v>10387670.387926213</v>
      </c>
      <c r="W95" s="2">
        <f>$C95+total_production!V95</f>
        <v>10387670.387926213</v>
      </c>
      <c r="X95" s="2">
        <f>$C95+total_production!W95</f>
        <v>10388301.333404411</v>
      </c>
      <c r="Y95" s="2">
        <f>$C95+total_production!X95</f>
        <v>10388301.333404411</v>
      </c>
      <c r="Z95" s="2">
        <f>$C95+total_production!Y95</f>
        <v>10388301.333404411</v>
      </c>
      <c r="AA95" s="2">
        <f>$C95+total_production!Z95</f>
        <v>10388301.333404411</v>
      </c>
      <c r="AB95" s="2">
        <f>$C95+total_production!AA95</f>
        <v>10388301.333404411</v>
      </c>
    </row>
    <row r="96" spans="1:28" x14ac:dyDescent="0.2">
      <c r="A96" t="s">
        <v>877</v>
      </c>
      <c r="B96" t="s">
        <v>303</v>
      </c>
      <c r="C96" s="1">
        <v>317049</v>
      </c>
      <c r="D96" s="2">
        <f>$C96+total_production!C96</f>
        <v>-318608.47206931189</v>
      </c>
      <c r="E96" s="2">
        <f>$C96+total_production!D96</f>
        <v>-843904.59452315187</v>
      </c>
      <c r="F96" s="2">
        <f>$C96+total_production!E96</f>
        <v>-843882.2779822736</v>
      </c>
      <c r="G96" s="2">
        <f>$C96+total_production!F96</f>
        <v>-1053984.861997966</v>
      </c>
      <c r="H96" s="2">
        <f>$C96+total_production!G96</f>
        <v>-2835042.7520194142</v>
      </c>
      <c r="I96" s="2">
        <f>$C96+total_production!H96</f>
        <v>-2835012.6425509425</v>
      </c>
      <c r="J96" s="2">
        <f>$C96+total_production!I96</f>
        <v>-2834970.5919987489</v>
      </c>
      <c r="K96" s="2">
        <f>$C96+total_production!J96</f>
        <v>-3828459.8940633605</v>
      </c>
      <c r="L96" s="2">
        <f>$C96+total_production!K96</f>
        <v>-3828420.7638321067</v>
      </c>
      <c r="M96" s="2">
        <f>$C96+total_production!L96</f>
        <v>-5086045.5027657654</v>
      </c>
      <c r="N96" s="2">
        <f>$C96+total_production!M96</f>
        <v>-5911554.6064848453</v>
      </c>
      <c r="O96" s="2">
        <f>$C96+total_production!N96</f>
        <v>-6633217.8679268351</v>
      </c>
      <c r="P96" s="2">
        <f>$C96+total_production!O96</f>
        <v>-6633217.8679268351</v>
      </c>
      <c r="Q96" s="2">
        <f>$C96+total_production!P96</f>
        <v>-6633217.8679268351</v>
      </c>
      <c r="R96" s="2">
        <f>$C96+total_production!Q96</f>
        <v>-7266771.2804379156</v>
      </c>
      <c r="S96" s="2">
        <f>$C96+total_production!R96</f>
        <v>-7266771.2804379156</v>
      </c>
      <c r="T96" s="2">
        <f>$C96+total_production!S96</f>
        <v>-7966056.8412454706</v>
      </c>
      <c r="U96" s="2">
        <f>$C96+total_production!T96</f>
        <v>-7966056.8412454706</v>
      </c>
      <c r="V96" s="2">
        <f>$C96+total_production!U96</f>
        <v>-8631080.0719738621</v>
      </c>
      <c r="W96" s="2">
        <f>$C96+total_production!V96</f>
        <v>-8631080.0719738621</v>
      </c>
      <c r="X96" s="2">
        <f>$C96+total_production!W96</f>
        <v>-9197327.8800457697</v>
      </c>
      <c r="Y96" s="2">
        <f>$C96+total_production!X96</f>
        <v>-9197327.8800457697</v>
      </c>
      <c r="Z96" s="2">
        <f>$C96+total_production!Y96</f>
        <v>-9197327.8800457697</v>
      </c>
      <c r="AA96" s="2">
        <f>$C96+total_production!Z96</f>
        <v>-9197327.8800457697</v>
      </c>
      <c r="AB96" s="2">
        <f>$C96+total_production!AA96</f>
        <v>-9197327.8800457697</v>
      </c>
    </row>
    <row r="97" spans="1:28" x14ac:dyDescent="0.2">
      <c r="A97" t="s">
        <v>527</v>
      </c>
      <c r="B97" t="s">
        <v>528</v>
      </c>
      <c r="C97" s="1">
        <v>9431870</v>
      </c>
      <c r="D97" s="2">
        <f>$C97+total_production!C97</f>
        <v>9444705.214520188</v>
      </c>
      <c r="E97" s="2">
        <f>$C97+total_production!D97</f>
        <v>9445134.4625790305</v>
      </c>
      <c r="F97" s="2">
        <f>$C97+total_production!E97</f>
        <v>9445738.9261002466</v>
      </c>
      <c r="G97" s="2">
        <f>$C97+total_production!F97</f>
        <v>9446340.9178972039</v>
      </c>
      <c r="H97" s="2">
        <f>$C97+total_production!G97</f>
        <v>9447244.6516280007</v>
      </c>
      <c r="I97" s="2">
        <f>$C97+total_production!H97</f>
        <v>9448060.1935811676</v>
      </c>
      <c r="J97" s="2">
        <f>$C97+total_production!I97</f>
        <v>9449199.1704946179</v>
      </c>
      <c r="K97" s="2">
        <f>$C97+total_production!J97</f>
        <v>9451772.8704262115</v>
      </c>
      <c r="L97" s="2">
        <f>$C97+total_production!K97</f>
        <v>9452832.7478283104</v>
      </c>
      <c r="M97" s="2">
        <f>$C97+total_production!L97</f>
        <v>9456474.527304776</v>
      </c>
      <c r="N97" s="2">
        <f>$C97+total_production!M97</f>
        <v>9458079.9336757977</v>
      </c>
      <c r="O97" s="2">
        <f>$C97+total_production!N97</f>
        <v>9459526.2139314972</v>
      </c>
      <c r="P97" s="2">
        <f>$C97+total_production!O97</f>
        <v>9459526.2139314972</v>
      </c>
      <c r="Q97" s="2">
        <f>$C97+total_production!P97</f>
        <v>9459526.2139314972</v>
      </c>
      <c r="R97" s="2">
        <f>$C97+total_production!Q97</f>
        <v>9460788.5769335479</v>
      </c>
      <c r="S97" s="2">
        <f>$C97+total_production!R97</f>
        <v>9460788.5769335479</v>
      </c>
      <c r="T97" s="2">
        <f>$C97+total_production!S97</f>
        <v>9462205.0763761997</v>
      </c>
      <c r="U97" s="2">
        <f>$C97+total_production!T97</f>
        <v>9462205.0763761997</v>
      </c>
      <c r="V97" s="2">
        <f>$C97+total_production!U97</f>
        <v>9463482.0608358234</v>
      </c>
      <c r="W97" s="2">
        <f>$C97+total_production!V97</f>
        <v>9463482.0608358234</v>
      </c>
      <c r="X97" s="2">
        <f>$C97+total_production!W97</f>
        <v>9464591.6223510262</v>
      </c>
      <c r="Y97" s="2">
        <f>$C97+total_production!X97</f>
        <v>9464591.6223510262</v>
      </c>
      <c r="Z97" s="2">
        <f>$C97+total_production!Y97</f>
        <v>9464591.6223510262</v>
      </c>
      <c r="AA97" s="2">
        <f>$C97+total_production!Z97</f>
        <v>9464591.6223510262</v>
      </c>
      <c r="AB97" s="2">
        <f>$C97+total_production!AA97</f>
        <v>9464591.6223510262</v>
      </c>
    </row>
    <row r="98" spans="1:28" x14ac:dyDescent="0.2">
      <c r="A98" t="s">
        <v>505</v>
      </c>
      <c r="B98" t="s">
        <v>506</v>
      </c>
      <c r="C98" s="1">
        <v>4456327</v>
      </c>
      <c r="D98" s="2">
        <f>$C98+total_production!C98</f>
        <v>4470294.1290054787</v>
      </c>
      <c r="E98" s="2">
        <f>$C98+total_production!D98</f>
        <v>4470362.2746548802</v>
      </c>
      <c r="F98" s="2">
        <f>$C98+total_production!E98</f>
        <v>4471043.7571940301</v>
      </c>
      <c r="G98" s="2">
        <f>$C98+total_production!F98</f>
        <v>4471556.1346628908</v>
      </c>
      <c r="H98" s="2">
        <f>$C98+total_production!G98</f>
        <v>4471165.2466837205</v>
      </c>
      <c r="I98" s="2">
        <f>$C98+total_production!H98</f>
        <v>4472084.7026666217</v>
      </c>
      <c r="J98" s="2">
        <f>$C98+total_production!I98</f>
        <v>4473368.8047700059</v>
      </c>
      <c r="K98" s="2">
        <f>$C98+total_production!J98</f>
        <v>4475483.9943726975</v>
      </c>
      <c r="L98" s="2">
        <f>$C98+total_production!K98</f>
        <v>4476678.9183305856</v>
      </c>
      <c r="M98" s="2">
        <f>$C98+total_production!L98</f>
        <v>4479789.1789103812</v>
      </c>
      <c r="N98" s="2">
        <f>$C98+total_production!M98</f>
        <v>4480945.6860646075</v>
      </c>
      <c r="O98" s="2">
        <f>$C98+total_production!N98</f>
        <v>4482004.9926249394</v>
      </c>
      <c r="P98" s="2">
        <f>$C98+total_production!O98</f>
        <v>4482004.9926249394</v>
      </c>
      <c r="Q98" s="2">
        <f>$C98+total_production!P98</f>
        <v>4482004.9926249394</v>
      </c>
      <c r="R98" s="2">
        <f>$C98+total_production!Q98</f>
        <v>4482926.6939766975</v>
      </c>
      <c r="S98" s="2">
        <f>$C98+total_production!R98</f>
        <v>4482926.6939766975</v>
      </c>
      <c r="T98" s="2">
        <f>$C98+total_production!S98</f>
        <v>4483970.1384499995</v>
      </c>
      <c r="U98" s="2">
        <f>$C98+total_production!T98</f>
        <v>4483970.1384499995</v>
      </c>
      <c r="V98" s="2">
        <f>$C98+total_production!U98</f>
        <v>4484883.4148035198</v>
      </c>
      <c r="W98" s="2">
        <f>$C98+total_production!V98</f>
        <v>4484883.4148035198</v>
      </c>
      <c r="X98" s="2">
        <f>$C98+total_production!W98</f>
        <v>4485686.1234696023</v>
      </c>
      <c r="Y98" s="2">
        <f>$C98+total_production!X98</f>
        <v>4485686.1234696023</v>
      </c>
      <c r="Z98" s="2">
        <f>$C98+total_production!Y98</f>
        <v>4485686.1234696023</v>
      </c>
      <c r="AA98" s="2">
        <f>$C98+total_production!Z98</f>
        <v>4485686.1234696023</v>
      </c>
      <c r="AB98" s="2">
        <f>$C98+total_production!AA98</f>
        <v>4485686.1234696023</v>
      </c>
    </row>
    <row r="99" spans="1:28" x14ac:dyDescent="0.2">
      <c r="A99" t="s">
        <v>801</v>
      </c>
      <c r="B99" t="s">
        <v>802</v>
      </c>
      <c r="C99" s="1">
        <v>2667220</v>
      </c>
      <c r="D99" s="2">
        <f>$C99+total_production!C99</f>
        <v>2668457.6135121887</v>
      </c>
      <c r="E99" s="2">
        <f>$C99+total_production!D99</f>
        <v>2668468.5839618724</v>
      </c>
      <c r="F99" s="2">
        <f>$C99+total_production!E99</f>
        <v>2668528.6763100298</v>
      </c>
      <c r="G99" s="2">
        <f>$C99+total_production!F99</f>
        <v>2668575.8417451861</v>
      </c>
      <c r="H99" s="2">
        <f>$C99+total_production!G99</f>
        <v>2668558.1956680282</v>
      </c>
      <c r="I99" s="2">
        <f>$C99+total_production!H99</f>
        <v>2668639.2722413312</v>
      </c>
      <c r="J99" s="2">
        <f>$C99+total_production!I99</f>
        <v>2668752.5028910297</v>
      </c>
      <c r="K99" s="2">
        <f>$C99+total_production!J99</f>
        <v>2668948.4020462302</v>
      </c>
      <c r="L99" s="2">
        <f>$C99+total_production!K99</f>
        <v>2669053.7690694095</v>
      </c>
      <c r="M99" s="2">
        <f>$C99+total_production!L99</f>
        <v>2669339.9075090834</v>
      </c>
      <c r="N99" s="2">
        <f>$C99+total_production!M99</f>
        <v>2669449.6842762735</v>
      </c>
      <c r="O99" s="2">
        <f>$C99+total_production!N99</f>
        <v>2669549.9091522968</v>
      </c>
      <c r="P99" s="2">
        <f>$C99+total_production!O99</f>
        <v>2669549.9091522968</v>
      </c>
      <c r="Q99" s="2">
        <f>$C99+total_production!P99</f>
        <v>2669549.9091522968</v>
      </c>
      <c r="R99" s="2">
        <f>$C99+total_production!Q99</f>
        <v>2669637.1679186104</v>
      </c>
      <c r="S99" s="2">
        <f>$C99+total_production!R99</f>
        <v>2669637.1679186104</v>
      </c>
      <c r="T99" s="2">
        <f>$C99+total_production!S99</f>
        <v>2669735.7827316485</v>
      </c>
      <c r="U99" s="2">
        <f>$C99+total_production!T99</f>
        <v>2669735.7827316485</v>
      </c>
      <c r="V99" s="2">
        <f>$C99+total_production!U99</f>
        <v>2669822.5958212088</v>
      </c>
      <c r="W99" s="2">
        <f>$C99+total_production!V99</f>
        <v>2669822.5958212088</v>
      </c>
      <c r="X99" s="2">
        <f>$C99+total_production!W99</f>
        <v>2669898.7262106286</v>
      </c>
      <c r="Y99" s="2">
        <f>$C99+total_production!X99</f>
        <v>2669898.7262106286</v>
      </c>
      <c r="Z99" s="2">
        <f>$C99+total_production!Y99</f>
        <v>2669898.7262106286</v>
      </c>
      <c r="AA99" s="2">
        <f>$C99+total_production!Z99</f>
        <v>2669898.7262106286</v>
      </c>
      <c r="AB99" s="2">
        <f>$C99+total_production!AA99</f>
        <v>2669898.7262106286</v>
      </c>
    </row>
    <row r="100" spans="1:28" x14ac:dyDescent="0.2">
      <c r="A100" t="s">
        <v>726</v>
      </c>
      <c r="B100" t="s">
        <v>727</v>
      </c>
      <c r="C100" s="1">
        <v>1340982</v>
      </c>
      <c r="D100" s="2">
        <f>$C100+total_production!C100</f>
        <v>1343527.970192408</v>
      </c>
      <c r="E100" s="2">
        <f>$C100+total_production!D100</f>
        <v>1343572.639742173</v>
      </c>
      <c r="F100" s="2">
        <f>$C100+total_production!E100</f>
        <v>1343694.9457423494</v>
      </c>
      <c r="G100" s="2">
        <f>$C100+total_production!F100</f>
        <v>1343799.878142138</v>
      </c>
      <c r="H100" s="2">
        <f>$C100+total_production!G100</f>
        <v>1343839.7124299221</v>
      </c>
      <c r="I100" s="2">
        <f>$C100+total_production!H100</f>
        <v>1344004.7276388917</v>
      </c>
      <c r="J100" s="2">
        <f>$C100+total_production!I100</f>
        <v>1344235.186063078</v>
      </c>
      <c r="K100" s="2">
        <f>$C100+total_production!J100</f>
        <v>1344676.1566474296</v>
      </c>
      <c r="L100" s="2">
        <f>$C100+total_production!K100</f>
        <v>1344890.6102268077</v>
      </c>
      <c r="M100" s="2">
        <f>$C100+total_production!L100</f>
        <v>1345526.4801834167</v>
      </c>
      <c r="N100" s="2">
        <f>$C100+total_production!M100</f>
        <v>1345785.0201326013</v>
      </c>
      <c r="O100" s="2">
        <f>$C100+total_production!N100</f>
        <v>1346019.702323386</v>
      </c>
      <c r="P100" s="2">
        <f>$C100+total_production!O100</f>
        <v>1346019.702323386</v>
      </c>
      <c r="Q100" s="2">
        <f>$C100+total_production!P100</f>
        <v>1346019.702323386</v>
      </c>
      <c r="R100" s="2">
        <f>$C100+total_production!Q100</f>
        <v>1346224.2470031723</v>
      </c>
      <c r="S100" s="2">
        <f>$C100+total_production!R100</f>
        <v>1346224.2470031723</v>
      </c>
      <c r="T100" s="2">
        <f>$C100+total_production!S100</f>
        <v>1346454.7004668647</v>
      </c>
      <c r="U100" s="2">
        <f>$C100+total_production!T100</f>
        <v>1346454.7004668647</v>
      </c>
      <c r="V100" s="2">
        <f>$C100+total_production!U100</f>
        <v>1346659.6764868128</v>
      </c>
      <c r="W100" s="2">
        <f>$C100+total_production!V100</f>
        <v>1346659.6764868128</v>
      </c>
      <c r="X100" s="2">
        <f>$C100+total_production!W100</f>
        <v>1346838.7088426705</v>
      </c>
      <c r="Y100" s="2">
        <f>$C100+total_production!X100</f>
        <v>1346838.7088426705</v>
      </c>
      <c r="Z100" s="2">
        <f>$C100+total_production!Y100</f>
        <v>1346838.7088426705</v>
      </c>
      <c r="AA100" s="2">
        <f>$C100+total_production!Z100</f>
        <v>1346838.7088426705</v>
      </c>
      <c r="AB100" s="2">
        <f>$C100+total_production!AA100</f>
        <v>1346838.7088426705</v>
      </c>
    </row>
    <row r="101" spans="1:28" x14ac:dyDescent="0.2">
      <c r="A101" t="s">
        <v>413</v>
      </c>
      <c r="B101" t="s">
        <v>414</v>
      </c>
      <c r="C101" s="1">
        <v>19877525</v>
      </c>
      <c r="D101" s="2">
        <f>$C101+total_production!C101</f>
        <v>19916459.639495827</v>
      </c>
      <c r="E101" s="2">
        <f>$C101+total_production!D101</f>
        <v>19914859.43017358</v>
      </c>
      <c r="F101" s="2">
        <f>$C101+total_production!E101</f>
        <v>19916865.525481086</v>
      </c>
      <c r="G101" s="2">
        <f>$C101+total_production!F101</f>
        <v>19917653.497884799</v>
      </c>
      <c r="H101" s="2">
        <f>$C101+total_production!G101</f>
        <v>19910397.109859373</v>
      </c>
      <c r="I101" s="2">
        <f>$C101+total_production!H101</f>
        <v>19913103.732886072</v>
      </c>
      <c r="J101" s="2">
        <f>$C101+total_production!I101</f>
        <v>19916883.772807822</v>
      </c>
      <c r="K101" s="2">
        <f>$C101+total_production!J101</f>
        <v>19919704.217458513</v>
      </c>
      <c r="L101" s="2">
        <f>$C101+total_production!K101</f>
        <v>19923221.741689932</v>
      </c>
      <c r="M101" s="2">
        <f>$C101+total_production!L101</f>
        <v>19928065.786456481</v>
      </c>
      <c r="N101" s="2">
        <f>$C101+total_production!M101</f>
        <v>19928640.10828295</v>
      </c>
      <c r="O101" s="2">
        <f>$C101+total_production!N101</f>
        <v>19929284.310499966</v>
      </c>
      <c r="P101" s="2">
        <f>$C101+total_production!O101</f>
        <v>19929284.310499966</v>
      </c>
      <c r="Q101" s="2">
        <f>$C101+total_production!P101</f>
        <v>19929284.310499966</v>
      </c>
      <c r="R101" s="2">
        <f>$C101+total_production!Q101</f>
        <v>19929825.512046382</v>
      </c>
      <c r="S101" s="2">
        <f>$C101+total_production!R101</f>
        <v>19929825.512046382</v>
      </c>
      <c r="T101" s="2">
        <f>$C101+total_production!S101</f>
        <v>19930499.736990556</v>
      </c>
      <c r="U101" s="2">
        <f>$C101+total_production!T101</f>
        <v>19930499.736990556</v>
      </c>
      <c r="V101" s="2">
        <f>$C101+total_production!U101</f>
        <v>19930908.254793625</v>
      </c>
      <c r="W101" s="2">
        <f>$C101+total_production!V101</f>
        <v>19930908.254793625</v>
      </c>
      <c r="X101" s="2">
        <f>$C101+total_production!W101</f>
        <v>19931329.923225287</v>
      </c>
      <c r="Y101" s="2">
        <f>$C101+total_production!X101</f>
        <v>19931329.923225287</v>
      </c>
      <c r="Z101" s="2">
        <f>$C101+total_production!Y101</f>
        <v>19931329.923225287</v>
      </c>
      <c r="AA101" s="2">
        <f>$C101+total_production!Z101</f>
        <v>19931329.923225287</v>
      </c>
      <c r="AB101" s="2">
        <f>$C101+total_production!AA101</f>
        <v>19931329.923225287</v>
      </c>
    </row>
    <row r="102" spans="1:28" x14ac:dyDescent="0.2">
      <c r="A102" t="s">
        <v>456</v>
      </c>
      <c r="B102" t="s">
        <v>457</v>
      </c>
      <c r="C102" s="1">
        <v>3923158</v>
      </c>
      <c r="D102" s="2">
        <f>$C102+total_production!C102</f>
        <v>3947336.7901437534</v>
      </c>
      <c r="E102" s="2">
        <f>$C102+total_production!D102</f>
        <v>3947840.2613155758</v>
      </c>
      <c r="F102" s="2">
        <f>$C102+total_production!E102</f>
        <v>3948997.0772407115</v>
      </c>
      <c r="G102" s="2">
        <f>$C102+total_production!F102</f>
        <v>3950021.9550949074</v>
      </c>
      <c r="H102" s="2">
        <f>$C102+total_production!G102</f>
        <v>3950673.2542197192</v>
      </c>
      <c r="I102" s="2">
        <f>$C102+total_production!H102</f>
        <v>3952234.0298263961</v>
      </c>
      <c r="J102" s="2">
        <f>$C102+total_production!I102</f>
        <v>3954413.7918560272</v>
      </c>
      <c r="K102" s="2">
        <f>$C102+total_production!J102</f>
        <v>3958737.8044899097</v>
      </c>
      <c r="L102" s="2">
        <f>$C102+total_production!K102</f>
        <v>3960766.1867072093</v>
      </c>
      <c r="M102" s="2">
        <f>$C102+total_production!L102</f>
        <v>3966974.3495906228</v>
      </c>
      <c r="N102" s="2">
        <f>$C102+total_production!M102</f>
        <v>3969546.9675757075</v>
      </c>
      <c r="O102" s="2">
        <f>$C102+total_production!N102</f>
        <v>3971877.9225920048</v>
      </c>
      <c r="P102" s="2">
        <f>$C102+total_production!O102</f>
        <v>3971877.9225920048</v>
      </c>
      <c r="Q102" s="2">
        <f>$C102+total_production!P102</f>
        <v>3971877.9225920048</v>
      </c>
      <c r="R102" s="2">
        <f>$C102+total_production!Q102</f>
        <v>3973910.2437420646</v>
      </c>
      <c r="S102" s="2">
        <f>$C102+total_production!R102</f>
        <v>3973910.2437420646</v>
      </c>
      <c r="T102" s="2">
        <f>$C102+total_production!S102</f>
        <v>3976197.7524805148</v>
      </c>
      <c r="U102" s="2">
        <f>$C102+total_production!T102</f>
        <v>3976197.7524805148</v>
      </c>
      <c r="V102" s="2">
        <f>$C102+total_production!U102</f>
        <v>3978239.0041442844</v>
      </c>
      <c r="W102" s="2">
        <f>$C102+total_production!V102</f>
        <v>3978239.0041442844</v>
      </c>
      <c r="X102" s="2">
        <f>$C102+total_production!W102</f>
        <v>3980019.6450530668</v>
      </c>
      <c r="Y102" s="2">
        <f>$C102+total_production!X102</f>
        <v>3980019.6450530668</v>
      </c>
      <c r="Z102" s="2">
        <f>$C102+total_production!Y102</f>
        <v>3980019.6450530668</v>
      </c>
      <c r="AA102" s="2">
        <f>$C102+total_production!Z102</f>
        <v>3980019.6450530668</v>
      </c>
      <c r="AB102" s="2">
        <f>$C102+total_production!AA102</f>
        <v>3980019.6450530668</v>
      </c>
    </row>
    <row r="103" spans="1:28" x14ac:dyDescent="0.2">
      <c r="A103" t="s">
        <v>533</v>
      </c>
      <c r="B103" t="s">
        <v>534</v>
      </c>
      <c r="C103" s="1">
        <v>2540443</v>
      </c>
      <c r="D103" s="2">
        <f>$C103+total_production!C103</f>
        <v>2552413.716079663</v>
      </c>
      <c r="E103" s="2">
        <f>$C103+total_production!D103</f>
        <v>2552765.5018675327</v>
      </c>
      <c r="F103" s="2">
        <f>$C103+total_production!E103</f>
        <v>2553332.1382446592</v>
      </c>
      <c r="G103" s="2">
        <f>$C103+total_production!F103</f>
        <v>2553876.2175522549</v>
      </c>
      <c r="H103" s="2">
        <f>$C103+total_production!G103</f>
        <v>2554551.8343802844</v>
      </c>
      <c r="I103" s="2">
        <f>$C103+total_production!H103</f>
        <v>2555316.339965018</v>
      </c>
      <c r="J103" s="2">
        <f>$C103+total_production!I103</f>
        <v>2556384.0400481774</v>
      </c>
      <c r="K103" s="2">
        <f>$C103+total_production!J103</f>
        <v>2558700.9727767343</v>
      </c>
      <c r="L103" s="2">
        <f>$C103+total_production!K103</f>
        <v>2559694.5233720057</v>
      </c>
      <c r="M103" s="2">
        <f>$C103+total_production!L103</f>
        <v>2562987.2492174744</v>
      </c>
      <c r="N103" s="2">
        <f>$C103+total_production!M103</f>
        <v>2564412.6678416668</v>
      </c>
      <c r="O103" s="2">
        <f>$C103+total_production!N103</f>
        <v>2565698.9218091057</v>
      </c>
      <c r="P103" s="2">
        <f>$C103+total_production!O103</f>
        <v>2565698.9218091057</v>
      </c>
      <c r="Q103" s="2">
        <f>$C103+total_production!P103</f>
        <v>2565698.9218091057</v>
      </c>
      <c r="R103" s="2">
        <f>$C103+total_production!Q103</f>
        <v>2566821.2557405108</v>
      </c>
      <c r="S103" s="2">
        <f>$C103+total_production!R103</f>
        <v>2566821.2557405108</v>
      </c>
      <c r="T103" s="2">
        <f>$C103+total_production!S103</f>
        <v>2568081.7481807549</v>
      </c>
      <c r="U103" s="2">
        <f>$C103+total_production!T103</f>
        <v>2568081.7481807549</v>
      </c>
      <c r="V103" s="2">
        <f>$C103+total_production!U103</f>
        <v>2569214.757218136</v>
      </c>
      <c r="W103" s="2">
        <f>$C103+total_production!V103</f>
        <v>2569214.757218136</v>
      </c>
      <c r="X103" s="2">
        <f>$C103+total_production!W103</f>
        <v>2570200.3356100186</v>
      </c>
      <c r="Y103" s="2">
        <f>$C103+total_production!X103</f>
        <v>2570200.3356100186</v>
      </c>
      <c r="Z103" s="2">
        <f>$C103+total_production!Y103</f>
        <v>2570200.3356100186</v>
      </c>
      <c r="AA103" s="2">
        <f>$C103+total_production!Z103</f>
        <v>2570200.3356100186</v>
      </c>
      <c r="AB103" s="2">
        <f>$C103+total_production!AA103</f>
        <v>2570200.3356100186</v>
      </c>
    </row>
    <row r="104" spans="1:28" x14ac:dyDescent="0.2">
      <c r="A104" t="s">
        <v>716</v>
      </c>
      <c r="B104" t="s">
        <v>717</v>
      </c>
      <c r="C104" s="1">
        <v>1323709</v>
      </c>
      <c r="D104" s="2">
        <f>$C104+total_production!C104</f>
        <v>1324636.2031560265</v>
      </c>
      <c r="E104" s="2">
        <f>$C104+total_production!D104</f>
        <v>1323090.0437284103</v>
      </c>
      <c r="F104" s="2">
        <f>$C104+total_production!E104</f>
        <v>1323227.4503503437</v>
      </c>
      <c r="G104" s="2">
        <f>$C104+total_production!F104</f>
        <v>1322706.8006022733</v>
      </c>
      <c r="H104" s="2">
        <f>$C104+total_production!G104</f>
        <v>1317339.0843671777</v>
      </c>
      <c r="I104" s="2">
        <f>$C104+total_production!H104</f>
        <v>1317524.4733292842</v>
      </c>
      <c r="J104" s="2">
        <f>$C104+total_production!I104</f>
        <v>1317783.3855128062</v>
      </c>
      <c r="K104" s="2">
        <f>$C104+total_production!J104</f>
        <v>1315259.4474731428</v>
      </c>
      <c r="L104" s="2">
        <f>$C104+total_production!K104</f>
        <v>1315500.3787591083</v>
      </c>
      <c r="M104" s="2">
        <f>$C104+total_production!L104</f>
        <v>1312392.6157853939</v>
      </c>
      <c r="N104" s="2">
        <f>$C104+total_production!M104</f>
        <v>1310174.2983639298</v>
      </c>
      <c r="O104" s="2">
        <f>$C104+total_production!N104</f>
        <v>1308244.7673278861</v>
      </c>
      <c r="P104" s="2">
        <f>$C104+total_production!O104</f>
        <v>1308244.7673278861</v>
      </c>
      <c r="Q104" s="2">
        <f>$C104+total_production!P104</f>
        <v>1308244.7673278861</v>
      </c>
      <c r="R104" s="2">
        <f>$C104+total_production!Q104</f>
        <v>1306549.1510513842</v>
      </c>
      <c r="S104" s="2">
        <f>$C104+total_production!R104</f>
        <v>1306549.1510513842</v>
      </c>
      <c r="T104" s="2">
        <f>$C104+total_production!S104</f>
        <v>1304682.8749955702</v>
      </c>
      <c r="U104" s="2">
        <f>$C104+total_production!T104</f>
        <v>1304682.8749955702</v>
      </c>
      <c r="V104" s="2">
        <f>$C104+total_production!U104</f>
        <v>1302892.1096256876</v>
      </c>
      <c r="W104" s="2">
        <f>$C104+total_production!V104</f>
        <v>1302892.1096256876</v>
      </c>
      <c r="X104" s="2">
        <f>$C104+total_production!W104</f>
        <v>1301372.3798847857</v>
      </c>
      <c r="Y104" s="2">
        <f>$C104+total_production!X104</f>
        <v>1301372.3798847857</v>
      </c>
      <c r="Z104" s="2">
        <f>$C104+total_production!Y104</f>
        <v>1301372.3798847857</v>
      </c>
      <c r="AA104" s="2">
        <f>$C104+total_production!Z104</f>
        <v>1301372.3798847857</v>
      </c>
      <c r="AB104" s="2">
        <f>$C104+total_production!AA104</f>
        <v>1301372.3798847857</v>
      </c>
    </row>
    <row r="105" spans="1:28" x14ac:dyDescent="0.2">
      <c r="A105" t="s">
        <v>637</v>
      </c>
      <c r="B105" t="s">
        <v>638</v>
      </c>
      <c r="C105" s="1">
        <v>2018805</v>
      </c>
      <c r="D105" s="2">
        <f>$C105+total_production!C105</f>
        <v>2017497.0915312835</v>
      </c>
      <c r="E105" s="2">
        <f>$C105+total_production!D105</f>
        <v>2012275.0185551252</v>
      </c>
      <c r="F105" s="2">
        <f>$C105+total_production!E105</f>
        <v>2012521.2038385908</v>
      </c>
      <c r="G105" s="2">
        <f>$C105+total_production!F105</f>
        <v>2010607.6235480846</v>
      </c>
      <c r="H105" s="2">
        <f>$C105+total_production!G105</f>
        <v>1992677.3011214356</v>
      </c>
      <c r="I105" s="2">
        <f>$C105+total_production!H105</f>
        <v>1993009.4542123524</v>
      </c>
      <c r="J105" s="2">
        <f>$C105+total_production!I105</f>
        <v>1993473.3355624373</v>
      </c>
      <c r="K105" s="2">
        <f>$C105+total_production!J105</f>
        <v>1984313.7638896522</v>
      </c>
      <c r="L105" s="2">
        <f>$C105+total_production!K105</f>
        <v>1984745.4296718149</v>
      </c>
      <c r="M105" s="2">
        <f>$C105+total_production!L105</f>
        <v>1973306.8114338468</v>
      </c>
      <c r="N105" s="2">
        <f>$C105+total_production!M105</f>
        <v>1965479.0193018103</v>
      </c>
      <c r="O105" s="2">
        <f>$C105+total_production!N105</f>
        <v>1958653.3596567914</v>
      </c>
      <c r="P105" s="2">
        <f>$C105+total_production!O105</f>
        <v>1958653.3596567914</v>
      </c>
      <c r="Q105" s="2">
        <f>$C105+total_production!P105</f>
        <v>1958653.3596567914</v>
      </c>
      <c r="R105" s="2">
        <f>$C105+total_production!Q105</f>
        <v>1952658.0781448432</v>
      </c>
      <c r="S105" s="2">
        <f>$C105+total_production!R105</f>
        <v>1952658.0781448432</v>
      </c>
      <c r="T105" s="2">
        <f>$C105+total_production!S105</f>
        <v>1946050.2024412849</v>
      </c>
      <c r="U105" s="2">
        <f>$C105+total_production!T105</f>
        <v>1946050.2024412849</v>
      </c>
      <c r="V105" s="2">
        <f>$C105+total_production!U105</f>
        <v>1939737.5589782624</v>
      </c>
      <c r="W105" s="2">
        <f>$C105+total_production!V105</f>
        <v>1939737.5589782624</v>
      </c>
      <c r="X105" s="2">
        <f>$C105+total_production!W105</f>
        <v>1934371.5800638446</v>
      </c>
      <c r="Y105" s="2">
        <f>$C105+total_production!X105</f>
        <v>1934371.5800638446</v>
      </c>
      <c r="Z105" s="2">
        <f>$C105+total_production!Y105</f>
        <v>1934371.5800638446</v>
      </c>
      <c r="AA105" s="2">
        <f>$C105+total_production!Z105</f>
        <v>1934371.5800638446</v>
      </c>
      <c r="AB105" s="2">
        <f>$C105+total_production!AA105</f>
        <v>1934371.5800638446</v>
      </c>
    </row>
    <row r="106" spans="1:28" x14ac:dyDescent="0.2">
      <c r="A106" t="s">
        <v>569</v>
      </c>
      <c r="B106" t="s">
        <v>570</v>
      </c>
      <c r="C106" s="1">
        <v>2880325</v>
      </c>
      <c r="D106" s="2">
        <f>$C106+total_production!C106</f>
        <v>2887480.9265356241</v>
      </c>
      <c r="E106" s="2">
        <f>$C106+total_production!D106</f>
        <v>2886955.3724328983</v>
      </c>
      <c r="F106" s="2">
        <f>$C106+total_production!E106</f>
        <v>2887337.8356205043</v>
      </c>
      <c r="G106" s="2">
        <f>$C106+total_production!F106</f>
        <v>2887399.8736674846</v>
      </c>
      <c r="H106" s="2">
        <f>$C106+total_production!G106</f>
        <v>2885268.9156887159</v>
      </c>
      <c r="I106" s="2">
        <f>$C106+total_production!H106</f>
        <v>2885784.9348761225</v>
      </c>
      <c r="J106" s="2">
        <f>$C106+total_production!I106</f>
        <v>2886505.6015923745</v>
      </c>
      <c r="K106" s="2">
        <f>$C106+total_production!J106</f>
        <v>2886626.3138409755</v>
      </c>
      <c r="L106" s="2">
        <f>$C106+total_production!K106</f>
        <v>2887296.9317946672</v>
      </c>
      <c r="M106" s="2">
        <f>$C106+total_production!L106</f>
        <v>2887692.570404605</v>
      </c>
      <c r="N106" s="2">
        <f>$C106+total_production!M106</f>
        <v>2887455.5743375095</v>
      </c>
      <c r="O106" s="2">
        <f>$C106+total_production!N106</f>
        <v>2887275.4875458535</v>
      </c>
      <c r="P106" s="2">
        <f>$C106+total_production!O106</f>
        <v>2887275.4875458535</v>
      </c>
      <c r="Q106" s="2">
        <f>$C106+total_production!P106</f>
        <v>2887275.4875458535</v>
      </c>
      <c r="R106" s="2">
        <f>$C106+total_production!Q106</f>
        <v>2887112.7461506664</v>
      </c>
      <c r="S106" s="2">
        <f>$C106+total_production!R106</f>
        <v>2887112.7461506664</v>
      </c>
      <c r="T106" s="2">
        <f>$C106+total_production!S106</f>
        <v>2886947.7755855569</v>
      </c>
      <c r="U106" s="2">
        <f>$C106+total_production!T106</f>
        <v>2886947.7755855569</v>
      </c>
      <c r="V106" s="2">
        <f>$C106+total_production!U106</f>
        <v>2886746.5298593044</v>
      </c>
      <c r="W106" s="2">
        <f>$C106+total_production!V106</f>
        <v>2886746.5298593044</v>
      </c>
      <c r="X106" s="2">
        <f>$C106+total_production!W106</f>
        <v>2886589.2499224781</v>
      </c>
      <c r="Y106" s="2">
        <f>$C106+total_production!X106</f>
        <v>2886589.2499224781</v>
      </c>
      <c r="Z106" s="2">
        <f>$C106+total_production!Y106</f>
        <v>2886589.2499224781</v>
      </c>
      <c r="AA106" s="2">
        <f>$C106+total_production!Z106</f>
        <v>2886589.2499224781</v>
      </c>
      <c r="AB106" s="2">
        <f>$C106+total_production!AA106</f>
        <v>2886589.2499224781</v>
      </c>
    </row>
    <row r="107" spans="1:28" x14ac:dyDescent="0.2">
      <c r="A107" t="s">
        <v>551</v>
      </c>
      <c r="B107" t="s">
        <v>552</v>
      </c>
      <c r="C107" s="1">
        <v>7007060</v>
      </c>
      <c r="D107" s="2">
        <f>$C107+total_production!C107</f>
        <v>7016717.8690504357</v>
      </c>
      <c r="E107" s="2">
        <f>$C107+total_production!D107</f>
        <v>7016946.9374112133</v>
      </c>
      <c r="F107" s="2">
        <f>$C107+total_production!E107</f>
        <v>7017407.3487745514</v>
      </c>
      <c r="G107" s="2">
        <f>$C107+total_production!F107</f>
        <v>7017826.723916728</v>
      </c>
      <c r="H107" s="2">
        <f>$C107+total_production!G107</f>
        <v>7018183.2060830807</v>
      </c>
      <c r="I107" s="2">
        <f>$C107+total_production!H107</f>
        <v>7018804.3929195683</v>
      </c>
      <c r="J107" s="2">
        <f>$C107+total_production!I107</f>
        <v>7019671.9356167316</v>
      </c>
      <c r="K107" s="2">
        <f>$C107+total_production!J107</f>
        <v>7021447.1474220781</v>
      </c>
      <c r="L107" s="2">
        <f>$C107+total_production!K107</f>
        <v>7022254.4411338465</v>
      </c>
      <c r="M107" s="2">
        <f>$C107+total_production!L107</f>
        <v>7024793.9691623151</v>
      </c>
      <c r="N107" s="2">
        <f>$C107+total_production!M107</f>
        <v>7025862.9525813526</v>
      </c>
      <c r="O107" s="2">
        <f>$C107+total_production!N107</f>
        <v>7026830.083054876</v>
      </c>
      <c r="P107" s="2">
        <f>$C107+total_production!O107</f>
        <v>7026830.083054876</v>
      </c>
      <c r="Q107" s="2">
        <f>$C107+total_production!P107</f>
        <v>7026830.083054876</v>
      </c>
      <c r="R107" s="2">
        <f>$C107+total_production!Q107</f>
        <v>7027673.5455303974</v>
      </c>
      <c r="S107" s="2">
        <f>$C107+total_production!R107</f>
        <v>7027673.5455303974</v>
      </c>
      <c r="T107" s="2">
        <f>$C107+total_production!S107</f>
        <v>7028622.1623244742</v>
      </c>
      <c r="U107" s="2">
        <f>$C107+total_production!T107</f>
        <v>7028622.1623244742</v>
      </c>
      <c r="V107" s="2">
        <f>$C107+total_production!U107</f>
        <v>7029470.8977388423</v>
      </c>
      <c r="W107" s="2">
        <f>$C107+total_production!V107</f>
        <v>7029470.8977388423</v>
      </c>
      <c r="X107" s="2">
        <f>$C107+total_production!W107</f>
        <v>7030210.5158916041</v>
      </c>
      <c r="Y107" s="2">
        <f>$C107+total_production!X107</f>
        <v>7030210.5158916041</v>
      </c>
      <c r="Z107" s="2">
        <f>$C107+total_production!Y107</f>
        <v>7030210.5158916041</v>
      </c>
      <c r="AA107" s="2">
        <f>$C107+total_production!Z107</f>
        <v>7030210.5158916041</v>
      </c>
      <c r="AB107" s="2">
        <f>$C107+total_production!AA107</f>
        <v>7030210.5158916041</v>
      </c>
    </row>
    <row r="108" spans="1:28" x14ac:dyDescent="0.2">
      <c r="A108" t="s">
        <v>482</v>
      </c>
      <c r="B108" t="s">
        <v>483</v>
      </c>
      <c r="C108" s="1">
        <v>7454394</v>
      </c>
      <c r="D108" s="2">
        <f>$C108+total_production!C108</f>
        <v>7474385.1162281325</v>
      </c>
      <c r="E108" s="2">
        <f>$C108+total_production!D108</f>
        <v>7475348.3579309313</v>
      </c>
      <c r="F108" s="2">
        <f>$C108+total_production!E108</f>
        <v>7476272.3079887992</v>
      </c>
      <c r="G108" s="2">
        <f>$C108+total_production!F108</f>
        <v>7477315.3265036941</v>
      </c>
      <c r="H108" s="2">
        <f>$C108+total_production!G108</f>
        <v>7479738.0154044731</v>
      </c>
      <c r="I108" s="2">
        <f>$C108+total_production!H108</f>
        <v>7480984.6084715053</v>
      </c>
      <c r="J108" s="2">
        <f>$C108+total_production!I108</f>
        <v>7482725.5866251206</v>
      </c>
      <c r="K108" s="2">
        <f>$C108+total_production!J108</f>
        <v>7487240.4898458179</v>
      </c>
      <c r="L108" s="2">
        <f>$C108+total_production!K108</f>
        <v>7488860.5607891111</v>
      </c>
      <c r="M108" s="2">
        <f>$C108+total_production!L108</f>
        <v>7495162.5185324829</v>
      </c>
      <c r="N108" s="2">
        <f>$C108+total_production!M108</f>
        <v>7498099.1126590418</v>
      </c>
      <c r="O108" s="2">
        <f>$C108+total_production!N108</f>
        <v>7500731.7597733913</v>
      </c>
      <c r="P108" s="2">
        <f>$C108+total_production!O108</f>
        <v>7500731.7597733913</v>
      </c>
      <c r="Q108" s="2">
        <f>$C108+total_production!P108</f>
        <v>7500731.7597733913</v>
      </c>
      <c r="R108" s="2">
        <f>$C108+total_production!Q108</f>
        <v>7503031.7647885475</v>
      </c>
      <c r="S108" s="2">
        <f>$C108+total_production!R108</f>
        <v>7503031.7647885475</v>
      </c>
      <c r="T108" s="2">
        <f>$C108+total_production!S108</f>
        <v>7505605.8071121536</v>
      </c>
      <c r="U108" s="2">
        <f>$C108+total_production!T108</f>
        <v>7505605.8071121536</v>
      </c>
      <c r="V108" s="2">
        <f>$C108+total_production!U108</f>
        <v>7507946.5604070649</v>
      </c>
      <c r="W108" s="2">
        <f>$C108+total_production!V108</f>
        <v>7507946.5604070649</v>
      </c>
      <c r="X108" s="2">
        <f>$C108+total_production!W108</f>
        <v>7509973.64878063</v>
      </c>
      <c r="Y108" s="2">
        <f>$C108+total_production!X108</f>
        <v>7509973.64878063</v>
      </c>
      <c r="Z108" s="2">
        <f>$C108+total_production!Y108</f>
        <v>7509973.64878063</v>
      </c>
      <c r="AA108" s="2">
        <f>$C108+total_production!Z108</f>
        <v>7509973.64878063</v>
      </c>
      <c r="AB108" s="2">
        <f>$C108+total_production!AA108</f>
        <v>7509973.64878063</v>
      </c>
    </row>
    <row r="109" spans="1:28" x14ac:dyDescent="0.2">
      <c r="A109" t="s">
        <v>573</v>
      </c>
      <c r="B109" t="s">
        <v>574</v>
      </c>
      <c r="C109" s="1">
        <v>4059569</v>
      </c>
      <c r="D109" s="2">
        <f>$C109+total_production!C109</f>
        <v>4067450.8667186019</v>
      </c>
      <c r="E109" s="2">
        <f>$C109+total_production!D109</f>
        <v>4067575.973955154</v>
      </c>
      <c r="F109" s="2">
        <f>$C109+total_production!E109</f>
        <v>4067955.3948457115</v>
      </c>
      <c r="G109" s="2">
        <f>$C109+total_production!F109</f>
        <v>4068275.5317694135</v>
      </c>
      <c r="H109" s="2">
        <f>$C109+total_production!G109</f>
        <v>4068353.4435769618</v>
      </c>
      <c r="I109" s="2">
        <f>$C109+total_production!H109</f>
        <v>4068865.3580983463</v>
      </c>
      <c r="J109" s="2">
        <f>$C109+total_production!I109</f>
        <v>4069580.2922832202</v>
      </c>
      <c r="K109" s="2">
        <f>$C109+total_production!J109</f>
        <v>4070922.809564237</v>
      </c>
      <c r="L109" s="2">
        <f>$C109+total_production!K109</f>
        <v>4071588.0930985971</v>
      </c>
      <c r="M109" s="2">
        <f>$C109+total_production!L109</f>
        <v>4073528.4594897586</v>
      </c>
      <c r="N109" s="2">
        <f>$C109+total_production!M109</f>
        <v>4074309.3432066091</v>
      </c>
      <c r="O109" s="2">
        <f>$C109+total_production!N109</f>
        <v>4075018.8772819531</v>
      </c>
      <c r="P109" s="2">
        <f>$C109+total_production!O109</f>
        <v>4075018.8772819531</v>
      </c>
      <c r="Q109" s="2">
        <f>$C109+total_production!P109</f>
        <v>4075018.8772819531</v>
      </c>
      <c r="R109" s="2">
        <f>$C109+total_production!Q109</f>
        <v>4075637.1770901564</v>
      </c>
      <c r="S109" s="2">
        <f>$C109+total_production!R109</f>
        <v>4075637.1770901564</v>
      </c>
      <c r="T109" s="2">
        <f>$C109+total_production!S109</f>
        <v>4076334.1664391183</v>
      </c>
      <c r="U109" s="2">
        <f>$C109+total_production!T109</f>
        <v>4076334.1664391183</v>
      </c>
      <c r="V109" s="2">
        <f>$C109+total_production!U109</f>
        <v>4076952.9975330262</v>
      </c>
      <c r="W109" s="2">
        <f>$C109+total_production!V109</f>
        <v>4076952.9975330262</v>
      </c>
      <c r="X109" s="2">
        <f>$C109+total_production!W109</f>
        <v>4077493.878047647</v>
      </c>
      <c r="Y109" s="2">
        <f>$C109+total_production!X109</f>
        <v>4077493.878047647</v>
      </c>
      <c r="Z109" s="2">
        <f>$C109+total_production!Y109</f>
        <v>4077493.878047647</v>
      </c>
      <c r="AA109" s="2">
        <f>$C109+total_production!Z109</f>
        <v>4077493.878047647</v>
      </c>
      <c r="AB109" s="2">
        <f>$C109+total_production!AA109</f>
        <v>4077493.878047647</v>
      </c>
    </row>
    <row r="110" spans="1:28" x14ac:dyDescent="0.2">
      <c r="A110" t="s">
        <v>376</v>
      </c>
      <c r="B110" t="s">
        <v>377</v>
      </c>
      <c r="C110" s="1">
        <v>4991521</v>
      </c>
      <c r="D110" s="2">
        <f>$C110+total_production!C110</f>
        <v>5084272.963010204</v>
      </c>
      <c r="E110" s="2">
        <f>$C110+total_production!D110</f>
        <v>5091398.7029969655</v>
      </c>
      <c r="F110" s="2">
        <f>$C110+total_production!E110</f>
        <v>5095527.6165701691</v>
      </c>
      <c r="G110" s="2">
        <f>$C110+total_production!F110</f>
        <v>5101317.1154895583</v>
      </c>
      <c r="H110" s="2">
        <f>$C110+total_production!G110</f>
        <v>5121709.0691082412</v>
      </c>
      <c r="I110" s="2">
        <f>$C110+total_production!H110</f>
        <v>5127279.7977324836</v>
      </c>
      <c r="J110" s="2">
        <f>$C110+total_production!I110</f>
        <v>5135059.8160006795</v>
      </c>
      <c r="K110" s="2">
        <f>$C110+total_production!J110</f>
        <v>5160571.992873759</v>
      </c>
      <c r="L110" s="2">
        <f>$C110+total_production!K110</f>
        <v>5167811.7055079611</v>
      </c>
      <c r="M110" s="2">
        <f>$C110+total_production!L110</f>
        <v>5202728.583022966</v>
      </c>
      <c r="N110" s="2">
        <f>$C110+total_production!M110</f>
        <v>5220285.3243189789</v>
      </c>
      <c r="O110" s="2">
        <f>$C110+total_production!N110</f>
        <v>5235926.0523263747</v>
      </c>
      <c r="P110" s="2">
        <f>$C110+total_production!O110</f>
        <v>5235926.0523263747</v>
      </c>
      <c r="Q110" s="2">
        <f>$C110+total_production!P110</f>
        <v>5235926.0523263747</v>
      </c>
      <c r="R110" s="2">
        <f>$C110+total_production!Q110</f>
        <v>5249607.0423477013</v>
      </c>
      <c r="S110" s="2">
        <f>$C110+total_production!R110</f>
        <v>5249607.0423477013</v>
      </c>
      <c r="T110" s="2">
        <f>$C110+total_production!S110</f>
        <v>5264865.6918283505</v>
      </c>
      <c r="U110" s="2">
        <f>$C110+total_production!T110</f>
        <v>5264865.6918283505</v>
      </c>
      <c r="V110" s="2">
        <f>$C110+total_production!U110</f>
        <v>5278897.7910024356</v>
      </c>
      <c r="W110" s="2">
        <f>$C110+total_production!V110</f>
        <v>5278897.7910024356</v>
      </c>
      <c r="X110" s="2">
        <f>$C110+total_production!W110</f>
        <v>5290997.6794171333</v>
      </c>
      <c r="Y110" s="2">
        <f>$C110+total_production!X110</f>
        <v>5290997.6794171333</v>
      </c>
      <c r="Z110" s="2">
        <f>$C110+total_production!Y110</f>
        <v>5290997.6794171333</v>
      </c>
      <c r="AA110" s="2">
        <f>$C110+total_production!Z110</f>
        <v>5290997.6794171333</v>
      </c>
      <c r="AB110" s="2">
        <f>$C110+total_production!AA110</f>
        <v>5290997.6794171333</v>
      </c>
    </row>
    <row r="111" spans="1:28" x14ac:dyDescent="0.2">
      <c r="A111" t="s">
        <v>360</v>
      </c>
      <c r="B111" t="s">
        <v>361</v>
      </c>
      <c r="C111" s="1">
        <v>5436469</v>
      </c>
      <c r="D111" s="2">
        <f>$C111+total_production!C111</f>
        <v>5572732.3162122276</v>
      </c>
      <c r="E111" s="2">
        <f>$C111+total_production!D111</f>
        <v>5584248.8760937368</v>
      </c>
      <c r="F111" s="2">
        <f>$C111+total_production!E111</f>
        <v>5590252.4349811208</v>
      </c>
      <c r="G111" s="2">
        <f>$C111+total_production!F111</f>
        <v>5599132.7444252027</v>
      </c>
      <c r="H111" s="2">
        <f>$C111+total_production!G111</f>
        <v>5632701.098967066</v>
      </c>
      <c r="I111" s="2">
        <f>$C111+total_production!H111</f>
        <v>5640801.0983369555</v>
      </c>
      <c r="J111" s="2">
        <f>$C111+total_production!I111</f>
        <v>5652113.4682836551</v>
      </c>
      <c r="K111" s="2">
        <f>$C111+total_production!J111</f>
        <v>5691394.4945492586</v>
      </c>
      <c r="L111" s="2">
        <f>$C111+total_production!K111</f>
        <v>5701921.2445905395</v>
      </c>
      <c r="M111" s="2">
        <f>$C111+total_production!L111</f>
        <v>5755458.0813869443</v>
      </c>
      <c r="N111" s="2">
        <f>$C111+total_production!M111</f>
        <v>5782802.0910303416</v>
      </c>
      <c r="O111" s="2">
        <f>$C111+total_production!N111</f>
        <v>5807131.7195972176</v>
      </c>
      <c r="P111" s="2">
        <f>$C111+total_production!O111</f>
        <v>5807131.7195972176</v>
      </c>
      <c r="Q111" s="2">
        <f>$C111+total_production!P111</f>
        <v>5807131.7195972176</v>
      </c>
      <c r="R111" s="2">
        <f>$C111+total_production!Q111</f>
        <v>5828418.0025912663</v>
      </c>
      <c r="S111" s="2">
        <f>$C111+total_production!R111</f>
        <v>5828418.0025912663</v>
      </c>
      <c r="T111" s="2">
        <f>$C111+total_production!S111</f>
        <v>5852142.8513375092</v>
      </c>
      <c r="U111" s="2">
        <f>$C111+total_production!T111</f>
        <v>5852142.8513375092</v>
      </c>
      <c r="V111" s="2">
        <f>$C111+total_production!U111</f>
        <v>5874008.8825035328</v>
      </c>
      <c r="W111" s="2">
        <f>$C111+total_production!V111</f>
        <v>5874008.8825035328</v>
      </c>
      <c r="X111" s="2">
        <f>$C111+total_production!W111</f>
        <v>5892848.133739504</v>
      </c>
      <c r="Y111" s="2">
        <f>$C111+total_production!X111</f>
        <v>5892848.133739504</v>
      </c>
      <c r="Z111" s="2">
        <f>$C111+total_production!Y111</f>
        <v>5892848.133739504</v>
      </c>
      <c r="AA111" s="2">
        <f>$C111+total_production!Z111</f>
        <v>5892848.133739504</v>
      </c>
      <c r="AB111" s="2">
        <f>$C111+total_production!AA111</f>
        <v>5892848.133739504</v>
      </c>
    </row>
    <row r="112" spans="1:28" x14ac:dyDescent="0.2">
      <c r="A112" t="s">
        <v>378</v>
      </c>
      <c r="B112" t="s">
        <v>379</v>
      </c>
      <c r="C112" s="1">
        <v>5419403</v>
      </c>
      <c r="D112" s="2">
        <f>$C112+total_production!C112</f>
        <v>5508154.0338753415</v>
      </c>
      <c r="E112" s="2">
        <f>$C112+total_production!D112</f>
        <v>5514139.0150242588</v>
      </c>
      <c r="F112" s="2">
        <f>$C112+total_production!E112</f>
        <v>5518139.357807748</v>
      </c>
      <c r="G112" s="2">
        <f>$C112+total_production!F112</f>
        <v>5523381.0289234538</v>
      </c>
      <c r="H112" s="2">
        <f>$C112+total_production!G112</f>
        <v>5540022.5310705379</v>
      </c>
      <c r="I112" s="2">
        <f>$C112+total_production!H112</f>
        <v>5545419.7920341473</v>
      </c>
      <c r="J112" s="2">
        <f>$C112+total_production!I112</f>
        <v>5552957.5472772149</v>
      </c>
      <c r="K112" s="2">
        <f>$C112+total_production!J112</f>
        <v>5575937.3311580503</v>
      </c>
      <c r="L112" s="2">
        <f>$C112+total_production!K112</f>
        <v>5582951.605416229</v>
      </c>
      <c r="M112" s="2">
        <f>$C112+total_production!L112</f>
        <v>5614581.144161989</v>
      </c>
      <c r="N112" s="2">
        <f>$C112+total_production!M112</f>
        <v>5630147.1093373187</v>
      </c>
      <c r="O112" s="2">
        <f>$C112+total_production!N112</f>
        <v>5644038.3804096458</v>
      </c>
      <c r="P112" s="2">
        <f>$C112+total_production!O112</f>
        <v>5644038.3804096458</v>
      </c>
      <c r="Q112" s="2">
        <f>$C112+total_production!P112</f>
        <v>5644038.3804096458</v>
      </c>
      <c r="R112" s="2">
        <f>$C112+total_production!Q112</f>
        <v>5656185.0706186602</v>
      </c>
      <c r="S112" s="2">
        <f>$C112+total_production!R112</f>
        <v>5656185.0706186602</v>
      </c>
      <c r="T112" s="2">
        <f>$C112+total_production!S112</f>
        <v>5669745.3054902935</v>
      </c>
      <c r="U112" s="2">
        <f>$C112+total_production!T112</f>
        <v>5669745.3054902935</v>
      </c>
      <c r="V112" s="2">
        <f>$C112+total_production!U112</f>
        <v>5682177.1240401538</v>
      </c>
      <c r="W112" s="2">
        <f>$C112+total_production!V112</f>
        <v>5682177.1240401538</v>
      </c>
      <c r="X112" s="2">
        <f>$C112+total_production!W112</f>
        <v>5692909.686809347</v>
      </c>
      <c r="Y112" s="2">
        <f>$C112+total_production!X112</f>
        <v>5692909.686809347</v>
      </c>
      <c r="Z112" s="2">
        <f>$C112+total_production!Y112</f>
        <v>5692909.686809347</v>
      </c>
      <c r="AA112" s="2">
        <f>$C112+total_production!Z112</f>
        <v>5692909.686809347</v>
      </c>
      <c r="AB112" s="2">
        <f>$C112+total_production!AA112</f>
        <v>5692909.686809347</v>
      </c>
    </row>
    <row r="113" spans="1:28" x14ac:dyDescent="0.2">
      <c r="A113" t="s">
        <v>789</v>
      </c>
      <c r="B113" t="s">
        <v>790</v>
      </c>
      <c r="C113" s="1">
        <v>998565</v>
      </c>
      <c r="D113" s="2">
        <f>$C113+total_production!C113</f>
        <v>999775.25781829469</v>
      </c>
      <c r="E113" s="2">
        <f>$C113+total_production!D113</f>
        <v>999677.09596996475</v>
      </c>
      <c r="F113" s="2">
        <f>$C113+total_production!E113</f>
        <v>999742.33205239661</v>
      </c>
      <c r="G113" s="2">
        <f>$C113+total_production!F113</f>
        <v>999749.50617541152</v>
      </c>
      <c r="H113" s="2">
        <f>$C113+total_production!G113</f>
        <v>999357.14837033395</v>
      </c>
      <c r="I113" s="2">
        <f>$C113+total_production!H113</f>
        <v>999445.16486796539</v>
      </c>
      <c r="J113" s="2">
        <f>$C113+total_production!I113</f>
        <v>999568.08773957973</v>
      </c>
      <c r="K113" s="2">
        <f>$C113+total_production!J113</f>
        <v>999572.56443779927</v>
      </c>
      <c r="L113" s="2">
        <f>$C113+total_production!K113</f>
        <v>999686.95057880564</v>
      </c>
      <c r="M113" s="2">
        <f>$C113+total_production!L113</f>
        <v>999734.03685939126</v>
      </c>
      <c r="N113" s="2">
        <f>$C113+total_production!M113</f>
        <v>999680.22458935762</v>
      </c>
      <c r="O113" s="2">
        <f>$C113+total_production!N113</f>
        <v>999637.80340148311</v>
      </c>
      <c r="P113" s="2">
        <f>$C113+total_production!O113</f>
        <v>999637.80340148311</v>
      </c>
      <c r="Q113" s="2">
        <f>$C113+total_production!P113</f>
        <v>999637.80340148311</v>
      </c>
      <c r="R113" s="2">
        <f>$C113+total_production!Q113</f>
        <v>999599.76977742952</v>
      </c>
      <c r="S113" s="2">
        <f>$C113+total_production!R113</f>
        <v>999599.76977742952</v>
      </c>
      <c r="T113" s="2">
        <f>$C113+total_production!S113</f>
        <v>999560.28985562897</v>
      </c>
      <c r="U113" s="2">
        <f>$C113+total_production!T113</f>
        <v>999560.28985562897</v>
      </c>
      <c r="V113" s="2">
        <f>$C113+total_production!U113</f>
        <v>999515.17825907492</v>
      </c>
      <c r="W113" s="2">
        <f>$C113+total_production!V113</f>
        <v>999515.17825907492</v>
      </c>
      <c r="X113" s="2">
        <f>$C113+total_production!W113</f>
        <v>999479.16777457634</v>
      </c>
      <c r="Y113" s="2">
        <f>$C113+total_production!X113</f>
        <v>999479.16777457634</v>
      </c>
      <c r="Z113" s="2">
        <f>$C113+total_production!Y113</f>
        <v>999479.16777457634</v>
      </c>
      <c r="AA113" s="2">
        <f>$C113+total_production!Z113</f>
        <v>999479.16777457634</v>
      </c>
      <c r="AB113" s="2">
        <f>$C113+total_production!AA113</f>
        <v>999479.16777457634</v>
      </c>
    </row>
    <row r="114" spans="1:28" x14ac:dyDescent="0.2">
      <c r="A114" t="s">
        <v>415</v>
      </c>
      <c r="B114" t="s">
        <v>416</v>
      </c>
      <c r="C114" s="1">
        <v>20105173</v>
      </c>
      <c r="D114" s="2">
        <f>$C114+total_production!C114</f>
        <v>20144571.626685839</v>
      </c>
      <c r="E114" s="2">
        <f>$C114+total_production!D114</f>
        <v>20144744.374613419</v>
      </c>
      <c r="F114" s="2">
        <f>$C114+total_production!E114</f>
        <v>20146667.865539048</v>
      </c>
      <c r="G114" s="2">
        <f>$C114+total_production!F114</f>
        <v>20148106.218274783</v>
      </c>
      <c r="H114" s="2">
        <f>$C114+total_production!G114</f>
        <v>20146936.499639377</v>
      </c>
      <c r="I114" s="2">
        <f>$C114+total_production!H114</f>
        <v>20149531.672865432</v>
      </c>
      <c r="J114" s="2">
        <f>$C114+total_production!I114</f>
        <v>20153156.063222554</v>
      </c>
      <c r="K114" s="2">
        <f>$C114+total_production!J114</f>
        <v>20159089.145838533</v>
      </c>
      <c r="L114" s="2">
        <f>$C114+total_production!K114</f>
        <v>20162461.830034792</v>
      </c>
      <c r="M114" s="2">
        <f>$C114+total_production!L114</f>
        <v>20171193.65635429</v>
      </c>
      <c r="N114" s="2">
        <f>$C114+total_production!M114</f>
        <v>20174427.115564983</v>
      </c>
      <c r="O114" s="2">
        <f>$C114+total_production!N114</f>
        <v>20177390.098783415</v>
      </c>
      <c r="P114" s="2">
        <f>$C114+total_production!O114</f>
        <v>20177390.098783415</v>
      </c>
      <c r="Q114" s="2">
        <f>$C114+total_production!P114</f>
        <v>20177390.098783415</v>
      </c>
      <c r="R114" s="2">
        <f>$C114+total_production!Q114</f>
        <v>20179967.97669296</v>
      </c>
      <c r="S114" s="2">
        <f>$C114+total_production!R114</f>
        <v>20179967.97669296</v>
      </c>
      <c r="T114" s="2">
        <f>$C114+total_production!S114</f>
        <v>20182887.023735911</v>
      </c>
      <c r="U114" s="2">
        <f>$C114+total_production!T114</f>
        <v>20182887.023735911</v>
      </c>
      <c r="V114" s="2">
        <f>$C114+total_production!U114</f>
        <v>20185439.948183063</v>
      </c>
      <c r="W114" s="2">
        <f>$C114+total_production!V114</f>
        <v>20185439.948183063</v>
      </c>
      <c r="X114" s="2">
        <f>$C114+total_production!W114</f>
        <v>20187684.478777628</v>
      </c>
      <c r="Y114" s="2">
        <f>$C114+total_production!X114</f>
        <v>20187684.478777628</v>
      </c>
      <c r="Z114" s="2">
        <f>$C114+total_production!Y114</f>
        <v>20187684.478777628</v>
      </c>
      <c r="AA114" s="2">
        <f>$C114+total_production!Z114</f>
        <v>20187684.478777628</v>
      </c>
      <c r="AB114" s="2">
        <f>$C114+total_production!AA114</f>
        <v>20187684.478777628</v>
      </c>
    </row>
    <row r="115" spans="1:28" x14ac:dyDescent="0.2">
      <c r="A115" t="s">
        <v>759</v>
      </c>
      <c r="B115" t="s">
        <v>760</v>
      </c>
      <c r="C115" s="1">
        <v>856164</v>
      </c>
      <c r="D115" s="2">
        <f>$C115+total_production!C115</f>
        <v>857393.07721800019</v>
      </c>
      <c r="E115" s="2">
        <f>$C115+total_production!D115</f>
        <v>856824.99862273957</v>
      </c>
      <c r="F115" s="2">
        <f>$C115+total_production!E115</f>
        <v>856919.08843596245</v>
      </c>
      <c r="G115" s="2">
        <f>$C115+total_production!F115</f>
        <v>856758.83561760013</v>
      </c>
      <c r="H115" s="2">
        <f>$C115+total_production!G115</f>
        <v>854746.87361949636</v>
      </c>
      <c r="I115" s="2">
        <f>$C115+total_production!H115</f>
        <v>854873.8195597484</v>
      </c>
      <c r="J115" s="2">
        <f>$C115+total_production!I115</f>
        <v>855051.11086235056</v>
      </c>
      <c r="K115" s="2">
        <f>$C115+total_production!J115</f>
        <v>854250.87788655737</v>
      </c>
      <c r="L115" s="2">
        <f>$C115+total_production!K115</f>
        <v>854415.85668726661</v>
      </c>
      <c r="M115" s="2">
        <f>$C115+total_production!L115</f>
        <v>853462.59618604591</v>
      </c>
      <c r="N115" s="2">
        <f>$C115+total_production!M115</f>
        <v>852714.7051095739</v>
      </c>
      <c r="O115" s="2">
        <f>$C115+total_production!N115</f>
        <v>852067.5604201504</v>
      </c>
      <c r="P115" s="2">
        <f>$C115+total_production!O115</f>
        <v>852067.5604201504</v>
      </c>
      <c r="Q115" s="2">
        <f>$C115+total_production!P115</f>
        <v>852067.5604201504</v>
      </c>
      <c r="R115" s="2">
        <f>$C115+total_production!Q115</f>
        <v>851498.28567589761</v>
      </c>
      <c r="S115" s="2">
        <f>$C115+total_production!R115</f>
        <v>851498.28567589761</v>
      </c>
      <c r="T115" s="2">
        <f>$C115+total_production!S115</f>
        <v>850873.55248218542</v>
      </c>
      <c r="U115" s="2">
        <f>$C115+total_production!T115</f>
        <v>850873.55248218542</v>
      </c>
      <c r="V115" s="2">
        <f>$C115+total_production!U115</f>
        <v>850268.51845949807</v>
      </c>
      <c r="W115" s="2">
        <f>$C115+total_production!V115</f>
        <v>850268.51845949807</v>
      </c>
      <c r="X115" s="2">
        <f>$C115+total_production!W115</f>
        <v>849756.81158877816</v>
      </c>
      <c r="Y115" s="2">
        <f>$C115+total_production!X115</f>
        <v>849756.81158877816</v>
      </c>
      <c r="Z115" s="2">
        <f>$C115+total_production!Y115</f>
        <v>849756.81158877816</v>
      </c>
      <c r="AA115" s="2">
        <f>$C115+total_production!Z115</f>
        <v>849756.81158877816</v>
      </c>
      <c r="AB115" s="2">
        <f>$C115+total_production!AA115</f>
        <v>849756.81158877816</v>
      </c>
    </row>
    <row r="116" spans="1:28" x14ac:dyDescent="0.2">
      <c r="A116" t="s">
        <v>735</v>
      </c>
      <c r="B116" t="s">
        <v>275</v>
      </c>
      <c r="C116" s="1">
        <v>2012529</v>
      </c>
      <c r="D116" s="2">
        <f>$C116+total_production!C116</f>
        <v>2014561.890674893</v>
      </c>
      <c r="E116" s="2">
        <f>$C116+total_production!D116</f>
        <v>2014349.3645328199</v>
      </c>
      <c r="F116" s="2">
        <f>$C116+total_production!E116</f>
        <v>2014461.774349371</v>
      </c>
      <c r="G116" s="2">
        <f>$C116+total_production!F116</f>
        <v>2014456.7837785946</v>
      </c>
      <c r="H116" s="2">
        <f>$C116+total_production!G116</f>
        <v>2013633.6172935367</v>
      </c>
      <c r="I116" s="2">
        <f>$C116+total_production!H116</f>
        <v>2013785.2805753187</v>
      </c>
      <c r="J116" s="2">
        <f>$C116+total_production!I116</f>
        <v>2013997.0918449869</v>
      </c>
      <c r="K116" s="2">
        <f>$C116+total_production!J116</f>
        <v>2013922.7538390462</v>
      </c>
      <c r="L116" s="2">
        <f>$C116+total_production!K116</f>
        <v>2014119.8552689173</v>
      </c>
      <c r="M116" s="2">
        <f>$C116+total_production!L116</f>
        <v>2014097.1228120902</v>
      </c>
      <c r="N116" s="2">
        <f>$C116+total_production!M116</f>
        <v>2013936.220771299</v>
      </c>
      <c r="O116" s="2">
        <f>$C116+total_production!N116</f>
        <v>2013803.5232242425</v>
      </c>
      <c r="P116" s="2">
        <f>$C116+total_production!O116</f>
        <v>2013803.5232242425</v>
      </c>
      <c r="Q116" s="2">
        <f>$C116+total_production!P116</f>
        <v>2013803.5232242425</v>
      </c>
      <c r="R116" s="2">
        <f>$C116+total_production!Q116</f>
        <v>2013685.6628150572</v>
      </c>
      <c r="S116" s="2">
        <f>$C116+total_production!R116</f>
        <v>2013685.6628150572</v>
      </c>
      <c r="T116" s="2">
        <f>$C116+total_production!S116</f>
        <v>2013559.8815121965</v>
      </c>
      <c r="U116" s="2">
        <f>$C116+total_production!T116</f>
        <v>2013559.8815121965</v>
      </c>
      <c r="V116" s="2">
        <f>$C116+total_production!U116</f>
        <v>2013427.2260068497</v>
      </c>
      <c r="W116" s="2">
        <f>$C116+total_production!V116</f>
        <v>2013427.2260068497</v>
      </c>
      <c r="X116" s="2">
        <f>$C116+total_production!W116</f>
        <v>2013318.4103955808</v>
      </c>
      <c r="Y116" s="2">
        <f>$C116+total_production!X116</f>
        <v>2013318.4103955808</v>
      </c>
      <c r="Z116" s="2">
        <f>$C116+total_production!Y116</f>
        <v>2013318.4103955808</v>
      </c>
      <c r="AA116" s="2">
        <f>$C116+total_production!Z116</f>
        <v>2013318.4103955808</v>
      </c>
      <c r="AB116" s="2">
        <f>$C116+total_production!AA116</f>
        <v>2013318.4103955808</v>
      </c>
    </row>
    <row r="117" spans="1:28" x14ac:dyDescent="0.2">
      <c r="A117" t="s">
        <v>612</v>
      </c>
      <c r="B117" t="s">
        <v>225</v>
      </c>
      <c r="C117" s="1">
        <v>18536768</v>
      </c>
      <c r="D117" s="2">
        <f>$C117+total_production!C117</f>
        <v>18541244.396929659</v>
      </c>
      <c r="E117" s="2">
        <f>$C117+total_production!D117</f>
        <v>18539837.805129126</v>
      </c>
      <c r="F117" s="2">
        <f>$C117+total_production!E117</f>
        <v>18540141.117467985</v>
      </c>
      <c r="G117" s="2">
        <f>$C117+total_production!F117</f>
        <v>18539794.396187801</v>
      </c>
      <c r="H117" s="2">
        <f>$C117+total_production!G117</f>
        <v>18534748.47974379</v>
      </c>
      <c r="I117" s="2">
        <f>$C117+total_production!H117</f>
        <v>18535157.708636139</v>
      </c>
      <c r="J117" s="2">
        <f>$C117+total_production!I117</f>
        <v>18535729.233201973</v>
      </c>
      <c r="K117" s="2">
        <f>$C117+total_production!J117</f>
        <v>18533952.836494118</v>
      </c>
      <c r="L117" s="2">
        <f>$C117+total_production!K117</f>
        <v>18534484.669900849</v>
      </c>
      <c r="M117" s="2">
        <f>$C117+total_production!L117</f>
        <v>18532428.540947486</v>
      </c>
      <c r="N117" s="2">
        <f>$C117+total_production!M117</f>
        <v>18530685.042090788</v>
      </c>
      <c r="O117" s="2">
        <f>$C117+total_production!N117</f>
        <v>18529182.354193654</v>
      </c>
      <c r="P117" s="2">
        <f>$C117+total_production!O117</f>
        <v>18529182.354193654</v>
      </c>
      <c r="Q117" s="2">
        <f>$C117+total_production!P117</f>
        <v>18529182.354193654</v>
      </c>
      <c r="R117" s="2">
        <f>$C117+total_production!Q117</f>
        <v>18527859.452844728</v>
      </c>
      <c r="S117" s="2">
        <f>$C117+total_production!R117</f>
        <v>18527859.452844728</v>
      </c>
      <c r="T117" s="2">
        <f>$C117+total_production!S117</f>
        <v>18526410.919361822</v>
      </c>
      <c r="U117" s="2">
        <f>$C117+total_production!T117</f>
        <v>18526410.919361822</v>
      </c>
      <c r="V117" s="2">
        <f>$C117+total_production!U117</f>
        <v>18524998.185208671</v>
      </c>
      <c r="W117" s="2">
        <f>$C117+total_production!V117</f>
        <v>18524998.185208671</v>
      </c>
      <c r="X117" s="2">
        <f>$C117+total_production!W117</f>
        <v>18523806.443997748</v>
      </c>
      <c r="Y117" s="2">
        <f>$C117+total_production!X117</f>
        <v>18523806.443997748</v>
      </c>
      <c r="Z117" s="2">
        <f>$C117+total_production!Y117</f>
        <v>18523806.443997748</v>
      </c>
      <c r="AA117" s="2">
        <f>$C117+total_production!Z117</f>
        <v>18523806.443997748</v>
      </c>
      <c r="AB117" s="2">
        <f>$C117+total_production!AA117</f>
        <v>18523806.443997748</v>
      </c>
    </row>
    <row r="118" spans="1:28" x14ac:dyDescent="0.2">
      <c r="A118" t="s">
        <v>647</v>
      </c>
      <c r="B118" t="s">
        <v>648</v>
      </c>
      <c r="C118" s="1">
        <v>2948577</v>
      </c>
      <c r="D118" s="2">
        <f>$C118+total_production!C118</f>
        <v>2952959.2497986034</v>
      </c>
      <c r="E118" s="2">
        <f>$C118+total_production!D118</f>
        <v>2953059.5945529821</v>
      </c>
      <c r="F118" s="2">
        <f>$C118+total_production!E118</f>
        <v>2953268.7194763385</v>
      </c>
      <c r="G118" s="2">
        <f>$C118+total_production!F118</f>
        <v>2953457.7247573468</v>
      </c>
      <c r="H118" s="2">
        <f>$C118+total_production!G118</f>
        <v>2953607.0948672234</v>
      </c>
      <c r="I118" s="2">
        <f>$C118+total_production!H118</f>
        <v>2953889.2461343617</v>
      </c>
      <c r="J118" s="2">
        <f>$C118+total_production!I118</f>
        <v>2954283.2954878304</v>
      </c>
      <c r="K118" s="2">
        <f>$C118+total_production!J118</f>
        <v>2955082.6197749777</v>
      </c>
      <c r="L118" s="2">
        <f>$C118+total_production!K118</f>
        <v>2955449.3032433786</v>
      </c>
      <c r="M118" s="2">
        <f>$C118+total_production!L118</f>
        <v>2956593.9287938727</v>
      </c>
      <c r="N118" s="2">
        <f>$C118+total_production!M118</f>
        <v>2957073.6585862935</v>
      </c>
      <c r="O118" s="2">
        <f>$C118+total_production!N118</f>
        <v>2957507.8571196822</v>
      </c>
      <c r="P118" s="2">
        <f>$C118+total_production!O118</f>
        <v>2957507.8571196822</v>
      </c>
      <c r="Q118" s="2">
        <f>$C118+total_production!P118</f>
        <v>2957507.8571196822</v>
      </c>
      <c r="R118" s="2">
        <f>$C118+total_production!Q118</f>
        <v>2957886.5048464583</v>
      </c>
      <c r="S118" s="2">
        <f>$C118+total_production!R118</f>
        <v>2957886.5048464583</v>
      </c>
      <c r="T118" s="2">
        <f>$C118+total_production!S118</f>
        <v>2958312.4518934283</v>
      </c>
      <c r="U118" s="2">
        <f>$C118+total_production!T118</f>
        <v>2958312.4518934283</v>
      </c>
      <c r="V118" s="2">
        <f>$C118+total_production!U118</f>
        <v>2958693.272932142</v>
      </c>
      <c r="W118" s="2">
        <f>$C118+total_production!V118</f>
        <v>2958693.272932142</v>
      </c>
      <c r="X118" s="2">
        <f>$C118+total_production!W118</f>
        <v>2959025.2274416653</v>
      </c>
      <c r="Y118" s="2">
        <f>$C118+total_production!X118</f>
        <v>2959025.2274416653</v>
      </c>
      <c r="Z118" s="2">
        <f>$C118+total_production!Y118</f>
        <v>2959025.2274416653</v>
      </c>
      <c r="AA118" s="2">
        <f>$C118+total_production!Z118</f>
        <v>2959025.2274416653</v>
      </c>
      <c r="AB118" s="2">
        <f>$C118+total_production!AA118</f>
        <v>2959025.2274416653</v>
      </c>
    </row>
    <row r="119" spans="1:28" x14ac:dyDescent="0.2">
      <c r="A119" t="s">
        <v>750</v>
      </c>
      <c r="B119" t="s">
        <v>751</v>
      </c>
      <c r="C119" s="1">
        <v>1643373</v>
      </c>
      <c r="D119" s="2">
        <f>$C119+total_production!C119</f>
        <v>1645471.7175747848</v>
      </c>
      <c r="E119" s="2">
        <f>$C119+total_production!D119</f>
        <v>1645530.3085724933</v>
      </c>
      <c r="F119" s="2">
        <f>$C119+total_production!E119</f>
        <v>1645629.8351392529</v>
      </c>
      <c r="G119" s="2">
        <f>$C119+total_production!F119</f>
        <v>1645724.1203831981</v>
      </c>
      <c r="H119" s="2">
        <f>$C119+total_production!G119</f>
        <v>1645831.9449953877</v>
      </c>
      <c r="I119" s="2">
        <f>$C119+total_production!H119</f>
        <v>1645966.226201446</v>
      </c>
      <c r="J119" s="2">
        <f>$C119+total_production!I119</f>
        <v>1646153.7618555187</v>
      </c>
      <c r="K119" s="2">
        <f>$C119+total_production!J119</f>
        <v>1646554.6691470824</v>
      </c>
      <c r="L119" s="2">
        <f>$C119+total_production!K119</f>
        <v>1646729.1808509564</v>
      </c>
      <c r="M119" s="2">
        <f>$C119+total_production!L119</f>
        <v>1647299.8724738078</v>
      </c>
      <c r="N119" s="2">
        <f>$C119+total_production!M119</f>
        <v>1647545.2131377461</v>
      </c>
      <c r="O119" s="2">
        <f>$C119+total_production!N119</f>
        <v>1647766.7425719807</v>
      </c>
      <c r="P119" s="2">
        <f>$C119+total_production!O119</f>
        <v>1647766.7425719807</v>
      </c>
      <c r="Q119" s="2">
        <f>$C119+total_production!P119</f>
        <v>1647766.7425719807</v>
      </c>
      <c r="R119" s="2">
        <f>$C119+total_production!Q119</f>
        <v>1647960.0168306669</v>
      </c>
      <c r="S119" s="2">
        <f>$C119+total_production!R119</f>
        <v>1647960.0168306669</v>
      </c>
      <c r="T119" s="2">
        <f>$C119+total_production!S119</f>
        <v>1648177.1576424469</v>
      </c>
      <c r="U119" s="2">
        <f>$C119+total_production!T119</f>
        <v>1648177.1576424469</v>
      </c>
      <c r="V119" s="2">
        <f>$C119+total_production!U119</f>
        <v>1648372.1153246816</v>
      </c>
      <c r="W119" s="2">
        <f>$C119+total_production!V119</f>
        <v>1648372.1153246816</v>
      </c>
      <c r="X119" s="2">
        <f>$C119+total_production!W119</f>
        <v>1648541.7790334593</v>
      </c>
      <c r="Y119" s="2">
        <f>$C119+total_production!X119</f>
        <v>1648541.7790334593</v>
      </c>
      <c r="Z119" s="2">
        <f>$C119+total_production!Y119</f>
        <v>1648541.7790334593</v>
      </c>
      <c r="AA119" s="2">
        <f>$C119+total_production!Z119</f>
        <v>1648541.7790334593</v>
      </c>
      <c r="AB119" s="2">
        <f>$C119+total_production!AA119</f>
        <v>1648541.7790334593</v>
      </c>
    </row>
    <row r="120" spans="1:28" x14ac:dyDescent="0.2">
      <c r="A120" t="s">
        <v>608</v>
      </c>
      <c r="B120" t="s">
        <v>609</v>
      </c>
      <c r="C120" s="1">
        <v>4425223</v>
      </c>
      <c r="D120" s="2">
        <f>$C120+total_production!C120</f>
        <v>4431811.1761969989</v>
      </c>
      <c r="E120" s="2">
        <f>$C120+total_production!D120</f>
        <v>4432052.4654559456</v>
      </c>
      <c r="F120" s="2">
        <f>$C120+total_production!E120</f>
        <v>4432361.484181053</v>
      </c>
      <c r="G120" s="2">
        <f>$C120+total_production!F120</f>
        <v>4432677.9775314694</v>
      </c>
      <c r="H120" s="2">
        <f>$C120+total_production!G120</f>
        <v>4433214.0599658685</v>
      </c>
      <c r="I120" s="2">
        <f>$C120+total_production!H120</f>
        <v>4433630.9879123764</v>
      </c>
      <c r="J120" s="2">
        <f>$C120+total_production!I120</f>
        <v>4434213.2648924906</v>
      </c>
      <c r="K120" s="2">
        <f>$C120+total_production!J120</f>
        <v>4435570.3317153975</v>
      </c>
      <c r="L120" s="2">
        <f>$C120+total_production!K120</f>
        <v>4436112.1708042296</v>
      </c>
      <c r="M120" s="2">
        <f>$C120+total_production!L120</f>
        <v>4438026.2558450261</v>
      </c>
      <c r="N120" s="2">
        <f>$C120+total_production!M120</f>
        <v>4438881.3167074658</v>
      </c>
      <c r="O120" s="2">
        <f>$C120+total_production!N120</f>
        <v>4439650.7090590773</v>
      </c>
      <c r="P120" s="2">
        <f>$C120+total_production!O120</f>
        <v>4439650.7090590773</v>
      </c>
      <c r="Q120" s="2">
        <f>$C120+total_production!P120</f>
        <v>4439650.7090590773</v>
      </c>
      <c r="R120" s="2">
        <f>$C120+total_production!Q120</f>
        <v>4440322.4133320209</v>
      </c>
      <c r="S120" s="2">
        <f>$C120+total_production!R120</f>
        <v>4440322.4133320209</v>
      </c>
      <c r="T120" s="2">
        <f>$C120+total_production!S120</f>
        <v>4441075.6502520712</v>
      </c>
      <c r="U120" s="2">
        <f>$C120+total_production!T120</f>
        <v>4441075.6502520712</v>
      </c>
      <c r="V120" s="2">
        <f>$C120+total_production!U120</f>
        <v>4441756.1381494766</v>
      </c>
      <c r="W120" s="2">
        <f>$C120+total_production!V120</f>
        <v>4441756.1381494766</v>
      </c>
      <c r="X120" s="2">
        <f>$C120+total_production!W120</f>
        <v>4442346.9268095354</v>
      </c>
      <c r="Y120" s="2">
        <f>$C120+total_production!X120</f>
        <v>4442346.9268095354</v>
      </c>
      <c r="Z120" s="2">
        <f>$C120+total_production!Y120</f>
        <v>4442346.9268095354</v>
      </c>
      <c r="AA120" s="2">
        <f>$C120+total_production!Z120</f>
        <v>4442346.9268095354</v>
      </c>
      <c r="AB120" s="2">
        <f>$C120+total_production!AA120</f>
        <v>4442346.9268095354</v>
      </c>
    </row>
    <row r="121" spans="1:28" x14ac:dyDescent="0.2">
      <c r="A121" t="s">
        <v>787</v>
      </c>
      <c r="B121" t="s">
        <v>788</v>
      </c>
      <c r="C121" s="1">
        <v>685279</v>
      </c>
      <c r="D121" s="2">
        <f>$C121+total_production!C121</f>
        <v>686608.01434654661</v>
      </c>
      <c r="E121" s="2">
        <f>$C121+total_production!D121</f>
        <v>686582.08283671085</v>
      </c>
      <c r="F121" s="2">
        <f>$C121+total_production!E121</f>
        <v>686648.85461920081</v>
      </c>
      <c r="G121" s="2">
        <f>$C121+total_production!F121</f>
        <v>686686.01408182981</v>
      </c>
      <c r="H121" s="2">
        <f>$C121+total_production!G121</f>
        <v>686537.15461032256</v>
      </c>
      <c r="I121" s="2">
        <f>$C121+total_production!H121</f>
        <v>686627.24307388905</v>
      </c>
      <c r="J121" s="2">
        <f>$C121+total_production!I121</f>
        <v>686753.05963031773</v>
      </c>
      <c r="K121" s="2">
        <f>$C121+total_production!J121</f>
        <v>686898.63012540981</v>
      </c>
      <c r="L121" s="2">
        <f>$C121+total_production!K121</f>
        <v>687015.70899100741</v>
      </c>
      <c r="M121" s="2">
        <f>$C121+total_production!L121</f>
        <v>687242.37822014396</v>
      </c>
      <c r="N121" s="2">
        <f>$C121+total_production!M121</f>
        <v>687304.44632700807</v>
      </c>
      <c r="O121" s="2">
        <f>$C121+total_production!N121</f>
        <v>687363.43723661627</v>
      </c>
      <c r="P121" s="2">
        <f>$C121+total_production!O121</f>
        <v>687363.43723661627</v>
      </c>
      <c r="Q121" s="2">
        <f>$C121+total_production!P121</f>
        <v>687363.43723661627</v>
      </c>
      <c r="R121" s="2">
        <f>$C121+total_production!Q121</f>
        <v>687414.41535175568</v>
      </c>
      <c r="S121" s="2">
        <f>$C121+total_production!R121</f>
        <v>687414.41535175568</v>
      </c>
      <c r="T121" s="2">
        <f>$C121+total_production!S121</f>
        <v>687473.24124211853</v>
      </c>
      <c r="U121" s="2">
        <f>$C121+total_production!T121</f>
        <v>687473.24124211853</v>
      </c>
      <c r="V121" s="2">
        <f>$C121+total_production!U121</f>
        <v>687521.44037036202</v>
      </c>
      <c r="W121" s="2">
        <f>$C121+total_production!V121</f>
        <v>687521.44037036202</v>
      </c>
      <c r="X121" s="2">
        <f>$C121+total_production!W121</f>
        <v>687564.9378667915</v>
      </c>
      <c r="Y121" s="2">
        <f>$C121+total_production!X121</f>
        <v>687564.9378667915</v>
      </c>
      <c r="Z121" s="2">
        <f>$C121+total_production!Y121</f>
        <v>687564.9378667915</v>
      </c>
      <c r="AA121" s="2">
        <f>$C121+total_production!Z121</f>
        <v>687564.9378667915</v>
      </c>
      <c r="AB121" s="2">
        <f>$C121+total_production!AA121</f>
        <v>687564.9378667915</v>
      </c>
    </row>
    <row r="122" spans="1:28" x14ac:dyDescent="0.2">
      <c r="A122" t="s">
        <v>639</v>
      </c>
      <c r="B122" t="s">
        <v>640</v>
      </c>
      <c r="C122" s="1">
        <v>2606729</v>
      </c>
      <c r="D122" s="2">
        <f>$C122+total_production!C122</f>
        <v>2611212.8645799397</v>
      </c>
      <c r="E122" s="2">
        <f>$C122+total_production!D122</f>
        <v>2610791.7684781486</v>
      </c>
      <c r="F122" s="2">
        <f>$C122+total_production!E122</f>
        <v>2611036.8732790849</v>
      </c>
      <c r="G122" s="2">
        <f>$C122+total_production!F122</f>
        <v>2611042.914781813</v>
      </c>
      <c r="H122" s="2">
        <f>$C122+total_production!G122</f>
        <v>2609391.482639269</v>
      </c>
      <c r="I122" s="2">
        <f>$C122+total_production!H122</f>
        <v>2609722.1779435682</v>
      </c>
      <c r="J122" s="2">
        <f>$C122+total_production!I122</f>
        <v>2610184.0233649113</v>
      </c>
      <c r="K122" s="2">
        <f>$C122+total_production!J122</f>
        <v>2610101.9547462119</v>
      </c>
      <c r="L122" s="2">
        <f>$C122+total_production!K122</f>
        <v>2610531.7259905306</v>
      </c>
      <c r="M122" s="2">
        <f>$C122+total_production!L122</f>
        <v>2610583.4574297229</v>
      </c>
      <c r="N122" s="2">
        <f>$C122+total_production!M122</f>
        <v>2610299.1078065201</v>
      </c>
      <c r="O122" s="2">
        <f>$C122+total_production!N122</f>
        <v>2610067.8927695057</v>
      </c>
      <c r="P122" s="2">
        <f>$C122+total_production!O122</f>
        <v>2610067.8927695057</v>
      </c>
      <c r="Q122" s="2">
        <f>$C122+total_production!P122</f>
        <v>2610067.8927695057</v>
      </c>
      <c r="R122" s="2">
        <f>$C122+total_production!Q122</f>
        <v>2609861.9326569792</v>
      </c>
      <c r="S122" s="2">
        <f>$C122+total_production!R122</f>
        <v>2609861.9326569792</v>
      </c>
      <c r="T122" s="2">
        <f>$C122+total_production!S122</f>
        <v>2609643.9958300549</v>
      </c>
      <c r="U122" s="2">
        <f>$C122+total_production!T122</f>
        <v>2609643.9958300549</v>
      </c>
      <c r="V122" s="2">
        <f>$C122+total_production!U122</f>
        <v>2609408.3102318654</v>
      </c>
      <c r="W122" s="2">
        <f>$C122+total_production!V122</f>
        <v>2609408.3102318654</v>
      </c>
      <c r="X122" s="2">
        <f>$C122+total_production!W122</f>
        <v>2609216.6507383846</v>
      </c>
      <c r="Y122" s="2">
        <f>$C122+total_production!X122</f>
        <v>2609216.6507383846</v>
      </c>
      <c r="Z122" s="2">
        <f>$C122+total_production!Y122</f>
        <v>2609216.6507383846</v>
      </c>
      <c r="AA122" s="2">
        <f>$C122+total_production!Z122</f>
        <v>2609216.6507383846</v>
      </c>
      <c r="AB122" s="2">
        <f>$C122+total_production!AA122</f>
        <v>2609216.6507383846</v>
      </c>
    </row>
    <row r="123" spans="1:28" x14ac:dyDescent="0.2">
      <c r="A123" t="s">
        <v>564</v>
      </c>
      <c r="B123" t="s">
        <v>565</v>
      </c>
      <c r="C123" s="1">
        <v>4622682</v>
      </c>
      <c r="D123" s="2">
        <f>$C123+total_production!C123</f>
        <v>4628749.3719268385</v>
      </c>
      <c r="E123" s="2">
        <f>$C123+total_production!D123</f>
        <v>4627098.9527402343</v>
      </c>
      <c r="F123" s="2">
        <f>$C123+total_production!E123</f>
        <v>4627494.8452716609</v>
      </c>
      <c r="G123" s="2">
        <f>$C123+total_production!F123</f>
        <v>4627116.4970334666</v>
      </c>
      <c r="H123" s="2">
        <f>$C123+total_production!G123</f>
        <v>4621159.3830100223</v>
      </c>
      <c r="I123" s="2">
        <f>$C123+total_production!H123</f>
        <v>4621693.5210630093</v>
      </c>
      <c r="J123" s="2">
        <f>$C123+total_production!I123</f>
        <v>4622439.4923874596</v>
      </c>
      <c r="K123" s="2">
        <f>$C123+total_production!J123</f>
        <v>4620471.7571094446</v>
      </c>
      <c r="L123" s="2">
        <f>$C123+total_production!K123</f>
        <v>4621165.9223203994</v>
      </c>
      <c r="M123" s="2">
        <f>$C123+total_production!L123</f>
        <v>4618926.3620472662</v>
      </c>
      <c r="N123" s="2">
        <f>$C123+total_production!M123</f>
        <v>4616942.2333022133</v>
      </c>
      <c r="O123" s="2">
        <f>$C123+total_production!N123</f>
        <v>4615235.7444332344</v>
      </c>
      <c r="P123" s="2">
        <f>$C123+total_production!O123</f>
        <v>4615235.7444332344</v>
      </c>
      <c r="Q123" s="2">
        <f>$C123+total_production!P123</f>
        <v>4615235.7444332344</v>
      </c>
      <c r="R123" s="2">
        <f>$C123+total_production!Q123</f>
        <v>4613732.8011618424</v>
      </c>
      <c r="S123" s="2">
        <f>$C123+total_production!R123</f>
        <v>4613732.8011618424</v>
      </c>
      <c r="T123" s="2">
        <f>$C123+total_production!S123</f>
        <v>4612089.0934931915</v>
      </c>
      <c r="U123" s="2">
        <f>$C123+total_production!T123</f>
        <v>4612089.0934931915</v>
      </c>
      <c r="V123" s="2">
        <f>$C123+total_production!U123</f>
        <v>4610480.0110676987</v>
      </c>
      <c r="W123" s="2">
        <f>$C123+total_production!V123</f>
        <v>4610480.0110676987</v>
      </c>
      <c r="X123" s="2">
        <f>$C123+total_production!W123</f>
        <v>4609124.4918841906</v>
      </c>
      <c r="Y123" s="2">
        <f>$C123+total_production!X123</f>
        <v>4609124.4918841906</v>
      </c>
      <c r="Z123" s="2">
        <f>$C123+total_production!Y123</f>
        <v>4609124.4918841906</v>
      </c>
      <c r="AA123" s="2">
        <f>$C123+total_production!Z123</f>
        <v>4609124.4918841906</v>
      </c>
      <c r="AB123" s="2">
        <f>$C123+total_production!AA123</f>
        <v>4609124.4918841906</v>
      </c>
    </row>
    <row r="124" spans="1:28" x14ac:dyDescent="0.2">
      <c r="A124" t="s">
        <v>544</v>
      </c>
      <c r="B124" t="s">
        <v>545</v>
      </c>
      <c r="C124" s="1">
        <v>1761087</v>
      </c>
      <c r="D124" s="2">
        <f>$C124+total_production!C124</f>
        <v>1772333.4831461047</v>
      </c>
      <c r="E124" s="2">
        <f>$C124+total_production!D124</f>
        <v>1772957.2733069973</v>
      </c>
      <c r="F124" s="2">
        <f>$C124+total_production!E124</f>
        <v>1773472.1960841028</v>
      </c>
      <c r="G124" s="2">
        <f>$C124+total_production!F124</f>
        <v>1774088.264380995</v>
      </c>
      <c r="H124" s="2">
        <f>$C124+total_production!G124</f>
        <v>1775733.3180845478</v>
      </c>
      <c r="I124" s="2">
        <f>$C124+total_production!H124</f>
        <v>1776428.0516997806</v>
      </c>
      <c r="J124" s="2">
        <f>$C124+total_production!I124</f>
        <v>1777398.3090184587</v>
      </c>
      <c r="K124" s="2">
        <f>$C124+total_production!J124</f>
        <v>1780078.9874588011</v>
      </c>
      <c r="L124" s="2">
        <f>$C124+total_production!K124</f>
        <v>1780981.8624812386</v>
      </c>
      <c r="M124" s="2">
        <f>$C124+total_production!L124</f>
        <v>1784702.2132949922</v>
      </c>
      <c r="N124" s="2">
        <f>$C124+total_production!M124</f>
        <v>1786475.4743491183</v>
      </c>
      <c r="O124" s="2">
        <f>$C124+total_production!N124</f>
        <v>1788062.150407668</v>
      </c>
      <c r="P124" s="2">
        <f>$C124+total_production!O124</f>
        <v>1788062.150407668</v>
      </c>
      <c r="Q124" s="2">
        <f>$C124+total_production!P124</f>
        <v>1788062.150407668</v>
      </c>
      <c r="R124" s="2">
        <f>$C124+total_production!Q124</f>
        <v>1789448.8546083171</v>
      </c>
      <c r="S124" s="2">
        <f>$C124+total_production!R124</f>
        <v>1789448.8546083171</v>
      </c>
      <c r="T124" s="2">
        <f>$C124+total_production!S124</f>
        <v>1790999.1648707853</v>
      </c>
      <c r="U124" s="2">
        <f>$C124+total_production!T124</f>
        <v>1790999.1648707853</v>
      </c>
      <c r="V124" s="2">
        <f>$C124+total_production!U124</f>
        <v>1792413.7885150865</v>
      </c>
      <c r="W124" s="2">
        <f>$C124+total_production!V124</f>
        <v>1792413.7885150865</v>
      </c>
      <c r="X124" s="2">
        <f>$C124+total_production!W124</f>
        <v>1793637.2507170653</v>
      </c>
      <c r="Y124" s="2">
        <f>$C124+total_production!X124</f>
        <v>1793637.2507170653</v>
      </c>
      <c r="Z124" s="2">
        <f>$C124+total_production!Y124</f>
        <v>1793637.2507170653</v>
      </c>
      <c r="AA124" s="2">
        <f>$C124+total_production!Z124</f>
        <v>1793637.2507170653</v>
      </c>
      <c r="AB124" s="2">
        <f>$C124+total_production!AA124</f>
        <v>1793637.2507170653</v>
      </c>
    </row>
    <row r="125" spans="1:28" x14ac:dyDescent="0.2">
      <c r="A125" t="s">
        <v>807</v>
      </c>
      <c r="B125" t="s">
        <v>808</v>
      </c>
      <c r="C125" s="1">
        <v>615416</v>
      </c>
      <c r="D125" s="2">
        <f>$C125+total_production!C125</f>
        <v>616515.3906480869</v>
      </c>
      <c r="E125" s="2">
        <f>$C125+total_production!D125</f>
        <v>616425.13336275576</v>
      </c>
      <c r="F125" s="2">
        <f>$C125+total_production!E125</f>
        <v>616484.45806006168</v>
      </c>
      <c r="G125" s="2">
        <f>$C125+total_production!F125</f>
        <v>616490.58593825519</v>
      </c>
      <c r="H125" s="2">
        <f>$C125+total_production!G125</f>
        <v>616130.42375276471</v>
      </c>
      <c r="I125" s="2">
        <f>$C125+total_production!H125</f>
        <v>616210.46461183019</v>
      </c>
      <c r="J125" s="2">
        <f>$C125+total_production!I125</f>
        <v>616322.24879442726</v>
      </c>
      <c r="K125" s="2">
        <f>$C125+total_production!J125</f>
        <v>616324.44657684246</v>
      </c>
      <c r="L125" s="2">
        <f>$C125+total_production!K125</f>
        <v>616428.46758696786</v>
      </c>
      <c r="M125" s="2">
        <f>$C125+total_production!L125</f>
        <v>616468.91580974311</v>
      </c>
      <c r="N125" s="2">
        <f>$C125+total_production!M125</f>
        <v>616418.42326402327</v>
      </c>
      <c r="O125" s="2">
        <f>$C125+total_production!N125</f>
        <v>616378.48539178818</v>
      </c>
      <c r="P125" s="2">
        <f>$C125+total_production!O125</f>
        <v>616378.48539178818</v>
      </c>
      <c r="Q125" s="2">
        <f>$C125+total_production!P125</f>
        <v>616378.48539178818</v>
      </c>
      <c r="R125" s="2">
        <f>$C125+total_production!Q125</f>
        <v>616342.70363419515</v>
      </c>
      <c r="S125" s="2">
        <f>$C125+total_production!R125</f>
        <v>616342.70363419515</v>
      </c>
      <c r="T125" s="2">
        <f>$C125+total_production!S125</f>
        <v>616305.48269638862</v>
      </c>
      <c r="U125" s="2">
        <f>$C125+total_production!T125</f>
        <v>616305.48269638862</v>
      </c>
      <c r="V125" s="2">
        <f>$C125+total_production!U125</f>
        <v>616263.20500589511</v>
      </c>
      <c r="W125" s="2">
        <f>$C125+total_production!V125</f>
        <v>616263.20500589511</v>
      </c>
      <c r="X125" s="2">
        <f>$C125+total_production!W125</f>
        <v>616229.38996607787</v>
      </c>
      <c r="Y125" s="2">
        <f>$C125+total_production!X125</f>
        <v>616229.38996607787</v>
      </c>
      <c r="Z125" s="2">
        <f>$C125+total_production!Y125</f>
        <v>616229.38996607787</v>
      </c>
      <c r="AA125" s="2">
        <f>$C125+total_production!Z125</f>
        <v>616229.38996607787</v>
      </c>
      <c r="AB125" s="2">
        <f>$C125+total_production!AA125</f>
        <v>616229.38996607787</v>
      </c>
    </row>
    <row r="126" spans="1:28" x14ac:dyDescent="0.2">
      <c r="A126" t="s">
        <v>364</v>
      </c>
      <c r="B126" t="s">
        <v>125</v>
      </c>
      <c r="C126" s="1">
        <v>12965074</v>
      </c>
      <c r="D126" s="2">
        <f>$C126+total_production!C126</f>
        <v>13066662.904075455</v>
      </c>
      <c r="E126" s="2">
        <f>$C126+total_production!D126</f>
        <v>13065160.295512544</v>
      </c>
      <c r="F126" s="2">
        <f>$C126+total_production!E126</f>
        <v>13070235.778472146</v>
      </c>
      <c r="G126" s="2">
        <f>$C126+total_production!F126</f>
        <v>13073247.76118087</v>
      </c>
      <c r="H126" s="2">
        <f>$C126+total_production!G126</f>
        <v>13063521.090151094</v>
      </c>
      <c r="I126" s="2">
        <f>$C126+total_production!H126</f>
        <v>13070368.929831829</v>
      </c>
      <c r="J126" s="2">
        <f>$C126+total_production!I126</f>
        <v>13079932.547341743</v>
      </c>
      <c r="K126" s="2">
        <f>$C126+total_production!J126</f>
        <v>13091883.852435412</v>
      </c>
      <c r="L126" s="2">
        <f>$C126+total_production!K126</f>
        <v>13100783.297157573</v>
      </c>
      <c r="M126" s="2">
        <f>$C126+total_production!L126</f>
        <v>13119134.719495554</v>
      </c>
      <c r="N126" s="2">
        <f>$C126+total_production!M126</f>
        <v>13124588.960650969</v>
      </c>
      <c r="O126" s="2">
        <f>$C126+total_production!N126</f>
        <v>13129716.674930761</v>
      </c>
      <c r="P126" s="2">
        <f>$C126+total_production!O126</f>
        <v>13129716.674930761</v>
      </c>
      <c r="Q126" s="2">
        <f>$C126+total_production!P126</f>
        <v>13129716.674930761</v>
      </c>
      <c r="R126" s="2">
        <f>$C126+total_production!Q126</f>
        <v>13134156.729351867</v>
      </c>
      <c r="S126" s="2">
        <f>$C126+total_production!R126</f>
        <v>13134156.729351867</v>
      </c>
      <c r="T126" s="2">
        <f>$C126+total_production!S126</f>
        <v>13139251.941247335</v>
      </c>
      <c r="U126" s="2">
        <f>$C126+total_production!T126</f>
        <v>13139251.941247335</v>
      </c>
      <c r="V126" s="2">
        <f>$C126+total_production!U126</f>
        <v>13143508.825547056</v>
      </c>
      <c r="W126" s="2">
        <f>$C126+total_production!V126</f>
        <v>13143508.825547056</v>
      </c>
      <c r="X126" s="2">
        <f>$C126+total_production!W126</f>
        <v>13147320.227671849</v>
      </c>
      <c r="Y126" s="2">
        <f>$C126+total_production!X126</f>
        <v>13147320.227671849</v>
      </c>
      <c r="Z126" s="2">
        <f>$C126+total_production!Y126</f>
        <v>13147320.227671849</v>
      </c>
      <c r="AA126" s="2">
        <f>$C126+total_production!Z126</f>
        <v>13147320.227671849</v>
      </c>
      <c r="AB126" s="2">
        <f>$C126+total_production!AA126</f>
        <v>13147320.227671849</v>
      </c>
    </row>
    <row r="127" spans="1:28" x14ac:dyDescent="0.2">
      <c r="A127" t="s">
        <v>422</v>
      </c>
      <c r="B127" t="s">
        <v>167</v>
      </c>
      <c r="C127" s="1">
        <v>8275622</v>
      </c>
      <c r="D127" s="2">
        <f>$C127+total_production!C127</f>
        <v>8314337.1859373851</v>
      </c>
      <c r="E127" s="2">
        <f>$C127+total_production!D127</f>
        <v>8316709.5029689847</v>
      </c>
      <c r="F127" s="2">
        <f>$C127+total_production!E127</f>
        <v>8318468.7154366756</v>
      </c>
      <c r="G127" s="2">
        <f>$C127+total_production!F127</f>
        <v>8320669.9528699201</v>
      </c>
      <c r="H127" s="2">
        <f>$C127+total_production!G127</f>
        <v>8327107.8860543892</v>
      </c>
      <c r="I127" s="2">
        <f>$C127+total_production!H127</f>
        <v>8329481.4148474094</v>
      </c>
      <c r="J127" s="2">
        <f>$C127+total_production!I127</f>
        <v>8332796.2590294471</v>
      </c>
      <c r="K127" s="2">
        <f>$C127+total_production!J127</f>
        <v>8342410.8276932603</v>
      </c>
      <c r="L127" s="2">
        <f>$C127+total_production!K127</f>
        <v>8345495.4630344408</v>
      </c>
      <c r="M127" s="2">
        <f>$C127+total_production!L127</f>
        <v>8358783.308671101</v>
      </c>
      <c r="N127" s="2">
        <f>$C127+total_production!M127</f>
        <v>8365220.5893430673</v>
      </c>
      <c r="O127" s="2">
        <f>$C127+total_production!N127</f>
        <v>8370972.7331391918</v>
      </c>
      <c r="P127" s="2">
        <f>$C127+total_production!O127</f>
        <v>8370972.7331391918</v>
      </c>
      <c r="Q127" s="2">
        <f>$C127+total_production!P127</f>
        <v>8370972.7331391918</v>
      </c>
      <c r="R127" s="2">
        <f>$C127+total_production!Q127</f>
        <v>8376001.2281572921</v>
      </c>
      <c r="S127" s="2">
        <f>$C127+total_production!R127</f>
        <v>8376001.2281572921</v>
      </c>
      <c r="T127" s="2">
        <f>$C127+total_production!S127</f>
        <v>8381618.8559035063</v>
      </c>
      <c r="U127" s="2">
        <f>$C127+total_production!T127</f>
        <v>8381618.8559035063</v>
      </c>
      <c r="V127" s="2">
        <f>$C127+total_production!U127</f>
        <v>8386757.1841676161</v>
      </c>
      <c r="W127" s="2">
        <f>$C127+total_production!V127</f>
        <v>8386757.1841676161</v>
      </c>
      <c r="X127" s="2">
        <f>$C127+total_production!W127</f>
        <v>8391197.067934528</v>
      </c>
      <c r="Y127" s="2">
        <f>$C127+total_production!X127</f>
        <v>8391197.067934528</v>
      </c>
      <c r="Z127" s="2">
        <f>$C127+total_production!Y127</f>
        <v>8391197.067934528</v>
      </c>
      <c r="AA127" s="2">
        <f>$C127+total_production!Z127</f>
        <v>8391197.067934528</v>
      </c>
      <c r="AB127" s="2">
        <f>$C127+total_production!AA127</f>
        <v>8391197.067934528</v>
      </c>
    </row>
    <row r="128" spans="1:28" x14ac:dyDescent="0.2">
      <c r="A128" t="s">
        <v>610</v>
      </c>
      <c r="B128" t="s">
        <v>611</v>
      </c>
      <c r="C128" s="1">
        <v>6126180</v>
      </c>
      <c r="D128" s="2">
        <f>$C128+total_production!C128</f>
        <v>6132158.1575331902</v>
      </c>
      <c r="E128" s="2">
        <f>$C128+total_production!D128</f>
        <v>6131923.7743208203</v>
      </c>
      <c r="F128" s="2">
        <f>$C128+total_production!E128</f>
        <v>6132231.1243247325</v>
      </c>
      <c r="G128" s="2">
        <f>$C128+total_production!F128</f>
        <v>6132356.1607738407</v>
      </c>
      <c r="H128" s="2">
        <f>$C128+total_production!G128</f>
        <v>6131280.979577763</v>
      </c>
      <c r="I128" s="2">
        <f>$C128+total_production!H128</f>
        <v>6131695.6560862679</v>
      </c>
      <c r="J128" s="2">
        <f>$C128+total_production!I128</f>
        <v>6132274.7887328519</v>
      </c>
      <c r="K128" s="2">
        <f>$C128+total_production!J128</f>
        <v>6132727.2964829057</v>
      </c>
      <c r="L128" s="2">
        <f>$C128+total_production!K128</f>
        <v>6133266.2096054489</v>
      </c>
      <c r="M128" s="2">
        <f>$C128+total_production!L128</f>
        <v>6134034.1713020056</v>
      </c>
      <c r="N128" s="2">
        <f>$C128+total_production!M128</f>
        <v>6134139.1064458862</v>
      </c>
      <c r="O128" s="2">
        <f>$C128+total_production!N128</f>
        <v>6134252.616322509</v>
      </c>
      <c r="P128" s="2">
        <f>$C128+total_production!O128</f>
        <v>6134252.616322509</v>
      </c>
      <c r="Q128" s="2">
        <f>$C128+total_production!P128</f>
        <v>6134252.616322509</v>
      </c>
      <c r="R128" s="2">
        <f>$C128+total_production!Q128</f>
        <v>6134348.5371120377</v>
      </c>
      <c r="S128" s="2">
        <f>$C128+total_production!R128</f>
        <v>6134348.5371120377</v>
      </c>
      <c r="T128" s="2">
        <f>$C128+total_production!S128</f>
        <v>6134466.1873986339</v>
      </c>
      <c r="U128" s="2">
        <f>$C128+total_production!T128</f>
        <v>6134466.1873986339</v>
      </c>
      <c r="V128" s="2">
        <f>$C128+total_production!U128</f>
        <v>6134542.425881275</v>
      </c>
      <c r="W128" s="2">
        <f>$C128+total_production!V128</f>
        <v>6134542.425881275</v>
      </c>
      <c r="X128" s="2">
        <f>$C128+total_production!W128</f>
        <v>6134618.6517006168</v>
      </c>
      <c r="Y128" s="2">
        <f>$C128+total_production!X128</f>
        <v>6134618.6517006168</v>
      </c>
      <c r="Z128" s="2">
        <f>$C128+total_production!Y128</f>
        <v>6134618.6517006168</v>
      </c>
      <c r="AA128" s="2">
        <f>$C128+total_production!Z128</f>
        <v>6134618.6517006168</v>
      </c>
      <c r="AB128" s="2">
        <f>$C128+total_production!AA128</f>
        <v>6134618.6517006168</v>
      </c>
    </row>
    <row r="129" spans="1:28" x14ac:dyDescent="0.2">
      <c r="A129" t="s">
        <v>460</v>
      </c>
      <c r="B129" t="s">
        <v>461</v>
      </c>
      <c r="C129" s="1">
        <v>10700522</v>
      </c>
      <c r="D129" s="2">
        <f>$C129+total_production!C129</f>
        <v>10724353.430987336</v>
      </c>
      <c r="E129" s="2">
        <f>$C129+total_production!D129</f>
        <v>10724770.38791018</v>
      </c>
      <c r="F129" s="2">
        <f>$C129+total_production!E129</f>
        <v>10725915.296870627</v>
      </c>
      <c r="G129" s="2">
        <f>$C129+total_production!F129</f>
        <v>10726897.092946513</v>
      </c>
      <c r="H129" s="2">
        <f>$C129+total_production!G129</f>
        <v>10727265.928651096</v>
      </c>
      <c r="I129" s="2">
        <f>$C129+total_production!H129</f>
        <v>10728810.639385538</v>
      </c>
      <c r="J129" s="2">
        <f>$C129+total_production!I129</f>
        <v>10730967.965391461</v>
      </c>
      <c r="K129" s="2">
        <f>$C129+total_production!J129</f>
        <v>10735093.638559124</v>
      </c>
      <c r="L129" s="2">
        <f>$C129+total_production!K129</f>
        <v>10737101.142886592</v>
      </c>
      <c r="M129" s="2">
        <f>$C129+total_production!L129</f>
        <v>10743050.67177177</v>
      </c>
      <c r="N129" s="2">
        <f>$C129+total_production!M129</f>
        <v>10745468.990460221</v>
      </c>
      <c r="O129" s="2">
        <f>$C129+total_production!N129</f>
        <v>10747664.212559046</v>
      </c>
      <c r="P129" s="2">
        <f>$C129+total_production!O129</f>
        <v>10747664.212559046</v>
      </c>
      <c r="Q129" s="2">
        <f>$C129+total_production!P129</f>
        <v>10747664.212559046</v>
      </c>
      <c r="R129" s="2">
        <f>$C129+total_production!Q129</f>
        <v>10749577.517362151</v>
      </c>
      <c r="S129" s="2">
        <f>$C129+total_production!R129</f>
        <v>10749577.517362151</v>
      </c>
      <c r="T129" s="2">
        <f>$C129+total_production!S129</f>
        <v>10751733.205196027</v>
      </c>
      <c r="U129" s="2">
        <f>$C129+total_production!T129</f>
        <v>10751733.205196027</v>
      </c>
      <c r="V129" s="2">
        <f>$C129+total_production!U129</f>
        <v>10753650.476154672</v>
      </c>
      <c r="W129" s="2">
        <f>$C129+total_production!V129</f>
        <v>10753650.476154672</v>
      </c>
      <c r="X129" s="2">
        <f>$C129+total_production!W129</f>
        <v>10755325.11277811</v>
      </c>
      <c r="Y129" s="2">
        <f>$C129+total_production!X129</f>
        <v>10755325.11277811</v>
      </c>
      <c r="Z129" s="2">
        <f>$C129+total_production!Y129</f>
        <v>10755325.11277811</v>
      </c>
      <c r="AA129" s="2">
        <f>$C129+total_production!Z129</f>
        <v>10755325.11277811</v>
      </c>
      <c r="AB129" s="2">
        <f>$C129+total_production!AA129</f>
        <v>10755325.11277811</v>
      </c>
    </row>
    <row r="130" spans="1:28" x14ac:dyDescent="0.2">
      <c r="A130" t="s">
        <v>439</v>
      </c>
      <c r="B130" t="s">
        <v>440</v>
      </c>
      <c r="C130" s="1">
        <v>17455099</v>
      </c>
      <c r="D130" s="2">
        <f>$C130+total_production!C130</f>
        <v>17484011.920172572</v>
      </c>
      <c r="E130" s="2">
        <f>$C130+total_production!D130</f>
        <v>17484736.391643658</v>
      </c>
      <c r="F130" s="2">
        <f>$C130+total_production!E130</f>
        <v>17486112.432132635</v>
      </c>
      <c r="G130" s="2">
        <f>$C130+total_production!F130</f>
        <v>17487381.767006613</v>
      </c>
      <c r="H130" s="2">
        <f>$C130+total_production!G130</f>
        <v>17488582.306502152</v>
      </c>
      <c r="I130" s="2">
        <f>$C130+total_production!H130</f>
        <v>17490438.85980707</v>
      </c>
      <c r="J130" s="2">
        <f>$C130+total_production!I130</f>
        <v>17493031.701713838</v>
      </c>
      <c r="K130" s="2">
        <f>$C130+total_production!J130</f>
        <v>17498412.685793791</v>
      </c>
      <c r="L130" s="2">
        <f>$C130+total_production!K130</f>
        <v>17500825.460373975</v>
      </c>
      <c r="M130" s="2">
        <f>$C130+total_production!L130</f>
        <v>17508510.81177238</v>
      </c>
      <c r="N130" s="2">
        <f>$C130+total_production!M130</f>
        <v>17511768.331444584</v>
      </c>
      <c r="O130" s="2">
        <f>$C130+total_production!N130</f>
        <v>17514713.562987469</v>
      </c>
      <c r="P130" s="2">
        <f>$C130+total_production!O130</f>
        <v>17514713.562987469</v>
      </c>
      <c r="Q130" s="2">
        <f>$C130+total_production!P130</f>
        <v>17514713.562987469</v>
      </c>
      <c r="R130" s="2">
        <f>$C130+total_production!Q130</f>
        <v>17517282.500993818</v>
      </c>
      <c r="S130" s="2">
        <f>$C130+total_production!R130</f>
        <v>17517282.500993818</v>
      </c>
      <c r="T130" s="2">
        <f>$C130+total_production!S130</f>
        <v>17520170.702675104</v>
      </c>
      <c r="U130" s="2">
        <f>$C130+total_production!T130</f>
        <v>17520170.702675104</v>
      </c>
      <c r="V130" s="2">
        <f>$C130+total_production!U130</f>
        <v>17522757.787370373</v>
      </c>
      <c r="W130" s="2">
        <f>$C130+total_production!V130</f>
        <v>17522757.787370373</v>
      </c>
      <c r="X130" s="2">
        <f>$C130+total_production!W130</f>
        <v>17525011.257552739</v>
      </c>
      <c r="Y130" s="2">
        <f>$C130+total_production!X130</f>
        <v>17525011.257552739</v>
      </c>
      <c r="Z130" s="2">
        <f>$C130+total_production!Y130</f>
        <v>17525011.257552739</v>
      </c>
      <c r="AA130" s="2">
        <f>$C130+total_production!Z130</f>
        <v>17525011.257552739</v>
      </c>
      <c r="AB130" s="2">
        <f>$C130+total_production!AA130</f>
        <v>17525011.257552739</v>
      </c>
    </row>
    <row r="131" spans="1:28" x14ac:dyDescent="0.2">
      <c r="A131" t="s">
        <v>441</v>
      </c>
      <c r="B131" t="s">
        <v>45</v>
      </c>
      <c r="C131" s="1">
        <v>12956928</v>
      </c>
      <c r="D131" s="2">
        <f>$C131+total_production!C131</f>
        <v>12984491.471146584</v>
      </c>
      <c r="E131" s="2">
        <f>$C131+total_production!D131</f>
        <v>12984140.783089098</v>
      </c>
      <c r="F131" s="2">
        <f>$C131+total_production!E131</f>
        <v>12985514.49342867</v>
      </c>
      <c r="G131" s="2">
        <f>$C131+total_production!F131</f>
        <v>12986352.105710821</v>
      </c>
      <c r="H131" s="2">
        <f>$C131+total_production!G131</f>
        <v>12983909.400355671</v>
      </c>
      <c r="I131" s="2">
        <f>$C131+total_production!H131</f>
        <v>12985762.8098239</v>
      </c>
      <c r="J131" s="2">
        <f>$C131+total_production!I131</f>
        <v>12988351.261082957</v>
      </c>
      <c r="K131" s="2">
        <f>$C131+total_production!J131</f>
        <v>12991691.877854537</v>
      </c>
      <c r="L131" s="2">
        <f>$C131+total_production!K131</f>
        <v>12994100.566708112</v>
      </c>
      <c r="M131" s="2">
        <f>$C131+total_production!L131</f>
        <v>12999201.577116583</v>
      </c>
      <c r="N131" s="2">
        <f>$C131+total_production!M131</f>
        <v>13000765.812281957</v>
      </c>
      <c r="O131" s="2">
        <f>$C131+total_production!N131</f>
        <v>13002230.599610789</v>
      </c>
      <c r="P131" s="2">
        <f>$C131+total_production!O131</f>
        <v>13002230.599610789</v>
      </c>
      <c r="Q131" s="2">
        <f>$C131+total_production!P131</f>
        <v>13002230.599610789</v>
      </c>
      <c r="R131" s="2">
        <f>$C131+total_production!Q131</f>
        <v>13003499.873738473</v>
      </c>
      <c r="S131" s="2">
        <f>$C131+total_production!R131</f>
        <v>13003499.873738473</v>
      </c>
      <c r="T131" s="2">
        <f>$C131+total_production!S131</f>
        <v>13004953.478355788</v>
      </c>
      <c r="U131" s="2">
        <f>$C131+total_production!T131</f>
        <v>13004953.478355788</v>
      </c>
      <c r="V131" s="2">
        <f>$C131+total_production!U131</f>
        <v>13006176.531345731</v>
      </c>
      <c r="W131" s="2">
        <f>$C131+total_production!V131</f>
        <v>13006176.531345731</v>
      </c>
      <c r="X131" s="2">
        <f>$C131+total_production!W131</f>
        <v>13007268.48103481</v>
      </c>
      <c r="Y131" s="2">
        <f>$C131+total_production!X131</f>
        <v>13007268.48103481</v>
      </c>
      <c r="Z131" s="2">
        <f>$C131+total_production!Y131</f>
        <v>13007268.48103481</v>
      </c>
      <c r="AA131" s="2">
        <f>$C131+total_production!Z131</f>
        <v>13007268.48103481</v>
      </c>
      <c r="AB131" s="2">
        <f>$C131+total_production!AA131</f>
        <v>13007268.48103481</v>
      </c>
    </row>
    <row r="132" spans="1:28" x14ac:dyDescent="0.2">
      <c r="A132" t="s">
        <v>631</v>
      </c>
      <c r="B132" t="s">
        <v>241</v>
      </c>
      <c r="C132" s="1">
        <v>2435327</v>
      </c>
      <c r="D132" s="2">
        <f>$C132+total_production!C132</f>
        <v>2439610.0617584684</v>
      </c>
      <c r="E132" s="2">
        <f>$C132+total_production!D132</f>
        <v>2438855.1822612742</v>
      </c>
      <c r="F132" s="2">
        <f>$C132+total_production!E132</f>
        <v>2439110.2700815322</v>
      </c>
      <c r="G132" s="2">
        <f>$C132+total_production!F132</f>
        <v>2438989.904710752</v>
      </c>
      <c r="H132" s="2">
        <f>$C132+total_production!G132</f>
        <v>2436197.6558487113</v>
      </c>
      <c r="I132" s="2">
        <f>$C132+total_production!H132</f>
        <v>2436541.8202388859</v>
      </c>
      <c r="J132" s="2">
        <f>$C132+total_production!I132</f>
        <v>2437022.4764372814</v>
      </c>
      <c r="K132" s="2">
        <f>$C132+total_production!J132</f>
        <v>2436338.1812413023</v>
      </c>
      <c r="L132" s="2">
        <f>$C132+total_production!K132</f>
        <v>2436785.4568944275</v>
      </c>
      <c r="M132" s="2">
        <f>$C132+total_production!L132</f>
        <v>2436081.1797083258</v>
      </c>
      <c r="N132" s="2">
        <f>$C132+total_production!M132</f>
        <v>2435287.6364667192</v>
      </c>
      <c r="O132" s="2">
        <f>$C132+total_production!N132</f>
        <v>2434611.9886891027</v>
      </c>
      <c r="P132" s="2">
        <f>$C132+total_production!O132</f>
        <v>2434611.9886891027</v>
      </c>
      <c r="Q132" s="2">
        <f>$C132+total_production!P132</f>
        <v>2434611.9886891027</v>
      </c>
      <c r="R132" s="2">
        <f>$C132+total_production!Q132</f>
        <v>2434015.7368522109</v>
      </c>
      <c r="S132" s="2">
        <f>$C132+total_production!R132</f>
        <v>2434015.7368522109</v>
      </c>
      <c r="T132" s="2">
        <f>$C132+total_production!S132</f>
        <v>2433367.3969452335</v>
      </c>
      <c r="U132" s="2">
        <f>$C132+total_production!T132</f>
        <v>2433367.3969452335</v>
      </c>
      <c r="V132" s="2">
        <f>$C132+total_production!U132</f>
        <v>2432721.2401255243</v>
      </c>
      <c r="W132" s="2">
        <f>$C132+total_production!V132</f>
        <v>2432721.2401255243</v>
      </c>
      <c r="X132" s="2">
        <f>$C132+total_production!W132</f>
        <v>2432180.4432876366</v>
      </c>
      <c r="Y132" s="2">
        <f>$C132+total_production!X132</f>
        <v>2432180.4432876366</v>
      </c>
      <c r="Z132" s="2">
        <f>$C132+total_production!Y132</f>
        <v>2432180.4432876366</v>
      </c>
      <c r="AA132" s="2">
        <f>$C132+total_production!Z132</f>
        <v>2432180.4432876366</v>
      </c>
      <c r="AB132" s="2">
        <f>$C132+total_production!AA132</f>
        <v>2432180.4432876366</v>
      </c>
    </row>
    <row r="133" spans="1:28" x14ac:dyDescent="0.2">
      <c r="A133" t="s">
        <v>490</v>
      </c>
      <c r="B133" t="s">
        <v>491</v>
      </c>
      <c r="C133" s="1">
        <v>5119407</v>
      </c>
      <c r="D133" s="2">
        <f>$C133+total_production!C133</f>
        <v>5126667.258544568</v>
      </c>
      <c r="E133" s="2">
        <f>$C133+total_production!D133</f>
        <v>5117304.5312826401</v>
      </c>
      <c r="F133" s="2">
        <f>$C133+total_production!E133</f>
        <v>5118217.362776434</v>
      </c>
      <c r="G133" s="2">
        <f>$C133+total_production!F133</f>
        <v>5115122.0784421489</v>
      </c>
      <c r="H133" s="2">
        <f>$C133+total_production!G133</f>
        <v>5082544.3034533476</v>
      </c>
      <c r="I133" s="2">
        <f>$C133+total_production!H133</f>
        <v>5083775.8953579571</v>
      </c>
      <c r="J133" s="2">
        <f>$C133+total_production!I133</f>
        <v>5085495.9230532786</v>
      </c>
      <c r="K133" s="2">
        <f>$C133+total_production!J133</f>
        <v>5070447.6995564345</v>
      </c>
      <c r="L133" s="2">
        <f>$C133+total_production!K133</f>
        <v>5072048.2750059683</v>
      </c>
      <c r="M133" s="2">
        <f>$C133+total_production!L133</f>
        <v>5053578.5893663829</v>
      </c>
      <c r="N133" s="2">
        <f>$C133+total_production!M133</f>
        <v>5040270.0035176547</v>
      </c>
      <c r="O133" s="2">
        <f>$C133+total_production!N133</f>
        <v>5028700.2324305726</v>
      </c>
      <c r="P133" s="2">
        <f>$C133+total_production!O133</f>
        <v>5028700.2324305726</v>
      </c>
      <c r="Q133" s="2">
        <f>$C133+total_production!P133</f>
        <v>5028700.2324305726</v>
      </c>
      <c r="R133" s="2">
        <f>$C133+total_production!Q133</f>
        <v>5018531.9717522198</v>
      </c>
      <c r="S133" s="2">
        <f>$C133+total_production!R133</f>
        <v>5018531.9717522198</v>
      </c>
      <c r="T133" s="2">
        <f>$C133+total_production!S133</f>
        <v>5007343.7036109669</v>
      </c>
      <c r="U133" s="2">
        <f>$C133+total_production!T133</f>
        <v>5007343.7036109669</v>
      </c>
      <c r="V133" s="2">
        <f>$C133+total_production!U133</f>
        <v>4996597.7877447419</v>
      </c>
      <c r="W133" s="2">
        <f>$C133+total_production!V133</f>
        <v>4996597.7877447419</v>
      </c>
      <c r="X133" s="2">
        <f>$C133+total_production!W133</f>
        <v>4987481.5351856994</v>
      </c>
      <c r="Y133" s="2">
        <f>$C133+total_production!X133</f>
        <v>4987481.5351856994</v>
      </c>
      <c r="Z133" s="2">
        <f>$C133+total_production!Y133</f>
        <v>4987481.5351856994</v>
      </c>
      <c r="AA133" s="2">
        <f>$C133+total_production!Z133</f>
        <v>4987481.5351856994</v>
      </c>
      <c r="AB133" s="2">
        <f>$C133+total_production!AA133</f>
        <v>4987481.5351856994</v>
      </c>
    </row>
    <row r="134" spans="1:28" x14ac:dyDescent="0.2">
      <c r="A134" t="s">
        <v>815</v>
      </c>
      <c r="B134" t="s">
        <v>107</v>
      </c>
      <c r="C134" s="1">
        <v>706012</v>
      </c>
      <c r="D134" s="2">
        <f>$C134+total_production!C134</f>
        <v>705959.74174619524</v>
      </c>
      <c r="E134" s="2">
        <f>$C134+total_production!D134</f>
        <v>704973.61812826479</v>
      </c>
      <c r="F134" s="2">
        <f>$C134+total_production!E134</f>
        <v>705029.66458056285</v>
      </c>
      <c r="G134" s="2">
        <f>$C134+total_production!F134</f>
        <v>704675.11224256398</v>
      </c>
      <c r="H134" s="2">
        <f>$C134+total_production!G134</f>
        <v>701280.47121839854</v>
      </c>
      <c r="I134" s="2">
        <f>$C134+total_production!H134</f>
        <v>701356.08907054504</v>
      </c>
      <c r="J134" s="2">
        <f>$C134+total_production!I134</f>
        <v>701461.69613037223</v>
      </c>
      <c r="K134" s="2">
        <f>$C134+total_production!J134</f>
        <v>699759.88152916031</v>
      </c>
      <c r="L134" s="2">
        <f>$C134+total_production!K134</f>
        <v>699858.15440448467</v>
      </c>
      <c r="M134" s="2">
        <f>$C134+total_production!L134</f>
        <v>697739.44487705396</v>
      </c>
      <c r="N134" s="2">
        <f>$C134+total_production!M134</f>
        <v>696275.98097682488</v>
      </c>
      <c r="O134" s="2">
        <f>$C134+total_production!N134</f>
        <v>695000.58310262242</v>
      </c>
      <c r="P134" s="2">
        <f>$C134+total_production!O134</f>
        <v>695000.58310262242</v>
      </c>
      <c r="Q134" s="2">
        <f>$C134+total_production!P134</f>
        <v>695000.58310262242</v>
      </c>
      <c r="R134" s="2">
        <f>$C134+total_production!Q134</f>
        <v>693880.22229849198</v>
      </c>
      <c r="S134" s="2">
        <f>$C134+total_production!R134</f>
        <v>693880.22229849198</v>
      </c>
      <c r="T134" s="2">
        <f>$C134+total_production!S134</f>
        <v>692645.76847342483</v>
      </c>
      <c r="U134" s="2">
        <f>$C134+total_production!T134</f>
        <v>692645.76847342483</v>
      </c>
      <c r="V134" s="2">
        <f>$C134+total_production!U134</f>
        <v>691465.30239647301</v>
      </c>
      <c r="W134" s="2">
        <f>$C134+total_production!V134</f>
        <v>691465.30239647301</v>
      </c>
      <c r="X134" s="2">
        <f>$C134+total_production!W134</f>
        <v>690462.23122407333</v>
      </c>
      <c r="Y134" s="2">
        <f>$C134+total_production!X134</f>
        <v>690462.23122407333</v>
      </c>
      <c r="Z134" s="2">
        <f>$C134+total_production!Y134</f>
        <v>690462.23122407333</v>
      </c>
      <c r="AA134" s="2">
        <f>$C134+total_production!Z134</f>
        <v>690462.23122407333</v>
      </c>
      <c r="AB134" s="2">
        <f>$C134+total_production!AA134</f>
        <v>690462.23122407333</v>
      </c>
    </row>
    <row r="135" spans="1:28" x14ac:dyDescent="0.2">
      <c r="A135" t="s">
        <v>542</v>
      </c>
      <c r="B135" t="s">
        <v>543</v>
      </c>
      <c r="C135" s="1">
        <v>648345</v>
      </c>
      <c r="D135" s="2">
        <f>$C135+total_production!C135</f>
        <v>660094.55838733073</v>
      </c>
      <c r="E135" s="2">
        <f>$C135+total_production!D135</f>
        <v>661078.14966940263</v>
      </c>
      <c r="F135" s="2">
        <f>$C135+total_production!E135</f>
        <v>661596.37913044856</v>
      </c>
      <c r="G135" s="2">
        <f>$C135+total_production!F135</f>
        <v>662358.72178177233</v>
      </c>
      <c r="H135" s="2">
        <f>$C135+total_production!G135</f>
        <v>665220.67781945202</v>
      </c>
      <c r="I135" s="2">
        <f>$C135+total_production!H135</f>
        <v>665919.87281140103</v>
      </c>
      <c r="J135" s="2">
        <f>$C135+total_production!I135</f>
        <v>666896.36083968531</v>
      </c>
      <c r="K135" s="2">
        <f>$C135+total_production!J135</f>
        <v>670267.21136161161</v>
      </c>
      <c r="L135" s="2">
        <f>$C135+total_production!K135</f>
        <v>671175.8843841952</v>
      </c>
      <c r="M135" s="2">
        <f>$C135+total_production!L135</f>
        <v>675772.01015883067</v>
      </c>
      <c r="N135" s="2">
        <f>$C135+total_production!M135</f>
        <v>678115.81843567791</v>
      </c>
      <c r="O135" s="2">
        <f>$C135+total_production!N135</f>
        <v>680201.50445294392</v>
      </c>
      <c r="P135" s="2">
        <f>$C135+total_production!O135</f>
        <v>680201.50445294392</v>
      </c>
      <c r="Q135" s="2">
        <f>$C135+total_production!P135</f>
        <v>680201.50445294392</v>
      </c>
      <c r="R135" s="2">
        <f>$C135+total_production!Q135</f>
        <v>682026.2527958412</v>
      </c>
      <c r="S135" s="2">
        <f>$C135+total_production!R135</f>
        <v>682026.2527958412</v>
      </c>
      <c r="T135" s="2">
        <f>$C135+total_production!S135</f>
        <v>684060.18226017989</v>
      </c>
      <c r="U135" s="2">
        <f>$C135+total_production!T135</f>
        <v>684060.18226017989</v>
      </c>
      <c r="V135" s="2">
        <f>$C135+total_production!U135</f>
        <v>685934.34430212993</v>
      </c>
      <c r="W135" s="2">
        <f>$C135+total_production!V135</f>
        <v>685934.34430212993</v>
      </c>
      <c r="X135" s="2">
        <f>$C135+total_production!W135</f>
        <v>687549.21225160919</v>
      </c>
      <c r="Y135" s="2">
        <f>$C135+total_production!X135</f>
        <v>687549.21225160919</v>
      </c>
      <c r="Z135" s="2">
        <f>$C135+total_production!Y135</f>
        <v>687549.21225160919</v>
      </c>
      <c r="AA135" s="2">
        <f>$C135+total_production!Z135</f>
        <v>687549.21225160919</v>
      </c>
      <c r="AB135" s="2">
        <f>$C135+total_production!AA135</f>
        <v>687549.21225160919</v>
      </c>
    </row>
    <row r="136" spans="1:28" x14ac:dyDescent="0.2">
      <c r="A136" t="s">
        <v>816</v>
      </c>
      <c r="B136" t="s">
        <v>817</v>
      </c>
      <c r="C136" s="1">
        <v>1536691</v>
      </c>
      <c r="D136" s="2">
        <f>$C136+total_production!C136</f>
        <v>1537850.4946933719</v>
      </c>
      <c r="E136" s="2">
        <f>$C136+total_production!D136</f>
        <v>1537891.1647880138</v>
      </c>
      <c r="F136" s="2">
        <f>$C136+total_production!E136</f>
        <v>1537945.6576858452</v>
      </c>
      <c r="G136" s="2">
        <f>$C136+total_production!F136</f>
        <v>1538000.7169633156</v>
      </c>
      <c r="H136" s="2">
        <f>$C136+total_production!G136</f>
        <v>1538088.8789235388</v>
      </c>
      <c r="I136" s="2">
        <f>$C136+total_production!H136</f>
        <v>1538162.4007205891</v>
      </c>
      <c r="J136" s="2">
        <f>$C136+total_production!I136</f>
        <v>1538265.0804529444</v>
      </c>
      <c r="K136" s="2">
        <f>$C136+total_production!J136</f>
        <v>1538500.8334820892</v>
      </c>
      <c r="L136" s="2">
        <f>$C136+total_production!K136</f>
        <v>1538596.3823265757</v>
      </c>
      <c r="M136" s="2">
        <f>$C136+total_production!L136</f>
        <v>1538929.4158445867</v>
      </c>
      <c r="N136" s="2">
        <f>$C136+total_production!M136</f>
        <v>1539077.2453390241</v>
      </c>
      <c r="O136" s="2">
        <f>$C136+total_production!N136</f>
        <v>1539210.3394229242</v>
      </c>
      <c r="P136" s="2">
        <f>$C136+total_production!O136</f>
        <v>1539210.3394229242</v>
      </c>
      <c r="Q136" s="2">
        <f>$C136+total_production!P136</f>
        <v>1539210.3394229242</v>
      </c>
      <c r="R136" s="2">
        <f>$C136+total_production!Q136</f>
        <v>1539326.5222535655</v>
      </c>
      <c r="S136" s="2">
        <f>$C136+total_production!R136</f>
        <v>1539326.5222535655</v>
      </c>
      <c r="T136" s="2">
        <f>$C136+total_production!S136</f>
        <v>1539456.8475194492</v>
      </c>
      <c r="U136" s="2">
        <f>$C136+total_production!T136</f>
        <v>1539456.8475194492</v>
      </c>
      <c r="V136" s="2">
        <f>$C136+total_production!U136</f>
        <v>1539574.4666863638</v>
      </c>
      <c r="W136" s="2">
        <f>$C136+total_production!V136</f>
        <v>1539574.4666863638</v>
      </c>
      <c r="X136" s="2">
        <f>$C136+total_production!W136</f>
        <v>1539676.6215194147</v>
      </c>
      <c r="Y136" s="2">
        <f>$C136+total_production!X136</f>
        <v>1539676.6215194147</v>
      </c>
      <c r="Z136" s="2">
        <f>$C136+total_production!Y136</f>
        <v>1539676.6215194147</v>
      </c>
      <c r="AA136" s="2">
        <f>$C136+total_production!Z136</f>
        <v>1539676.6215194147</v>
      </c>
      <c r="AB136" s="2">
        <f>$C136+total_production!AA136</f>
        <v>1539676.6215194147</v>
      </c>
    </row>
    <row r="137" spans="1:28" x14ac:dyDescent="0.2">
      <c r="A137" t="s">
        <v>657</v>
      </c>
      <c r="B137" t="s">
        <v>658</v>
      </c>
      <c r="C137" s="1">
        <v>3568146</v>
      </c>
      <c r="D137" s="2">
        <f>$C137+total_production!C137</f>
        <v>3571979.5213638996</v>
      </c>
      <c r="E137" s="2">
        <f>$C137+total_production!D137</f>
        <v>3571995.0124604544</v>
      </c>
      <c r="F137" s="2">
        <f>$C137+total_production!E137</f>
        <v>3572182.2481386168</v>
      </c>
      <c r="G137" s="2">
        <f>$C137+total_production!F137</f>
        <v>3572321.7299056202</v>
      </c>
      <c r="H137" s="2">
        <f>$C137+total_production!G137</f>
        <v>3572203.3769825064</v>
      </c>
      <c r="I137" s="2">
        <f>$C137+total_production!H137</f>
        <v>3572455.9952883455</v>
      </c>
      <c r="J137" s="2">
        <f>$C137+total_production!I137</f>
        <v>3572808.799233194</v>
      </c>
      <c r="K137" s="2">
        <f>$C137+total_production!J137</f>
        <v>3573383.8298572353</v>
      </c>
      <c r="L137" s="2">
        <f>$C137+total_production!K137</f>
        <v>3573712.1323224562</v>
      </c>
      <c r="M137" s="2">
        <f>$C137+total_production!L137</f>
        <v>3574558.9310668511</v>
      </c>
      <c r="N137" s="2">
        <f>$C137+total_production!M137</f>
        <v>3574871.5996543453</v>
      </c>
      <c r="O137" s="2">
        <f>$C137+total_production!N137</f>
        <v>3575158.2015169002</v>
      </c>
      <c r="P137" s="2">
        <f>$C137+total_production!O137</f>
        <v>3575158.2015169002</v>
      </c>
      <c r="Q137" s="2">
        <f>$C137+total_production!P137</f>
        <v>3575158.2015169002</v>
      </c>
      <c r="R137" s="2">
        <f>$C137+total_production!Q137</f>
        <v>3575407.5387811358</v>
      </c>
      <c r="S137" s="2">
        <f>$C137+total_production!R137</f>
        <v>3575407.5387811358</v>
      </c>
      <c r="T137" s="2">
        <f>$C137+total_production!S137</f>
        <v>3575689.9202496028</v>
      </c>
      <c r="U137" s="2">
        <f>$C137+total_production!T137</f>
        <v>3575689.9202496028</v>
      </c>
      <c r="V137" s="2">
        <f>$C137+total_production!U137</f>
        <v>3575936.7491581393</v>
      </c>
      <c r="W137" s="2">
        <f>$C137+total_production!V137</f>
        <v>3575936.7491581393</v>
      </c>
      <c r="X137" s="2">
        <f>$C137+total_production!W137</f>
        <v>3576153.8075734507</v>
      </c>
      <c r="Y137" s="2">
        <f>$C137+total_production!X137</f>
        <v>3576153.8075734507</v>
      </c>
      <c r="Z137" s="2">
        <f>$C137+total_production!Y137</f>
        <v>3576153.8075734507</v>
      </c>
      <c r="AA137" s="2">
        <f>$C137+total_production!Z137</f>
        <v>3576153.8075734507</v>
      </c>
      <c r="AB137" s="2">
        <f>$C137+total_production!AA137</f>
        <v>3576153.8075734507</v>
      </c>
    </row>
    <row r="138" spans="1:28" x14ac:dyDescent="0.2">
      <c r="A138" t="s">
        <v>822</v>
      </c>
      <c r="B138" t="s">
        <v>823</v>
      </c>
      <c r="C138" s="1">
        <v>1298863</v>
      </c>
      <c r="D138" s="2">
        <f>$C138+total_production!C138</f>
        <v>1299847.1886431812</v>
      </c>
      <c r="E138" s="2">
        <f>$C138+total_production!D138</f>
        <v>1299770.3480661684</v>
      </c>
      <c r="F138" s="2">
        <f>$C138+total_production!E138</f>
        <v>1299823.220995879</v>
      </c>
      <c r="G138" s="2">
        <f>$C138+total_production!F138</f>
        <v>1299830.1228116942</v>
      </c>
      <c r="H138" s="2">
        <f>$C138+total_production!G138</f>
        <v>1299521.3385620392</v>
      </c>
      <c r="I138" s="2">
        <f>$C138+total_production!H138</f>
        <v>1299592.6746987167</v>
      </c>
      <c r="J138" s="2">
        <f>$C138+total_production!I138</f>
        <v>1299692.3019618571</v>
      </c>
      <c r="K138" s="2">
        <f>$C138+total_production!J138</f>
        <v>1299701.0715599386</v>
      </c>
      <c r="L138" s="2">
        <f>$C138+total_production!K138</f>
        <v>1299793.7799226707</v>
      </c>
      <c r="M138" s="2">
        <f>$C138+total_production!L138</f>
        <v>1299838.4509610608</v>
      </c>
      <c r="N138" s="2">
        <f>$C138+total_production!M138</f>
        <v>1299799.1087703658</v>
      </c>
      <c r="O138" s="2">
        <f>$C138+total_production!N138</f>
        <v>1299768.4615117954</v>
      </c>
      <c r="P138" s="2">
        <f>$C138+total_production!O138</f>
        <v>1299768.4615117954</v>
      </c>
      <c r="Q138" s="2">
        <f>$C138+total_production!P138</f>
        <v>1299768.4615117954</v>
      </c>
      <c r="R138" s="2">
        <f>$C138+total_production!Q138</f>
        <v>1299740.9143530587</v>
      </c>
      <c r="S138" s="2">
        <f>$C138+total_production!R138</f>
        <v>1299740.9143530587</v>
      </c>
      <c r="T138" s="2">
        <f>$C138+total_production!S138</f>
        <v>1299712.5351503959</v>
      </c>
      <c r="U138" s="2">
        <f>$C138+total_production!T138</f>
        <v>1299712.5351503959</v>
      </c>
      <c r="V138" s="2">
        <f>$C138+total_production!U138</f>
        <v>1299679.4142374401</v>
      </c>
      <c r="W138" s="2">
        <f>$C138+total_production!V138</f>
        <v>1299679.4142374401</v>
      </c>
      <c r="X138" s="2">
        <f>$C138+total_production!W138</f>
        <v>1299653.1585032374</v>
      </c>
      <c r="Y138" s="2">
        <f>$C138+total_production!X138</f>
        <v>1299653.1585032374</v>
      </c>
      <c r="Z138" s="2">
        <f>$C138+total_production!Y138</f>
        <v>1299653.1585032374</v>
      </c>
      <c r="AA138" s="2">
        <f>$C138+total_production!Z138</f>
        <v>1299653.1585032374</v>
      </c>
      <c r="AB138" s="2">
        <f>$C138+total_production!AA138</f>
        <v>1299653.1585032374</v>
      </c>
    </row>
    <row r="139" spans="1:28" x14ac:dyDescent="0.2">
      <c r="A139" t="s">
        <v>872</v>
      </c>
      <c r="B139" t="s">
        <v>873</v>
      </c>
      <c r="C139" s="1">
        <v>407206</v>
      </c>
      <c r="D139" s="2">
        <f>$C139+total_production!C139</f>
        <v>407670.21698733972</v>
      </c>
      <c r="E139" s="2">
        <f>$C139+total_production!D139</f>
        <v>407628.36885375704</v>
      </c>
      <c r="F139" s="2">
        <f>$C139+total_production!E139</f>
        <v>407653.64078472293</v>
      </c>
      <c r="G139" s="2">
        <f>$C139+total_production!F139</f>
        <v>407654.8915709969</v>
      </c>
      <c r="H139" s="2">
        <f>$C139+total_production!G139</f>
        <v>407489.93998391362</v>
      </c>
      <c r="I139" s="2">
        <f>$C139+total_production!H139</f>
        <v>407524.03686357103</v>
      </c>
      <c r="J139" s="2">
        <f>$C139+total_production!I139</f>
        <v>407571.65619032638</v>
      </c>
      <c r="K139" s="2">
        <f>$C139+total_production!J139</f>
        <v>407566.16326904058</v>
      </c>
      <c r="L139" s="2">
        <f>$C139+total_production!K139</f>
        <v>407610.4755353693</v>
      </c>
      <c r="M139" s="2">
        <f>$C139+total_production!L139</f>
        <v>407619.56766019465</v>
      </c>
      <c r="N139" s="2">
        <f>$C139+total_production!M139</f>
        <v>407592.71618232987</v>
      </c>
      <c r="O139" s="2">
        <f>$C139+total_production!N139</f>
        <v>407571.03291677288</v>
      </c>
      <c r="P139" s="2">
        <f>$C139+total_production!O139</f>
        <v>407571.03291677288</v>
      </c>
      <c r="Q139" s="2">
        <f>$C139+total_production!P139</f>
        <v>407571.03291677288</v>
      </c>
      <c r="R139" s="2">
        <f>$C139+total_production!Q139</f>
        <v>407551.69030293945</v>
      </c>
      <c r="S139" s="2">
        <f>$C139+total_production!R139</f>
        <v>407551.69030293945</v>
      </c>
      <c r="T139" s="2">
        <f>$C139+total_production!S139</f>
        <v>407531.30923954706</v>
      </c>
      <c r="U139" s="2">
        <f>$C139+total_production!T139</f>
        <v>407531.30923954706</v>
      </c>
      <c r="V139" s="2">
        <f>$C139+total_production!U139</f>
        <v>407508.99576652388</v>
      </c>
      <c r="W139" s="2">
        <f>$C139+total_production!V139</f>
        <v>407508.99576652388</v>
      </c>
      <c r="X139" s="2">
        <f>$C139+total_production!W139</f>
        <v>407490.92651078803</v>
      </c>
      <c r="Y139" s="2">
        <f>$C139+total_production!X139</f>
        <v>407490.92651078803</v>
      </c>
      <c r="Z139" s="2">
        <f>$C139+total_production!Y139</f>
        <v>407490.92651078803</v>
      </c>
      <c r="AA139" s="2">
        <f>$C139+total_production!Z139</f>
        <v>407490.92651078803</v>
      </c>
      <c r="AB139" s="2">
        <f>$C139+total_production!AA139</f>
        <v>407490.92651078803</v>
      </c>
    </row>
    <row r="140" spans="1:28" x14ac:dyDescent="0.2">
      <c r="A140" t="s">
        <v>765</v>
      </c>
      <c r="B140" t="s">
        <v>766</v>
      </c>
      <c r="C140" s="1">
        <v>363372</v>
      </c>
      <c r="D140" s="2">
        <f>$C140+total_production!C140</f>
        <v>365345.09907145647</v>
      </c>
      <c r="E140" s="2">
        <f>$C140+total_production!D140</f>
        <v>365458.08666725224</v>
      </c>
      <c r="F140" s="2">
        <f>$C140+total_production!E140</f>
        <v>365548.21451853646</v>
      </c>
      <c r="G140" s="2">
        <f>$C140+total_production!F140</f>
        <v>365657.56784747605</v>
      </c>
      <c r="H140" s="2">
        <f>$C140+total_production!G140</f>
        <v>365958.40381220216</v>
      </c>
      <c r="I140" s="2">
        <f>$C140+total_production!H140</f>
        <v>366080.00427491195</v>
      </c>
      <c r="J140" s="2">
        <f>$C140+total_production!I140</f>
        <v>366249.83014242706</v>
      </c>
      <c r="K140" s="2">
        <f>$C140+total_production!J140</f>
        <v>366726.22995074274</v>
      </c>
      <c r="L140" s="2">
        <f>$C140+total_production!K140</f>
        <v>366884.26177486958</v>
      </c>
      <c r="M140" s="2">
        <f>$C140+total_production!L140</f>
        <v>367544.55053788458</v>
      </c>
      <c r="N140" s="2">
        <f>$C140+total_production!M140</f>
        <v>367860.90663401398</v>
      </c>
      <c r="O140" s="2">
        <f>$C140+total_production!N140</f>
        <v>368143.85229554703</v>
      </c>
      <c r="P140" s="2">
        <f>$C140+total_production!O140</f>
        <v>368143.85229554703</v>
      </c>
      <c r="Q140" s="2">
        <f>$C140+total_production!P140</f>
        <v>368143.85229554703</v>
      </c>
      <c r="R140" s="2">
        <f>$C140+total_production!Q140</f>
        <v>368391.15835503326</v>
      </c>
      <c r="S140" s="2">
        <f>$C140+total_production!R140</f>
        <v>368391.15835503326</v>
      </c>
      <c r="T140" s="2">
        <f>$C140+total_production!S140</f>
        <v>368667.57677140523</v>
      </c>
      <c r="U140" s="2">
        <f>$C140+total_production!T140</f>
        <v>368667.57677140523</v>
      </c>
      <c r="V140" s="2">
        <f>$C140+total_production!U140</f>
        <v>368919.99754016526</v>
      </c>
      <c r="W140" s="2">
        <f>$C140+total_production!V140</f>
        <v>368919.99754016526</v>
      </c>
      <c r="X140" s="2">
        <f>$C140+total_production!W140</f>
        <v>369138.24357022683</v>
      </c>
      <c r="Y140" s="2">
        <f>$C140+total_production!X140</f>
        <v>369138.24357022683</v>
      </c>
      <c r="Z140" s="2">
        <f>$C140+total_production!Y140</f>
        <v>369138.24357022683</v>
      </c>
      <c r="AA140" s="2">
        <f>$C140+total_production!Z140</f>
        <v>369138.24357022683</v>
      </c>
      <c r="AB140" s="2">
        <f>$C140+total_production!AA140</f>
        <v>369138.24357022683</v>
      </c>
    </row>
    <row r="141" spans="1:28" x14ac:dyDescent="0.2">
      <c r="A141" t="s">
        <v>700</v>
      </c>
      <c r="B141" t="s">
        <v>701</v>
      </c>
      <c r="C141" s="1">
        <v>1083785</v>
      </c>
      <c r="D141" s="2">
        <f>$C141+total_production!C141</f>
        <v>1086636.3593330628</v>
      </c>
      <c r="E141" s="2">
        <f>$C141+total_production!D141</f>
        <v>1086545.36130734</v>
      </c>
      <c r="F141" s="2">
        <f>$C141+total_production!E141</f>
        <v>1086690.7199361143</v>
      </c>
      <c r="G141" s="2">
        <f>$C141+total_production!F141</f>
        <v>1086757.7955121414</v>
      </c>
      <c r="H141" s="2">
        <f>$C141+total_production!G141</f>
        <v>1086316.6050333367</v>
      </c>
      <c r="I141" s="2">
        <f>$C141+total_production!H141</f>
        <v>1086512.7228400521</v>
      </c>
      <c r="J141" s="2">
        <f>$C141+total_production!I141</f>
        <v>1086786.6188098402</v>
      </c>
      <c r="K141" s="2">
        <f>$C141+total_production!J141</f>
        <v>1087038.1761890515</v>
      </c>
      <c r="L141" s="2">
        <f>$C141+total_production!K141</f>
        <v>1087293.0506693646</v>
      </c>
      <c r="M141" s="2">
        <f>$C141+total_production!L141</f>
        <v>1087703.7825512004</v>
      </c>
      <c r="N141" s="2">
        <f>$C141+total_production!M141</f>
        <v>1087784.6090252658</v>
      </c>
      <c r="O141" s="2">
        <f>$C141+total_production!N141</f>
        <v>1087865.5662862838</v>
      </c>
      <c r="P141" s="2">
        <f>$C141+total_production!O141</f>
        <v>1087865.5662862838</v>
      </c>
      <c r="Q141" s="2">
        <f>$C141+total_production!P141</f>
        <v>1087865.5662862838</v>
      </c>
      <c r="R141" s="2">
        <f>$C141+total_production!Q141</f>
        <v>1087934.8750026005</v>
      </c>
      <c r="S141" s="2">
        <f>$C141+total_production!R141</f>
        <v>1087934.8750026005</v>
      </c>
      <c r="T141" s="2">
        <f>$C141+total_production!S141</f>
        <v>1088016.9447401089</v>
      </c>
      <c r="U141" s="2">
        <f>$C141+total_production!T141</f>
        <v>1088016.9447401089</v>
      </c>
      <c r="V141" s="2">
        <f>$C141+total_production!U141</f>
        <v>1088078.1341394477</v>
      </c>
      <c r="W141" s="2">
        <f>$C141+total_production!V141</f>
        <v>1088078.1341394477</v>
      </c>
      <c r="X141" s="2">
        <f>$C141+total_production!W141</f>
        <v>1088135.5845880206</v>
      </c>
      <c r="Y141" s="2">
        <f>$C141+total_production!X141</f>
        <v>1088135.5845880206</v>
      </c>
      <c r="Z141" s="2">
        <f>$C141+total_production!Y141</f>
        <v>1088135.5845880206</v>
      </c>
      <c r="AA141" s="2">
        <f>$C141+total_production!Z141</f>
        <v>1088135.5845880206</v>
      </c>
      <c r="AB141" s="2">
        <f>$C141+total_production!AA141</f>
        <v>1088135.5845880206</v>
      </c>
    </row>
    <row r="142" spans="1:28" x14ac:dyDescent="0.2">
      <c r="A142" t="s">
        <v>862</v>
      </c>
      <c r="B142" t="s">
        <v>863</v>
      </c>
      <c r="C142" s="1">
        <v>489586</v>
      </c>
      <c r="D142" s="2">
        <f>$C142+total_production!C142</f>
        <v>490144.37906912505</v>
      </c>
      <c r="E142" s="2">
        <f>$C142+total_production!D142</f>
        <v>490124.79640819237</v>
      </c>
      <c r="F142" s="2">
        <f>$C142+total_production!E142</f>
        <v>490153.36661667272</v>
      </c>
      <c r="G142" s="2">
        <f>$C142+total_production!F142</f>
        <v>490165.87150012195</v>
      </c>
      <c r="H142" s="2">
        <f>$C142+total_production!G142</f>
        <v>490073.40179595852</v>
      </c>
      <c r="I142" s="2">
        <f>$C142+total_production!H142</f>
        <v>490111.94871038536</v>
      </c>
      <c r="J142" s="2">
        <f>$C142+total_production!I142</f>
        <v>490165.78290670906</v>
      </c>
      <c r="K142" s="2">
        <f>$C142+total_production!J142</f>
        <v>490212.01668835321</v>
      </c>
      <c r="L142" s="2">
        <f>$C142+total_production!K142</f>
        <v>490262.112214847</v>
      </c>
      <c r="M142" s="2">
        <f>$C142+total_production!L142</f>
        <v>490338.77829649427</v>
      </c>
      <c r="N142" s="2">
        <f>$C142+total_production!M142</f>
        <v>490351.99772867421</v>
      </c>
      <c r="O142" s="2">
        <f>$C142+total_production!N142</f>
        <v>490365.57835946901</v>
      </c>
      <c r="P142" s="2">
        <f>$C142+total_production!O142</f>
        <v>490365.57835946901</v>
      </c>
      <c r="Q142" s="2">
        <f>$C142+total_production!P142</f>
        <v>490365.57835946901</v>
      </c>
      <c r="R142" s="2">
        <f>$C142+total_production!Q142</f>
        <v>490377.15413158073</v>
      </c>
      <c r="S142" s="2">
        <f>$C142+total_production!R142</f>
        <v>490377.15413158073</v>
      </c>
      <c r="T142" s="2">
        <f>$C142+total_production!S142</f>
        <v>490391.02571400494</v>
      </c>
      <c r="U142" s="2">
        <f>$C142+total_production!T142</f>
        <v>490391.02571400494</v>
      </c>
      <c r="V142" s="2">
        <f>$C142+total_production!U142</f>
        <v>490400.90397120232</v>
      </c>
      <c r="W142" s="2">
        <f>$C142+total_production!V142</f>
        <v>490400.90397120232</v>
      </c>
      <c r="X142" s="2">
        <f>$C142+total_production!W142</f>
        <v>490410.36645188846</v>
      </c>
      <c r="Y142" s="2">
        <f>$C142+total_production!X142</f>
        <v>490410.36645188846</v>
      </c>
      <c r="Z142" s="2">
        <f>$C142+total_production!Y142</f>
        <v>490410.36645188846</v>
      </c>
      <c r="AA142" s="2">
        <f>$C142+total_production!Z142</f>
        <v>490410.36645188846</v>
      </c>
      <c r="AB142" s="2">
        <f>$C142+total_production!AA142</f>
        <v>490410.36645188846</v>
      </c>
    </row>
    <row r="143" spans="1:28" x14ac:dyDescent="0.2">
      <c r="A143" t="s">
        <v>834</v>
      </c>
      <c r="B143" t="s">
        <v>287</v>
      </c>
      <c r="C143" s="1">
        <v>3392383</v>
      </c>
      <c r="D143" s="2">
        <f>$C143+total_production!C143</f>
        <v>3393124.3275653245</v>
      </c>
      <c r="E143" s="2">
        <f>$C143+total_production!D143</f>
        <v>3393052.6704441141</v>
      </c>
      <c r="F143" s="2">
        <f>$C143+total_production!E143</f>
        <v>3393093.3152125892</v>
      </c>
      <c r="G143" s="2">
        <f>$C143+total_production!F143</f>
        <v>3393093.5856891954</v>
      </c>
      <c r="H143" s="2">
        <f>$C143+total_production!G143</f>
        <v>3392813.5358889825</v>
      </c>
      <c r="I143" s="2">
        <f>$C143+total_production!H143</f>
        <v>3392868.3737951666</v>
      </c>
      <c r="J143" s="2">
        <f>$C143+total_production!I143</f>
        <v>3392944.9598112302</v>
      </c>
      <c r="K143" s="2">
        <f>$C143+total_production!J143</f>
        <v>3392927.8924162174</v>
      </c>
      <c r="L143" s="2">
        <f>$C143+total_production!K143</f>
        <v>3392999.1596972169</v>
      </c>
      <c r="M143" s="2">
        <f>$C143+total_production!L143</f>
        <v>3393003.3603521977</v>
      </c>
      <c r="N143" s="2">
        <f>$C143+total_production!M143</f>
        <v>3392953.3342886949</v>
      </c>
      <c r="O143" s="2">
        <f>$C143+total_production!N143</f>
        <v>3392912.4807924912</v>
      </c>
      <c r="P143" s="2">
        <f>$C143+total_production!O143</f>
        <v>3392912.4807924912</v>
      </c>
      <c r="Q143" s="2">
        <f>$C143+total_production!P143</f>
        <v>3392912.4807924912</v>
      </c>
      <c r="R143" s="2">
        <f>$C143+total_production!Q143</f>
        <v>3392876.1219209186</v>
      </c>
      <c r="S143" s="2">
        <f>$C143+total_production!R143</f>
        <v>3392876.1219209186</v>
      </c>
      <c r="T143" s="2">
        <f>$C143+total_production!S143</f>
        <v>3392837.5481900848</v>
      </c>
      <c r="U143" s="2">
        <f>$C143+total_production!T143</f>
        <v>3392837.5481900848</v>
      </c>
      <c r="V143" s="2">
        <f>$C143+total_production!U143</f>
        <v>3392796.1505217478</v>
      </c>
      <c r="W143" s="2">
        <f>$C143+total_production!V143</f>
        <v>3392796.1505217478</v>
      </c>
      <c r="X143" s="2">
        <f>$C143+total_production!W143</f>
        <v>3392762.3973498484</v>
      </c>
      <c r="Y143" s="2">
        <f>$C143+total_production!X143</f>
        <v>3392762.3973498484</v>
      </c>
      <c r="Z143" s="2">
        <f>$C143+total_production!Y143</f>
        <v>3392762.3973498484</v>
      </c>
      <c r="AA143" s="2">
        <f>$C143+total_production!Z143</f>
        <v>3392762.3973498484</v>
      </c>
      <c r="AB143" s="2">
        <f>$C143+total_production!AA143</f>
        <v>3392762.3973498484</v>
      </c>
    </row>
    <row r="144" spans="1:28" x14ac:dyDescent="0.2">
      <c r="A144" t="s">
        <v>742</v>
      </c>
      <c r="B144" t="s">
        <v>743</v>
      </c>
      <c r="C144" s="1">
        <v>11070213</v>
      </c>
      <c r="D144" s="2">
        <f>$C144+total_production!C144</f>
        <v>11072214.182078976</v>
      </c>
      <c r="E144" s="2">
        <f>$C144+total_production!D144</f>
        <v>11072058.302011307</v>
      </c>
      <c r="F144" s="2">
        <f>$C144+total_production!E144</f>
        <v>11072165.788686346</v>
      </c>
      <c r="G144" s="2">
        <f>$C144+total_production!F144</f>
        <v>11072179.951966999</v>
      </c>
      <c r="H144" s="2">
        <f>$C144+total_production!G144</f>
        <v>11071553.339249793</v>
      </c>
      <c r="I144" s="2">
        <f>$C144+total_production!H144</f>
        <v>11071698.360230917</v>
      </c>
      <c r="J144" s="2">
        <f>$C144+total_production!I144</f>
        <v>11071900.89493661</v>
      </c>
      <c r="K144" s="2">
        <f>$C144+total_production!J144</f>
        <v>11071919.348974369</v>
      </c>
      <c r="L144" s="2">
        <f>$C144+total_production!K144</f>
        <v>11072107.818077799</v>
      </c>
      <c r="M144" s="2">
        <f>$C144+total_production!L144</f>
        <v>11072199.423503423</v>
      </c>
      <c r="N144" s="2">
        <f>$C144+total_production!M144</f>
        <v>11072119.964031082</v>
      </c>
      <c r="O144" s="2">
        <f>$C144+total_production!N144</f>
        <v>11072058.115257295</v>
      </c>
      <c r="P144" s="2">
        <f>$C144+total_production!O144</f>
        <v>11072058.115257295</v>
      </c>
      <c r="Q144" s="2">
        <f>$C144+total_production!P144</f>
        <v>11072058.115257295</v>
      </c>
      <c r="R144" s="2">
        <f>$C144+total_production!Q144</f>
        <v>11072002.513225792</v>
      </c>
      <c r="S144" s="2">
        <f>$C144+total_production!R144</f>
        <v>11072002.513225792</v>
      </c>
      <c r="T144" s="2">
        <f>$C144+total_production!S144</f>
        <v>11071945.26113647</v>
      </c>
      <c r="U144" s="2">
        <f>$C144+total_production!T144</f>
        <v>11071945.26113647</v>
      </c>
      <c r="V144" s="2">
        <f>$C144+total_production!U144</f>
        <v>11071878.347914405</v>
      </c>
      <c r="W144" s="2">
        <f>$C144+total_production!V144</f>
        <v>11071878.347914405</v>
      </c>
      <c r="X144" s="2">
        <f>$C144+total_production!W144</f>
        <v>11071825.328835338</v>
      </c>
      <c r="Y144" s="2">
        <f>$C144+total_production!X144</f>
        <v>11071825.328835338</v>
      </c>
      <c r="Z144" s="2">
        <f>$C144+total_production!Y144</f>
        <v>11071825.328835338</v>
      </c>
      <c r="AA144" s="2">
        <f>$C144+total_production!Z144</f>
        <v>11071825.328835338</v>
      </c>
      <c r="AB144" s="2">
        <f>$C144+total_production!AA144</f>
        <v>11071825.328835338</v>
      </c>
    </row>
    <row r="145" spans="1:28" x14ac:dyDescent="0.2">
      <c r="A145" t="s">
        <v>845</v>
      </c>
      <c r="B145" t="s">
        <v>221</v>
      </c>
      <c r="C145" s="1">
        <v>5172712</v>
      </c>
      <c r="D145" s="2">
        <f>$C145+total_production!C145</f>
        <v>5173380.3353736401</v>
      </c>
      <c r="E145" s="2">
        <f>$C145+total_production!D145</f>
        <v>5173319.4701538738</v>
      </c>
      <c r="F145" s="2">
        <f>$C145+total_production!E145</f>
        <v>5173355.8908998501</v>
      </c>
      <c r="G145" s="2">
        <f>$C145+total_production!F145</f>
        <v>5173357.4712307267</v>
      </c>
      <c r="H145" s="2">
        <f>$C145+total_production!G145</f>
        <v>5173117.8667560127</v>
      </c>
      <c r="I145" s="2">
        <f>$C145+total_production!H145</f>
        <v>5173167.0056126462</v>
      </c>
      <c r="J145" s="2">
        <f>$C145+total_production!I145</f>
        <v>5173235.6323988494</v>
      </c>
      <c r="K145" s="2">
        <f>$C145+total_production!J145</f>
        <v>5173226.6653585965</v>
      </c>
      <c r="L145" s="2">
        <f>$C145+total_production!K145</f>
        <v>5173290.5261612302</v>
      </c>
      <c r="M145" s="2">
        <f>$C145+total_production!L145</f>
        <v>5173302.299006911</v>
      </c>
      <c r="N145" s="2">
        <f>$C145+total_production!M145</f>
        <v>5173262.728703212</v>
      </c>
      <c r="O145" s="2">
        <f>$C145+total_production!N145</f>
        <v>5173230.7164315768</v>
      </c>
      <c r="P145" s="2">
        <f>$C145+total_production!O145</f>
        <v>5173230.7164315768</v>
      </c>
      <c r="Q145" s="2">
        <f>$C145+total_production!P145</f>
        <v>5173230.7164315768</v>
      </c>
      <c r="R145" s="2">
        <f>$C145+total_production!Q145</f>
        <v>5173202.1705989027</v>
      </c>
      <c r="S145" s="2">
        <f>$C145+total_production!R145</f>
        <v>5173202.1705989027</v>
      </c>
      <c r="T145" s="2">
        <f>$C145+total_production!S145</f>
        <v>5173172.0586708197</v>
      </c>
      <c r="U145" s="2">
        <f>$C145+total_production!T145</f>
        <v>5173172.0586708197</v>
      </c>
      <c r="V145" s="2">
        <f>$C145+total_production!U145</f>
        <v>5173139.1980867814</v>
      </c>
      <c r="W145" s="2">
        <f>$C145+total_production!V145</f>
        <v>5173139.1980867814</v>
      </c>
      <c r="X145" s="2">
        <f>$C145+total_production!W145</f>
        <v>5173112.5585530717</v>
      </c>
      <c r="Y145" s="2">
        <f>$C145+total_production!X145</f>
        <v>5173112.5585530717</v>
      </c>
      <c r="Z145" s="2">
        <f>$C145+total_production!Y145</f>
        <v>5173112.5585530717</v>
      </c>
      <c r="AA145" s="2">
        <f>$C145+total_production!Z145</f>
        <v>5173112.5585530717</v>
      </c>
      <c r="AB145" s="2">
        <f>$C145+total_production!AA145</f>
        <v>5173112.5585530717</v>
      </c>
    </row>
    <row r="146" spans="1:28" x14ac:dyDescent="0.2">
      <c r="A146" t="s">
        <v>781</v>
      </c>
      <c r="B146" t="s">
        <v>782</v>
      </c>
      <c r="C146" s="1">
        <v>1423600</v>
      </c>
      <c r="D146" s="2">
        <f>$C146+total_production!C146</f>
        <v>1424860.8157612546</v>
      </c>
      <c r="E146" s="2">
        <f>$C146+total_production!D146</f>
        <v>1424628.6585947566</v>
      </c>
      <c r="F146" s="2">
        <f>$C146+total_production!E146</f>
        <v>1424704.3403207459</v>
      </c>
      <c r="G146" s="2">
        <f>$C146+total_production!F146</f>
        <v>1424665.3521322722</v>
      </c>
      <c r="H146" s="2">
        <f>$C146+total_production!G146</f>
        <v>1423809.144875458</v>
      </c>
      <c r="I146" s="2">
        <f>$C146+total_production!H146</f>
        <v>1423911.2546314087</v>
      </c>
      <c r="J146" s="2">
        <f>$C146+total_production!I146</f>
        <v>1424053.859992438</v>
      </c>
      <c r="K146" s="2">
        <f>$C146+total_production!J146</f>
        <v>1423835.3412027685</v>
      </c>
      <c r="L146" s="2">
        <f>$C146+total_production!K146</f>
        <v>1423968.0429263839</v>
      </c>
      <c r="M146" s="2">
        <f>$C146+total_production!L146</f>
        <v>1423739.4756156818</v>
      </c>
      <c r="N146" s="2">
        <f>$C146+total_production!M146</f>
        <v>1423491.1645292707</v>
      </c>
      <c r="O146" s="2">
        <f>$C146+total_production!N146</f>
        <v>1423279.4513962145</v>
      </c>
      <c r="P146" s="2">
        <f>$C146+total_production!O146</f>
        <v>1423279.4513962145</v>
      </c>
      <c r="Q146" s="2">
        <f>$C146+total_production!P146</f>
        <v>1423279.4513962145</v>
      </c>
      <c r="R146" s="2">
        <f>$C146+total_production!Q146</f>
        <v>1423092.6684299537</v>
      </c>
      <c r="S146" s="2">
        <f>$C146+total_production!R146</f>
        <v>1423092.6684299537</v>
      </c>
      <c r="T146" s="2">
        <f>$C146+total_production!S146</f>
        <v>1422889.4062601638</v>
      </c>
      <c r="U146" s="2">
        <f>$C146+total_production!T146</f>
        <v>1422889.4062601638</v>
      </c>
      <c r="V146" s="2">
        <f>$C146+total_production!U146</f>
        <v>1422687.3262257222</v>
      </c>
      <c r="W146" s="2">
        <f>$C146+total_production!V146</f>
        <v>1422687.3262257222</v>
      </c>
      <c r="X146" s="2">
        <f>$C146+total_production!W146</f>
        <v>1422518.0459323861</v>
      </c>
      <c r="Y146" s="2">
        <f>$C146+total_production!X146</f>
        <v>1422518.0459323861</v>
      </c>
      <c r="Z146" s="2">
        <f>$C146+total_production!Y146</f>
        <v>1422518.0459323861</v>
      </c>
      <c r="AA146" s="2">
        <f>$C146+total_production!Z146</f>
        <v>1422518.0459323861</v>
      </c>
      <c r="AB146" s="2">
        <f>$C146+total_production!AA146</f>
        <v>1422518.0459323861</v>
      </c>
    </row>
    <row r="147" spans="1:28" x14ac:dyDescent="0.2">
      <c r="A147" t="s">
        <v>728</v>
      </c>
      <c r="B147" t="s">
        <v>729</v>
      </c>
      <c r="C147" s="1">
        <v>1492735</v>
      </c>
      <c r="D147" s="2">
        <f>$C147+total_production!C147</f>
        <v>1495289.8400320578</v>
      </c>
      <c r="E147" s="2">
        <f>$C147+total_production!D147</f>
        <v>1495382.7694381487</v>
      </c>
      <c r="F147" s="2">
        <f>$C147+total_production!E147</f>
        <v>1495502.6424069032</v>
      </c>
      <c r="G147" s="2">
        <f>$C147+total_production!F147</f>
        <v>1495625.1467768329</v>
      </c>
      <c r="H147" s="2">
        <f>$C147+total_production!G147</f>
        <v>1495830.8284858374</v>
      </c>
      <c r="I147" s="2">
        <f>$C147+total_production!H147</f>
        <v>1495992.5610497368</v>
      </c>
      <c r="J147" s="2">
        <f>$C147+total_production!I147</f>
        <v>1496218.4349679572</v>
      </c>
      <c r="K147" s="2">
        <f>$C147+total_production!J147</f>
        <v>1496743.5936081361</v>
      </c>
      <c r="L147" s="2">
        <f>$C147+total_production!K147</f>
        <v>1496953.7810656852</v>
      </c>
      <c r="M147" s="2">
        <f>$C147+total_production!L147</f>
        <v>1497694.6782890193</v>
      </c>
      <c r="N147" s="2">
        <f>$C147+total_production!M147</f>
        <v>1498025.3157226171</v>
      </c>
      <c r="O147" s="2">
        <f>$C147+total_production!N147</f>
        <v>1498322.8535780145</v>
      </c>
      <c r="P147" s="2">
        <f>$C147+total_production!O147</f>
        <v>1498322.8535780145</v>
      </c>
      <c r="Q147" s="2">
        <f>$C147+total_production!P147</f>
        <v>1498322.8535780145</v>
      </c>
      <c r="R147" s="2">
        <f>$C147+total_production!Q147</f>
        <v>1498582.6092079005</v>
      </c>
      <c r="S147" s="2">
        <f>$C147+total_production!R147</f>
        <v>1498582.6092079005</v>
      </c>
      <c r="T147" s="2">
        <f>$C147+total_production!S147</f>
        <v>1498873.9086857806</v>
      </c>
      <c r="U147" s="2">
        <f>$C147+total_production!T147</f>
        <v>1498873.9086857806</v>
      </c>
      <c r="V147" s="2">
        <f>$C147+total_production!U147</f>
        <v>1499137.0314586021</v>
      </c>
      <c r="W147" s="2">
        <f>$C147+total_production!V147</f>
        <v>1499137.0314586021</v>
      </c>
      <c r="X147" s="2">
        <f>$C147+total_production!W147</f>
        <v>1499365.4846049172</v>
      </c>
      <c r="Y147" s="2">
        <f>$C147+total_production!X147</f>
        <v>1499365.4846049172</v>
      </c>
      <c r="Z147" s="2">
        <f>$C147+total_production!Y147</f>
        <v>1499365.4846049172</v>
      </c>
      <c r="AA147" s="2">
        <f>$C147+total_production!Z147</f>
        <v>1499365.4846049172</v>
      </c>
      <c r="AB147" s="2">
        <f>$C147+total_production!AA147</f>
        <v>1499365.4846049172</v>
      </c>
    </row>
    <row r="148" spans="1:28" x14ac:dyDescent="0.2">
      <c r="A148" t="s">
        <v>752</v>
      </c>
      <c r="B148" t="s">
        <v>753</v>
      </c>
      <c r="C148" s="1">
        <v>237771</v>
      </c>
      <c r="D148" s="2">
        <f>$C148+total_production!C148</f>
        <v>239456.08171199728</v>
      </c>
      <c r="E148" s="2">
        <f>$C148+total_production!D148</f>
        <v>239230.52962550445</v>
      </c>
      <c r="F148" s="2">
        <f>$C148+total_production!E148</f>
        <v>239326.64253857383</v>
      </c>
      <c r="G148" s="2">
        <f>$C148+total_production!F148</f>
        <v>239304.84049860344</v>
      </c>
      <c r="H148" s="2">
        <f>$C148+total_production!G148</f>
        <v>238452.38200191408</v>
      </c>
      <c r="I148" s="2">
        <f>$C148+total_production!H148</f>
        <v>238582.0575077105</v>
      </c>
      <c r="J148" s="2">
        <f>$C148+total_production!I148</f>
        <v>238763.16089150182</v>
      </c>
      <c r="K148" s="2">
        <f>$C148+total_production!J148</f>
        <v>238616.68526486156</v>
      </c>
      <c r="L148" s="2">
        <f>$C148+total_production!K148</f>
        <v>238785.21140587213</v>
      </c>
      <c r="M148" s="2">
        <f>$C148+total_production!L148</f>
        <v>238660.814193711</v>
      </c>
      <c r="N148" s="2">
        <f>$C148+total_production!M148</f>
        <v>238454.34536731831</v>
      </c>
      <c r="O148" s="2">
        <f>$C148+total_production!N148</f>
        <v>238280.65847807386</v>
      </c>
      <c r="P148" s="2">
        <f>$C148+total_production!O148</f>
        <v>238280.65847807386</v>
      </c>
      <c r="Q148" s="2">
        <f>$C148+total_production!P148</f>
        <v>238280.65847807386</v>
      </c>
      <c r="R148" s="2">
        <f>$C148+total_production!Q148</f>
        <v>238127.01103919302</v>
      </c>
      <c r="S148" s="2">
        <f>$C148+total_production!R148</f>
        <v>238127.01103919302</v>
      </c>
      <c r="T148" s="2">
        <f>$C148+total_production!S148</f>
        <v>237961.10521261054</v>
      </c>
      <c r="U148" s="2">
        <f>$C148+total_production!T148</f>
        <v>237961.10521261054</v>
      </c>
      <c r="V148" s="2">
        <f>$C148+total_production!U148</f>
        <v>237792.18142227363</v>
      </c>
      <c r="W148" s="2">
        <f>$C148+total_production!V148</f>
        <v>237792.18142227363</v>
      </c>
      <c r="X148" s="2">
        <f>$C148+total_production!W148</f>
        <v>237651.88463577727</v>
      </c>
      <c r="Y148" s="2">
        <f>$C148+total_production!X148</f>
        <v>237651.88463577727</v>
      </c>
      <c r="Z148" s="2">
        <f>$C148+total_production!Y148</f>
        <v>237651.88463577727</v>
      </c>
      <c r="AA148" s="2">
        <f>$C148+total_production!Z148</f>
        <v>237651.88463577727</v>
      </c>
      <c r="AB148" s="2">
        <f>$C148+total_production!AA148</f>
        <v>237651.88463577727</v>
      </c>
    </row>
    <row r="149" spans="1:28" x14ac:dyDescent="0.2">
      <c r="A149" t="s">
        <v>828</v>
      </c>
      <c r="B149" t="s">
        <v>829</v>
      </c>
      <c r="C149" s="1">
        <v>2328563</v>
      </c>
      <c r="D149" s="2">
        <f>$C149+total_production!C149</f>
        <v>2329631.0829389128</v>
      </c>
      <c r="E149" s="2">
        <f>$C149+total_production!D149</f>
        <v>2329684.2716854229</v>
      </c>
      <c r="F149" s="2">
        <f>$C149+total_production!E149</f>
        <v>2329733.5338627254</v>
      </c>
      <c r="G149" s="2">
        <f>$C149+total_production!F149</f>
        <v>2329789.8770680567</v>
      </c>
      <c r="H149" s="2">
        <f>$C149+total_production!G149</f>
        <v>2329925.25770876</v>
      </c>
      <c r="I149" s="2">
        <f>$C149+total_production!H149</f>
        <v>2329991.7222196599</v>
      </c>
      <c r="J149" s="2">
        <f>$C149+total_production!I149</f>
        <v>2330084.5458238726</v>
      </c>
      <c r="K149" s="2">
        <f>$C149+total_production!J149</f>
        <v>2330328.7310199388</v>
      </c>
      <c r="L149" s="2">
        <f>$C149+total_production!K149</f>
        <v>2330415.1082233079</v>
      </c>
      <c r="M149" s="2">
        <f>$C149+total_production!L149</f>
        <v>2330755.4947997527</v>
      </c>
      <c r="N149" s="2">
        <f>$C149+total_production!M149</f>
        <v>2330914.9435673463</v>
      </c>
      <c r="O149" s="2">
        <f>$C149+total_production!N149</f>
        <v>2331057.8247039369</v>
      </c>
      <c r="P149" s="2">
        <f>$C149+total_production!O149</f>
        <v>2331057.8247039369</v>
      </c>
      <c r="Q149" s="2">
        <f>$C149+total_production!P149</f>
        <v>2331057.8247039369</v>
      </c>
      <c r="R149" s="2">
        <f>$C149+total_production!Q149</f>
        <v>2331182.6631408022</v>
      </c>
      <c r="S149" s="2">
        <f>$C149+total_production!R149</f>
        <v>2331182.6631408022</v>
      </c>
      <c r="T149" s="2">
        <f>$C149+total_production!S149</f>
        <v>2331322.3416196015</v>
      </c>
      <c r="U149" s="2">
        <f>$C149+total_production!T149</f>
        <v>2331322.3416196015</v>
      </c>
      <c r="V149" s="2">
        <f>$C149+total_production!U149</f>
        <v>2331449.4623604477</v>
      </c>
      <c r="W149" s="2">
        <f>$C149+total_production!V149</f>
        <v>2331449.4623604477</v>
      </c>
      <c r="X149" s="2">
        <f>$C149+total_production!W149</f>
        <v>2331559.5150197311</v>
      </c>
      <c r="Y149" s="2">
        <f>$C149+total_production!X149</f>
        <v>2331559.5150197311</v>
      </c>
      <c r="Z149" s="2">
        <f>$C149+total_production!Y149</f>
        <v>2331559.5150197311</v>
      </c>
      <c r="AA149" s="2">
        <f>$C149+total_production!Z149</f>
        <v>2331559.5150197311</v>
      </c>
      <c r="AB149" s="2">
        <f>$C149+total_production!AA149</f>
        <v>2331559.5150197311</v>
      </c>
    </row>
    <row r="150" spans="1:28" x14ac:dyDescent="0.2">
      <c r="A150" t="s">
        <v>737</v>
      </c>
      <c r="B150" t="s">
        <v>155</v>
      </c>
      <c r="C150" s="1">
        <v>2038185</v>
      </c>
      <c r="D150" s="2">
        <f>$C150+total_production!C150</f>
        <v>2038348.57558423</v>
      </c>
      <c r="E150" s="2">
        <f>$C150+total_production!D150</f>
        <v>2036606.9136398721</v>
      </c>
      <c r="F150" s="2">
        <f>$C150+total_production!E150</f>
        <v>2036718.4599059336</v>
      </c>
      <c r="G150" s="2">
        <f>$C150+total_production!F150</f>
        <v>2036101.2002265253</v>
      </c>
      <c r="H150" s="2">
        <f>$C150+total_production!G150</f>
        <v>2030094.2257125264</v>
      </c>
      <c r="I150" s="2">
        <f>$C150+total_production!H150</f>
        <v>2030244.723892316</v>
      </c>
      <c r="J150" s="2">
        <f>$C150+total_production!I150</f>
        <v>2030454.9079933686</v>
      </c>
      <c r="K150" s="2">
        <f>$C150+total_production!J150</f>
        <v>2027485.8186049724</v>
      </c>
      <c r="L150" s="2">
        <f>$C150+total_production!K150</f>
        <v>2027681.405869609</v>
      </c>
      <c r="M150" s="2">
        <f>$C150+total_production!L150</f>
        <v>2023993.7152991544</v>
      </c>
      <c r="N150" s="2">
        <f>$C150+total_production!M150</f>
        <v>2021428.3283461109</v>
      </c>
      <c r="O150" s="2">
        <f>$C150+total_production!N150</f>
        <v>2019193.5549737904</v>
      </c>
      <c r="P150" s="2">
        <f>$C150+total_production!O150</f>
        <v>2019193.5549737904</v>
      </c>
      <c r="Q150" s="2">
        <f>$C150+total_production!P150</f>
        <v>2019193.5549737904</v>
      </c>
      <c r="R150" s="2">
        <f>$C150+total_production!Q150</f>
        <v>2017230.2782180223</v>
      </c>
      <c r="S150" s="2">
        <f>$C150+total_production!R150</f>
        <v>2017230.2782180223</v>
      </c>
      <c r="T150" s="2">
        <f>$C150+total_production!S150</f>
        <v>2015067.5801814348</v>
      </c>
      <c r="U150" s="2">
        <f>$C150+total_production!T150</f>
        <v>2015067.5801814348</v>
      </c>
      <c r="V150" s="2">
        <f>$C150+total_production!U150</f>
        <v>2012997.9168024829</v>
      </c>
      <c r="W150" s="2">
        <f>$C150+total_production!V150</f>
        <v>2012997.9168024829</v>
      </c>
      <c r="X150" s="2">
        <f>$C150+total_production!W150</f>
        <v>2011239.761533441</v>
      </c>
      <c r="Y150" s="2">
        <f>$C150+total_production!X150</f>
        <v>2011239.761533441</v>
      </c>
      <c r="Z150" s="2">
        <f>$C150+total_production!Y150</f>
        <v>2011239.761533441</v>
      </c>
      <c r="AA150" s="2">
        <f>$C150+total_production!Z150</f>
        <v>2011239.761533441</v>
      </c>
      <c r="AB150" s="2">
        <f>$C150+total_production!AA150</f>
        <v>2011239.761533441</v>
      </c>
    </row>
    <row r="151" spans="1:28" x14ac:dyDescent="0.2">
      <c r="A151" t="s">
        <v>818</v>
      </c>
      <c r="B151" t="s">
        <v>819</v>
      </c>
      <c r="C151" s="1">
        <v>1790837</v>
      </c>
      <c r="D151" s="2">
        <f>$C151+total_production!C151</f>
        <v>1789720.8046164336</v>
      </c>
      <c r="E151" s="2">
        <f>$C151+total_production!D151</f>
        <v>1789714.6305941488</v>
      </c>
      <c r="F151" s="2">
        <f>$C151+total_production!E151</f>
        <v>1789660.2125940262</v>
      </c>
      <c r="G151" s="2">
        <f>$C151+total_production!F151</f>
        <v>1789619.0050634725</v>
      </c>
      <c r="H151" s="2">
        <f>$C151+total_production!G151</f>
        <v>1789647.7350633875</v>
      </c>
      <c r="I151" s="2">
        <f>$C151+total_production!H151</f>
        <v>1789574.3143182977</v>
      </c>
      <c r="J151" s="2">
        <f>$C151+total_production!I151</f>
        <v>1789471.7757139977</v>
      </c>
      <c r="K151" s="2">
        <f>$C151+total_production!J151</f>
        <v>1789301.4874665216</v>
      </c>
      <c r="L151" s="2">
        <f>$C151+total_production!K151</f>
        <v>1789206.0699490488</v>
      </c>
      <c r="M151" s="2">
        <f>$C151+total_production!L151</f>
        <v>1788955.9545866454</v>
      </c>
      <c r="N151" s="2">
        <f>$C151+total_production!M151</f>
        <v>1788862.4536714698</v>
      </c>
      <c r="O151" s="2">
        <f>$C151+total_production!N151</f>
        <v>1788776.8592527206</v>
      </c>
      <c r="P151" s="2">
        <f>$C151+total_production!O151</f>
        <v>1788776.8592527206</v>
      </c>
      <c r="Q151" s="2">
        <f>$C151+total_production!P151</f>
        <v>1788776.8592527206</v>
      </c>
      <c r="R151" s="2">
        <f>$C151+total_production!Q151</f>
        <v>1788702.3757958384</v>
      </c>
      <c r="S151" s="2">
        <f>$C151+total_production!R151</f>
        <v>1788702.3757958384</v>
      </c>
      <c r="T151" s="2">
        <f>$C151+total_production!S151</f>
        <v>1788618.0792046706</v>
      </c>
      <c r="U151" s="2">
        <f>$C151+total_production!T151</f>
        <v>1788618.0792046706</v>
      </c>
      <c r="V151" s="2">
        <f>$C151+total_production!U151</f>
        <v>1788544.22462553</v>
      </c>
      <c r="W151" s="2">
        <f>$C151+total_production!V151</f>
        <v>1788544.22462553</v>
      </c>
      <c r="X151" s="2">
        <f>$C151+total_production!W151</f>
        <v>1788479.3368678577</v>
      </c>
      <c r="Y151" s="2">
        <f>$C151+total_production!X151</f>
        <v>1788479.3368678577</v>
      </c>
      <c r="Z151" s="2">
        <f>$C151+total_production!Y151</f>
        <v>1788479.3368678577</v>
      </c>
      <c r="AA151" s="2">
        <f>$C151+total_production!Z151</f>
        <v>1788479.3368678577</v>
      </c>
      <c r="AB151" s="2">
        <f>$C151+total_production!AA151</f>
        <v>1788479.3368678577</v>
      </c>
    </row>
    <row r="152" spans="1:28" x14ac:dyDescent="0.2">
      <c r="A152" t="s">
        <v>718</v>
      </c>
      <c r="B152" t="s">
        <v>719</v>
      </c>
      <c r="C152" s="1">
        <v>1274982</v>
      </c>
      <c r="D152" s="2">
        <f>$C152+total_production!C152</f>
        <v>1277902.4513875938</v>
      </c>
      <c r="E152" s="2">
        <f>$C152+total_production!D152</f>
        <v>1278063.7799734795</v>
      </c>
      <c r="F152" s="2">
        <f>$C152+total_production!E152</f>
        <v>1278197.5324489053</v>
      </c>
      <c r="G152" s="2">
        <f>$C152+total_production!F152</f>
        <v>1278357.2767397102</v>
      </c>
      <c r="H152" s="2">
        <f>$C152+total_production!G152</f>
        <v>1278782.2018093318</v>
      </c>
      <c r="I152" s="2">
        <f>$C152+total_production!H152</f>
        <v>1278962.6605983588</v>
      </c>
      <c r="J152" s="2">
        <f>$C152+total_production!I152</f>
        <v>1279214.6873564343</v>
      </c>
      <c r="K152" s="2">
        <f>$C152+total_production!J152</f>
        <v>1279909.6716134457</v>
      </c>
      <c r="L152" s="2">
        <f>$C152+total_production!K152</f>
        <v>1280144.1956520402</v>
      </c>
      <c r="M152" s="2">
        <f>$C152+total_production!L152</f>
        <v>1281108.8841376125</v>
      </c>
      <c r="N152" s="2">
        <f>$C152+total_production!M152</f>
        <v>1281568.3891420078</v>
      </c>
      <c r="O152" s="2">
        <f>$C152+total_production!N152</f>
        <v>1281979.5671023484</v>
      </c>
      <c r="P152" s="2">
        <f>$C152+total_production!O152</f>
        <v>1281979.5671023484</v>
      </c>
      <c r="Q152" s="2">
        <f>$C152+total_production!P152</f>
        <v>1281979.5671023484</v>
      </c>
      <c r="R152" s="2">
        <f>$C152+total_production!Q152</f>
        <v>1282338.9197063132</v>
      </c>
      <c r="S152" s="2">
        <f>$C152+total_production!R152</f>
        <v>1282338.9197063132</v>
      </c>
      <c r="T152" s="2">
        <f>$C152+total_production!S152</f>
        <v>1282740.6814860827</v>
      </c>
      <c r="U152" s="2">
        <f>$C152+total_production!T152</f>
        <v>1282740.6814860827</v>
      </c>
      <c r="V152" s="2">
        <f>$C152+total_production!U152</f>
        <v>1283107.2441519902</v>
      </c>
      <c r="W152" s="2">
        <f>$C152+total_production!V152</f>
        <v>1283107.2441519902</v>
      </c>
      <c r="X152" s="2">
        <f>$C152+total_production!W152</f>
        <v>1283424.2842504708</v>
      </c>
      <c r="Y152" s="2">
        <f>$C152+total_production!X152</f>
        <v>1283424.2842504708</v>
      </c>
      <c r="Z152" s="2">
        <f>$C152+total_production!Y152</f>
        <v>1283424.2842504708</v>
      </c>
      <c r="AA152" s="2">
        <f>$C152+total_production!Z152</f>
        <v>1283424.2842504708</v>
      </c>
      <c r="AB152" s="2">
        <f>$C152+total_production!AA152</f>
        <v>1283424.2842504708</v>
      </c>
    </row>
    <row r="153" spans="1:28" x14ac:dyDescent="0.2">
      <c r="A153" t="s">
        <v>740</v>
      </c>
      <c r="B153" t="s">
        <v>741</v>
      </c>
      <c r="C153" s="1">
        <v>1082914</v>
      </c>
      <c r="D153" s="2">
        <f>$C153+total_production!C153</f>
        <v>1085234.0764143881</v>
      </c>
      <c r="E153" s="2">
        <f>$C153+total_production!D153</f>
        <v>1085339.6919700848</v>
      </c>
      <c r="F153" s="2">
        <f>$C153+total_production!E153</f>
        <v>1085447.2882849285</v>
      </c>
      <c r="G153" s="2">
        <f>$C153+total_production!F153</f>
        <v>1085566.1278735464</v>
      </c>
      <c r="H153" s="2">
        <f>$C153+total_production!G153</f>
        <v>1085826.0264712255</v>
      </c>
      <c r="I153" s="2">
        <f>$C153+total_production!H153</f>
        <v>1085971.1953783329</v>
      </c>
      <c r="J153" s="2">
        <f>$C153+total_production!I153</f>
        <v>1086173.9366758277</v>
      </c>
      <c r="K153" s="2">
        <f>$C153+total_production!J153</f>
        <v>1086687.3077100343</v>
      </c>
      <c r="L153" s="2">
        <f>$C153+total_production!K153</f>
        <v>1086875.9690579062</v>
      </c>
      <c r="M153" s="2">
        <f>$C153+total_production!L153</f>
        <v>1087594.1499567921</v>
      </c>
      <c r="N153" s="2">
        <f>$C153+total_production!M153</f>
        <v>1087925.8199073642</v>
      </c>
      <c r="O153" s="2">
        <f>$C153+total_production!N153</f>
        <v>1088223.390625393</v>
      </c>
      <c r="P153" s="2">
        <f>$C153+total_production!O153</f>
        <v>1088223.390625393</v>
      </c>
      <c r="Q153" s="2">
        <f>$C153+total_production!P153</f>
        <v>1088223.390625393</v>
      </c>
      <c r="R153" s="2">
        <f>$C153+total_production!Q153</f>
        <v>1088483.324107558</v>
      </c>
      <c r="S153" s="2">
        <f>$C153+total_production!R153</f>
        <v>1088483.324107558</v>
      </c>
      <c r="T153" s="2">
        <f>$C153+total_production!S153</f>
        <v>1088774.3494576209</v>
      </c>
      <c r="U153" s="2">
        <f>$C153+total_production!T153</f>
        <v>1088774.3494576209</v>
      </c>
      <c r="V153" s="2">
        <f>$C153+total_production!U153</f>
        <v>1089038.6354011083</v>
      </c>
      <c r="W153" s="2">
        <f>$C153+total_production!V153</f>
        <v>1089038.6354011083</v>
      </c>
      <c r="X153" s="2">
        <f>$C153+total_production!W153</f>
        <v>1089267.6271574036</v>
      </c>
      <c r="Y153" s="2">
        <f>$C153+total_production!X153</f>
        <v>1089267.6271574036</v>
      </c>
      <c r="Z153" s="2">
        <f>$C153+total_production!Y153</f>
        <v>1089267.6271574036</v>
      </c>
      <c r="AA153" s="2">
        <f>$C153+total_production!Z153</f>
        <v>1089267.6271574036</v>
      </c>
      <c r="AB153" s="2">
        <f>$C153+total_production!AA153</f>
        <v>1089267.6271574036</v>
      </c>
    </row>
    <row r="154" spans="1:28" x14ac:dyDescent="0.2">
      <c r="A154" t="s">
        <v>420</v>
      </c>
      <c r="B154" t="s">
        <v>421</v>
      </c>
      <c r="C154" s="1">
        <v>7376014</v>
      </c>
      <c r="D154" s="2">
        <f>$C154+total_production!C154</f>
        <v>7415757.9874225585</v>
      </c>
      <c r="E154" s="2">
        <f>$C154+total_production!D154</f>
        <v>7418732.8100296576</v>
      </c>
      <c r="F154" s="2">
        <f>$C154+total_production!E154</f>
        <v>7420506.707393215</v>
      </c>
      <c r="G154" s="2">
        <f>$C154+total_production!F154</f>
        <v>7422959.4006504547</v>
      </c>
      <c r="H154" s="2">
        <f>$C154+total_production!G154</f>
        <v>7431426.75128398</v>
      </c>
      <c r="I154" s="2">
        <f>$C154+total_production!H154</f>
        <v>7433820.0929329246</v>
      </c>
      <c r="J154" s="2">
        <f>$C154+total_production!I154</f>
        <v>7437162.6075314246</v>
      </c>
      <c r="K154" s="2">
        <f>$C154+total_production!J154</f>
        <v>7447959.5675105974</v>
      </c>
      <c r="L154" s="2">
        <f>$C154+total_production!K154</f>
        <v>7451069.9516169811</v>
      </c>
      <c r="M154" s="2">
        <f>$C154+total_production!L154</f>
        <v>7465863.887218561</v>
      </c>
      <c r="N154" s="2">
        <f>$C154+total_production!M154</f>
        <v>7473270.6651698574</v>
      </c>
      <c r="O154" s="2">
        <f>$C154+total_production!N154</f>
        <v>7479871.3894935679</v>
      </c>
      <c r="P154" s="2">
        <f>$C154+total_production!O154</f>
        <v>7479871.3894935679</v>
      </c>
      <c r="Q154" s="2">
        <f>$C154+total_production!P154</f>
        <v>7479871.3894935679</v>
      </c>
      <c r="R154" s="2">
        <f>$C154+total_production!Q154</f>
        <v>7485644.6809635349</v>
      </c>
      <c r="S154" s="2">
        <f>$C154+total_production!R154</f>
        <v>7485644.6809635349</v>
      </c>
      <c r="T154" s="2">
        <f>$C154+total_production!S154</f>
        <v>7492084.9426678652</v>
      </c>
      <c r="U154" s="2">
        <f>$C154+total_production!T154</f>
        <v>7492084.9426678652</v>
      </c>
      <c r="V154" s="2">
        <f>$C154+total_production!U154</f>
        <v>7498003.8927352447</v>
      </c>
      <c r="W154" s="2">
        <f>$C154+total_production!V154</f>
        <v>7498003.8927352447</v>
      </c>
      <c r="X154" s="2">
        <f>$C154+total_production!W154</f>
        <v>7503108.9944976131</v>
      </c>
      <c r="Y154" s="2">
        <f>$C154+total_production!X154</f>
        <v>7503108.9944976131</v>
      </c>
      <c r="Z154" s="2">
        <f>$C154+total_production!Y154</f>
        <v>7503108.9944976131</v>
      </c>
      <c r="AA154" s="2">
        <f>$C154+total_production!Z154</f>
        <v>7503108.9944976131</v>
      </c>
      <c r="AB154" s="2">
        <f>$C154+total_production!AA154</f>
        <v>7503108.9944976131</v>
      </c>
    </row>
    <row r="155" spans="1:28" x14ac:dyDescent="0.2">
      <c r="A155" t="s">
        <v>584</v>
      </c>
      <c r="B155" t="s">
        <v>585</v>
      </c>
      <c r="C155" s="1">
        <v>3043015</v>
      </c>
      <c r="D155" s="2">
        <f>$C155+total_production!C155</f>
        <v>3050933.5996200009</v>
      </c>
      <c r="E155" s="2">
        <f>$C155+total_production!D155</f>
        <v>3051477.9352183389</v>
      </c>
      <c r="F155" s="2">
        <f>$C155+total_production!E155</f>
        <v>3051834.2417112547</v>
      </c>
      <c r="G155" s="2">
        <f>$C155+total_production!F155</f>
        <v>3052305.6158138858</v>
      </c>
      <c r="H155" s="2">
        <f>$C155+total_production!G155</f>
        <v>3053826.0329529229</v>
      </c>
      <c r="I155" s="2">
        <f>$C155+total_production!H155</f>
        <v>3054306.7615377912</v>
      </c>
      <c r="J155" s="2">
        <f>$C155+total_production!I155</f>
        <v>3054978.141787054</v>
      </c>
      <c r="K155" s="2">
        <f>$C155+total_production!J155</f>
        <v>3057046.2241073744</v>
      </c>
      <c r="L155" s="2">
        <f>$C155+total_production!K155</f>
        <v>3057670.9784338279</v>
      </c>
      <c r="M155" s="2">
        <f>$C155+total_production!L155</f>
        <v>3060515.1479273015</v>
      </c>
      <c r="N155" s="2">
        <f>$C155+total_production!M155</f>
        <v>3061919.2877001762</v>
      </c>
      <c r="O155" s="2">
        <f>$C155+total_production!N155</f>
        <v>3063172.0382353705</v>
      </c>
      <c r="P155" s="2">
        <f>$C155+total_production!O155</f>
        <v>3063172.0382353705</v>
      </c>
      <c r="Q155" s="2">
        <f>$C155+total_production!P155</f>
        <v>3063172.0382353705</v>
      </c>
      <c r="R155" s="2">
        <f>$C155+total_production!Q155</f>
        <v>3064267.5120503688</v>
      </c>
      <c r="S155" s="2">
        <f>$C155+total_production!R155</f>
        <v>3064267.5120503688</v>
      </c>
      <c r="T155" s="2">
        <f>$C155+total_production!S155</f>
        <v>3065490.2978652921</v>
      </c>
      <c r="U155" s="2">
        <f>$C155+total_production!T155</f>
        <v>3065490.2978652921</v>
      </c>
      <c r="V155" s="2">
        <f>$C155+total_production!U155</f>
        <v>3066611.8422993985</v>
      </c>
      <c r="W155" s="2">
        <f>$C155+total_production!V155</f>
        <v>3066611.8422993985</v>
      </c>
      <c r="X155" s="2">
        <f>$C155+total_production!W155</f>
        <v>3067579.9184831921</v>
      </c>
      <c r="Y155" s="2">
        <f>$C155+total_production!X155</f>
        <v>3067579.9184831921</v>
      </c>
      <c r="Z155" s="2">
        <f>$C155+total_production!Y155</f>
        <v>3067579.9184831921</v>
      </c>
      <c r="AA155" s="2">
        <f>$C155+total_production!Z155</f>
        <v>3067579.9184831921</v>
      </c>
      <c r="AB155" s="2">
        <f>$C155+total_production!AA155</f>
        <v>3067579.9184831921</v>
      </c>
    </row>
    <row r="156" spans="1:28" x14ac:dyDescent="0.2">
      <c r="A156" t="s">
        <v>577</v>
      </c>
      <c r="B156" t="s">
        <v>578</v>
      </c>
      <c r="C156" s="1">
        <v>3014681</v>
      </c>
      <c r="D156" s="2">
        <f>$C156+total_production!C156</f>
        <v>3022255.3191746869</v>
      </c>
      <c r="E156" s="2">
        <f>$C156+total_production!D156</f>
        <v>3022182.8282000273</v>
      </c>
      <c r="F156" s="2">
        <f>$C156+total_production!E156</f>
        <v>3022558.8985567749</v>
      </c>
      <c r="G156" s="2">
        <f>$C156+total_production!F156</f>
        <v>3022797.6110816887</v>
      </c>
      <c r="H156" s="2">
        <f>$C156+total_production!G156</f>
        <v>3022208.6160305701</v>
      </c>
      <c r="I156" s="2">
        <f>$C156+total_production!H156</f>
        <v>3022716.0100130108</v>
      </c>
      <c r="J156" s="2">
        <f>$C156+total_production!I156</f>
        <v>3023424.6308629629</v>
      </c>
      <c r="K156" s="2">
        <f>$C156+total_production!J156</f>
        <v>3024383.6416981267</v>
      </c>
      <c r="L156" s="2">
        <f>$C156+total_production!K156</f>
        <v>3025043.0503451773</v>
      </c>
      <c r="M156" s="2">
        <f>$C156+total_production!L156</f>
        <v>3026495.8160364232</v>
      </c>
      <c r="N156" s="2">
        <f>$C156+total_production!M156</f>
        <v>3026960.9994198554</v>
      </c>
      <c r="O156" s="2">
        <f>$C156+total_production!N156</f>
        <v>3027394.3090573642</v>
      </c>
      <c r="P156" s="2">
        <f>$C156+total_production!O156</f>
        <v>3027394.3090573642</v>
      </c>
      <c r="Q156" s="2">
        <f>$C156+total_production!P156</f>
        <v>3027394.3090573642</v>
      </c>
      <c r="R156" s="2">
        <f>$C156+total_production!Q156</f>
        <v>3027770.1501968838</v>
      </c>
      <c r="S156" s="2">
        <f>$C156+total_production!R156</f>
        <v>3027770.1501968838</v>
      </c>
      <c r="T156" s="2">
        <f>$C156+total_production!S156</f>
        <v>3028199.3966971999</v>
      </c>
      <c r="U156" s="2">
        <f>$C156+total_production!T156</f>
        <v>3028199.3966971999</v>
      </c>
      <c r="V156" s="2">
        <f>$C156+total_production!U156</f>
        <v>3028563.9929140266</v>
      </c>
      <c r="W156" s="2">
        <f>$C156+total_production!V156</f>
        <v>3028563.9929140266</v>
      </c>
      <c r="X156" s="2">
        <f>$C156+total_production!W156</f>
        <v>3028888.2762571196</v>
      </c>
      <c r="Y156" s="2">
        <f>$C156+total_production!X156</f>
        <v>3028888.2762571196</v>
      </c>
      <c r="Z156" s="2">
        <f>$C156+total_production!Y156</f>
        <v>3028888.2762571196</v>
      </c>
      <c r="AA156" s="2">
        <f>$C156+total_production!Z156</f>
        <v>3028888.2762571196</v>
      </c>
      <c r="AB156" s="2">
        <f>$C156+total_production!AA156</f>
        <v>3028888.2762571196</v>
      </c>
    </row>
    <row r="157" spans="1:28" x14ac:dyDescent="0.2">
      <c r="A157" t="s">
        <v>522</v>
      </c>
      <c r="B157" t="s">
        <v>523</v>
      </c>
      <c r="C157" s="1">
        <v>4760339</v>
      </c>
      <c r="D157" s="2">
        <f>$C157+total_production!C157</f>
        <v>4774298.9747454496</v>
      </c>
      <c r="E157" s="2">
        <f>$C157+total_production!D157</f>
        <v>4775211.9019003436</v>
      </c>
      <c r="F157" s="2">
        <f>$C157+total_production!E157</f>
        <v>4775842.8227398666</v>
      </c>
      <c r="G157" s="2">
        <f>$C157+total_production!F157</f>
        <v>4776657.1200643908</v>
      </c>
      <c r="H157" s="2">
        <f>$C157+total_production!G157</f>
        <v>4779176.6414945778</v>
      </c>
      <c r="I157" s="2">
        <f>$C157+total_production!H157</f>
        <v>4780027.879651553</v>
      </c>
      <c r="J157" s="2">
        <f>$C157+total_production!I157</f>
        <v>4781216.709490261</v>
      </c>
      <c r="K157" s="2">
        <f>$C157+total_production!J157</f>
        <v>4784782.3629828896</v>
      </c>
      <c r="L157" s="2">
        <f>$C157+total_production!K157</f>
        <v>4785888.6311311787</v>
      </c>
      <c r="M157" s="2">
        <f>$C157+total_production!L157</f>
        <v>4790802.9035777571</v>
      </c>
      <c r="N157" s="2">
        <f>$C157+total_production!M157</f>
        <v>4793209.1905136183</v>
      </c>
      <c r="O157" s="2">
        <f>$C157+total_production!N157</f>
        <v>4795357.4796340931</v>
      </c>
      <c r="P157" s="2">
        <f>$C157+total_production!O157</f>
        <v>4795357.4796340931</v>
      </c>
      <c r="Q157" s="2">
        <f>$C157+total_production!P157</f>
        <v>4795357.4796340931</v>
      </c>
      <c r="R157" s="2">
        <f>$C157+total_production!Q157</f>
        <v>4797235.8199348543</v>
      </c>
      <c r="S157" s="2">
        <f>$C157+total_production!R157</f>
        <v>4797235.8199348543</v>
      </c>
      <c r="T157" s="2">
        <f>$C157+total_production!S157</f>
        <v>4799333.2199328225</v>
      </c>
      <c r="U157" s="2">
        <f>$C157+total_production!T157</f>
        <v>4799333.2199328225</v>
      </c>
      <c r="V157" s="2">
        <f>$C157+total_production!U157</f>
        <v>4801254.6723299706</v>
      </c>
      <c r="W157" s="2">
        <f>$C157+total_production!V157</f>
        <v>4801254.6723299706</v>
      </c>
      <c r="X157" s="2">
        <f>$C157+total_production!W157</f>
        <v>4802913.9538834263</v>
      </c>
      <c r="Y157" s="2">
        <f>$C157+total_production!X157</f>
        <v>4802913.9538834263</v>
      </c>
      <c r="Z157" s="2">
        <f>$C157+total_production!Y157</f>
        <v>4802913.9538834263</v>
      </c>
      <c r="AA157" s="2">
        <f>$C157+total_production!Z157</f>
        <v>4802913.9538834263</v>
      </c>
      <c r="AB157" s="2">
        <f>$C157+total_production!AA157</f>
        <v>4802913.9538834263</v>
      </c>
    </row>
    <row r="158" spans="1:28" x14ac:dyDescent="0.2">
      <c r="A158" t="s">
        <v>520</v>
      </c>
      <c r="B158" t="s">
        <v>521</v>
      </c>
      <c r="C158" s="1">
        <v>7598425</v>
      </c>
      <c r="D158" s="2">
        <f>$C158+total_production!C158</f>
        <v>7611563.8738752883</v>
      </c>
      <c r="E158" s="2">
        <f>$C158+total_production!D158</f>
        <v>7611706.7560670348</v>
      </c>
      <c r="F158" s="2">
        <f>$C158+total_production!E158</f>
        <v>7612343.1442410825</v>
      </c>
      <c r="G158" s="2">
        <f>$C158+total_production!F158</f>
        <v>7612853.3155182889</v>
      </c>
      <c r="H158" s="2">
        <f>$C158+total_production!G158</f>
        <v>7612756.979056485</v>
      </c>
      <c r="I158" s="2">
        <f>$C158+total_production!H158</f>
        <v>7613615.5937391222</v>
      </c>
      <c r="J158" s="2">
        <f>$C158+total_production!I158</f>
        <v>7614814.7255523633</v>
      </c>
      <c r="K158" s="2">
        <f>$C158+total_production!J158</f>
        <v>7616939.8379091136</v>
      </c>
      <c r="L158" s="2">
        <f>$C158+total_production!K158</f>
        <v>7618055.6925818315</v>
      </c>
      <c r="M158" s="2">
        <f>$C158+total_production!L158</f>
        <v>7621149.8831316698</v>
      </c>
      <c r="N158" s="2">
        <f>$C158+total_production!M158</f>
        <v>7622354.4039898301</v>
      </c>
      <c r="O158" s="2">
        <f>$C158+total_production!N158</f>
        <v>7623452.4895873694</v>
      </c>
      <c r="P158" s="2">
        <f>$C158+total_production!O158</f>
        <v>7623452.4895873694</v>
      </c>
      <c r="Q158" s="2">
        <f>$C158+total_production!P158</f>
        <v>7623452.4895873694</v>
      </c>
      <c r="R158" s="2">
        <f>$C158+total_production!Q158</f>
        <v>7624408.7826337041</v>
      </c>
      <c r="S158" s="2">
        <f>$C158+total_production!R158</f>
        <v>7624408.7826337041</v>
      </c>
      <c r="T158" s="2">
        <f>$C158+total_production!S158</f>
        <v>7625488.6798056783</v>
      </c>
      <c r="U158" s="2">
        <f>$C158+total_production!T158</f>
        <v>7625488.6798056783</v>
      </c>
      <c r="V158" s="2">
        <f>$C158+total_production!U158</f>
        <v>7626441.8527971646</v>
      </c>
      <c r="W158" s="2">
        <f>$C158+total_production!V158</f>
        <v>7626441.8527971646</v>
      </c>
      <c r="X158" s="2">
        <f>$C158+total_production!W158</f>
        <v>7627276.8727988014</v>
      </c>
      <c r="Y158" s="2">
        <f>$C158+total_production!X158</f>
        <v>7627276.8727988014</v>
      </c>
      <c r="Z158" s="2">
        <f>$C158+total_production!Y158</f>
        <v>7627276.8727988014</v>
      </c>
      <c r="AA158" s="2">
        <f>$C158+total_production!Z158</f>
        <v>7627276.8727988014</v>
      </c>
      <c r="AB158" s="2">
        <f>$C158+total_production!AA158</f>
        <v>7627276.8727988014</v>
      </c>
    </row>
    <row r="159" spans="1:28" x14ac:dyDescent="0.2">
      <c r="A159" t="s">
        <v>661</v>
      </c>
      <c r="B159" t="s">
        <v>662</v>
      </c>
      <c r="C159" s="1">
        <v>2226512</v>
      </c>
      <c r="D159" s="2">
        <f>$C159+total_production!C159</f>
        <v>2230294.7470468208</v>
      </c>
      <c r="E159" s="2">
        <f>$C159+total_production!D159</f>
        <v>2230411.1797797116</v>
      </c>
      <c r="F159" s="2">
        <f>$C159+total_production!E159</f>
        <v>2230589.9237776604</v>
      </c>
      <c r="G159" s="2">
        <f>$C159+total_production!F159</f>
        <v>2230763.7373276921</v>
      </c>
      <c r="H159" s="2">
        <f>$C159+total_production!G159</f>
        <v>2230995.3807880799</v>
      </c>
      <c r="I159" s="2">
        <f>$C159+total_production!H159</f>
        <v>2231236.5421222011</v>
      </c>
      <c r="J159" s="2">
        <f>$C159+total_production!I159</f>
        <v>2231573.3453864777</v>
      </c>
      <c r="K159" s="2">
        <f>$C159+total_production!J159</f>
        <v>2232314.5483430522</v>
      </c>
      <c r="L159" s="2">
        <f>$C159+total_production!K159</f>
        <v>2232627.9613407557</v>
      </c>
      <c r="M159" s="2">
        <f>$C159+total_production!L159</f>
        <v>2233679.7229412617</v>
      </c>
      <c r="N159" s="2">
        <f>$C159+total_production!M159</f>
        <v>2234137.9528254294</v>
      </c>
      <c r="O159" s="2">
        <f>$C159+total_production!N159</f>
        <v>2234551.2036031662</v>
      </c>
      <c r="P159" s="2">
        <f>$C159+total_production!O159</f>
        <v>2234551.2036031662</v>
      </c>
      <c r="Q159" s="2">
        <f>$C159+total_production!P159</f>
        <v>2234551.2036031662</v>
      </c>
      <c r="R159" s="2">
        <f>$C159+total_production!Q159</f>
        <v>2234911.8298849394</v>
      </c>
      <c r="S159" s="2">
        <f>$C159+total_production!R159</f>
        <v>2234911.8298849394</v>
      </c>
      <c r="T159" s="2">
        <f>$C159+total_production!S159</f>
        <v>2235316.7215339378</v>
      </c>
      <c r="U159" s="2">
        <f>$C159+total_production!T159</f>
        <v>2235316.7215339378</v>
      </c>
      <c r="V159" s="2">
        <f>$C159+total_production!U159</f>
        <v>2235681.0425159964</v>
      </c>
      <c r="W159" s="2">
        <f>$C159+total_production!V159</f>
        <v>2235681.0425159964</v>
      </c>
      <c r="X159" s="2">
        <f>$C159+total_production!W159</f>
        <v>2235997.8296315186</v>
      </c>
      <c r="Y159" s="2">
        <f>$C159+total_production!X159</f>
        <v>2235997.8296315186</v>
      </c>
      <c r="Z159" s="2">
        <f>$C159+total_production!Y159</f>
        <v>2235997.8296315186</v>
      </c>
      <c r="AA159" s="2">
        <f>$C159+total_production!Z159</f>
        <v>2235997.8296315186</v>
      </c>
      <c r="AB159" s="2">
        <f>$C159+total_production!AA159</f>
        <v>2235997.8296315186</v>
      </c>
    </row>
    <row r="160" spans="1:28" x14ac:dyDescent="0.2">
      <c r="A160" t="s">
        <v>525</v>
      </c>
      <c r="B160" t="s">
        <v>526</v>
      </c>
      <c r="C160" s="1">
        <v>8772856</v>
      </c>
      <c r="D160" s="2">
        <f>$C160+total_production!C160</f>
        <v>8782238.2801783327</v>
      </c>
      <c r="E160" s="2">
        <f>$C160+total_production!D160</f>
        <v>8779694.6211883612</v>
      </c>
      <c r="F160" s="2">
        <f>$C160+total_production!E160</f>
        <v>8780306.3063555211</v>
      </c>
      <c r="G160" s="2">
        <f>$C160+total_production!F160</f>
        <v>8779724.2760034297</v>
      </c>
      <c r="H160" s="2">
        <f>$C160+total_production!G160</f>
        <v>8770541.6587614771</v>
      </c>
      <c r="I160" s="2">
        <f>$C160+total_production!H160</f>
        <v>8771366.9441566095</v>
      </c>
      <c r="J160" s="2">
        <f>$C160+total_production!I160</f>
        <v>8772519.5286538415</v>
      </c>
      <c r="K160" s="2">
        <f>$C160+total_production!J160</f>
        <v>8769491.2685037591</v>
      </c>
      <c r="L160" s="2">
        <f>$C160+total_production!K160</f>
        <v>8770563.808472041</v>
      </c>
      <c r="M160" s="2">
        <f>$C160+total_production!L160</f>
        <v>8767118.7600661051</v>
      </c>
      <c r="N160" s="2">
        <f>$C160+total_production!M160</f>
        <v>8764063.1337351408</v>
      </c>
      <c r="O160" s="2">
        <f>$C160+total_production!N160</f>
        <v>8761435.223826101</v>
      </c>
      <c r="P160" s="2">
        <f>$C160+total_production!O160</f>
        <v>8761435.223826101</v>
      </c>
      <c r="Q160" s="2">
        <f>$C160+total_production!P160</f>
        <v>8761435.223826101</v>
      </c>
      <c r="R160" s="2">
        <f>$C160+total_production!Q160</f>
        <v>8759120.7396062985</v>
      </c>
      <c r="S160" s="2">
        <f>$C160+total_production!R160</f>
        <v>8759120.7396062985</v>
      </c>
      <c r="T160" s="2">
        <f>$C160+total_production!S160</f>
        <v>8756589.5602856614</v>
      </c>
      <c r="U160" s="2">
        <f>$C160+total_production!T160</f>
        <v>8756589.5602856614</v>
      </c>
      <c r="V160" s="2">
        <f>$C160+total_production!U160</f>
        <v>8754111.4642449077</v>
      </c>
      <c r="W160" s="2">
        <f>$C160+total_production!V160</f>
        <v>8754111.4642449077</v>
      </c>
      <c r="X160" s="2">
        <f>$C160+total_production!W160</f>
        <v>8752023.945797326</v>
      </c>
      <c r="Y160" s="2">
        <f>$C160+total_production!X160</f>
        <v>8752023.945797326</v>
      </c>
      <c r="Z160" s="2">
        <f>$C160+total_production!Y160</f>
        <v>8752023.945797326</v>
      </c>
      <c r="AA160" s="2">
        <f>$C160+total_production!Z160</f>
        <v>8752023.945797326</v>
      </c>
      <c r="AB160" s="2">
        <f>$C160+total_production!AA160</f>
        <v>8752023.945797326</v>
      </c>
    </row>
    <row r="161" spans="1:28" x14ac:dyDescent="0.2">
      <c r="A161" t="s">
        <v>519</v>
      </c>
      <c r="B161" t="s">
        <v>267</v>
      </c>
      <c r="C161" s="1">
        <v>6127221</v>
      </c>
      <c r="D161" s="2">
        <f>$C161+total_production!C161</f>
        <v>6140897.5496640615</v>
      </c>
      <c r="E161" s="2">
        <f>$C161+total_production!D161</f>
        <v>6141459.3849178655</v>
      </c>
      <c r="F161" s="2">
        <f>$C161+total_production!E161</f>
        <v>6142097.2622722667</v>
      </c>
      <c r="G161" s="2">
        <f>$C161+total_production!F161</f>
        <v>6142776.0748770917</v>
      </c>
      <c r="H161" s="2">
        <f>$C161+total_production!G161</f>
        <v>6144098.8564725975</v>
      </c>
      <c r="I161" s="2">
        <f>$C161+total_production!H161</f>
        <v>6144959.4803568022</v>
      </c>
      <c r="J161" s="2">
        <f>$C161+total_production!I161</f>
        <v>6146161.4181988332</v>
      </c>
      <c r="K161" s="2">
        <f>$C161+total_production!J161</f>
        <v>6149083.2862351798</v>
      </c>
      <c r="L161" s="2">
        <f>$C161+total_production!K161</f>
        <v>6150201.7520639878</v>
      </c>
      <c r="M161" s="2">
        <f>$C161+total_production!L161</f>
        <v>6154305.485732845</v>
      </c>
      <c r="N161" s="2">
        <f>$C161+total_production!M161</f>
        <v>6156170.7168988502</v>
      </c>
      <c r="O161" s="2">
        <f>$C161+total_production!N161</f>
        <v>6157846.5047811354</v>
      </c>
      <c r="P161" s="2">
        <f>$C161+total_production!O161</f>
        <v>6157846.5047811354</v>
      </c>
      <c r="Q161" s="2">
        <f>$C161+total_production!P161</f>
        <v>6157846.5047811354</v>
      </c>
      <c r="R161" s="2">
        <f>$C161+total_production!Q161</f>
        <v>6159309.9485631464</v>
      </c>
      <c r="S161" s="2">
        <f>$C161+total_production!R161</f>
        <v>6159309.9485631464</v>
      </c>
      <c r="T161" s="2">
        <f>$C161+total_production!S161</f>
        <v>6160949.6718943873</v>
      </c>
      <c r="U161" s="2">
        <f>$C161+total_production!T161</f>
        <v>6160949.6718943873</v>
      </c>
      <c r="V161" s="2">
        <f>$C161+total_production!U161</f>
        <v>6162435.066905098</v>
      </c>
      <c r="W161" s="2">
        <f>$C161+total_production!V161</f>
        <v>6162435.066905098</v>
      </c>
      <c r="X161" s="2">
        <f>$C161+total_production!W161</f>
        <v>6163723.3138329275</v>
      </c>
      <c r="Y161" s="2">
        <f>$C161+total_production!X161</f>
        <v>6163723.3138329275</v>
      </c>
      <c r="Z161" s="2">
        <f>$C161+total_production!Y161</f>
        <v>6163723.3138329275</v>
      </c>
      <c r="AA161" s="2">
        <f>$C161+total_production!Z161</f>
        <v>6163723.3138329275</v>
      </c>
      <c r="AB161" s="2">
        <f>$C161+total_production!AA161</f>
        <v>6163723.3138329275</v>
      </c>
    </row>
    <row r="162" spans="1:28" x14ac:dyDescent="0.2">
      <c r="A162" t="s">
        <v>462</v>
      </c>
      <c r="B162" t="s">
        <v>463</v>
      </c>
      <c r="C162" s="1">
        <v>8998651</v>
      </c>
      <c r="D162" s="2">
        <f>$C162+total_production!C162</f>
        <v>9023171.4848546293</v>
      </c>
      <c r="E162" s="2">
        <f>$C162+total_production!D162</f>
        <v>9024333.481833132</v>
      </c>
      <c r="F162" s="2">
        <f>$C162+total_production!E162</f>
        <v>9025467.928540092</v>
      </c>
      <c r="G162" s="2">
        <f>$C162+total_production!F162</f>
        <v>9026740.2930232696</v>
      </c>
      <c r="H162" s="2">
        <f>$C162+total_production!G162</f>
        <v>9029644.7649721969</v>
      </c>
      <c r="I162" s="2">
        <f>$C162+total_production!H162</f>
        <v>9031175.3600382116</v>
      </c>
      <c r="J162" s="2">
        <f>$C162+total_production!I162</f>
        <v>9033312.9722570088</v>
      </c>
      <c r="K162" s="2">
        <f>$C162+total_production!J162</f>
        <v>9038817.3332898319</v>
      </c>
      <c r="L162" s="2">
        <f>$C162+total_production!K162</f>
        <v>9040806.4929105397</v>
      </c>
      <c r="M162" s="2">
        <f>$C162+total_production!L162</f>
        <v>9048494.6334874351</v>
      </c>
      <c r="N162" s="2">
        <f>$C162+total_production!M162</f>
        <v>9052067.7294616029</v>
      </c>
      <c r="O162" s="2">
        <f>$C162+total_production!N162</f>
        <v>9055271.7233317997</v>
      </c>
      <c r="P162" s="2">
        <f>$C162+total_production!O162</f>
        <v>9055271.7233317997</v>
      </c>
      <c r="Q162" s="2">
        <f>$C162+total_production!P162</f>
        <v>9055271.7233317997</v>
      </c>
      <c r="R162" s="2">
        <f>$C162+total_production!Q162</f>
        <v>9058070.7627930362</v>
      </c>
      <c r="S162" s="2">
        <f>$C162+total_production!R162</f>
        <v>9058070.7627930362</v>
      </c>
      <c r="T162" s="2">
        <f>$C162+total_production!S162</f>
        <v>9061203.6819176581</v>
      </c>
      <c r="U162" s="2">
        <f>$C162+total_production!T162</f>
        <v>9061203.6819176581</v>
      </c>
      <c r="V162" s="2">
        <f>$C162+total_production!U162</f>
        <v>9064051.5133664869</v>
      </c>
      <c r="W162" s="2">
        <f>$C162+total_production!V162</f>
        <v>9064051.5133664869</v>
      </c>
      <c r="X162" s="2">
        <f>$C162+total_production!W162</f>
        <v>9066518.1111234296</v>
      </c>
      <c r="Y162" s="2">
        <f>$C162+total_production!X162</f>
        <v>9066518.1111234296</v>
      </c>
      <c r="Z162" s="2">
        <f>$C162+total_production!Y162</f>
        <v>9066518.1111234296</v>
      </c>
      <c r="AA162" s="2">
        <f>$C162+total_production!Z162</f>
        <v>9066518.1111234296</v>
      </c>
      <c r="AB162" s="2">
        <f>$C162+total_production!AA162</f>
        <v>9066518.1111234296</v>
      </c>
    </row>
    <row r="163" spans="1:28" x14ac:dyDescent="0.2">
      <c r="A163" t="s">
        <v>450</v>
      </c>
      <c r="B163" t="s">
        <v>185</v>
      </c>
      <c r="C163" s="1">
        <v>9271079</v>
      </c>
      <c r="D163" s="2">
        <f>$C163+total_production!C163</f>
        <v>9296655.5804400947</v>
      </c>
      <c r="E163" s="2">
        <f>$C163+total_production!D163</f>
        <v>9297451.0170992687</v>
      </c>
      <c r="F163" s="2">
        <f>$C163+total_production!E163</f>
        <v>9298659.0858876593</v>
      </c>
      <c r="G163" s="2">
        <f>$C163+total_production!F163</f>
        <v>9299837.2347400989</v>
      </c>
      <c r="H163" s="2">
        <f>$C163+total_production!G163</f>
        <v>9301431.6798489913</v>
      </c>
      <c r="I163" s="2">
        <f>$C163+total_production!H163</f>
        <v>9303061.6057992987</v>
      </c>
      <c r="J163" s="2">
        <f>$C163+total_production!I163</f>
        <v>9305337.942437565</v>
      </c>
      <c r="K163" s="2">
        <f>$C163+total_production!J163</f>
        <v>9310363.5690005552</v>
      </c>
      <c r="L163" s="2">
        <f>$C163+total_production!K163</f>
        <v>9312481.8189264089</v>
      </c>
      <c r="M163" s="2">
        <f>$C163+total_production!L163</f>
        <v>9319610.6824942548</v>
      </c>
      <c r="N163" s="2">
        <f>$C163+total_production!M163</f>
        <v>9322721.0708015077</v>
      </c>
      <c r="O163" s="2">
        <f>$C163+total_production!N163</f>
        <v>9325525.7788849119</v>
      </c>
      <c r="P163" s="2">
        <f>$C163+total_production!O163</f>
        <v>9325525.7788849119</v>
      </c>
      <c r="Q163" s="2">
        <f>$C163+total_production!P163</f>
        <v>9325525.7788849119</v>
      </c>
      <c r="R163" s="2">
        <f>$C163+total_production!Q163</f>
        <v>9327973.3890547697</v>
      </c>
      <c r="S163" s="2">
        <f>$C163+total_production!R163</f>
        <v>9327973.3890547697</v>
      </c>
      <c r="T163" s="2">
        <f>$C163+total_production!S163</f>
        <v>9330721.2382267453</v>
      </c>
      <c r="U163" s="2">
        <f>$C163+total_production!T163</f>
        <v>9330721.2382267453</v>
      </c>
      <c r="V163" s="2">
        <f>$C163+total_production!U163</f>
        <v>9333194.3293012921</v>
      </c>
      <c r="W163" s="2">
        <f>$C163+total_production!V163</f>
        <v>9333194.3293012921</v>
      </c>
      <c r="X163" s="2">
        <f>$C163+total_production!W163</f>
        <v>9335344.5555303898</v>
      </c>
      <c r="Y163" s="2">
        <f>$C163+total_production!X163</f>
        <v>9335344.5555303898</v>
      </c>
      <c r="Z163" s="2">
        <f>$C163+total_production!Y163</f>
        <v>9335344.5555303898</v>
      </c>
      <c r="AA163" s="2">
        <f>$C163+total_production!Z163</f>
        <v>9335344.5555303898</v>
      </c>
      <c r="AB163" s="2">
        <f>$C163+total_production!AA163</f>
        <v>9335344.5555303898</v>
      </c>
    </row>
    <row r="164" spans="1:28" x14ac:dyDescent="0.2">
      <c r="A164" t="s">
        <v>444</v>
      </c>
      <c r="B164" t="s">
        <v>445</v>
      </c>
      <c r="C164" s="1">
        <v>4421301</v>
      </c>
      <c r="D164" s="2">
        <f>$C164+total_production!C164</f>
        <v>4451700.594228222</v>
      </c>
      <c r="E164" s="2">
        <f>$C164+total_production!D164</f>
        <v>4454038.6916499343</v>
      </c>
      <c r="F164" s="2">
        <f>$C164+total_production!E164</f>
        <v>4455391.7931820499</v>
      </c>
      <c r="G164" s="2">
        <f>$C164+total_production!F164</f>
        <v>4457290.2492078524</v>
      </c>
      <c r="H164" s="2">
        <f>$C164+total_production!G164</f>
        <v>4463982.7867429433</v>
      </c>
      <c r="I164" s="2">
        <f>$C164+total_production!H164</f>
        <v>4465808.3908159817</v>
      </c>
      <c r="J164" s="2">
        <f>$C164+total_production!I164</f>
        <v>4468358.0093662227</v>
      </c>
      <c r="K164" s="2">
        <f>$C164+total_production!J164</f>
        <v>4476724.1744955499</v>
      </c>
      <c r="L164" s="2">
        <f>$C164+total_production!K164</f>
        <v>4479096.7274889071</v>
      </c>
      <c r="M164" s="2">
        <f>$C164+total_production!L164</f>
        <v>4490546.3976188945</v>
      </c>
      <c r="N164" s="2">
        <f>$C164+total_production!M164</f>
        <v>4496304.5316610802</v>
      </c>
      <c r="O164" s="2">
        <f>$C164+total_production!N164</f>
        <v>4501434.1896111947</v>
      </c>
      <c r="P164" s="2">
        <f>$C164+total_production!O164</f>
        <v>4501434.1896111947</v>
      </c>
      <c r="Q164" s="2">
        <f>$C164+total_production!P164</f>
        <v>4501434.1896111947</v>
      </c>
      <c r="R164" s="2">
        <f>$C164+total_production!Q164</f>
        <v>4505921.1289979555</v>
      </c>
      <c r="S164" s="2">
        <f>$C164+total_production!R164</f>
        <v>4505921.1289979555</v>
      </c>
      <c r="T164" s="2">
        <f>$C164+total_production!S164</f>
        <v>4510925.4512590831</v>
      </c>
      <c r="U164" s="2">
        <f>$C164+total_production!T164</f>
        <v>4510925.4512590831</v>
      </c>
      <c r="V164" s="2">
        <f>$C164+total_production!U164</f>
        <v>4515527.627347446</v>
      </c>
      <c r="W164" s="2">
        <f>$C164+total_production!V164</f>
        <v>4515527.627347446</v>
      </c>
      <c r="X164" s="2">
        <f>$C164+total_production!W164</f>
        <v>4519496.0471504778</v>
      </c>
      <c r="Y164" s="2">
        <f>$C164+total_production!X164</f>
        <v>4519496.0471504778</v>
      </c>
      <c r="Z164" s="2">
        <f>$C164+total_production!Y164</f>
        <v>4519496.0471504778</v>
      </c>
      <c r="AA164" s="2">
        <f>$C164+total_production!Z164</f>
        <v>4519496.0471504778</v>
      </c>
      <c r="AB164" s="2">
        <f>$C164+total_production!AA164</f>
        <v>4519496.0471504778</v>
      </c>
    </row>
    <row r="165" spans="1:28" x14ac:dyDescent="0.2">
      <c r="A165" t="s">
        <v>599</v>
      </c>
      <c r="B165" t="s">
        <v>600</v>
      </c>
      <c r="C165" s="1">
        <v>3529821</v>
      </c>
      <c r="D165" s="2">
        <f>$C165+total_production!C165</f>
        <v>3536662.0600150609</v>
      </c>
      <c r="E165" s="2">
        <f>$C165+total_production!D165</f>
        <v>3536864.2749602692</v>
      </c>
      <c r="F165" s="2">
        <f>$C165+total_production!E165</f>
        <v>3537188.0281233862</v>
      </c>
      <c r="G165" s="2">
        <f>$C165+total_production!F165</f>
        <v>3537499.3805831415</v>
      </c>
      <c r="H165" s="2">
        <f>$C165+total_production!G165</f>
        <v>3537889.5329653136</v>
      </c>
      <c r="I165" s="2">
        <f>$C165+total_production!H165</f>
        <v>3538326.3406099854</v>
      </c>
      <c r="J165" s="2">
        <f>$C165+total_production!I165</f>
        <v>3538936.3813576973</v>
      </c>
      <c r="K165" s="2">
        <f>$C165+total_production!J165</f>
        <v>3540262.4883809006</v>
      </c>
      <c r="L165" s="2">
        <f>$C165+total_production!K165</f>
        <v>3540830.1631030338</v>
      </c>
      <c r="M165" s="2">
        <f>$C165+total_production!L165</f>
        <v>3542714.4118355541</v>
      </c>
      <c r="N165" s="2">
        <f>$C165+total_production!M165</f>
        <v>3543530.7538683633</v>
      </c>
      <c r="O165" s="2">
        <f>$C165+total_production!N165</f>
        <v>3544267.3418921679</v>
      </c>
      <c r="P165" s="2">
        <f>$C165+total_production!O165</f>
        <v>3544267.3418921679</v>
      </c>
      <c r="Q165" s="2">
        <f>$C165+total_production!P165</f>
        <v>3544267.3418921679</v>
      </c>
      <c r="R165" s="2">
        <f>$C165+total_production!Q165</f>
        <v>3544910.0681879488</v>
      </c>
      <c r="S165" s="2">
        <f>$C165+total_production!R165</f>
        <v>3544910.0681879488</v>
      </c>
      <c r="T165" s="2">
        <f>$C165+total_production!S165</f>
        <v>3545631.8851950411</v>
      </c>
      <c r="U165" s="2">
        <f>$C165+total_production!T165</f>
        <v>3545631.8851950411</v>
      </c>
      <c r="V165" s="2">
        <f>$C165+total_production!U165</f>
        <v>3546280.7838278548</v>
      </c>
      <c r="W165" s="2">
        <f>$C165+total_production!V165</f>
        <v>3546280.7838278548</v>
      </c>
      <c r="X165" s="2">
        <f>$C165+total_production!W165</f>
        <v>3546845.2173620323</v>
      </c>
      <c r="Y165" s="2">
        <f>$C165+total_production!X165</f>
        <v>3546845.2173620323</v>
      </c>
      <c r="Z165" s="2">
        <f>$C165+total_production!Y165</f>
        <v>3546845.2173620323</v>
      </c>
      <c r="AA165" s="2">
        <f>$C165+total_production!Z165</f>
        <v>3546845.2173620323</v>
      </c>
      <c r="AB165" s="2">
        <f>$C165+total_production!AA165</f>
        <v>3546845.2173620323</v>
      </c>
    </row>
    <row r="166" spans="1:28" x14ac:dyDescent="0.2">
      <c r="A166" t="s">
        <v>679</v>
      </c>
      <c r="B166" t="s">
        <v>680</v>
      </c>
      <c r="C166" s="1">
        <v>2663065</v>
      </c>
      <c r="D166" s="2">
        <f>$C166+total_production!C166</f>
        <v>2665956.8931931988</v>
      </c>
      <c r="E166" s="2">
        <f>$C166+total_production!D166</f>
        <v>2665621.6284158821</v>
      </c>
      <c r="F166" s="2">
        <f>$C166+total_production!E166</f>
        <v>2665783.4947962402</v>
      </c>
      <c r="G166" s="2">
        <f>$C166+total_production!F166</f>
        <v>2665764.6148466798</v>
      </c>
      <c r="H166" s="2">
        <f>$C166+total_production!G166</f>
        <v>2664480.1627724632</v>
      </c>
      <c r="I166" s="2">
        <f>$C166+total_production!H166</f>
        <v>2664698.5528313438</v>
      </c>
      <c r="J166" s="2">
        <f>$C166+total_production!I166</f>
        <v>2665003.5539833093</v>
      </c>
      <c r="K166" s="2">
        <f>$C166+total_production!J166</f>
        <v>2664841.2155946298</v>
      </c>
      <c r="L166" s="2">
        <f>$C166+total_production!K166</f>
        <v>2665125.0350687248</v>
      </c>
      <c r="M166" s="2">
        <f>$C166+total_production!L166</f>
        <v>2665022.3053024635</v>
      </c>
      <c r="N166" s="2">
        <f>$C166+total_production!M166</f>
        <v>2664744.6678819549</v>
      </c>
      <c r="O166" s="2">
        <f>$C166+total_production!N166</f>
        <v>2664513.4234611397</v>
      </c>
      <c r="P166" s="2">
        <f>$C166+total_production!O166</f>
        <v>2664513.4234611397</v>
      </c>
      <c r="Q166" s="2">
        <f>$C166+total_production!P166</f>
        <v>2664513.4234611397</v>
      </c>
      <c r="R166" s="2">
        <f>$C166+total_production!Q166</f>
        <v>2664308.4478184404</v>
      </c>
      <c r="S166" s="2">
        <f>$C166+total_production!R166</f>
        <v>2664308.4478184404</v>
      </c>
      <c r="T166" s="2">
        <f>$C166+total_production!S166</f>
        <v>2664088.407964922</v>
      </c>
      <c r="U166" s="2">
        <f>$C166+total_production!T166</f>
        <v>2664088.407964922</v>
      </c>
      <c r="V166" s="2">
        <f>$C166+total_production!U166</f>
        <v>2663860.3765153587</v>
      </c>
      <c r="W166" s="2">
        <f>$C166+total_production!V166</f>
        <v>2663860.3765153587</v>
      </c>
      <c r="X166" s="2">
        <f>$C166+total_production!W166</f>
        <v>2663672.1710299915</v>
      </c>
      <c r="Y166" s="2">
        <f>$C166+total_production!X166</f>
        <v>2663672.1710299915</v>
      </c>
      <c r="Z166" s="2">
        <f>$C166+total_production!Y166</f>
        <v>2663672.1710299915</v>
      </c>
      <c r="AA166" s="2">
        <f>$C166+total_production!Z166</f>
        <v>2663672.1710299915</v>
      </c>
      <c r="AB166" s="2">
        <f>$C166+total_production!AA166</f>
        <v>2663672.1710299915</v>
      </c>
    </row>
    <row r="167" spans="1:28" x14ac:dyDescent="0.2">
      <c r="A167" t="s">
        <v>773</v>
      </c>
      <c r="B167" t="s">
        <v>774</v>
      </c>
      <c r="C167" s="1">
        <v>2506897</v>
      </c>
      <c r="D167" s="2">
        <f>$C167+total_production!C167</f>
        <v>2508582.3111973922</v>
      </c>
      <c r="E167" s="2">
        <f>$C167+total_production!D167</f>
        <v>2508608.9437303082</v>
      </c>
      <c r="F167" s="2">
        <f>$C167+total_production!E167</f>
        <v>2508690.0790256164</v>
      </c>
      <c r="G167" s="2">
        <f>$C167+total_production!F167</f>
        <v>2508758.4888976007</v>
      </c>
      <c r="H167" s="2">
        <f>$C167+total_production!G167</f>
        <v>2508774.7414044249</v>
      </c>
      <c r="I167" s="2">
        <f>$C167+total_production!H167</f>
        <v>2508884.2091140286</v>
      </c>
      <c r="J167" s="2">
        <f>$C167+total_production!I167</f>
        <v>2509037.0905121253</v>
      </c>
      <c r="K167" s="2">
        <f>$C167+total_production!J167</f>
        <v>2509323.9464855711</v>
      </c>
      <c r="L167" s="2">
        <f>$C167+total_production!K167</f>
        <v>2509466.2105974513</v>
      </c>
      <c r="M167" s="2">
        <f>$C167+total_production!L167</f>
        <v>2509880.8499814458</v>
      </c>
      <c r="N167" s="2">
        <f>$C167+total_production!M167</f>
        <v>2510047.6448352272</v>
      </c>
      <c r="O167" s="2">
        <f>$C167+total_production!N167</f>
        <v>2510199.206092244</v>
      </c>
      <c r="P167" s="2">
        <f>$C167+total_production!O167</f>
        <v>2510199.206092244</v>
      </c>
      <c r="Q167" s="2">
        <f>$C167+total_production!P167</f>
        <v>2510199.206092244</v>
      </c>
      <c r="R167" s="2">
        <f>$C167+total_production!Q167</f>
        <v>2510331.2780219899</v>
      </c>
      <c r="S167" s="2">
        <f>$C167+total_production!R167</f>
        <v>2510331.2780219899</v>
      </c>
      <c r="T167" s="2">
        <f>$C167+total_production!S167</f>
        <v>2510480.1618451038</v>
      </c>
      <c r="U167" s="2">
        <f>$C167+total_production!T167</f>
        <v>2510480.1618451038</v>
      </c>
      <c r="V167" s="2">
        <f>$C167+total_production!U167</f>
        <v>2510612.3401734028</v>
      </c>
      <c r="W167" s="2">
        <f>$C167+total_production!V167</f>
        <v>2510612.3401734028</v>
      </c>
      <c r="X167" s="2">
        <f>$C167+total_production!W167</f>
        <v>2510727.8721997584</v>
      </c>
      <c r="Y167" s="2">
        <f>$C167+total_production!X167</f>
        <v>2510727.8721997584</v>
      </c>
      <c r="Z167" s="2">
        <f>$C167+total_production!Y167</f>
        <v>2510727.8721997584</v>
      </c>
      <c r="AA167" s="2">
        <f>$C167+total_production!Z167</f>
        <v>2510727.8721997584</v>
      </c>
      <c r="AB167" s="2">
        <f>$C167+total_production!AA167</f>
        <v>2510727.8721997584</v>
      </c>
    </row>
    <row r="168" spans="1:28" x14ac:dyDescent="0.2">
      <c r="A168" t="s">
        <v>777</v>
      </c>
      <c r="B168" t="s">
        <v>778</v>
      </c>
      <c r="C168" s="1">
        <v>1544729</v>
      </c>
      <c r="D168" s="2">
        <f>$C168+total_production!C168</f>
        <v>1545817.9838075591</v>
      </c>
      <c r="E168" s="2">
        <f>$C168+total_production!D168</f>
        <v>1545406.8348265472</v>
      </c>
      <c r="F168" s="2">
        <f>$C168+total_production!E168</f>
        <v>1545484.7213016348</v>
      </c>
      <c r="G168" s="2">
        <f>$C168+total_production!F168</f>
        <v>1545375.7058497195</v>
      </c>
      <c r="H168" s="2">
        <f>$C168+total_production!G168</f>
        <v>1543910.6075724256</v>
      </c>
      <c r="I168" s="2">
        <f>$C168+total_production!H168</f>
        <v>1544015.691975022</v>
      </c>
      <c r="J168" s="2">
        <f>$C168+total_production!I168</f>
        <v>1544162.4516948087</v>
      </c>
      <c r="K168" s="2">
        <f>$C168+total_production!J168</f>
        <v>1543611.8107506961</v>
      </c>
      <c r="L168" s="2">
        <f>$C168+total_production!K168</f>
        <v>1543748.3783217357</v>
      </c>
      <c r="M168" s="2">
        <f>$C168+total_production!L168</f>
        <v>1543100.7838205793</v>
      </c>
      <c r="N168" s="2">
        <f>$C168+total_production!M168</f>
        <v>1542574.5683395166</v>
      </c>
      <c r="O168" s="2">
        <f>$C168+total_production!N168</f>
        <v>1542120.0657749909</v>
      </c>
      <c r="P168" s="2">
        <f>$C168+total_production!O168</f>
        <v>1542120.0657749909</v>
      </c>
      <c r="Q168" s="2">
        <f>$C168+total_production!P168</f>
        <v>1542120.0657749909</v>
      </c>
      <c r="R168" s="2">
        <f>$C168+total_production!Q168</f>
        <v>1541720.1095375805</v>
      </c>
      <c r="S168" s="2">
        <f>$C168+total_production!R168</f>
        <v>1541720.1095375805</v>
      </c>
      <c r="T168" s="2">
        <f>$C168+total_production!S168</f>
        <v>1541281.6412361348</v>
      </c>
      <c r="U168" s="2">
        <f>$C168+total_production!T168</f>
        <v>1541281.6412361348</v>
      </c>
      <c r="V168" s="2">
        <f>$C168+total_production!U168</f>
        <v>1540855.6244351882</v>
      </c>
      <c r="W168" s="2">
        <f>$C168+total_production!V168</f>
        <v>1540855.6244351882</v>
      </c>
      <c r="X168" s="2">
        <f>$C168+total_production!W168</f>
        <v>1540495.7494035333</v>
      </c>
      <c r="Y168" s="2">
        <f>$C168+total_production!X168</f>
        <v>1540495.7494035333</v>
      </c>
      <c r="Z168" s="2">
        <f>$C168+total_production!Y168</f>
        <v>1540495.7494035333</v>
      </c>
      <c r="AA168" s="2">
        <f>$C168+total_production!Z168</f>
        <v>1540495.7494035333</v>
      </c>
      <c r="AB168" s="2">
        <f>$C168+total_production!AA168</f>
        <v>1540495.7494035333</v>
      </c>
    </row>
    <row r="169" spans="1:28" x14ac:dyDescent="0.2">
      <c r="A169" t="s">
        <v>418</v>
      </c>
      <c r="B169" t="s">
        <v>419</v>
      </c>
      <c r="C169" s="1">
        <v>5453849</v>
      </c>
      <c r="D169" s="2">
        <f>$C169+total_production!C169</f>
        <v>5493918.9602277651</v>
      </c>
      <c r="E169" s="2">
        <f>$C169+total_production!D169</f>
        <v>5496818.085609179</v>
      </c>
      <c r="F169" s="2">
        <f>$C169+total_production!E169</f>
        <v>5498612.481479804</v>
      </c>
      <c r="G169" s="2">
        <f>$C169+total_production!F169</f>
        <v>5501049.4878822528</v>
      </c>
      <c r="H169" s="2">
        <f>$C169+total_production!G169</f>
        <v>5509241.4765771003</v>
      </c>
      <c r="I169" s="2">
        <f>$C169+total_production!H169</f>
        <v>5511662.4748039925</v>
      </c>
      <c r="J169" s="2">
        <f>$C169+total_production!I169</f>
        <v>5515043.6142747831</v>
      </c>
      <c r="K169" s="2">
        <f>$C169+total_production!J169</f>
        <v>5525757.1456005862</v>
      </c>
      <c r="L169" s="2">
        <f>$C169+total_production!K169</f>
        <v>5528903.4721644642</v>
      </c>
      <c r="M169" s="2">
        <f>$C169+total_production!L169</f>
        <v>5543604.8118391577</v>
      </c>
      <c r="N169" s="2">
        <f>$C169+total_production!M169</f>
        <v>5550924.1912796712</v>
      </c>
      <c r="O169" s="2">
        <f>$C169+total_production!N169</f>
        <v>5557449.9635858238</v>
      </c>
      <c r="P169" s="2">
        <f>$C169+total_production!O169</f>
        <v>5557449.9635858238</v>
      </c>
      <c r="Q169" s="2">
        <f>$C169+total_production!P169</f>
        <v>5557449.9635858238</v>
      </c>
      <c r="R169" s="2">
        <f>$C169+total_production!Q169</f>
        <v>5563157.2053732565</v>
      </c>
      <c r="S169" s="2">
        <f>$C169+total_production!R169</f>
        <v>5563157.2053732565</v>
      </c>
      <c r="T169" s="2">
        <f>$C169+total_production!S169</f>
        <v>5569525.3500374313</v>
      </c>
      <c r="U169" s="2">
        <f>$C169+total_production!T169</f>
        <v>5569525.3500374313</v>
      </c>
      <c r="V169" s="2">
        <f>$C169+total_production!U169</f>
        <v>5575373.3393418565</v>
      </c>
      <c r="W169" s="2">
        <f>$C169+total_production!V169</f>
        <v>5575373.3393418565</v>
      </c>
      <c r="X169" s="2">
        <f>$C169+total_production!W169</f>
        <v>5580418.7743771439</v>
      </c>
      <c r="Y169" s="2">
        <f>$C169+total_production!X169</f>
        <v>5580418.7743771439</v>
      </c>
      <c r="Z169" s="2">
        <f>$C169+total_production!Y169</f>
        <v>5580418.7743771439</v>
      </c>
      <c r="AA169" s="2">
        <f>$C169+total_production!Z169</f>
        <v>5580418.7743771439</v>
      </c>
      <c r="AB169" s="2">
        <f>$C169+total_production!AA169</f>
        <v>5580418.7743771439</v>
      </c>
    </row>
    <row r="170" spans="1:28" x14ac:dyDescent="0.2">
      <c r="A170" t="s">
        <v>509</v>
      </c>
      <c r="B170" t="s">
        <v>510</v>
      </c>
      <c r="C170" s="1">
        <v>5307659</v>
      </c>
      <c r="D170" s="2">
        <f>$C170+total_production!C170</f>
        <v>5321818.4042416876</v>
      </c>
      <c r="E170" s="2">
        <f>$C170+total_production!D170</f>
        <v>5322382.9832169283</v>
      </c>
      <c r="F170" s="2">
        <f>$C170+total_production!E170</f>
        <v>5323044.396902224</v>
      </c>
      <c r="G170" s="2">
        <f>$C170+total_production!F170</f>
        <v>5323741.0615352979</v>
      </c>
      <c r="H170" s="2">
        <f>$C170+total_production!G170</f>
        <v>5325051.6659659036</v>
      </c>
      <c r="I170" s="2">
        <f>$C170+total_production!H170</f>
        <v>5325944.0450588102</v>
      </c>
      <c r="J170" s="2">
        <f>$C170+total_production!I170</f>
        <v>5327190.3318757182</v>
      </c>
      <c r="K170" s="2">
        <f>$C170+total_production!J170</f>
        <v>5330185.9901075317</v>
      </c>
      <c r="L170" s="2">
        <f>$C170+total_production!K170</f>
        <v>5331345.7249697354</v>
      </c>
      <c r="M170" s="2">
        <f>$C170+total_production!L170</f>
        <v>5335557.8117716238</v>
      </c>
      <c r="N170" s="2">
        <f>$C170+total_production!M170</f>
        <v>5337463.5983670186</v>
      </c>
      <c r="O170" s="2">
        <f>$C170+total_production!N170</f>
        <v>5339176.5075298604</v>
      </c>
      <c r="P170" s="2">
        <f>$C170+total_production!O170</f>
        <v>5339176.5075298604</v>
      </c>
      <c r="Q170" s="2">
        <f>$C170+total_production!P170</f>
        <v>5339176.5075298604</v>
      </c>
      <c r="R170" s="2">
        <f>$C170+total_production!Q170</f>
        <v>5340672.2546786023</v>
      </c>
      <c r="S170" s="2">
        <f>$C170+total_production!R170</f>
        <v>5340672.2546786023</v>
      </c>
      <c r="T170" s="2">
        <f>$C170+total_production!S170</f>
        <v>5342348.5348402616</v>
      </c>
      <c r="U170" s="2">
        <f>$C170+total_production!T170</f>
        <v>5342348.5348402616</v>
      </c>
      <c r="V170" s="2">
        <f>$C170+total_production!U170</f>
        <v>5343865.9656187072</v>
      </c>
      <c r="W170" s="2">
        <f>$C170+total_production!V170</f>
        <v>5343865.9656187072</v>
      </c>
      <c r="X170" s="2">
        <f>$C170+total_production!W170</f>
        <v>5345182.3562726034</v>
      </c>
      <c r="Y170" s="2">
        <f>$C170+total_production!X170</f>
        <v>5345182.3562726034</v>
      </c>
      <c r="Z170" s="2">
        <f>$C170+total_production!Y170</f>
        <v>5345182.3562726034</v>
      </c>
      <c r="AA170" s="2">
        <f>$C170+total_production!Z170</f>
        <v>5345182.3562726034</v>
      </c>
      <c r="AB170" s="2">
        <f>$C170+total_production!AA170</f>
        <v>5345182.3562726034</v>
      </c>
    </row>
    <row r="171" spans="1:28" x14ac:dyDescent="0.2">
      <c r="A171" t="s">
        <v>702</v>
      </c>
      <c r="B171" t="s">
        <v>703</v>
      </c>
      <c r="C171" s="1">
        <v>1248049</v>
      </c>
      <c r="D171" s="2">
        <f>$C171+total_production!C171</f>
        <v>1247138.002804578</v>
      </c>
      <c r="E171" s="2">
        <f>$C171+total_production!D171</f>
        <v>1243956.9944704203</v>
      </c>
      <c r="F171" s="2">
        <f>$C171+total_production!E171</f>
        <v>1244101.3478908257</v>
      </c>
      <c r="G171" s="2">
        <f>$C171+total_production!F171</f>
        <v>1242931.7036522219</v>
      </c>
      <c r="H171" s="2">
        <f>$C171+total_production!G171</f>
        <v>1232014.6269522267</v>
      </c>
      <c r="I171" s="2">
        <f>$C171+total_production!H171</f>
        <v>1232209.3885321927</v>
      </c>
      <c r="J171" s="2">
        <f>$C171+total_production!I171</f>
        <v>1232481.3904106335</v>
      </c>
      <c r="K171" s="2">
        <f>$C171+total_production!J171</f>
        <v>1226885.5179606625</v>
      </c>
      <c r="L171" s="2">
        <f>$C171+total_production!K171</f>
        <v>1227138.6298902223</v>
      </c>
      <c r="M171" s="2">
        <f>$C171+total_production!L171</f>
        <v>1220146.5751334657</v>
      </c>
      <c r="N171" s="2">
        <f>$C171+total_production!M171</f>
        <v>1215369.6635943088</v>
      </c>
      <c r="O171" s="2">
        <f>$C171+total_production!N171</f>
        <v>1211203.8869158516</v>
      </c>
      <c r="P171" s="2">
        <f>$C171+total_production!O171</f>
        <v>1211203.8869158516</v>
      </c>
      <c r="Q171" s="2">
        <f>$C171+total_production!P171</f>
        <v>1211203.8869158516</v>
      </c>
      <c r="R171" s="2">
        <f>$C171+total_production!Q171</f>
        <v>1207544.9708929837</v>
      </c>
      <c r="S171" s="2">
        <f>$C171+total_production!R171</f>
        <v>1207544.9708929837</v>
      </c>
      <c r="T171" s="2">
        <f>$C171+total_production!S171</f>
        <v>1203511.9632462512</v>
      </c>
      <c r="U171" s="2">
        <f>$C171+total_production!T171</f>
        <v>1203511.9632462512</v>
      </c>
      <c r="V171" s="2">
        <f>$C171+total_production!U171</f>
        <v>1199659.8302028684</v>
      </c>
      <c r="W171" s="2">
        <f>$C171+total_production!V171</f>
        <v>1199659.8302028684</v>
      </c>
      <c r="X171" s="2">
        <f>$C171+total_production!W171</f>
        <v>1196385.1593536946</v>
      </c>
      <c r="Y171" s="2">
        <f>$C171+total_production!X171</f>
        <v>1196385.1593536946</v>
      </c>
      <c r="Z171" s="2">
        <f>$C171+total_production!Y171</f>
        <v>1196385.1593536946</v>
      </c>
      <c r="AA171" s="2">
        <f>$C171+total_production!Z171</f>
        <v>1196385.1593536946</v>
      </c>
      <c r="AB171" s="2">
        <f>$C171+total_production!AA171</f>
        <v>1196385.1593536946</v>
      </c>
    </row>
    <row r="172" spans="1:28" x14ac:dyDescent="0.2">
      <c r="A172" t="s">
        <v>498</v>
      </c>
      <c r="B172" t="s">
        <v>201</v>
      </c>
      <c r="C172" s="1">
        <v>5938919</v>
      </c>
      <c r="D172" s="2">
        <f>$C172+total_production!C172</f>
        <v>5957632.9369958974</v>
      </c>
      <c r="E172" s="2">
        <f>$C172+total_production!D172</f>
        <v>5958580.5814253688</v>
      </c>
      <c r="F172" s="2">
        <f>$C172+total_production!E172</f>
        <v>5959442.7721759835</v>
      </c>
      <c r="G172" s="2">
        <f>$C172+total_production!F172</f>
        <v>5960435.58788691</v>
      </c>
      <c r="H172" s="2">
        <f>$C172+total_production!G172</f>
        <v>5962861.7567439722</v>
      </c>
      <c r="I172" s="2">
        <f>$C172+total_production!H172</f>
        <v>5964025.0241771247</v>
      </c>
      <c r="J172" s="2">
        <f>$C172+total_production!I172</f>
        <v>5965649.6306677964</v>
      </c>
      <c r="K172" s="2">
        <f>$C172+total_production!J172</f>
        <v>5969955.0248393482</v>
      </c>
      <c r="L172" s="2">
        <f>$C172+total_production!K172</f>
        <v>5971466.8058828721</v>
      </c>
      <c r="M172" s="2">
        <f>$C172+total_production!L172</f>
        <v>5977464.3383088466</v>
      </c>
      <c r="N172" s="2">
        <f>$C172+total_production!M172</f>
        <v>5980281.3173165293</v>
      </c>
      <c r="O172" s="2">
        <f>$C172+total_production!N172</f>
        <v>5982805.020710987</v>
      </c>
      <c r="P172" s="2">
        <f>$C172+total_production!O172</f>
        <v>5982805.020710987</v>
      </c>
      <c r="Q172" s="2">
        <f>$C172+total_production!P172</f>
        <v>5982805.020710987</v>
      </c>
      <c r="R172" s="2">
        <f>$C172+total_production!Q172</f>
        <v>5985010.132858729</v>
      </c>
      <c r="S172" s="2">
        <f>$C172+total_production!R172</f>
        <v>5985010.132858729</v>
      </c>
      <c r="T172" s="2">
        <f>$C172+total_production!S172</f>
        <v>5987477.0703313667</v>
      </c>
      <c r="U172" s="2">
        <f>$C172+total_production!T172</f>
        <v>5987477.0703313667</v>
      </c>
      <c r="V172" s="2">
        <f>$C172+total_production!U172</f>
        <v>5989723.129846368</v>
      </c>
      <c r="W172" s="2">
        <f>$C172+total_production!V172</f>
        <v>5989723.129846368</v>
      </c>
      <c r="X172" s="2">
        <f>$C172+total_production!W172</f>
        <v>5991667.3162973914</v>
      </c>
      <c r="Y172" s="2">
        <f>$C172+total_production!X172</f>
        <v>5991667.3162973914</v>
      </c>
      <c r="Z172" s="2">
        <f>$C172+total_production!Y172</f>
        <v>5991667.3162973914</v>
      </c>
      <c r="AA172" s="2">
        <f>$C172+total_production!Z172</f>
        <v>5991667.3162973914</v>
      </c>
      <c r="AB172" s="2">
        <f>$C172+total_production!AA172</f>
        <v>5991667.3162973914</v>
      </c>
    </row>
    <row r="173" spans="1:28" x14ac:dyDescent="0.2">
      <c r="A173" t="s">
        <v>513</v>
      </c>
      <c r="B173" t="s">
        <v>514</v>
      </c>
      <c r="C173" s="1">
        <v>16096252</v>
      </c>
      <c r="D173" s="2">
        <f>$C173+total_production!C173</f>
        <v>16108774.938048091</v>
      </c>
      <c r="E173" s="2">
        <f>$C173+total_production!D173</f>
        <v>16108113.184436498</v>
      </c>
      <c r="F173" s="2">
        <f>$C173+total_production!E173</f>
        <v>16108767.165775834</v>
      </c>
      <c r="G173" s="2">
        <f>$C173+total_production!F173</f>
        <v>16108968.00654516</v>
      </c>
      <c r="H173" s="2">
        <f>$C173+total_production!G173</f>
        <v>16106127.464217814</v>
      </c>
      <c r="I173" s="2">
        <f>$C173+total_production!H173</f>
        <v>16107009.815592375</v>
      </c>
      <c r="J173" s="2">
        <f>$C173+total_production!I173</f>
        <v>16108242.097808236</v>
      </c>
      <c r="K173" s="2">
        <f>$C173+total_production!J173</f>
        <v>16108896.586117186</v>
      </c>
      <c r="L173" s="2">
        <f>$C173+total_production!K173</f>
        <v>16110043.288967943</v>
      </c>
      <c r="M173" s="2">
        <f>$C173+total_production!L173</f>
        <v>16111287.015106287</v>
      </c>
      <c r="N173" s="2">
        <f>$C173+total_production!M173</f>
        <v>16111254.080203306</v>
      </c>
      <c r="O173" s="2">
        <f>$C173+total_production!N173</f>
        <v>16111271.621234071</v>
      </c>
      <c r="P173" s="2">
        <f>$C173+total_production!O173</f>
        <v>16111271.621234071</v>
      </c>
      <c r="Q173" s="2">
        <f>$C173+total_production!P173</f>
        <v>16111271.621234071</v>
      </c>
      <c r="R173" s="2">
        <f>$C173+total_production!Q173</f>
        <v>16111279.083243463</v>
      </c>
      <c r="S173" s="2">
        <f>$C173+total_production!R173</f>
        <v>16111279.083243463</v>
      </c>
      <c r="T173" s="2">
        <f>$C173+total_production!S173</f>
        <v>16111312.379565187</v>
      </c>
      <c r="U173" s="2">
        <f>$C173+total_production!T173</f>
        <v>16111312.379565187</v>
      </c>
      <c r="V173" s="2">
        <f>$C173+total_production!U173</f>
        <v>16111268.194553325</v>
      </c>
      <c r="W173" s="2">
        <f>$C173+total_production!V173</f>
        <v>16111268.194553325</v>
      </c>
      <c r="X173" s="2">
        <f>$C173+total_production!W173</f>
        <v>16111254.639639493</v>
      </c>
      <c r="Y173" s="2">
        <f>$C173+total_production!X173</f>
        <v>16111254.639639493</v>
      </c>
      <c r="Z173" s="2">
        <f>$C173+total_production!Y173</f>
        <v>16111254.639639493</v>
      </c>
      <c r="AA173" s="2">
        <f>$C173+total_production!Z173</f>
        <v>16111254.639639493</v>
      </c>
      <c r="AB173" s="2">
        <f>$C173+total_production!AA173</f>
        <v>16111254.639639493</v>
      </c>
    </row>
    <row r="174" spans="1:28" x14ac:dyDescent="0.2">
      <c r="A174" t="s">
        <v>437</v>
      </c>
      <c r="B174" t="s">
        <v>438</v>
      </c>
      <c r="C174" s="1">
        <v>9516245</v>
      </c>
      <c r="D174" s="2">
        <f>$C174+total_production!C174</f>
        <v>9546636.59385987</v>
      </c>
      <c r="E174" s="2">
        <f>$C174+total_production!D174</f>
        <v>9547803.0939029083</v>
      </c>
      <c r="F174" s="2">
        <f>$C174+total_production!E174</f>
        <v>9549225.4379923791</v>
      </c>
      <c r="G174" s="2">
        <f>$C174+total_production!F174</f>
        <v>9550704.5459292531</v>
      </c>
      <c r="H174" s="2">
        <f>$C174+total_production!G174</f>
        <v>9553361.543126883</v>
      </c>
      <c r="I174" s="2">
        <f>$C174+total_production!H174</f>
        <v>9555280.5692319945</v>
      </c>
      <c r="J174" s="2">
        <f>$C174+total_production!I174</f>
        <v>9557960.6599637438</v>
      </c>
      <c r="K174" s="2">
        <f>$C174+total_production!J174</f>
        <v>9564312.6644617561</v>
      </c>
      <c r="L174" s="2">
        <f>$C174+total_production!K174</f>
        <v>9566806.6286225822</v>
      </c>
      <c r="M174" s="2">
        <f>$C174+total_production!L174</f>
        <v>9575750.5748162381</v>
      </c>
      <c r="N174" s="2">
        <f>$C174+total_production!M174</f>
        <v>9579774.0792090055</v>
      </c>
      <c r="O174" s="2">
        <f>$C174+total_production!N174</f>
        <v>9583392.2195259631</v>
      </c>
      <c r="P174" s="2">
        <f>$C174+total_production!O174</f>
        <v>9583392.2195259631</v>
      </c>
      <c r="Q174" s="2">
        <f>$C174+total_production!P174</f>
        <v>9583392.2195259631</v>
      </c>
      <c r="R174" s="2">
        <f>$C174+total_production!Q174</f>
        <v>9586551.3467865586</v>
      </c>
      <c r="S174" s="2">
        <f>$C174+total_production!R174</f>
        <v>9586551.3467865586</v>
      </c>
      <c r="T174" s="2">
        <f>$C174+total_production!S174</f>
        <v>9590092.7458899599</v>
      </c>
      <c r="U174" s="2">
        <f>$C174+total_production!T174</f>
        <v>9590092.7458899599</v>
      </c>
      <c r="V174" s="2">
        <f>$C174+total_production!U174</f>
        <v>9593295.6510361172</v>
      </c>
      <c r="W174" s="2">
        <f>$C174+total_production!V174</f>
        <v>9593295.6510361172</v>
      </c>
      <c r="X174" s="2">
        <f>$C174+total_production!W174</f>
        <v>9596075.1790949553</v>
      </c>
      <c r="Y174" s="2">
        <f>$C174+total_production!X174</f>
        <v>9596075.1790949553</v>
      </c>
      <c r="Z174" s="2">
        <f>$C174+total_production!Y174</f>
        <v>9596075.1790949553</v>
      </c>
      <c r="AA174" s="2">
        <f>$C174+total_production!Z174</f>
        <v>9596075.1790949553</v>
      </c>
      <c r="AB174" s="2">
        <f>$C174+total_production!AA174</f>
        <v>9596075.1790949553</v>
      </c>
    </row>
    <row r="175" spans="1:28" x14ac:dyDescent="0.2">
      <c r="A175" t="s">
        <v>694</v>
      </c>
      <c r="B175" t="s">
        <v>695</v>
      </c>
      <c r="C175" s="1">
        <v>1706166</v>
      </c>
      <c r="D175" s="2">
        <f>$C175+total_production!C175</f>
        <v>1709294.5694243493</v>
      </c>
      <c r="E175" s="2">
        <f>$C175+total_production!D175</f>
        <v>1709372.8955616527</v>
      </c>
      <c r="F175" s="2">
        <f>$C175+total_production!E175</f>
        <v>1709521.7962056336</v>
      </c>
      <c r="G175" s="2">
        <f>$C175+total_production!F175</f>
        <v>1709659.1228677093</v>
      </c>
      <c r="H175" s="2">
        <f>$C175+total_production!G175</f>
        <v>1709788.8002049299</v>
      </c>
      <c r="I175" s="2">
        <f>$C175+total_production!H175</f>
        <v>1709989.6968972159</v>
      </c>
      <c r="J175" s="2">
        <f>$C175+total_production!I175</f>
        <v>1710270.2670059812</v>
      </c>
      <c r="K175" s="2">
        <f>$C175+total_production!J175</f>
        <v>1710852.4109031754</v>
      </c>
      <c r="L175" s="2">
        <f>$C175+total_production!K175</f>
        <v>1711113.4960177839</v>
      </c>
      <c r="M175" s="2">
        <f>$C175+total_production!L175</f>
        <v>1711944.9598597933</v>
      </c>
      <c r="N175" s="2">
        <f>$C175+total_production!M175</f>
        <v>1712297.3466756814</v>
      </c>
      <c r="O175" s="2">
        <f>$C175+total_production!N175</f>
        <v>1712615.9545040485</v>
      </c>
      <c r="P175" s="2">
        <f>$C175+total_production!O175</f>
        <v>1712615.9545040485</v>
      </c>
      <c r="Q175" s="2">
        <f>$C175+total_production!P175</f>
        <v>1712615.9545040485</v>
      </c>
      <c r="R175" s="2">
        <f>$C175+total_production!Q175</f>
        <v>1712893.8552987801</v>
      </c>
      <c r="S175" s="2">
        <f>$C175+total_production!R175</f>
        <v>1712893.8552987801</v>
      </c>
      <c r="T175" s="2">
        <f>$C175+total_production!S175</f>
        <v>1713206.2948751673</v>
      </c>
      <c r="U175" s="2">
        <f>$C175+total_production!T175</f>
        <v>1713206.2948751673</v>
      </c>
      <c r="V175" s="2">
        <f>$C175+total_production!U175</f>
        <v>1713486.1552070153</v>
      </c>
      <c r="W175" s="2">
        <f>$C175+total_production!V175</f>
        <v>1713486.1552070153</v>
      </c>
      <c r="X175" s="2">
        <f>$C175+total_production!W175</f>
        <v>1713729.9281725299</v>
      </c>
      <c r="Y175" s="2">
        <f>$C175+total_production!X175</f>
        <v>1713729.9281725299</v>
      </c>
      <c r="Z175" s="2">
        <f>$C175+total_production!Y175</f>
        <v>1713729.9281725299</v>
      </c>
      <c r="AA175" s="2">
        <f>$C175+total_production!Z175</f>
        <v>1713729.9281725299</v>
      </c>
      <c r="AB175" s="2">
        <f>$C175+total_production!AA175</f>
        <v>1713729.9281725299</v>
      </c>
    </row>
    <row r="176" spans="1:28" x14ac:dyDescent="0.2">
      <c r="A176" t="s">
        <v>368</v>
      </c>
      <c r="B176" t="s">
        <v>369</v>
      </c>
      <c r="C176" s="1">
        <v>1081391</v>
      </c>
      <c r="D176" s="2">
        <f>$C176+total_production!C176</f>
        <v>1185621.8438888136</v>
      </c>
      <c r="E176" s="2">
        <f>$C176+total_production!D176</f>
        <v>1194925.4516275728</v>
      </c>
      <c r="F176" s="2">
        <f>$C176+total_production!E176</f>
        <v>1199488.3261145314</v>
      </c>
      <c r="G176" s="2">
        <f>$C176+total_production!F176</f>
        <v>1206457.8910314287</v>
      </c>
      <c r="H176" s="2">
        <f>$C176+total_production!G176</f>
        <v>1233837.9484973792</v>
      </c>
      <c r="I176" s="2">
        <f>$C176+total_production!H176</f>
        <v>1239994.1770215828</v>
      </c>
      <c r="J176" s="2">
        <f>$C176+total_production!I176</f>
        <v>1248591.8980042664</v>
      </c>
      <c r="K176" s="2">
        <f>$C176+total_production!J176</f>
        <v>1279488.1858393287</v>
      </c>
      <c r="L176" s="2">
        <f>$C176+total_production!K176</f>
        <v>1287488.8134828568</v>
      </c>
      <c r="M176" s="2">
        <f>$C176+total_production!L176</f>
        <v>1329496.8609597923</v>
      </c>
      <c r="N176" s="2">
        <f>$C176+total_production!M176</f>
        <v>1351144.5436928798</v>
      </c>
      <c r="O176" s="2">
        <f>$C176+total_production!N176</f>
        <v>1370392.341439154</v>
      </c>
      <c r="P176" s="2">
        <f>$C176+total_production!O176</f>
        <v>1370392.341439154</v>
      </c>
      <c r="Q176" s="2">
        <f>$C176+total_production!P176</f>
        <v>1370392.341439154</v>
      </c>
      <c r="R176" s="2">
        <f>$C176+total_production!Q176</f>
        <v>1387234.7358071525</v>
      </c>
      <c r="S176" s="2">
        <f>$C176+total_production!R176</f>
        <v>1387234.7358071525</v>
      </c>
      <c r="T176" s="2">
        <f>$C176+total_production!S176</f>
        <v>1405999.4235800039</v>
      </c>
      <c r="U176" s="2">
        <f>$C176+total_production!T176</f>
        <v>1405999.4235800039</v>
      </c>
      <c r="V176" s="2">
        <f>$C176+total_production!U176</f>
        <v>1423315.4340502224</v>
      </c>
      <c r="W176" s="2">
        <f>$C176+total_production!V176</f>
        <v>1423315.4340502224</v>
      </c>
      <c r="X176" s="2">
        <f>$C176+total_production!W176</f>
        <v>1438227.4511709129</v>
      </c>
      <c r="Y176" s="2">
        <f>$C176+total_production!X176</f>
        <v>1438227.4511709129</v>
      </c>
      <c r="Z176" s="2">
        <f>$C176+total_production!Y176</f>
        <v>1438227.4511709129</v>
      </c>
      <c r="AA176" s="2">
        <f>$C176+total_production!Z176</f>
        <v>1438227.4511709129</v>
      </c>
      <c r="AB176" s="2">
        <f>$C176+total_production!AA176</f>
        <v>1438227.4511709129</v>
      </c>
    </row>
    <row r="177" spans="1:28" x14ac:dyDescent="0.2">
      <c r="A177" t="s">
        <v>623</v>
      </c>
      <c r="B177" t="s">
        <v>624</v>
      </c>
      <c r="C177" s="1">
        <v>3418494</v>
      </c>
      <c r="D177" s="2">
        <f>$C177+total_production!C177</f>
        <v>3424249.0861857668</v>
      </c>
      <c r="E177" s="2">
        <f>$C177+total_production!D177</f>
        <v>3424429.9261468076</v>
      </c>
      <c r="F177" s="2">
        <f>$C177+total_production!E177</f>
        <v>3424701.6481268527</v>
      </c>
      <c r="G177" s="2">
        <f>$C177+total_production!F177</f>
        <v>3424967.4117469303</v>
      </c>
      <c r="H177" s="2">
        <f>$C177+total_production!G177</f>
        <v>3425332.5763887139</v>
      </c>
      <c r="I177" s="2">
        <f>$C177+total_production!H177</f>
        <v>3425699.1835809536</v>
      </c>
      <c r="J177" s="2">
        <f>$C177+total_production!I177</f>
        <v>3426211.1831496395</v>
      </c>
      <c r="K177" s="2">
        <f>$C177+total_production!J177</f>
        <v>3427345.207345637</v>
      </c>
      <c r="L177" s="2">
        <f>$C177+total_production!K177</f>
        <v>3427821.649639002</v>
      </c>
      <c r="M177" s="2">
        <f>$C177+total_production!L177</f>
        <v>3429429.7090958543</v>
      </c>
      <c r="N177" s="2">
        <f>$C177+total_production!M177</f>
        <v>3430132.3361723437</v>
      </c>
      <c r="O177" s="2">
        <f>$C177+total_production!N177</f>
        <v>3430765.8276454001</v>
      </c>
      <c r="P177" s="2">
        <f>$C177+total_production!O177</f>
        <v>3430765.8276454001</v>
      </c>
      <c r="Q177" s="2">
        <f>$C177+total_production!P177</f>
        <v>3430765.8276454001</v>
      </c>
      <c r="R177" s="2">
        <f>$C177+total_production!Q177</f>
        <v>3431318.676273379</v>
      </c>
      <c r="S177" s="2">
        <f>$C177+total_production!R177</f>
        <v>3431318.676273379</v>
      </c>
      <c r="T177" s="2">
        <f>$C177+total_production!S177</f>
        <v>3431939.2967455261</v>
      </c>
      <c r="U177" s="2">
        <f>$C177+total_production!T177</f>
        <v>3431939.2967455261</v>
      </c>
      <c r="V177" s="2">
        <f>$C177+total_production!U177</f>
        <v>3432497.9921239614</v>
      </c>
      <c r="W177" s="2">
        <f>$C177+total_production!V177</f>
        <v>3432497.9921239614</v>
      </c>
      <c r="X177" s="2">
        <f>$C177+total_production!W177</f>
        <v>3432983.7053000722</v>
      </c>
      <c r="Y177" s="2">
        <f>$C177+total_production!X177</f>
        <v>3432983.7053000722</v>
      </c>
      <c r="Z177" s="2">
        <f>$C177+total_production!Y177</f>
        <v>3432983.7053000722</v>
      </c>
      <c r="AA177" s="2">
        <f>$C177+total_production!Z177</f>
        <v>3432983.7053000722</v>
      </c>
      <c r="AB177" s="2">
        <f>$C177+total_production!AA177</f>
        <v>3432983.7053000722</v>
      </c>
    </row>
    <row r="178" spans="1:28" x14ac:dyDescent="0.2">
      <c r="A178" t="s">
        <v>352</v>
      </c>
      <c r="B178" t="s">
        <v>353</v>
      </c>
      <c r="C178" s="1">
        <v>7351934</v>
      </c>
      <c r="D178" s="2">
        <f>$C178+total_production!C178</f>
        <v>7523765.4971760651</v>
      </c>
      <c r="E178" s="2">
        <f>$C178+total_production!D178</f>
        <v>7537653.9046766767</v>
      </c>
      <c r="F178" s="2">
        <f>$C178+total_production!E178</f>
        <v>7545262.2430329826</v>
      </c>
      <c r="G178" s="2">
        <f>$C178+total_production!F178</f>
        <v>7556233.6676869718</v>
      </c>
      <c r="H178" s="2">
        <f>$C178+total_production!G178</f>
        <v>7596379.3033866212</v>
      </c>
      <c r="I178" s="2">
        <f>$C178+total_production!H178</f>
        <v>7606644.4706062656</v>
      </c>
      <c r="J178" s="2">
        <f>$C178+total_production!I178</f>
        <v>7620980.6901354967</v>
      </c>
      <c r="K178" s="2">
        <f>$C178+total_production!J178</f>
        <v>7669425.2757529933</v>
      </c>
      <c r="L178" s="2">
        <f>$C178+total_production!K178</f>
        <v>7682765.8754886976</v>
      </c>
      <c r="M178" s="2">
        <f>$C178+total_production!L178</f>
        <v>7748921.582246447</v>
      </c>
      <c r="N178" s="2">
        <f>$C178+total_production!M178</f>
        <v>7782464.3243673649</v>
      </c>
      <c r="O178" s="2">
        <f>$C178+total_production!N178</f>
        <v>7812326.6153313266</v>
      </c>
      <c r="P178" s="2">
        <f>$C178+total_production!O178</f>
        <v>7812326.6153313266</v>
      </c>
      <c r="Q178" s="2">
        <f>$C178+total_production!P178</f>
        <v>7812326.6153313266</v>
      </c>
      <c r="R178" s="2">
        <f>$C178+total_production!Q178</f>
        <v>7838450.5834692391</v>
      </c>
      <c r="S178" s="2">
        <f>$C178+total_production!R178</f>
        <v>7838450.5834692391</v>
      </c>
      <c r="T178" s="2">
        <f>$C178+total_production!S178</f>
        <v>7867576.5352453496</v>
      </c>
      <c r="U178" s="2">
        <f>$C178+total_production!T178</f>
        <v>7867576.5352453496</v>
      </c>
      <c r="V178" s="2">
        <f>$C178+total_production!U178</f>
        <v>7894392.8910371866</v>
      </c>
      <c r="W178" s="2">
        <f>$C178+total_production!V178</f>
        <v>7894392.8910371866</v>
      </c>
      <c r="X178" s="2">
        <f>$C178+total_production!W178</f>
        <v>7917506.2628748221</v>
      </c>
      <c r="Y178" s="2">
        <f>$C178+total_production!X178</f>
        <v>7917506.2628748221</v>
      </c>
      <c r="Z178" s="2">
        <f>$C178+total_production!Y178</f>
        <v>7917506.2628748221</v>
      </c>
      <c r="AA178" s="2">
        <f>$C178+total_production!Z178</f>
        <v>7917506.2628748221</v>
      </c>
      <c r="AB178" s="2">
        <f>$C178+total_production!AA178</f>
        <v>7917506.2628748221</v>
      </c>
    </row>
    <row r="179" spans="1:28" x14ac:dyDescent="0.2">
      <c r="A179" t="s">
        <v>425</v>
      </c>
      <c r="B179" t="s">
        <v>426</v>
      </c>
      <c r="C179" s="1">
        <v>11174760</v>
      </c>
      <c r="D179" s="2">
        <f>$C179+total_production!C179</f>
        <v>11210925.250374937</v>
      </c>
      <c r="E179" s="2">
        <f>$C179+total_production!D179</f>
        <v>11212637.65349919</v>
      </c>
      <c r="F179" s="2">
        <f>$C179+total_production!E179</f>
        <v>11214310.933091098</v>
      </c>
      <c r="G179" s="2">
        <f>$C179+total_production!F179</f>
        <v>11216187.032878041</v>
      </c>
      <c r="H179" s="2">
        <f>$C179+total_production!G179</f>
        <v>11220465.926109957</v>
      </c>
      <c r="I179" s="2">
        <f>$C179+total_production!H179</f>
        <v>11222723.514299622</v>
      </c>
      <c r="J179" s="2">
        <f>$C179+total_production!I179</f>
        <v>11225876.437111411</v>
      </c>
      <c r="K179" s="2">
        <f>$C179+total_production!J179</f>
        <v>11233992.366873892</v>
      </c>
      <c r="L179" s="2">
        <f>$C179+total_production!K179</f>
        <v>11236926.325937778</v>
      </c>
      <c r="M179" s="2">
        <f>$C179+total_production!L179</f>
        <v>11248262.513548132</v>
      </c>
      <c r="N179" s="2">
        <f>$C179+total_production!M179</f>
        <v>11253530.360959044</v>
      </c>
      <c r="O179" s="2">
        <f>$C179+total_production!N179</f>
        <v>11258254.091295591</v>
      </c>
      <c r="P179" s="2">
        <f>$C179+total_production!O179</f>
        <v>11258254.091295591</v>
      </c>
      <c r="Q179" s="2">
        <f>$C179+total_production!P179</f>
        <v>11258254.091295591</v>
      </c>
      <c r="R179" s="2">
        <f>$C179+total_production!Q179</f>
        <v>11262380.778031627</v>
      </c>
      <c r="S179" s="2">
        <f>$C179+total_production!R179</f>
        <v>11262380.778031627</v>
      </c>
      <c r="T179" s="2">
        <f>$C179+total_production!S179</f>
        <v>11266999.739384184</v>
      </c>
      <c r="U179" s="2">
        <f>$C179+total_production!T179</f>
        <v>11266999.739384184</v>
      </c>
      <c r="V179" s="2">
        <f>$C179+total_production!U179</f>
        <v>11271198.302436542</v>
      </c>
      <c r="W179" s="2">
        <f>$C179+total_production!V179</f>
        <v>11271198.302436542</v>
      </c>
      <c r="X179" s="2">
        <f>$C179+total_production!W179</f>
        <v>11274834.840038517</v>
      </c>
      <c r="Y179" s="2">
        <f>$C179+total_production!X179</f>
        <v>11274834.840038517</v>
      </c>
      <c r="Z179" s="2">
        <f>$C179+total_production!Y179</f>
        <v>11274834.840038517</v>
      </c>
      <c r="AA179" s="2">
        <f>$C179+total_production!Z179</f>
        <v>11274834.840038517</v>
      </c>
      <c r="AB179" s="2">
        <f>$C179+total_production!AA179</f>
        <v>11274834.840038517</v>
      </c>
    </row>
    <row r="180" spans="1:28" x14ac:dyDescent="0.2">
      <c r="A180" t="s">
        <v>394</v>
      </c>
      <c r="B180" t="s">
        <v>395</v>
      </c>
      <c r="C180" s="1">
        <v>16154883</v>
      </c>
      <c r="D180" s="2">
        <f>$C180+total_production!C180</f>
        <v>16221022.945982348</v>
      </c>
      <c r="E180" s="2">
        <f>$C180+total_production!D180</f>
        <v>16224919.632939175</v>
      </c>
      <c r="F180" s="2">
        <f>$C180+total_production!E180</f>
        <v>16227934.301329624</v>
      </c>
      <c r="G180" s="2">
        <f>$C180+total_production!F180</f>
        <v>16231638.993890362</v>
      </c>
      <c r="H180" s="2">
        <f>$C180+total_production!G180</f>
        <v>16242099.602870962</v>
      </c>
      <c r="I180" s="2">
        <f>$C180+total_production!H180</f>
        <v>16246166.992317975</v>
      </c>
      <c r="J180" s="2">
        <f>$C180+total_production!I180</f>
        <v>16251847.463641584</v>
      </c>
      <c r="K180" s="2">
        <f>$C180+total_production!J180</f>
        <v>16268004.494028533</v>
      </c>
      <c r="L180" s="2">
        <f>$C180+total_production!K180</f>
        <v>16273290.468764335</v>
      </c>
      <c r="M180" s="2">
        <f>$C180+total_production!L180</f>
        <v>16295657.397049118</v>
      </c>
      <c r="N180" s="2">
        <f>$C180+total_production!M180</f>
        <v>16306423.612184744</v>
      </c>
      <c r="O180" s="2">
        <f>$C180+total_production!N180</f>
        <v>16316049.08143389</v>
      </c>
      <c r="P180" s="2">
        <f>$C180+total_production!O180</f>
        <v>16316049.08143389</v>
      </c>
      <c r="Q180" s="2">
        <f>$C180+total_production!P180</f>
        <v>16316049.08143389</v>
      </c>
      <c r="R180" s="2">
        <f>$C180+total_production!Q180</f>
        <v>16324462.758023398</v>
      </c>
      <c r="S180" s="2">
        <f>$C180+total_production!R180</f>
        <v>16324462.758023398</v>
      </c>
      <c r="T180" s="2">
        <f>$C180+total_production!S180</f>
        <v>16333864.897936236</v>
      </c>
      <c r="U180" s="2">
        <f>$C180+total_production!T180</f>
        <v>16333864.897936236</v>
      </c>
      <c r="V180" s="2">
        <f>$C180+total_production!U180</f>
        <v>16342456.687855873</v>
      </c>
      <c r="W180" s="2">
        <f>$C180+total_production!V180</f>
        <v>16342456.687855873</v>
      </c>
      <c r="X180" s="2">
        <f>$C180+total_production!W180</f>
        <v>16349883.299815238</v>
      </c>
      <c r="Y180" s="2">
        <f>$C180+total_production!X180</f>
        <v>16349883.299815238</v>
      </c>
      <c r="Z180" s="2">
        <f>$C180+total_production!Y180</f>
        <v>16349883.299815238</v>
      </c>
      <c r="AA180" s="2">
        <f>$C180+total_production!Z180</f>
        <v>16349883.299815238</v>
      </c>
      <c r="AB180" s="2">
        <f>$C180+total_production!AA180</f>
        <v>16349883.299815238</v>
      </c>
    </row>
    <row r="181" spans="1:28" x14ac:dyDescent="0.2">
      <c r="A181" t="s">
        <v>712</v>
      </c>
      <c r="B181" t="s">
        <v>713</v>
      </c>
      <c r="C181" s="1">
        <v>1514194</v>
      </c>
      <c r="D181" s="2">
        <f>$C181+total_production!C181</f>
        <v>1516842.2610867831</v>
      </c>
      <c r="E181" s="2">
        <f>$C181+total_production!D181</f>
        <v>1516659.0906721647</v>
      </c>
      <c r="F181" s="2">
        <f>$C181+total_production!E181</f>
        <v>1516799.9592299552</v>
      </c>
      <c r="G181" s="2">
        <f>$C181+total_production!F181</f>
        <v>1516826.9695510494</v>
      </c>
      <c r="H181" s="2">
        <f>$C181+total_production!G181</f>
        <v>1516077.3626538455</v>
      </c>
      <c r="I181" s="2">
        <f>$C181+total_production!H181</f>
        <v>1516267.4224584952</v>
      </c>
      <c r="J181" s="2">
        <f>$C181+total_production!I181</f>
        <v>1516532.8578892918</v>
      </c>
      <c r="K181" s="2">
        <f>$C181+total_production!J181</f>
        <v>1516596.9917052316</v>
      </c>
      <c r="L181" s="2">
        <f>$C181+total_production!K181</f>
        <v>1516843.9932128962</v>
      </c>
      <c r="M181" s="2">
        <f>$C181+total_production!L181</f>
        <v>1517014.6184181916</v>
      </c>
      <c r="N181" s="2">
        <f>$C181+total_production!M181</f>
        <v>1516943.6746227653</v>
      </c>
      <c r="O181" s="2">
        <f>$C181+total_production!N181</f>
        <v>1516891.635324541</v>
      </c>
      <c r="P181" s="2">
        <f>$C181+total_production!O181</f>
        <v>1516891.635324541</v>
      </c>
      <c r="Q181" s="2">
        <f>$C181+total_production!P181</f>
        <v>1516891.635324541</v>
      </c>
      <c r="R181" s="2">
        <f>$C181+total_production!Q181</f>
        <v>1516844.2399426599</v>
      </c>
      <c r="S181" s="2">
        <f>$C181+total_production!R181</f>
        <v>1516844.2399426599</v>
      </c>
      <c r="T181" s="2">
        <f>$C181+total_production!S181</f>
        <v>1516797.3251370366</v>
      </c>
      <c r="U181" s="2">
        <f>$C181+total_production!T181</f>
        <v>1516797.3251370366</v>
      </c>
      <c r="V181" s="2">
        <f>$C181+total_production!U181</f>
        <v>1516736.3709879126</v>
      </c>
      <c r="W181" s="2">
        <f>$C181+total_production!V181</f>
        <v>1516736.3709879126</v>
      </c>
      <c r="X181" s="2">
        <f>$C181+total_production!W181</f>
        <v>1516689.6543900818</v>
      </c>
      <c r="Y181" s="2">
        <f>$C181+total_production!X181</f>
        <v>1516689.6543900818</v>
      </c>
      <c r="Z181" s="2">
        <f>$C181+total_production!Y181</f>
        <v>1516689.6543900818</v>
      </c>
      <c r="AA181" s="2">
        <f>$C181+total_production!Z181</f>
        <v>1516689.6543900818</v>
      </c>
      <c r="AB181" s="2">
        <f>$C181+total_production!AA181</f>
        <v>1516689.6543900818</v>
      </c>
    </row>
    <row r="182" spans="1:28" x14ac:dyDescent="0.2">
      <c r="A182" t="s">
        <v>601</v>
      </c>
      <c r="B182" t="s">
        <v>602</v>
      </c>
      <c r="C182" s="1">
        <v>2912000</v>
      </c>
      <c r="D182" s="2">
        <f>$C182+total_production!C182</f>
        <v>2918791.885842958</v>
      </c>
      <c r="E182" s="2">
        <f>$C182+total_production!D182</f>
        <v>2918964.4183867192</v>
      </c>
      <c r="F182" s="2">
        <f>$C182+total_production!E182</f>
        <v>2919287.5221968442</v>
      </c>
      <c r="G182" s="2">
        <f>$C182+total_production!F182</f>
        <v>2919586.5394473076</v>
      </c>
      <c r="H182" s="2">
        <f>$C182+total_production!G182</f>
        <v>2919876.6450758833</v>
      </c>
      <c r="I182" s="2">
        <f>$C182+total_production!H182</f>
        <v>2920312.5766137452</v>
      </c>
      <c r="J182" s="2">
        <f>$C182+total_production!I182</f>
        <v>2920921.3938003313</v>
      </c>
      <c r="K182" s="2">
        <f>$C182+total_production!J182</f>
        <v>2922189.4663554654</v>
      </c>
      <c r="L182" s="2">
        <f>$C182+total_production!K182</f>
        <v>2922756.0024901773</v>
      </c>
      <c r="M182" s="2">
        <f>$C182+total_production!L182</f>
        <v>2924566.3742276686</v>
      </c>
      <c r="N182" s="2">
        <f>$C182+total_production!M182</f>
        <v>2925335.0681368639</v>
      </c>
      <c r="O182" s="2">
        <f>$C182+total_production!N182</f>
        <v>2926029.9558898644</v>
      </c>
      <c r="P182" s="2">
        <f>$C182+total_production!O182</f>
        <v>2926029.9558898644</v>
      </c>
      <c r="Q182" s="2">
        <f>$C182+total_production!P182</f>
        <v>2926029.9558898644</v>
      </c>
      <c r="R182" s="2">
        <f>$C182+total_production!Q182</f>
        <v>2926636.0811122516</v>
      </c>
      <c r="S182" s="2">
        <f>$C182+total_production!R182</f>
        <v>2926636.0811122516</v>
      </c>
      <c r="T182" s="2">
        <f>$C182+total_production!S182</f>
        <v>2927317.4746957128</v>
      </c>
      <c r="U182" s="2">
        <f>$C182+total_production!T182</f>
        <v>2927317.4746957128</v>
      </c>
      <c r="V182" s="2">
        <f>$C182+total_production!U182</f>
        <v>2927928.0059613856</v>
      </c>
      <c r="W182" s="2">
        <f>$C182+total_production!V182</f>
        <v>2927928.0059613856</v>
      </c>
      <c r="X182" s="2">
        <f>$C182+total_production!W182</f>
        <v>2928459.7468614597</v>
      </c>
      <c r="Y182" s="2">
        <f>$C182+total_production!X182</f>
        <v>2928459.7468614597</v>
      </c>
      <c r="Z182" s="2">
        <f>$C182+total_production!Y182</f>
        <v>2928459.7468614597</v>
      </c>
      <c r="AA182" s="2">
        <f>$C182+total_production!Z182</f>
        <v>2928459.7468614597</v>
      </c>
      <c r="AB182" s="2">
        <f>$C182+total_production!AA182</f>
        <v>2928459.7468614597</v>
      </c>
    </row>
    <row r="183" spans="1:28" x14ac:dyDescent="0.2">
      <c r="A183" t="s">
        <v>535</v>
      </c>
      <c r="B183" t="s">
        <v>536</v>
      </c>
      <c r="C183" s="1">
        <v>1627195</v>
      </c>
      <c r="D183" s="2">
        <f>$C183+total_production!C183</f>
        <v>1639149.8393927938</v>
      </c>
      <c r="E183" s="2">
        <f>$C183+total_production!D183</f>
        <v>1639604.1245120743</v>
      </c>
      <c r="F183" s="2">
        <f>$C183+total_production!E183</f>
        <v>1640163.8894666564</v>
      </c>
      <c r="G183" s="2">
        <f>$C183+total_production!F183</f>
        <v>1640744.0770297309</v>
      </c>
      <c r="H183" s="2">
        <f>$C183+total_production!G183</f>
        <v>1641773.4929798357</v>
      </c>
      <c r="I183" s="2">
        <f>$C183+total_production!H183</f>
        <v>1642528.7276438829</v>
      </c>
      <c r="J183" s="2">
        <f>$C183+total_production!I183</f>
        <v>1643583.4800612759</v>
      </c>
      <c r="K183" s="2">
        <f>$C183+total_production!J183</f>
        <v>1646074.2538931123</v>
      </c>
      <c r="L183" s="2">
        <f>$C183+total_production!K183</f>
        <v>1647055.756010321</v>
      </c>
      <c r="M183" s="2">
        <f>$C183+total_production!L183</f>
        <v>1650564.1811851831</v>
      </c>
      <c r="N183" s="2">
        <f>$C183+total_production!M183</f>
        <v>1652140.1041696505</v>
      </c>
      <c r="O183" s="2">
        <f>$C183+total_production!N183</f>
        <v>1653557.4430982508</v>
      </c>
      <c r="P183" s="2">
        <f>$C183+total_production!O183</f>
        <v>1653557.4430982508</v>
      </c>
      <c r="Q183" s="2">
        <f>$C183+total_production!P183</f>
        <v>1653557.4430982508</v>
      </c>
      <c r="R183" s="2">
        <f>$C183+total_production!Q183</f>
        <v>1654794.9408173813</v>
      </c>
      <c r="S183" s="2">
        <f>$C183+total_production!R183</f>
        <v>1654794.9408173813</v>
      </c>
      <c r="T183" s="2">
        <f>$C183+total_production!S183</f>
        <v>1656182.2823141264</v>
      </c>
      <c r="U183" s="2">
        <f>$C183+total_production!T183</f>
        <v>1656182.2823141264</v>
      </c>
      <c r="V183" s="2">
        <f>$C183+total_production!U183</f>
        <v>1657436.7217764212</v>
      </c>
      <c r="W183" s="2">
        <f>$C183+total_production!V183</f>
        <v>1657436.7217764212</v>
      </c>
      <c r="X183" s="2">
        <f>$C183+total_production!W183</f>
        <v>1658525.4418919079</v>
      </c>
      <c r="Y183" s="2">
        <f>$C183+total_production!X183</f>
        <v>1658525.4418919079</v>
      </c>
      <c r="Z183" s="2">
        <f>$C183+total_production!Y183</f>
        <v>1658525.4418919079</v>
      </c>
      <c r="AA183" s="2">
        <f>$C183+total_production!Z183</f>
        <v>1658525.4418919079</v>
      </c>
      <c r="AB183" s="2">
        <f>$C183+total_production!AA183</f>
        <v>1658525.4418919079</v>
      </c>
    </row>
    <row r="184" spans="1:28" x14ac:dyDescent="0.2">
      <c r="A184" t="s">
        <v>402</v>
      </c>
      <c r="B184" t="s">
        <v>403</v>
      </c>
      <c r="C184" s="1">
        <v>6911972</v>
      </c>
      <c r="D184" s="2">
        <f>$C184+total_production!C184</f>
        <v>6972317.6573659973</v>
      </c>
      <c r="E184" s="2">
        <f>$C184+total_production!D184</f>
        <v>6975574.4374496313</v>
      </c>
      <c r="F184" s="2">
        <f>$C184+total_production!E184</f>
        <v>6978342.7448983723</v>
      </c>
      <c r="G184" s="2">
        <f>$C184+total_production!F184</f>
        <v>6981616.1005288446</v>
      </c>
      <c r="H184" s="2">
        <f>$C184+total_production!G184</f>
        <v>6990131.914994779</v>
      </c>
      <c r="I184" s="2">
        <f>$C184+total_production!H184</f>
        <v>6993866.9143528398</v>
      </c>
      <c r="J184" s="2">
        <f>$C184+total_production!I184</f>
        <v>6999083.1733375182</v>
      </c>
      <c r="K184" s="2">
        <f>$C184+total_production!J184</f>
        <v>7013311.811372173</v>
      </c>
      <c r="L184" s="2">
        <f>$C184+total_production!K184</f>
        <v>7018165.8123234343</v>
      </c>
      <c r="M184" s="2">
        <f>$C184+total_production!L184</f>
        <v>7037935.2079369593</v>
      </c>
      <c r="N184" s="2">
        <f>$C184+total_production!M184</f>
        <v>7047316.3901670603</v>
      </c>
      <c r="O184" s="2">
        <f>$C184+total_production!N184</f>
        <v>7055713.6015777197</v>
      </c>
      <c r="P184" s="2">
        <f>$C184+total_production!O184</f>
        <v>7055713.6015777197</v>
      </c>
      <c r="Q184" s="2">
        <f>$C184+total_production!P184</f>
        <v>7055713.6015777197</v>
      </c>
      <c r="R184" s="2">
        <f>$C184+total_production!Q184</f>
        <v>7063051.9722482096</v>
      </c>
      <c r="S184" s="2">
        <f>$C184+total_production!R184</f>
        <v>7063051.9722482096</v>
      </c>
      <c r="T184" s="2">
        <f>$C184+total_production!S184</f>
        <v>7071257.7997563612</v>
      </c>
      <c r="U184" s="2">
        <f>$C184+total_production!T184</f>
        <v>7071257.7997563612</v>
      </c>
      <c r="V184" s="2">
        <f>$C184+total_production!U184</f>
        <v>7078740.4697943293</v>
      </c>
      <c r="W184" s="2">
        <f>$C184+total_production!V184</f>
        <v>7078740.4697943293</v>
      </c>
      <c r="X184" s="2">
        <f>$C184+total_production!W184</f>
        <v>7085213.6308705881</v>
      </c>
      <c r="Y184" s="2">
        <f>$C184+total_production!X184</f>
        <v>7085213.6308705881</v>
      </c>
      <c r="Z184" s="2">
        <f>$C184+total_production!Y184</f>
        <v>7085213.6308705881</v>
      </c>
      <c r="AA184" s="2">
        <f>$C184+total_production!Z184</f>
        <v>7085213.6308705881</v>
      </c>
      <c r="AB184" s="2">
        <f>$C184+total_production!AA184</f>
        <v>7085213.6308705881</v>
      </c>
    </row>
    <row r="185" spans="1:28" x14ac:dyDescent="0.2">
      <c r="A185" t="s">
        <v>613</v>
      </c>
      <c r="B185" t="s">
        <v>614</v>
      </c>
      <c r="C185" s="1">
        <v>3215131</v>
      </c>
      <c r="D185" s="2">
        <f>$C185+total_production!C185</f>
        <v>3220893.3690541405</v>
      </c>
      <c r="E185" s="2">
        <f>$C185+total_production!D185</f>
        <v>3220644.3972814293</v>
      </c>
      <c r="F185" s="2">
        <f>$C185+total_production!E185</f>
        <v>3220942.0230703629</v>
      </c>
      <c r="G185" s="2">
        <f>$C185+total_production!F185</f>
        <v>3221054.301828682</v>
      </c>
      <c r="H185" s="2">
        <f>$C185+total_production!G185</f>
        <v>3219938.5321042216</v>
      </c>
      <c r="I185" s="2">
        <f>$C185+total_production!H185</f>
        <v>3220340.0887055723</v>
      </c>
      <c r="J185" s="2">
        <f>$C185+total_production!I185</f>
        <v>3220900.8982342621</v>
      </c>
      <c r="K185" s="2">
        <f>$C185+total_production!J185</f>
        <v>3221297.4700320279</v>
      </c>
      <c r="L185" s="2">
        <f>$C185+total_production!K185</f>
        <v>3221819.3325380371</v>
      </c>
      <c r="M185" s="2">
        <f>$C185+total_production!L185</f>
        <v>3222510.3119514352</v>
      </c>
      <c r="N185" s="2">
        <f>$C185+total_production!M185</f>
        <v>3222577.3457827722</v>
      </c>
      <c r="O185" s="2">
        <f>$C185+total_production!N185</f>
        <v>3222657.0331764342</v>
      </c>
      <c r="P185" s="2">
        <f>$C185+total_production!O185</f>
        <v>3222657.0331764342</v>
      </c>
      <c r="Q185" s="2">
        <f>$C185+total_production!P185</f>
        <v>3222657.0331764342</v>
      </c>
      <c r="R185" s="2">
        <f>$C185+total_production!Q185</f>
        <v>3222723.3789984565</v>
      </c>
      <c r="S185" s="2">
        <f>$C185+total_production!R185</f>
        <v>3222723.3789984565</v>
      </c>
      <c r="T185" s="2">
        <f>$C185+total_production!S185</f>
        <v>3222808.0132038072</v>
      </c>
      <c r="U185" s="2">
        <f>$C185+total_production!T185</f>
        <v>3222808.0132038072</v>
      </c>
      <c r="V185" s="2">
        <f>$C185+total_production!U185</f>
        <v>3222853.9812199241</v>
      </c>
      <c r="W185" s="2">
        <f>$C185+total_production!V185</f>
        <v>3222853.9812199241</v>
      </c>
      <c r="X185" s="2">
        <f>$C185+total_production!W185</f>
        <v>3222904.0747219371</v>
      </c>
      <c r="Y185" s="2">
        <f>$C185+total_production!X185</f>
        <v>3222904.0747219371</v>
      </c>
      <c r="Z185" s="2">
        <f>$C185+total_production!Y185</f>
        <v>3222904.0747219371</v>
      </c>
      <c r="AA185" s="2">
        <f>$C185+total_production!Z185</f>
        <v>3222904.0747219371</v>
      </c>
      <c r="AB185" s="2">
        <f>$C185+total_production!AA185</f>
        <v>3222904.0747219371</v>
      </c>
    </row>
    <row r="186" spans="1:28" x14ac:dyDescent="0.2">
      <c r="A186" t="s">
        <v>388</v>
      </c>
      <c r="B186" t="s">
        <v>389</v>
      </c>
      <c r="C186" s="1">
        <v>5035431</v>
      </c>
      <c r="D186" s="2">
        <f>$C186+total_production!C186</f>
        <v>5102362.5238178167</v>
      </c>
      <c r="E186" s="2">
        <f>$C186+total_production!D186</f>
        <v>5104632.4344224688</v>
      </c>
      <c r="F186" s="2">
        <f>$C186+total_production!E186</f>
        <v>5107782.6442492055</v>
      </c>
      <c r="G186" s="2">
        <f>$C186+total_production!F186</f>
        <v>5110933.1125403456</v>
      </c>
      <c r="H186" s="2">
        <f>$C186+total_production!G186</f>
        <v>5115754.3725936757</v>
      </c>
      <c r="I186" s="2">
        <f>$C186+total_production!H186</f>
        <v>5120004.6344950302</v>
      </c>
      <c r="J186" s="2">
        <f>$C186+total_production!I186</f>
        <v>5125940.5034751222</v>
      </c>
      <c r="K186" s="2">
        <f>$C186+total_production!J186</f>
        <v>5139415.6791465487</v>
      </c>
      <c r="L186" s="2">
        <f>$C186+total_production!K186</f>
        <v>5144939.3147176653</v>
      </c>
      <c r="M186" s="2">
        <f>$C186+total_production!L186</f>
        <v>5163997.3921277029</v>
      </c>
      <c r="N186" s="2">
        <f>$C186+total_production!M186</f>
        <v>5172415.7219236363</v>
      </c>
      <c r="O186" s="2">
        <f>$C186+total_production!N186</f>
        <v>5179998.2589680841</v>
      </c>
      <c r="P186" s="2">
        <f>$C186+total_production!O186</f>
        <v>5179998.2589680841</v>
      </c>
      <c r="Q186" s="2">
        <f>$C186+total_production!P186</f>
        <v>5179998.2589680841</v>
      </c>
      <c r="R186" s="2">
        <f>$C186+total_production!Q186</f>
        <v>5186616.7862528134</v>
      </c>
      <c r="S186" s="2">
        <f>$C186+total_production!R186</f>
        <v>5186616.7862528134</v>
      </c>
      <c r="T186" s="2">
        <f>$C186+total_production!S186</f>
        <v>5194042.7187686842</v>
      </c>
      <c r="U186" s="2">
        <f>$C186+total_production!T186</f>
        <v>5194042.7187686842</v>
      </c>
      <c r="V186" s="2">
        <f>$C186+total_production!U186</f>
        <v>5200739.4149286151</v>
      </c>
      <c r="W186" s="2">
        <f>$C186+total_production!V186</f>
        <v>5200739.4149286151</v>
      </c>
      <c r="X186" s="2">
        <f>$C186+total_production!W186</f>
        <v>5206557.3958078781</v>
      </c>
      <c r="Y186" s="2">
        <f>$C186+total_production!X186</f>
        <v>5206557.3958078781</v>
      </c>
      <c r="Z186" s="2">
        <f>$C186+total_production!Y186</f>
        <v>5206557.3958078781</v>
      </c>
      <c r="AA186" s="2">
        <f>$C186+total_production!Z186</f>
        <v>5206557.3958078781</v>
      </c>
      <c r="AB186" s="2">
        <f>$C186+total_production!AA186</f>
        <v>5206557.3958078781</v>
      </c>
    </row>
    <row r="187" spans="1:28" x14ac:dyDescent="0.2">
      <c r="A187" t="s">
        <v>428</v>
      </c>
      <c r="B187" t="s">
        <v>429</v>
      </c>
      <c r="C187" s="1">
        <v>6287713</v>
      </c>
      <c r="D187" s="2">
        <f>$C187+total_production!C187</f>
        <v>6322516.4642379377</v>
      </c>
      <c r="E187" s="2">
        <f>$C187+total_production!D187</f>
        <v>6324704.9546706257</v>
      </c>
      <c r="F187" s="2">
        <f>$C187+total_production!E187</f>
        <v>6326283.0984543515</v>
      </c>
      <c r="G187" s="2">
        <f>$C187+total_production!F187</f>
        <v>6328281.9099406945</v>
      </c>
      <c r="H187" s="2">
        <f>$C187+total_production!G187</f>
        <v>6334261.8196335798</v>
      </c>
      <c r="I187" s="2">
        <f>$C187+total_production!H187</f>
        <v>6336391.0506269885</v>
      </c>
      <c r="J187" s="2">
        <f>$C187+total_production!I187</f>
        <v>6339364.711191576</v>
      </c>
      <c r="K187" s="2">
        <f>$C187+total_production!J187</f>
        <v>6348103.8312563784</v>
      </c>
      <c r="L187" s="2">
        <f>$C187+total_production!K187</f>
        <v>6350870.9774528435</v>
      </c>
      <c r="M187" s="2">
        <f>$C187+total_production!L187</f>
        <v>6362935.6465484211</v>
      </c>
      <c r="N187" s="2">
        <f>$C187+total_production!M187</f>
        <v>6368805.2028948478</v>
      </c>
      <c r="O187" s="2">
        <f>$C187+total_production!N187</f>
        <v>6374048.210539951</v>
      </c>
      <c r="P187" s="2">
        <f>$C187+total_production!O187</f>
        <v>6374048.210539951</v>
      </c>
      <c r="Q187" s="2">
        <f>$C187+total_production!P187</f>
        <v>6374048.210539951</v>
      </c>
      <c r="R187" s="2">
        <f>$C187+total_production!Q187</f>
        <v>6378631.9290622128</v>
      </c>
      <c r="S187" s="2">
        <f>$C187+total_production!R187</f>
        <v>6378631.9290622128</v>
      </c>
      <c r="T187" s="2">
        <f>$C187+total_production!S187</f>
        <v>6383751.6950363312</v>
      </c>
      <c r="U187" s="2">
        <f>$C187+total_production!T187</f>
        <v>6383751.6950363312</v>
      </c>
      <c r="V187" s="2">
        <f>$C187+total_production!U187</f>
        <v>6388437.5573423244</v>
      </c>
      <c r="W187" s="2">
        <f>$C187+total_production!V187</f>
        <v>6388437.5573423244</v>
      </c>
      <c r="X187" s="2">
        <f>$C187+total_production!W187</f>
        <v>6392485.5154672218</v>
      </c>
      <c r="Y187" s="2">
        <f>$C187+total_production!X187</f>
        <v>6392485.5154672218</v>
      </c>
      <c r="Z187" s="2">
        <f>$C187+total_production!Y187</f>
        <v>6392485.5154672218</v>
      </c>
      <c r="AA187" s="2">
        <f>$C187+total_production!Z187</f>
        <v>6392485.5154672218</v>
      </c>
      <c r="AB187" s="2">
        <f>$C187+total_production!AA187</f>
        <v>6392485.5154672218</v>
      </c>
    </row>
    <row r="188" spans="1:28" x14ac:dyDescent="0.2">
      <c r="A188" t="s">
        <v>479</v>
      </c>
      <c r="B188" t="s">
        <v>480</v>
      </c>
      <c r="C188" s="1">
        <v>21300619</v>
      </c>
      <c r="D188" s="2">
        <f>$C188+total_production!C188</f>
        <v>21321495.77765359</v>
      </c>
      <c r="E188" s="2">
        <f>$C188+total_production!D188</f>
        <v>21322214.623989791</v>
      </c>
      <c r="F188" s="2">
        <f>$C188+total_production!E188</f>
        <v>21323196.56988756</v>
      </c>
      <c r="G188" s="2">
        <f>$C188+total_production!F188</f>
        <v>21324183.115083329</v>
      </c>
      <c r="H188" s="2">
        <f>$C188+total_production!G188</f>
        <v>21325724.243215635</v>
      </c>
      <c r="I188" s="2">
        <f>$C188+total_production!H188</f>
        <v>21327049.084247828</v>
      </c>
      <c r="J188" s="2">
        <f>$C188+total_production!I188</f>
        <v>21328899.342648145</v>
      </c>
      <c r="K188" s="2">
        <f>$C188+total_production!J188</f>
        <v>21333121.030983977</v>
      </c>
      <c r="L188" s="2">
        <f>$C188+total_production!K188</f>
        <v>21334842.792894498</v>
      </c>
      <c r="M188" s="2">
        <f>$C188+total_production!L188</f>
        <v>21340810.397963636</v>
      </c>
      <c r="N188" s="2">
        <f>$C188+total_production!M188</f>
        <v>21343452.213333048</v>
      </c>
      <c r="O188" s="2">
        <f>$C188+total_production!N188</f>
        <v>21345831.272007264</v>
      </c>
      <c r="P188" s="2">
        <f>$C188+total_production!O188</f>
        <v>21345831.272007264</v>
      </c>
      <c r="Q188" s="2">
        <f>$C188+total_production!P188</f>
        <v>21345831.272007264</v>
      </c>
      <c r="R188" s="2">
        <f>$C188+total_production!Q188</f>
        <v>21347907.946089897</v>
      </c>
      <c r="S188" s="2">
        <f>$C188+total_production!R188</f>
        <v>21347907.946089897</v>
      </c>
      <c r="T188" s="2">
        <f>$C188+total_production!S188</f>
        <v>21350237.708609208</v>
      </c>
      <c r="U188" s="2">
        <f>$C188+total_production!T188</f>
        <v>21350237.708609208</v>
      </c>
      <c r="V188" s="2">
        <f>$C188+total_production!U188</f>
        <v>21352339.425332695</v>
      </c>
      <c r="W188" s="2">
        <f>$C188+total_production!V188</f>
        <v>21352339.425332695</v>
      </c>
      <c r="X188" s="2">
        <f>$C188+total_production!W188</f>
        <v>21354165.115094021</v>
      </c>
      <c r="Y188" s="2">
        <f>$C188+total_production!X188</f>
        <v>21354165.115094021</v>
      </c>
      <c r="Z188" s="2">
        <f>$C188+total_production!Y188</f>
        <v>21354165.115094021</v>
      </c>
      <c r="AA188" s="2">
        <f>$C188+total_production!Z188</f>
        <v>21354165.115094021</v>
      </c>
      <c r="AB188" s="2">
        <f>$C188+total_production!AA188</f>
        <v>21354165.115094021</v>
      </c>
    </row>
    <row r="189" spans="1:28" x14ac:dyDescent="0.2">
      <c r="A189" t="s">
        <v>484</v>
      </c>
      <c r="B189" t="s">
        <v>485</v>
      </c>
      <c r="C189" s="1">
        <v>10336619</v>
      </c>
      <c r="D189" s="2">
        <f>$C189+total_production!C189</f>
        <v>10356396.754754873</v>
      </c>
      <c r="E189" s="2">
        <f>$C189+total_production!D189</f>
        <v>10357297.824765584</v>
      </c>
      <c r="F189" s="2">
        <f>$C189+total_production!E189</f>
        <v>10358214.99788833</v>
      </c>
      <c r="G189" s="2">
        <f>$C189+total_production!F189</f>
        <v>10359228.323504325</v>
      </c>
      <c r="H189" s="2">
        <f>$C189+total_production!G189</f>
        <v>10361446.401600894</v>
      </c>
      <c r="I189" s="2">
        <f>$C189+total_production!H189</f>
        <v>10362683.851229636</v>
      </c>
      <c r="J189" s="2">
        <f>$C189+total_production!I189</f>
        <v>10364412.059757993</v>
      </c>
      <c r="K189" s="2">
        <f>$C189+total_production!J189</f>
        <v>10368789.617804624</v>
      </c>
      <c r="L189" s="2">
        <f>$C189+total_production!K189</f>
        <v>10370397.80594583</v>
      </c>
      <c r="M189" s="2">
        <f>$C189+total_production!L189</f>
        <v>10376521.598315272</v>
      </c>
      <c r="N189" s="2">
        <f>$C189+total_production!M189</f>
        <v>10379350.049058046</v>
      </c>
      <c r="O189" s="2">
        <f>$C189+total_production!N189</f>
        <v>10381887.676470961</v>
      </c>
      <c r="P189" s="2">
        <f>$C189+total_production!O189</f>
        <v>10381887.676470961</v>
      </c>
      <c r="Q189" s="2">
        <f>$C189+total_production!P189</f>
        <v>10381887.676470961</v>
      </c>
      <c r="R189" s="2">
        <f>$C189+total_production!Q189</f>
        <v>10384104.345288346</v>
      </c>
      <c r="S189" s="2">
        <f>$C189+total_production!R189</f>
        <v>10384104.345288346</v>
      </c>
      <c r="T189" s="2">
        <f>$C189+total_production!S189</f>
        <v>10386586.145354627</v>
      </c>
      <c r="U189" s="2">
        <f>$C189+total_production!T189</f>
        <v>10386586.145354627</v>
      </c>
      <c r="V189" s="2">
        <f>$C189+total_production!U189</f>
        <v>10388839.962252986</v>
      </c>
      <c r="W189" s="2">
        <f>$C189+total_production!V189</f>
        <v>10388839.962252986</v>
      </c>
      <c r="X189" s="2">
        <f>$C189+total_production!W189</f>
        <v>10390792.777322914</v>
      </c>
      <c r="Y189" s="2">
        <f>$C189+total_production!X189</f>
        <v>10390792.777322914</v>
      </c>
      <c r="Z189" s="2">
        <f>$C189+total_production!Y189</f>
        <v>10390792.777322914</v>
      </c>
      <c r="AA189" s="2">
        <f>$C189+total_production!Z189</f>
        <v>10390792.777322914</v>
      </c>
      <c r="AB189" s="2">
        <f>$C189+total_production!AA189</f>
        <v>10390792.777322914</v>
      </c>
    </row>
    <row r="190" spans="1:28" x14ac:dyDescent="0.2">
      <c r="A190" t="s">
        <v>496</v>
      </c>
      <c r="B190" t="s">
        <v>497</v>
      </c>
      <c r="C190" s="1">
        <v>16769976</v>
      </c>
      <c r="D190" s="2">
        <f>$C190+total_production!C190</f>
        <v>16787896.054400295</v>
      </c>
      <c r="E190" s="2">
        <f>$C190+total_production!D190</f>
        <v>16788111.706007257</v>
      </c>
      <c r="F190" s="2">
        <f>$C190+total_production!E190</f>
        <v>16788978.438343786</v>
      </c>
      <c r="G190" s="2">
        <f>$C190+total_production!F190</f>
        <v>16789681.689863082</v>
      </c>
      <c r="H190" s="2">
        <f>$C190+total_production!G190</f>
        <v>16789621.862995718</v>
      </c>
      <c r="I190" s="2">
        <f>$C190+total_production!H190</f>
        <v>16790791.257934861</v>
      </c>
      <c r="J190" s="2">
        <f>$C190+total_production!I190</f>
        <v>16792424.422032941</v>
      </c>
      <c r="K190" s="2">
        <f>$C190+total_production!J190</f>
        <v>16795358.549305245</v>
      </c>
      <c r="L190" s="2">
        <f>$C190+total_production!K190</f>
        <v>16796878.293648642</v>
      </c>
      <c r="M190" s="2">
        <f>$C190+total_production!L190</f>
        <v>16801142.849324346</v>
      </c>
      <c r="N190" s="2">
        <f>$C190+total_production!M190</f>
        <v>16802816.438580383</v>
      </c>
      <c r="O190" s="2">
        <f>$C190+total_production!N190</f>
        <v>16804340.905787513</v>
      </c>
      <c r="P190" s="2">
        <f>$C190+total_production!O190</f>
        <v>16804340.905787513</v>
      </c>
      <c r="Q190" s="2">
        <f>$C190+total_production!P190</f>
        <v>16804340.905787513</v>
      </c>
      <c r="R190" s="2">
        <f>$C190+total_production!Q190</f>
        <v>16805668.726491194</v>
      </c>
      <c r="S190" s="2">
        <f>$C190+total_production!R190</f>
        <v>16805668.726491194</v>
      </c>
      <c r="T190" s="2">
        <f>$C190+total_production!S190</f>
        <v>16807167.525019258</v>
      </c>
      <c r="U190" s="2">
        <f>$C190+total_production!T190</f>
        <v>16807167.525019258</v>
      </c>
      <c r="V190" s="2">
        <f>$C190+total_production!U190</f>
        <v>16808492.357554883</v>
      </c>
      <c r="W190" s="2">
        <f>$C190+total_production!V190</f>
        <v>16808492.357554883</v>
      </c>
      <c r="X190" s="2">
        <f>$C190+total_production!W190</f>
        <v>16809652.31220663</v>
      </c>
      <c r="Y190" s="2">
        <f>$C190+total_production!X190</f>
        <v>16809652.31220663</v>
      </c>
      <c r="Z190" s="2">
        <f>$C190+total_production!Y190</f>
        <v>16809652.31220663</v>
      </c>
      <c r="AA190" s="2">
        <f>$C190+total_production!Z190</f>
        <v>16809652.31220663</v>
      </c>
      <c r="AB190" s="2">
        <f>$C190+total_production!AA190</f>
        <v>16809652.31220663</v>
      </c>
    </row>
    <row r="191" spans="1:28" x14ac:dyDescent="0.2">
      <c r="A191" t="s">
        <v>515</v>
      </c>
      <c r="B191" t="s">
        <v>516</v>
      </c>
      <c r="C191" s="1">
        <v>8254334</v>
      </c>
      <c r="D191" s="2">
        <f>$C191+total_production!C191</f>
        <v>8266971.723193855</v>
      </c>
      <c r="E191" s="2">
        <f>$C191+total_production!D191</f>
        <v>8266515.6809357656</v>
      </c>
      <c r="F191" s="2">
        <f>$C191+total_production!E191</f>
        <v>8267163.0694554495</v>
      </c>
      <c r="G191" s="2">
        <f>$C191+total_production!F191</f>
        <v>8267441.5016191322</v>
      </c>
      <c r="H191" s="2">
        <f>$C191+total_production!G191</f>
        <v>8265304.4486447033</v>
      </c>
      <c r="I191" s="2">
        <f>$C191+total_production!H191</f>
        <v>8266177.904989494</v>
      </c>
      <c r="J191" s="2">
        <f>$C191+total_production!I191</f>
        <v>8267397.7645047056</v>
      </c>
      <c r="K191" s="2">
        <f>$C191+total_production!J191</f>
        <v>8268422.1229911419</v>
      </c>
      <c r="L191" s="2">
        <f>$C191+total_production!K191</f>
        <v>8269557.2658712463</v>
      </c>
      <c r="M191" s="2">
        <f>$C191+total_production!L191</f>
        <v>8271265.0176446391</v>
      </c>
      <c r="N191" s="2">
        <f>$C191+total_production!M191</f>
        <v>8271545.2217932884</v>
      </c>
      <c r="O191" s="2">
        <f>$C191+total_production!N191</f>
        <v>8271836.0437132148</v>
      </c>
      <c r="P191" s="2">
        <f>$C191+total_production!O191</f>
        <v>8271836.0437132148</v>
      </c>
      <c r="Q191" s="2">
        <f>$C191+total_production!P191</f>
        <v>8271836.0437132148</v>
      </c>
      <c r="R191" s="2">
        <f>$C191+total_production!Q191</f>
        <v>8272083.500912304</v>
      </c>
      <c r="S191" s="2">
        <f>$C191+total_production!R191</f>
        <v>8272083.500912304</v>
      </c>
      <c r="T191" s="2">
        <f>$C191+total_production!S191</f>
        <v>8272381.4399882536</v>
      </c>
      <c r="U191" s="2">
        <f>$C191+total_production!T191</f>
        <v>8272381.4399882536</v>
      </c>
      <c r="V191" s="2">
        <f>$C191+total_production!U191</f>
        <v>8272589.6949096257</v>
      </c>
      <c r="W191" s="2">
        <f>$C191+total_production!V191</f>
        <v>8272589.6949096257</v>
      </c>
      <c r="X191" s="2">
        <f>$C191+total_production!W191</f>
        <v>8272790.842894325</v>
      </c>
      <c r="Y191" s="2">
        <f>$C191+total_production!X191</f>
        <v>8272790.842894325</v>
      </c>
      <c r="Z191" s="2">
        <f>$C191+total_production!Y191</f>
        <v>8272790.842894325</v>
      </c>
      <c r="AA191" s="2">
        <f>$C191+total_production!Z191</f>
        <v>8272790.842894325</v>
      </c>
      <c r="AB191" s="2">
        <f>$C191+total_production!AA191</f>
        <v>8272790.842894325</v>
      </c>
    </row>
    <row r="192" spans="1:28" x14ac:dyDescent="0.2">
      <c r="A192" t="s">
        <v>511</v>
      </c>
      <c r="B192" t="s">
        <v>512</v>
      </c>
      <c r="C192" s="1">
        <v>2894863</v>
      </c>
      <c r="D192" s="2">
        <f>$C192+total_production!C192</f>
        <v>2907762.132731006</v>
      </c>
      <c r="E192" s="2">
        <f>$C192+total_production!D192</f>
        <v>2907351.2903881222</v>
      </c>
      <c r="F192" s="2">
        <f>$C192+total_production!E192</f>
        <v>2908008.8228688766</v>
      </c>
      <c r="G192" s="2">
        <f>$C192+total_production!F192</f>
        <v>2908312.556066399</v>
      </c>
      <c r="H192" s="2">
        <f>$C192+total_production!G192</f>
        <v>2906319.497572857</v>
      </c>
      <c r="I192" s="2">
        <f>$C192+total_production!H192</f>
        <v>2907206.6401460706</v>
      </c>
      <c r="J192" s="2">
        <f>$C192+total_production!I192</f>
        <v>2908445.6136972248</v>
      </c>
      <c r="K192" s="2">
        <f>$C192+total_production!J192</f>
        <v>2909585.0304142083</v>
      </c>
      <c r="L192" s="2">
        <f>$C192+total_production!K192</f>
        <v>2910737.9599013277</v>
      </c>
      <c r="M192" s="2">
        <f>$C192+total_production!L192</f>
        <v>2912597.8022101237</v>
      </c>
      <c r="N192" s="2">
        <f>$C192+total_production!M192</f>
        <v>2912964.6621467173</v>
      </c>
      <c r="O192" s="2">
        <f>$C192+total_production!N192</f>
        <v>2913331.9577324875</v>
      </c>
      <c r="P192" s="2">
        <f>$C192+total_production!O192</f>
        <v>2913331.9577324875</v>
      </c>
      <c r="Q192" s="2">
        <f>$C192+total_production!P192</f>
        <v>2913331.9577324875</v>
      </c>
      <c r="R192" s="2">
        <f>$C192+total_production!Q192</f>
        <v>2913646.4285714743</v>
      </c>
      <c r="S192" s="2">
        <f>$C192+total_production!R192</f>
        <v>2913646.4285714743</v>
      </c>
      <c r="T192" s="2">
        <f>$C192+total_production!S192</f>
        <v>2914018.7228562473</v>
      </c>
      <c r="U192" s="2">
        <f>$C192+total_production!T192</f>
        <v>2914018.7228562473</v>
      </c>
      <c r="V192" s="2">
        <f>$C192+total_production!U192</f>
        <v>2914296.5130760162</v>
      </c>
      <c r="W192" s="2">
        <f>$C192+total_production!V192</f>
        <v>2914296.5130760162</v>
      </c>
      <c r="X192" s="2">
        <f>$C192+total_production!W192</f>
        <v>2914557.2417283561</v>
      </c>
      <c r="Y192" s="2">
        <f>$C192+total_production!X192</f>
        <v>2914557.2417283561</v>
      </c>
      <c r="Z192" s="2">
        <f>$C192+total_production!Y192</f>
        <v>2914557.2417283561</v>
      </c>
      <c r="AA192" s="2">
        <f>$C192+total_production!Z192</f>
        <v>2914557.2417283561</v>
      </c>
      <c r="AB192" s="2">
        <f>$C192+total_production!AA192</f>
        <v>2914557.2417283561</v>
      </c>
    </row>
    <row r="193" spans="1:28" x14ac:dyDescent="0.2">
      <c r="A193" t="s">
        <v>530</v>
      </c>
      <c r="B193" t="s">
        <v>119</v>
      </c>
      <c r="C193" s="1">
        <v>6697518</v>
      </c>
      <c r="D193" s="2">
        <f>$C193+total_production!C193</f>
        <v>6709112.9214931717</v>
      </c>
      <c r="E193" s="2">
        <f>$C193+total_production!D193</f>
        <v>6708824.2787070954</v>
      </c>
      <c r="F193" s="2">
        <f>$C193+total_production!E193</f>
        <v>6709410.5349868992</v>
      </c>
      <c r="G193" s="2">
        <f>$C193+total_production!F193</f>
        <v>6709712.4094354575</v>
      </c>
      <c r="H193" s="2">
        <f>$C193+total_production!G193</f>
        <v>6708198.7219273206</v>
      </c>
      <c r="I193" s="2">
        <f>$C193+total_production!H193</f>
        <v>6708989.6986772921</v>
      </c>
      <c r="J193" s="2">
        <f>$C193+total_production!I193</f>
        <v>6710094.3680984015</v>
      </c>
      <c r="K193" s="2">
        <f>$C193+total_production!J193</f>
        <v>6711257.1685016146</v>
      </c>
      <c r="L193" s="2">
        <f>$C193+total_production!K193</f>
        <v>6712285.1209933609</v>
      </c>
      <c r="M193" s="2">
        <f>$C193+total_production!L193</f>
        <v>6714129.3099868428</v>
      </c>
      <c r="N193" s="2">
        <f>$C193+total_production!M193</f>
        <v>6714578.4581674095</v>
      </c>
      <c r="O193" s="2">
        <f>$C193+total_production!N193</f>
        <v>6715012.6408754699</v>
      </c>
      <c r="P193" s="2">
        <f>$C193+total_production!O193</f>
        <v>6715012.6408754699</v>
      </c>
      <c r="Q193" s="2">
        <f>$C193+total_production!P193</f>
        <v>6715012.6408754699</v>
      </c>
      <c r="R193" s="2">
        <f>$C193+total_production!Q193</f>
        <v>6715386.6974596558</v>
      </c>
      <c r="S193" s="2">
        <f>$C193+total_production!R193</f>
        <v>6715386.6974596558</v>
      </c>
      <c r="T193" s="2">
        <f>$C193+total_production!S193</f>
        <v>6715822.0284293164</v>
      </c>
      <c r="U193" s="2">
        <f>$C193+total_production!T193</f>
        <v>6715822.0284293164</v>
      </c>
      <c r="V193" s="2">
        <f>$C193+total_production!U193</f>
        <v>6716168.0332725821</v>
      </c>
      <c r="W193" s="2">
        <f>$C193+total_production!V193</f>
        <v>6716168.0332725821</v>
      </c>
      <c r="X193" s="2">
        <f>$C193+total_production!W193</f>
        <v>6716484.2217044933</v>
      </c>
      <c r="Y193" s="2">
        <f>$C193+total_production!X193</f>
        <v>6716484.2217044933</v>
      </c>
      <c r="Z193" s="2">
        <f>$C193+total_production!Y193</f>
        <v>6716484.2217044933</v>
      </c>
      <c r="AA193" s="2">
        <f>$C193+total_production!Z193</f>
        <v>6716484.2217044933</v>
      </c>
      <c r="AB193" s="2">
        <f>$C193+total_production!AA193</f>
        <v>6716484.2217044933</v>
      </c>
    </row>
    <row r="194" spans="1:28" x14ac:dyDescent="0.2">
      <c r="A194" t="s">
        <v>952</v>
      </c>
      <c r="B194" t="s">
        <v>953</v>
      </c>
      <c r="C194" s="1">
        <v>23611</v>
      </c>
      <c r="D194" s="2">
        <f>$C194+total_production!C194</f>
        <v>23611.001227475776</v>
      </c>
      <c r="E194" s="2">
        <f>$C194+total_production!D194</f>
        <v>23611.001311798107</v>
      </c>
      <c r="F194" s="2">
        <f>$C194+total_production!E194</f>
        <v>23611.001367033121</v>
      </c>
      <c r="G194" s="2">
        <f>$C194+total_production!F194</f>
        <v>23611.001440081578</v>
      </c>
      <c r="H194" s="2">
        <f>$C194+total_production!G194</f>
        <v>23611.001675570915</v>
      </c>
      <c r="I194" s="2">
        <f>$C194+total_production!H194</f>
        <v>23611.001750093979</v>
      </c>
      <c r="J194" s="2">
        <f>$C194+total_production!I194</f>
        <v>23611.001854172067</v>
      </c>
      <c r="K194" s="2">
        <f>$C194+total_production!J194</f>
        <v>23611.002174652735</v>
      </c>
      <c r="L194" s="2">
        <f>$C194+total_production!K194</f>
        <v>23611.002271502824</v>
      </c>
      <c r="M194" s="2">
        <f>$C194+total_production!L194</f>
        <v>23611.002712262605</v>
      </c>
      <c r="N194" s="2">
        <f>$C194+total_production!M194</f>
        <v>23611.002929837749</v>
      </c>
      <c r="O194" s="2">
        <f>$C194+total_production!N194</f>
        <v>23611.003123956456</v>
      </c>
      <c r="P194" s="2">
        <f>$C194+total_production!O194</f>
        <v>23611.003123956456</v>
      </c>
      <c r="Q194" s="2">
        <f>$C194+total_production!P194</f>
        <v>23611.003123956456</v>
      </c>
      <c r="R194" s="2">
        <f>$C194+total_production!Q194</f>
        <v>23611.00329370422</v>
      </c>
      <c r="S194" s="2">
        <f>$C194+total_production!R194</f>
        <v>23611.00329370422</v>
      </c>
      <c r="T194" s="2">
        <f>$C194+total_production!S194</f>
        <v>23611.003483180371</v>
      </c>
      <c r="U194" s="2">
        <f>$C194+total_production!T194</f>
        <v>23611.003483180371</v>
      </c>
      <c r="V194" s="2">
        <f>$C194+total_production!U194</f>
        <v>23611.003656965964</v>
      </c>
      <c r="W194" s="2">
        <f>$C194+total_production!V194</f>
        <v>23611.003656965964</v>
      </c>
      <c r="X194" s="2">
        <f>$C194+total_production!W194</f>
        <v>23611.003806972247</v>
      </c>
      <c r="Y194" s="2">
        <f>$C194+total_production!X194</f>
        <v>23611.003806972247</v>
      </c>
      <c r="Z194" s="2">
        <f>$C194+total_production!Y194</f>
        <v>23611.003806972247</v>
      </c>
      <c r="AA194" s="2">
        <f>$C194+total_production!Z194</f>
        <v>23611.003806972247</v>
      </c>
      <c r="AB194" s="2">
        <f>$C194+total_production!AA194</f>
        <v>23611.003806972247</v>
      </c>
    </row>
    <row r="195" spans="1:28" x14ac:dyDescent="0.2">
      <c r="A195" t="s">
        <v>738</v>
      </c>
      <c r="B195" t="s">
        <v>739</v>
      </c>
      <c r="C195" s="1">
        <v>1399522</v>
      </c>
      <c r="D195" s="2">
        <f>$C195+total_production!C195</f>
        <v>1401616.3969166798</v>
      </c>
      <c r="E195" s="2">
        <f>$C195+total_production!D195</f>
        <v>1401517.61221884</v>
      </c>
      <c r="F195" s="2">
        <f>$C195+total_production!E195</f>
        <v>1401626.2805240974</v>
      </c>
      <c r="G195" s="2">
        <f>$C195+total_production!F195</f>
        <v>1401664.1231086249</v>
      </c>
      <c r="H195" s="2">
        <f>$C195+total_production!G195</f>
        <v>1401230.0161413494</v>
      </c>
      <c r="I195" s="2">
        <f>$C195+total_production!H195</f>
        <v>1401376.6313775156</v>
      </c>
      <c r="J195" s="2">
        <f>$C195+total_production!I195</f>
        <v>1401581.3926022507</v>
      </c>
      <c r="K195" s="2">
        <f>$C195+total_production!J195</f>
        <v>1401711.2818930428</v>
      </c>
      <c r="L195" s="2">
        <f>$C195+total_production!K195</f>
        <v>1401901.8228885275</v>
      </c>
      <c r="M195" s="2">
        <f>$C195+total_production!L195</f>
        <v>1402135.2422812495</v>
      </c>
      <c r="N195" s="2">
        <f>$C195+total_production!M195</f>
        <v>1402147.3321823259</v>
      </c>
      <c r="O195" s="2">
        <f>$C195+total_production!N195</f>
        <v>1402165.6001168289</v>
      </c>
      <c r="P195" s="2">
        <f>$C195+total_production!O195</f>
        <v>1402165.6001168289</v>
      </c>
      <c r="Q195" s="2">
        <f>$C195+total_production!P195</f>
        <v>1402165.6001168289</v>
      </c>
      <c r="R195" s="2">
        <f>$C195+total_production!Q195</f>
        <v>1402180.3187532034</v>
      </c>
      <c r="S195" s="2">
        <f>$C195+total_production!R195</f>
        <v>1402180.3187532034</v>
      </c>
      <c r="T195" s="2">
        <f>$C195+total_production!S195</f>
        <v>1402200.7285841804</v>
      </c>
      <c r="U195" s="2">
        <f>$C195+total_production!T195</f>
        <v>1402200.7285841804</v>
      </c>
      <c r="V195" s="2">
        <f>$C195+total_production!U195</f>
        <v>1402207.5348091561</v>
      </c>
      <c r="W195" s="2">
        <f>$C195+total_production!V195</f>
        <v>1402207.5348091561</v>
      </c>
      <c r="X195" s="2">
        <f>$C195+total_production!W195</f>
        <v>1402217.3292572347</v>
      </c>
      <c r="Y195" s="2">
        <f>$C195+total_production!X195</f>
        <v>1402217.3292572347</v>
      </c>
      <c r="Z195" s="2">
        <f>$C195+total_production!Y195</f>
        <v>1402217.3292572347</v>
      </c>
      <c r="AA195" s="2">
        <f>$C195+total_production!Z195</f>
        <v>1402217.3292572347</v>
      </c>
      <c r="AB195" s="2">
        <f>$C195+total_production!AA195</f>
        <v>1402217.3292572347</v>
      </c>
    </row>
    <row r="196" spans="1:28" x14ac:dyDescent="0.2">
      <c r="A196" t="s">
        <v>763</v>
      </c>
      <c r="B196" t="s">
        <v>764</v>
      </c>
      <c r="C196" s="1">
        <v>736945</v>
      </c>
      <c r="D196" s="2">
        <f>$C196+total_production!C196</f>
        <v>738786.10099053837</v>
      </c>
      <c r="E196" s="2">
        <f>$C196+total_production!D196</f>
        <v>738787.22191580082</v>
      </c>
      <c r="F196" s="2">
        <f>$C196+total_production!E196</f>
        <v>738877.51997755456</v>
      </c>
      <c r="G196" s="2">
        <f>$C196+total_production!F196</f>
        <v>738942.24779954087</v>
      </c>
      <c r="H196" s="2">
        <f>$C196+total_production!G196</f>
        <v>738863.64000291785</v>
      </c>
      <c r="I196" s="2">
        <f>$C196+total_production!H196</f>
        <v>738985.47011352854</v>
      </c>
      <c r="J196" s="2">
        <f>$C196+total_production!I196</f>
        <v>739155.61670477374</v>
      </c>
      <c r="K196" s="2">
        <f>$C196+total_production!J196</f>
        <v>739420.92602773418</v>
      </c>
      <c r="L196" s="2">
        <f>$C196+total_production!K196</f>
        <v>739579.25630201388</v>
      </c>
      <c r="M196" s="2">
        <f>$C196+total_production!L196</f>
        <v>739972.4377680443</v>
      </c>
      <c r="N196" s="2">
        <f>$C196+total_production!M196</f>
        <v>740113.24884875724</v>
      </c>
      <c r="O196" s="2">
        <f>$C196+total_production!N196</f>
        <v>740242.74409946275</v>
      </c>
      <c r="P196" s="2">
        <f>$C196+total_production!O196</f>
        <v>740242.74409946275</v>
      </c>
      <c r="Q196" s="2">
        <f>$C196+total_production!P196</f>
        <v>740242.74409946275</v>
      </c>
      <c r="R196" s="2">
        <f>$C196+total_production!Q196</f>
        <v>740355.33292182675</v>
      </c>
      <c r="S196" s="2">
        <f>$C196+total_production!R196</f>
        <v>740355.33292182675</v>
      </c>
      <c r="T196" s="2">
        <f>$C196+total_production!S196</f>
        <v>740483.06331947655</v>
      </c>
      <c r="U196" s="2">
        <f>$C196+total_production!T196</f>
        <v>740483.06331947655</v>
      </c>
      <c r="V196" s="2">
        <f>$C196+total_production!U196</f>
        <v>740594.06202539138</v>
      </c>
      <c r="W196" s="2">
        <f>$C196+total_production!V196</f>
        <v>740594.06202539138</v>
      </c>
      <c r="X196" s="2">
        <f>$C196+total_production!W196</f>
        <v>740691.89739931468</v>
      </c>
      <c r="Y196" s="2">
        <f>$C196+total_production!X196</f>
        <v>740691.89739931468</v>
      </c>
      <c r="Z196" s="2">
        <f>$C196+total_production!Y196</f>
        <v>740691.89739931468</v>
      </c>
      <c r="AA196" s="2">
        <f>$C196+total_production!Z196</f>
        <v>740691.89739931468</v>
      </c>
      <c r="AB196" s="2">
        <f>$C196+total_production!AA196</f>
        <v>740691.89739931468</v>
      </c>
    </row>
    <row r="197" spans="1:28" x14ac:dyDescent="0.2">
      <c r="A197" t="s">
        <v>795</v>
      </c>
      <c r="B197" t="s">
        <v>796</v>
      </c>
      <c r="C197" s="1">
        <v>1006840</v>
      </c>
      <c r="D197" s="2">
        <f>$C197+total_production!C197</f>
        <v>1008101.0702969084</v>
      </c>
      <c r="E197" s="2">
        <f>$C197+total_production!D197</f>
        <v>1008072.2667340202</v>
      </c>
      <c r="F197" s="2">
        <f>$C197+total_production!E197</f>
        <v>1008135.8743990448</v>
      </c>
      <c r="G197" s="2">
        <f>$C197+total_production!F197</f>
        <v>1008169.632636107</v>
      </c>
      <c r="H197" s="2">
        <f>$C197+total_production!G197</f>
        <v>1008013.9230089518</v>
      </c>
      <c r="I197" s="2">
        <f>$C197+total_production!H197</f>
        <v>1008099.7424464362</v>
      </c>
      <c r="J197" s="2">
        <f>$C197+total_production!I197</f>
        <v>1008219.5969280364</v>
      </c>
      <c r="K197" s="2">
        <f>$C197+total_production!J197</f>
        <v>1008350.5128084174</v>
      </c>
      <c r="L197" s="2">
        <f>$C197+total_production!K197</f>
        <v>1008462.0436525356</v>
      </c>
      <c r="M197" s="2">
        <f>$C197+total_production!L197</f>
        <v>1008668.1529450178</v>
      </c>
      <c r="N197" s="2">
        <f>$C197+total_production!M197</f>
        <v>1008720.8349923838</v>
      </c>
      <c r="O197" s="2">
        <f>$C197+total_production!N197</f>
        <v>1008771.396384713</v>
      </c>
      <c r="P197" s="2">
        <f>$C197+total_production!O197</f>
        <v>1008771.396384713</v>
      </c>
      <c r="Q197" s="2">
        <f>$C197+total_production!P197</f>
        <v>1008771.396384713</v>
      </c>
      <c r="R197" s="2">
        <f>$C197+total_production!Q197</f>
        <v>1008815.0125715905</v>
      </c>
      <c r="S197" s="2">
        <f>$C197+total_production!R197</f>
        <v>1008815.0125715905</v>
      </c>
      <c r="T197" s="2">
        <f>$C197+total_production!S197</f>
        <v>1008865.5914655224</v>
      </c>
      <c r="U197" s="2">
        <f>$C197+total_production!T197</f>
        <v>1008865.5914655224</v>
      </c>
      <c r="V197" s="2">
        <f>$C197+total_production!U197</f>
        <v>1008906.3146787663</v>
      </c>
      <c r="W197" s="2">
        <f>$C197+total_production!V197</f>
        <v>1008906.3146787663</v>
      </c>
      <c r="X197" s="2">
        <f>$C197+total_production!W197</f>
        <v>1008943.3301995094</v>
      </c>
      <c r="Y197" s="2">
        <f>$C197+total_production!X197</f>
        <v>1008943.3301995094</v>
      </c>
      <c r="Z197" s="2">
        <f>$C197+total_production!Y197</f>
        <v>1008943.3301995094</v>
      </c>
      <c r="AA197" s="2">
        <f>$C197+total_production!Z197</f>
        <v>1008943.3301995094</v>
      </c>
      <c r="AB197" s="2">
        <f>$C197+total_production!AA197</f>
        <v>1008943.3301995094</v>
      </c>
    </row>
    <row r="198" spans="1:28" x14ac:dyDescent="0.2">
      <c r="A198" t="s">
        <v>488</v>
      </c>
      <c r="B198" t="s">
        <v>489</v>
      </c>
      <c r="C198" s="1">
        <v>7180896</v>
      </c>
      <c r="D198" s="2">
        <f>$C198+total_production!C198</f>
        <v>7197560.2163645364</v>
      </c>
      <c r="E198" s="2">
        <f>$C198+total_production!D198</f>
        <v>7195939.7508942932</v>
      </c>
      <c r="F198" s="2">
        <f>$C198+total_production!E198</f>
        <v>7196853.9760665465</v>
      </c>
      <c r="G198" s="2">
        <f>$C198+total_production!F198</f>
        <v>7196856.5888642166</v>
      </c>
      <c r="H198" s="2">
        <f>$C198+total_production!G198</f>
        <v>7190527.9903867301</v>
      </c>
      <c r="I198" s="2">
        <f>$C198+total_production!H198</f>
        <v>7191761.4626417859</v>
      </c>
      <c r="J198" s="2">
        <f>$C198+total_production!I198</f>
        <v>7193484.116413841</v>
      </c>
      <c r="K198" s="2">
        <f>$C198+total_production!J198</f>
        <v>7193083.8054876458</v>
      </c>
      <c r="L198" s="2">
        <f>$C198+total_production!K198</f>
        <v>7194686.8246384989</v>
      </c>
      <c r="M198" s="2">
        <f>$C198+total_production!L198</f>
        <v>7194760.5333132902</v>
      </c>
      <c r="N198" s="2">
        <f>$C198+total_production!M198</f>
        <v>7193621.6565676145</v>
      </c>
      <c r="O198" s="2">
        <f>$C198+total_production!N198</f>
        <v>7192690.8144436376</v>
      </c>
      <c r="P198" s="2">
        <f>$C198+total_production!O198</f>
        <v>7192690.8144436376</v>
      </c>
      <c r="Q198" s="2">
        <f>$C198+total_production!P198</f>
        <v>7192690.8144436376</v>
      </c>
      <c r="R198" s="2">
        <f>$C198+total_production!Q198</f>
        <v>7191862.5257737609</v>
      </c>
      <c r="S198" s="2">
        <f>$C198+total_production!R198</f>
        <v>7191862.5257737609</v>
      </c>
      <c r="T198" s="2">
        <f>$C198+total_production!S198</f>
        <v>7190983.3322216338</v>
      </c>
      <c r="U198" s="2">
        <f>$C198+total_production!T198</f>
        <v>7190983.3322216338</v>
      </c>
      <c r="V198" s="2">
        <f>$C198+total_production!U198</f>
        <v>7190041.185740862</v>
      </c>
      <c r="W198" s="2">
        <f>$C198+total_production!V198</f>
        <v>7190041.185740862</v>
      </c>
      <c r="X198" s="2">
        <f>$C198+total_production!W198</f>
        <v>7189272.6191407368</v>
      </c>
      <c r="Y198" s="2">
        <f>$C198+total_production!X198</f>
        <v>7189272.6191407368</v>
      </c>
      <c r="Z198" s="2">
        <f>$C198+total_production!Y198</f>
        <v>7189272.6191407368</v>
      </c>
      <c r="AA198" s="2">
        <f>$C198+total_production!Z198</f>
        <v>7189272.6191407368</v>
      </c>
      <c r="AB198" s="2">
        <f>$C198+total_production!AA198</f>
        <v>7189272.6191407368</v>
      </c>
    </row>
    <row r="199" spans="1:28" x14ac:dyDescent="0.2">
      <c r="A199" t="s">
        <v>649</v>
      </c>
      <c r="B199" t="s">
        <v>650</v>
      </c>
      <c r="C199" s="1">
        <v>2346629</v>
      </c>
      <c r="D199" s="2">
        <f>$C199+total_production!C199</f>
        <v>2350759.6625730903</v>
      </c>
      <c r="E199" s="2">
        <f>$C199+total_production!D199</f>
        <v>2350675.1209959043</v>
      </c>
      <c r="F199" s="2">
        <f>$C199+total_production!E199</f>
        <v>2350882.8864775901</v>
      </c>
      <c r="G199" s="2">
        <f>$C199+total_production!F199</f>
        <v>2350996.9694882468</v>
      </c>
      <c r="H199" s="2">
        <f>$C199+total_production!G199</f>
        <v>2350520.7157540685</v>
      </c>
      <c r="I199" s="2">
        <f>$C199+total_production!H199</f>
        <v>2350801.0328630218</v>
      </c>
      <c r="J199" s="2">
        <f>$C199+total_production!I199</f>
        <v>2351192.520651361</v>
      </c>
      <c r="K199" s="2">
        <f>$C199+total_production!J199</f>
        <v>2351638.1853454113</v>
      </c>
      <c r="L199" s="2">
        <f>$C199+total_production!K199</f>
        <v>2352002.4851439046</v>
      </c>
      <c r="M199" s="2">
        <f>$C199+total_production!L199</f>
        <v>2352698.5567212533</v>
      </c>
      <c r="N199" s="2">
        <f>$C199+total_production!M199</f>
        <v>2352885.6299531213</v>
      </c>
      <c r="O199" s="2">
        <f>$C199+total_production!N199</f>
        <v>2353063.8901122701</v>
      </c>
      <c r="P199" s="2">
        <f>$C199+total_production!O199</f>
        <v>2353063.8901122701</v>
      </c>
      <c r="Q199" s="2">
        <f>$C199+total_production!P199</f>
        <v>2353063.8901122701</v>
      </c>
      <c r="R199" s="2">
        <f>$C199+total_production!Q199</f>
        <v>2353217.8642792264</v>
      </c>
      <c r="S199" s="2">
        <f>$C199+total_production!R199</f>
        <v>2353217.8642792264</v>
      </c>
      <c r="T199" s="2">
        <f>$C199+total_production!S199</f>
        <v>2353395.7751402808</v>
      </c>
      <c r="U199" s="2">
        <f>$C199+total_production!T199</f>
        <v>2353395.7751402808</v>
      </c>
      <c r="V199" s="2">
        <f>$C199+total_production!U199</f>
        <v>2353540.8714101608</v>
      </c>
      <c r="W199" s="2">
        <f>$C199+total_production!V199</f>
        <v>2353540.8714101608</v>
      </c>
      <c r="X199" s="2">
        <f>$C199+total_production!W199</f>
        <v>2353672.0628610267</v>
      </c>
      <c r="Y199" s="2">
        <f>$C199+total_production!X199</f>
        <v>2353672.0628610267</v>
      </c>
      <c r="Z199" s="2">
        <f>$C199+total_production!Y199</f>
        <v>2353672.0628610267</v>
      </c>
      <c r="AA199" s="2">
        <f>$C199+total_production!Z199</f>
        <v>2353672.0628610267</v>
      </c>
      <c r="AB199" s="2">
        <f>$C199+total_production!AA199</f>
        <v>2353672.0628610267</v>
      </c>
    </row>
    <row r="200" spans="1:28" x14ac:dyDescent="0.2">
      <c r="A200" t="s">
        <v>916</v>
      </c>
      <c r="B200" t="s">
        <v>917</v>
      </c>
      <c r="C200" s="1">
        <v>264937</v>
      </c>
      <c r="D200" s="2">
        <f>$C200+total_production!C200</f>
        <v>265035.33149763913</v>
      </c>
      <c r="E200" s="2">
        <f>$C200+total_production!D200</f>
        <v>265036.32894584502</v>
      </c>
      <c r="F200" s="2">
        <f>$C200+total_production!E200</f>
        <v>265041.09595546126</v>
      </c>
      <c r="G200" s="2">
        <f>$C200+total_production!F200</f>
        <v>265044.88837157626</v>
      </c>
      <c r="H200" s="2">
        <f>$C200+total_production!G200</f>
        <v>265043.91976378695</v>
      </c>
      <c r="I200" s="2">
        <f>$C200+total_production!H200</f>
        <v>265050.35141135007</v>
      </c>
      <c r="J200" s="2">
        <f>$C200+total_production!I200</f>
        <v>265059.33377953037</v>
      </c>
      <c r="K200" s="2">
        <f>$C200+total_production!J200</f>
        <v>265075.11463761894</v>
      </c>
      <c r="L200" s="2">
        <f>$C200+total_production!K200</f>
        <v>265083.47319953464</v>
      </c>
      <c r="M200" s="2">
        <f>$C200+total_production!L200</f>
        <v>265106.47652489698</v>
      </c>
      <c r="N200" s="2">
        <f>$C200+total_production!M200</f>
        <v>265115.38478224527</v>
      </c>
      <c r="O200" s="2">
        <f>$C200+total_production!N200</f>
        <v>265123.51016294636</v>
      </c>
      <c r="P200" s="2">
        <f>$C200+total_production!O200</f>
        <v>265123.51016294636</v>
      </c>
      <c r="Q200" s="2">
        <f>$C200+total_production!P200</f>
        <v>265123.51016294636</v>
      </c>
      <c r="R200" s="2">
        <f>$C200+total_production!Q200</f>
        <v>265130.58563328616</v>
      </c>
      <c r="S200" s="2">
        <f>$C200+total_production!R200</f>
        <v>265130.58563328616</v>
      </c>
      <c r="T200" s="2">
        <f>$C200+total_production!S200</f>
        <v>265138.57787266024</v>
      </c>
      <c r="U200" s="2">
        <f>$C200+total_production!T200</f>
        <v>265138.57787266024</v>
      </c>
      <c r="V200" s="2">
        <f>$C200+total_production!U200</f>
        <v>265145.62560763821</v>
      </c>
      <c r="W200" s="2">
        <f>$C200+total_production!V200</f>
        <v>265145.62560763821</v>
      </c>
      <c r="X200" s="2">
        <f>$C200+total_production!W200</f>
        <v>265151.80198861181</v>
      </c>
      <c r="Y200" s="2">
        <f>$C200+total_production!X200</f>
        <v>265151.80198861181</v>
      </c>
      <c r="Z200" s="2">
        <f>$C200+total_production!Y200</f>
        <v>265151.80198861181</v>
      </c>
      <c r="AA200" s="2">
        <f>$C200+total_production!Z200</f>
        <v>265151.80198861181</v>
      </c>
      <c r="AB200" s="2">
        <f>$C200+total_production!AA200</f>
        <v>265151.80198861181</v>
      </c>
    </row>
    <row r="201" spans="1:28" x14ac:dyDescent="0.2">
      <c r="A201" t="s">
        <v>926</v>
      </c>
      <c r="B201" t="s">
        <v>927</v>
      </c>
      <c r="C201" s="1">
        <v>133235</v>
      </c>
      <c r="D201" s="2">
        <f>$C201+total_production!C201</f>
        <v>133295.81563606384</v>
      </c>
      <c r="E201" s="2">
        <f>$C201+total_production!D201</f>
        <v>133295.94825111201</v>
      </c>
      <c r="F201" s="2">
        <f>$C201+total_production!E201</f>
        <v>133298.92531431827</v>
      </c>
      <c r="G201" s="2">
        <f>$C201+total_production!F201</f>
        <v>133301.09760838945</v>
      </c>
      <c r="H201" s="2">
        <f>$C201+total_production!G201</f>
        <v>133298.83030040155</v>
      </c>
      <c r="I201" s="2">
        <f>$C201+total_production!H201</f>
        <v>133302.84695294831</v>
      </c>
      <c r="J201" s="2">
        <f>$C201+total_production!I201</f>
        <v>133308.45656567562</v>
      </c>
      <c r="K201" s="2">
        <f>$C201+total_production!J201</f>
        <v>133317.38455733279</v>
      </c>
      <c r="L201" s="2">
        <f>$C201+total_production!K201</f>
        <v>133322.60459445027</v>
      </c>
      <c r="M201" s="2">
        <f>$C201+total_production!L201</f>
        <v>133335.79654624496</v>
      </c>
      <c r="N201" s="2">
        <f>$C201+total_production!M201</f>
        <v>133340.58932335881</v>
      </c>
      <c r="O201" s="2">
        <f>$C201+total_production!N201</f>
        <v>133344.99011424012</v>
      </c>
      <c r="P201" s="2">
        <f>$C201+total_production!O201</f>
        <v>133344.99011424012</v>
      </c>
      <c r="Q201" s="2">
        <f>$C201+total_production!P201</f>
        <v>133344.99011424012</v>
      </c>
      <c r="R201" s="2">
        <f>$C201+total_production!Q201</f>
        <v>133348.81746616383</v>
      </c>
      <c r="S201" s="2">
        <f>$C201+total_production!R201</f>
        <v>133348.81746616383</v>
      </c>
      <c r="T201" s="2">
        <f>$C201+total_production!S201</f>
        <v>133353.15599592502</v>
      </c>
      <c r="U201" s="2">
        <f>$C201+total_production!T201</f>
        <v>133353.15599592502</v>
      </c>
      <c r="V201" s="2">
        <f>$C201+total_production!U201</f>
        <v>133356.93665356425</v>
      </c>
      <c r="W201" s="2">
        <f>$C201+total_production!V201</f>
        <v>133356.93665356425</v>
      </c>
      <c r="X201" s="2">
        <f>$C201+total_production!W201</f>
        <v>133360.26533740168</v>
      </c>
      <c r="Y201" s="2">
        <f>$C201+total_production!X201</f>
        <v>133360.26533740168</v>
      </c>
      <c r="Z201" s="2">
        <f>$C201+total_production!Y201</f>
        <v>133360.26533740168</v>
      </c>
      <c r="AA201" s="2">
        <f>$C201+total_production!Z201</f>
        <v>133360.26533740168</v>
      </c>
      <c r="AB201" s="2">
        <f>$C201+total_production!AA201</f>
        <v>133360.26533740168</v>
      </c>
    </row>
    <row r="202" spans="1:28" x14ac:dyDescent="0.2">
      <c r="A202" t="s">
        <v>904</v>
      </c>
      <c r="B202" t="s">
        <v>905</v>
      </c>
      <c r="C202" s="1">
        <v>896169</v>
      </c>
      <c r="D202" s="2">
        <f>$C202+total_production!C202</f>
        <v>896314.06177580333</v>
      </c>
      <c r="E202" s="2">
        <f>$C202+total_production!D202</f>
        <v>896283.90537037537</v>
      </c>
      <c r="F202" s="2">
        <f>$C202+total_production!E202</f>
        <v>896292.81765450386</v>
      </c>
      <c r="G202" s="2">
        <f>$C202+total_production!F202</f>
        <v>896287.09937721631</v>
      </c>
      <c r="H202" s="2">
        <f>$C202+total_production!G202</f>
        <v>896176.71929766831</v>
      </c>
      <c r="I202" s="2">
        <f>$C202+total_production!H202</f>
        <v>896188.74374802853</v>
      </c>
      <c r="J202" s="2">
        <f>$C202+total_production!I202</f>
        <v>896205.53696302371</v>
      </c>
      <c r="K202" s="2">
        <f>$C202+total_production!J202</f>
        <v>896174.47498647054</v>
      </c>
      <c r="L202" s="2">
        <f>$C202+total_production!K202</f>
        <v>896190.10194859048</v>
      </c>
      <c r="M202" s="2">
        <f>$C202+total_production!L202</f>
        <v>896156.43972846458</v>
      </c>
      <c r="N202" s="2">
        <f>$C202+total_production!M202</f>
        <v>896122.77058032609</v>
      </c>
      <c r="O202" s="2">
        <f>$C202+total_production!N202</f>
        <v>896093.96822855482</v>
      </c>
      <c r="P202" s="2">
        <f>$C202+total_production!O202</f>
        <v>896093.96822855482</v>
      </c>
      <c r="Q202" s="2">
        <f>$C202+total_production!P202</f>
        <v>896093.96822855482</v>
      </c>
      <c r="R202" s="2">
        <f>$C202+total_production!Q202</f>
        <v>896068.57427726116</v>
      </c>
      <c r="S202" s="2">
        <f>$C202+total_production!R202</f>
        <v>896068.57427726116</v>
      </c>
      <c r="T202" s="2">
        <f>$C202+total_production!S202</f>
        <v>896040.88714238466</v>
      </c>
      <c r="U202" s="2">
        <f>$C202+total_production!T202</f>
        <v>896040.88714238466</v>
      </c>
      <c r="V202" s="2">
        <f>$C202+total_production!U202</f>
        <v>896013.52301300305</v>
      </c>
      <c r="W202" s="2">
        <f>$C202+total_production!V202</f>
        <v>896013.52301300305</v>
      </c>
      <c r="X202" s="2">
        <f>$C202+total_production!W202</f>
        <v>895990.55120823334</v>
      </c>
      <c r="Y202" s="2">
        <f>$C202+total_production!X202</f>
        <v>895990.55120823334</v>
      </c>
      <c r="Z202" s="2">
        <f>$C202+total_production!Y202</f>
        <v>895990.55120823334</v>
      </c>
      <c r="AA202" s="2">
        <f>$C202+total_production!Z202</f>
        <v>895990.55120823334</v>
      </c>
      <c r="AB202" s="2">
        <f>$C202+total_production!AA202</f>
        <v>895990.55120823334</v>
      </c>
    </row>
    <row r="203" spans="1:28" x14ac:dyDescent="0.2">
      <c r="A203" t="s">
        <v>673</v>
      </c>
      <c r="B203" t="s">
        <v>674</v>
      </c>
      <c r="C203" s="1">
        <v>3053573</v>
      </c>
      <c r="D203" s="2">
        <f>$C203+total_production!C203</f>
        <v>3056148.9278427311</v>
      </c>
      <c r="E203" s="2">
        <f>$C203+total_production!D203</f>
        <v>3055470.7582437354</v>
      </c>
      <c r="F203" s="2">
        <f>$C203+total_production!E203</f>
        <v>3055637.4973931829</v>
      </c>
      <c r="G203" s="2">
        <f>$C203+total_production!F203</f>
        <v>3055484.9242236586</v>
      </c>
      <c r="H203" s="2">
        <f>$C203+total_production!G203</f>
        <v>3053033.3926152331</v>
      </c>
      <c r="I203" s="2">
        <f>$C203+total_production!H203</f>
        <v>3053258.3570123175</v>
      </c>
      <c r="J203" s="2">
        <f>$C203+total_production!I203</f>
        <v>3053572.5398126417</v>
      </c>
      <c r="K203" s="2">
        <f>$C203+total_production!J203</f>
        <v>3052775.827719606</v>
      </c>
      <c r="L203" s="2">
        <f>$C203+total_production!K203</f>
        <v>3053068.191196213</v>
      </c>
      <c r="M203" s="2">
        <f>$C203+total_production!L203</f>
        <v>3052165.513807327</v>
      </c>
      <c r="N203" s="2">
        <f>$C203+total_production!M203</f>
        <v>3051356.4784972095</v>
      </c>
      <c r="O203" s="2">
        <f>$C203+total_production!N203</f>
        <v>3050661.0281849997</v>
      </c>
      <c r="P203" s="2">
        <f>$C203+total_production!O203</f>
        <v>3050661.0281849997</v>
      </c>
      <c r="Q203" s="2">
        <f>$C203+total_production!P203</f>
        <v>3050661.0281849997</v>
      </c>
      <c r="R203" s="2">
        <f>$C203+total_production!Q203</f>
        <v>3050048.4638560219</v>
      </c>
      <c r="S203" s="2">
        <f>$C203+total_production!R203</f>
        <v>3050048.4638560219</v>
      </c>
      <c r="T203" s="2">
        <f>$C203+total_production!S203</f>
        <v>3049378.7335293763</v>
      </c>
      <c r="U203" s="2">
        <f>$C203+total_production!T203</f>
        <v>3049378.7335293763</v>
      </c>
      <c r="V203" s="2">
        <f>$C203+total_production!U203</f>
        <v>3048722.4812405542</v>
      </c>
      <c r="W203" s="2">
        <f>$C203+total_production!V203</f>
        <v>3048722.4812405542</v>
      </c>
      <c r="X203" s="2">
        <f>$C203+total_production!W203</f>
        <v>3048169.837045074</v>
      </c>
      <c r="Y203" s="2">
        <f>$C203+total_production!X203</f>
        <v>3048169.837045074</v>
      </c>
      <c r="Z203" s="2">
        <f>$C203+total_production!Y203</f>
        <v>3048169.837045074</v>
      </c>
      <c r="AA203" s="2">
        <f>$C203+total_production!Z203</f>
        <v>3048169.837045074</v>
      </c>
      <c r="AB203" s="2">
        <f>$C203+total_production!AA203</f>
        <v>3048169.837045074</v>
      </c>
    </row>
    <row r="204" spans="1:28" x14ac:dyDescent="0.2">
      <c r="A204" t="s">
        <v>385</v>
      </c>
      <c r="B204" t="s">
        <v>386</v>
      </c>
      <c r="C204" s="1">
        <v>7908414</v>
      </c>
      <c r="D204" s="2">
        <f>$C204+total_production!C204</f>
        <v>7982691.2300746907</v>
      </c>
      <c r="E204" s="2">
        <f>$C204+total_production!D204</f>
        <v>7987732.4357949439</v>
      </c>
      <c r="F204" s="2">
        <f>$C204+total_production!E204</f>
        <v>7991078.4715488544</v>
      </c>
      <c r="G204" s="2">
        <f>$C204+total_production!F204</f>
        <v>7995476.8583687628</v>
      </c>
      <c r="H204" s="2">
        <f>$C204+total_production!G204</f>
        <v>8009515.589618843</v>
      </c>
      <c r="I204" s="2">
        <f>$C204+total_production!H204</f>
        <v>8014030.0597867398</v>
      </c>
      <c r="J204" s="2">
        <f>$C204+total_production!I204</f>
        <v>8020334.9191232016</v>
      </c>
      <c r="K204" s="2">
        <f>$C204+total_production!J204</f>
        <v>8039622.5394813707</v>
      </c>
      <c r="L204" s="2">
        <f>$C204+total_production!K204</f>
        <v>8045489.5398175586</v>
      </c>
      <c r="M204" s="2">
        <f>$C204+total_production!L204</f>
        <v>8072029.8112905016</v>
      </c>
      <c r="N204" s="2">
        <f>$C204+total_production!M204</f>
        <v>8085104.9968247358</v>
      </c>
      <c r="O204" s="2">
        <f>$C204+total_production!N204</f>
        <v>8096772.4579119571</v>
      </c>
      <c r="P204" s="2">
        <f>$C204+total_production!O204</f>
        <v>8096772.4579119571</v>
      </c>
      <c r="Q204" s="2">
        <f>$C204+total_production!P204</f>
        <v>8096772.4579119571</v>
      </c>
      <c r="R204" s="2">
        <f>$C204+total_production!Q204</f>
        <v>8106974.7913721995</v>
      </c>
      <c r="S204" s="2">
        <f>$C204+total_production!R204</f>
        <v>8106974.7913721995</v>
      </c>
      <c r="T204" s="2">
        <f>$C204+total_production!S204</f>
        <v>8118363.8642575322</v>
      </c>
      <c r="U204" s="2">
        <f>$C204+total_production!T204</f>
        <v>8118363.8642575322</v>
      </c>
      <c r="V204" s="2">
        <f>$C204+total_production!U204</f>
        <v>8128806.7951198108</v>
      </c>
      <c r="W204" s="2">
        <f>$C204+total_production!V204</f>
        <v>8128806.7951198108</v>
      </c>
      <c r="X204" s="2">
        <f>$C204+total_production!W204</f>
        <v>8137821.7964341221</v>
      </c>
      <c r="Y204" s="2">
        <f>$C204+total_production!X204</f>
        <v>8137821.7964341221</v>
      </c>
      <c r="Z204" s="2">
        <f>$C204+total_production!Y204</f>
        <v>8137821.7964341221</v>
      </c>
      <c r="AA204" s="2">
        <f>$C204+total_production!Z204</f>
        <v>8137821.7964341221</v>
      </c>
      <c r="AB204" s="2">
        <f>$C204+total_production!AA204</f>
        <v>8137821.7964341221</v>
      </c>
    </row>
    <row r="205" spans="1:28" x14ac:dyDescent="0.2">
      <c r="A205" t="s">
        <v>370</v>
      </c>
      <c r="B205" t="s">
        <v>371</v>
      </c>
      <c r="C205" s="1">
        <v>4108711</v>
      </c>
      <c r="D205" s="2">
        <f>$C205+total_production!C205</f>
        <v>4208832.7054780424</v>
      </c>
      <c r="E205" s="2">
        <f>$C205+total_production!D205</f>
        <v>4215966.3894104818</v>
      </c>
      <c r="F205" s="2">
        <f>$C205+total_production!E205</f>
        <v>4220456.5515909614</v>
      </c>
      <c r="G205" s="2">
        <f>$C205+total_production!F205</f>
        <v>4226506.3860168234</v>
      </c>
      <c r="H205" s="2">
        <f>$C205+total_production!G205</f>
        <v>4246595.5891110627</v>
      </c>
      <c r="I205" s="2">
        <f>$C205+total_production!H205</f>
        <v>4252653.7142189909</v>
      </c>
      <c r="J205" s="2">
        <f>$C205+total_production!I205</f>
        <v>4261114.4250505306</v>
      </c>
      <c r="K205" s="2">
        <f>$C205+total_production!J205</f>
        <v>4287694.5482547935</v>
      </c>
      <c r="L205" s="2">
        <f>$C205+total_production!K205</f>
        <v>4295567.6808092277</v>
      </c>
      <c r="M205" s="2">
        <f>$C205+total_production!L205</f>
        <v>4332065.8128155321</v>
      </c>
      <c r="N205" s="2">
        <f>$C205+total_production!M205</f>
        <v>4350191.3232651902</v>
      </c>
      <c r="O205" s="2">
        <f>$C205+total_production!N205</f>
        <v>4366354.8661074871</v>
      </c>
      <c r="P205" s="2">
        <f>$C205+total_production!O205</f>
        <v>4366354.8661074871</v>
      </c>
      <c r="Q205" s="2">
        <f>$C205+total_production!P205</f>
        <v>4366354.8661074871</v>
      </c>
      <c r="R205" s="2">
        <f>$C205+total_production!Q205</f>
        <v>4380490.4543886594</v>
      </c>
      <c r="S205" s="2">
        <f>$C205+total_production!R205</f>
        <v>4380490.4543886594</v>
      </c>
      <c r="T205" s="2">
        <f>$C205+total_production!S205</f>
        <v>4396264.710810462</v>
      </c>
      <c r="U205" s="2">
        <f>$C205+total_production!T205</f>
        <v>4396264.710810462</v>
      </c>
      <c r="V205" s="2">
        <f>$C205+total_production!U205</f>
        <v>4410745.2540403269</v>
      </c>
      <c r="W205" s="2">
        <f>$C205+total_production!V205</f>
        <v>4410745.2540403269</v>
      </c>
      <c r="X205" s="2">
        <f>$C205+total_production!W205</f>
        <v>4423240.2744212151</v>
      </c>
      <c r="Y205" s="2">
        <f>$C205+total_production!X205</f>
        <v>4423240.2744212151</v>
      </c>
      <c r="Z205" s="2">
        <f>$C205+total_production!Y205</f>
        <v>4423240.2744212151</v>
      </c>
      <c r="AA205" s="2">
        <f>$C205+total_production!Z205</f>
        <v>4423240.2744212151</v>
      </c>
      <c r="AB205" s="2">
        <f>$C205+total_production!AA205</f>
        <v>4423240.2744212151</v>
      </c>
    </row>
    <row r="206" spans="1:28" x14ac:dyDescent="0.2">
      <c r="A206" t="s">
        <v>553</v>
      </c>
      <c r="B206" t="s">
        <v>554</v>
      </c>
      <c r="C206" s="1">
        <v>2921472</v>
      </c>
      <c r="D206" s="2">
        <f>$C206+total_production!C206</f>
        <v>2931398.9204600351</v>
      </c>
      <c r="E206" s="2">
        <f>$C206+total_production!D206</f>
        <v>2931858.4023183375</v>
      </c>
      <c r="F206" s="2">
        <f>$C206+total_production!E206</f>
        <v>2932318.3243390243</v>
      </c>
      <c r="G206" s="2">
        <f>$C206+total_production!F206</f>
        <v>2932829.5165467607</v>
      </c>
      <c r="H206" s="2">
        <f>$C206+total_production!G206</f>
        <v>2933967.6714833849</v>
      </c>
      <c r="I206" s="2">
        <f>$C206+total_production!H206</f>
        <v>2934588.1980989552</v>
      </c>
      <c r="J206" s="2">
        <f>$C206+total_production!I206</f>
        <v>2935454.8187388522</v>
      </c>
      <c r="K206" s="2">
        <f>$C206+total_production!J206</f>
        <v>2937664.412422745</v>
      </c>
      <c r="L206" s="2">
        <f>$C206+total_production!K206</f>
        <v>2938470.8481121538</v>
      </c>
      <c r="M206" s="2">
        <f>$C206+total_production!L206</f>
        <v>2941559.9410755271</v>
      </c>
      <c r="N206" s="2">
        <f>$C206+total_production!M206</f>
        <v>2942990.2835840588</v>
      </c>
      <c r="O206" s="2">
        <f>$C206+total_production!N206</f>
        <v>2944273.2815991063</v>
      </c>
      <c r="P206" s="2">
        <f>$C206+total_production!O206</f>
        <v>2944273.2815991063</v>
      </c>
      <c r="Q206" s="2">
        <f>$C206+total_production!P206</f>
        <v>2944273.2815991063</v>
      </c>
      <c r="R206" s="2">
        <f>$C206+total_production!Q206</f>
        <v>2945394.0523013938</v>
      </c>
      <c r="S206" s="2">
        <f>$C206+total_production!R206</f>
        <v>2945394.0523013938</v>
      </c>
      <c r="T206" s="2">
        <f>$C206+total_production!S206</f>
        <v>2946648.7301035146</v>
      </c>
      <c r="U206" s="2">
        <f>$C206+total_production!T206</f>
        <v>2946648.7301035146</v>
      </c>
      <c r="V206" s="2">
        <f>$C206+total_production!U206</f>
        <v>2947788.5863237143</v>
      </c>
      <c r="W206" s="2">
        <f>$C206+total_production!V206</f>
        <v>2947788.5863237143</v>
      </c>
      <c r="X206" s="2">
        <f>$C206+total_production!W206</f>
        <v>2948776.0676692436</v>
      </c>
      <c r="Y206" s="2">
        <f>$C206+total_production!X206</f>
        <v>2948776.0676692436</v>
      </c>
      <c r="Z206" s="2">
        <f>$C206+total_production!Y206</f>
        <v>2948776.0676692436</v>
      </c>
      <c r="AA206" s="2">
        <f>$C206+total_production!Z206</f>
        <v>2948776.0676692436</v>
      </c>
      <c r="AB206" s="2">
        <f>$C206+total_production!AA206</f>
        <v>2948776.0676692436</v>
      </c>
    </row>
    <row r="207" spans="1:28" x14ac:dyDescent="0.2">
      <c r="A207" t="s">
        <v>934</v>
      </c>
      <c r="B207" t="s">
        <v>935</v>
      </c>
      <c r="C207" s="1">
        <v>9574</v>
      </c>
      <c r="D207" s="2">
        <f>$C207+total_production!C207</f>
        <v>9591.9338164471737</v>
      </c>
      <c r="E207" s="2">
        <f>$C207+total_production!D207</f>
        <v>9591.6093725469673</v>
      </c>
      <c r="F207" s="2">
        <f>$C207+total_production!E207</f>
        <v>9592.5088815448307</v>
      </c>
      <c r="G207" s="2">
        <f>$C207+total_production!F207</f>
        <v>9593.0194271876589</v>
      </c>
      <c r="H207" s="2">
        <f>$C207+total_production!G207</f>
        <v>9591.0984720648867</v>
      </c>
      <c r="I207" s="2">
        <f>$C207+total_production!H207</f>
        <v>9592.3120892630504</v>
      </c>
      <c r="J207" s="2">
        <f>$C207+total_production!I207</f>
        <v>9594.0070136812355</v>
      </c>
      <c r="K207" s="2">
        <f>$C207+total_production!J207</f>
        <v>9596.0151279888651</v>
      </c>
      <c r="L207" s="2">
        <f>$C207+total_production!K207</f>
        <v>9597.5923435301847</v>
      </c>
      <c r="M207" s="2">
        <f>$C207+total_production!L207</f>
        <v>9600.7054876569473</v>
      </c>
      <c r="N207" s="2">
        <f>$C207+total_production!M207</f>
        <v>9601.5807476570008</v>
      </c>
      <c r="O207" s="2">
        <f>$C207+total_production!N207</f>
        <v>9602.4096329450786</v>
      </c>
      <c r="P207" s="2">
        <f>$C207+total_production!O207</f>
        <v>9602.4096329450786</v>
      </c>
      <c r="Q207" s="2">
        <f>$C207+total_production!P207</f>
        <v>9602.4096329450786</v>
      </c>
      <c r="R207" s="2">
        <f>$C207+total_production!Q207</f>
        <v>9603.1263996861326</v>
      </c>
      <c r="S207" s="2">
        <f>$C207+total_production!R207</f>
        <v>9603.1263996861326</v>
      </c>
      <c r="T207" s="2">
        <f>$C207+total_production!S207</f>
        <v>9603.9520016099996</v>
      </c>
      <c r="U207" s="2">
        <f>$C207+total_production!T207</f>
        <v>9603.9520016099996</v>
      </c>
      <c r="V207" s="2">
        <f>$C207+total_production!U207</f>
        <v>9604.632822613321</v>
      </c>
      <c r="W207" s="2">
        <f>$C207+total_production!V207</f>
        <v>9604.632822613321</v>
      </c>
      <c r="X207" s="2">
        <f>$C207+total_production!W207</f>
        <v>9605.2456257324211</v>
      </c>
      <c r="Y207" s="2">
        <f>$C207+total_production!X207</f>
        <v>9605.2456257324211</v>
      </c>
      <c r="Z207" s="2">
        <f>$C207+total_production!Y207</f>
        <v>9605.2456257324211</v>
      </c>
      <c r="AA207" s="2">
        <f>$C207+total_production!Z207</f>
        <v>9605.2456257324211</v>
      </c>
      <c r="AB207" s="2">
        <f>$C207+total_production!AA207</f>
        <v>9605.2456257324211</v>
      </c>
    </row>
    <row r="208" spans="1:28" x14ac:dyDescent="0.2">
      <c r="A208" t="s">
        <v>407</v>
      </c>
      <c r="B208" t="s">
        <v>79</v>
      </c>
      <c r="C208" s="1">
        <v>6190057</v>
      </c>
      <c r="D208" s="2">
        <f>$C208+total_production!C208</f>
        <v>6247182.5191617217</v>
      </c>
      <c r="E208" s="2">
        <f>$C208+total_production!D208</f>
        <v>6251384.2994138524</v>
      </c>
      <c r="F208" s="2">
        <f>$C208+total_production!E208</f>
        <v>6253938.3892817823</v>
      </c>
      <c r="G208" s="2">
        <f>$C208+total_production!F208</f>
        <v>6257437.2523906892</v>
      </c>
      <c r="H208" s="2">
        <f>$C208+total_production!G208</f>
        <v>6269352.6282286178</v>
      </c>
      <c r="I208" s="2">
        <f>$C208+total_production!H208</f>
        <v>6272798.6053080382</v>
      </c>
      <c r="J208" s="2">
        <f>$C208+total_production!I208</f>
        <v>6277611.2189602265</v>
      </c>
      <c r="K208" s="2">
        <f>$C208+total_production!J208</f>
        <v>6293002.8731017942</v>
      </c>
      <c r="L208" s="2">
        <f>$C208+total_production!K208</f>
        <v>6297481.2610258581</v>
      </c>
      <c r="M208" s="2">
        <f>$C208+total_production!L208</f>
        <v>6318586.8864704352</v>
      </c>
      <c r="N208" s="2">
        <f>$C208+total_production!M208</f>
        <v>6329123.3371199258</v>
      </c>
      <c r="O208" s="2">
        <f>$C208+total_production!N208</f>
        <v>6338515.3141073808</v>
      </c>
      <c r="P208" s="2">
        <f>$C208+total_production!O208</f>
        <v>6338515.3141073808</v>
      </c>
      <c r="Q208" s="2">
        <f>$C208+total_production!P208</f>
        <v>6338515.3141073808</v>
      </c>
      <c r="R208" s="2">
        <f>$C208+total_production!Q208</f>
        <v>6346729.596283162</v>
      </c>
      <c r="S208" s="2">
        <f>$C208+total_production!R208</f>
        <v>6346729.596283162</v>
      </c>
      <c r="T208" s="2">
        <f>$C208+total_production!S208</f>
        <v>6355894.0049870918</v>
      </c>
      <c r="U208" s="2">
        <f>$C208+total_production!T208</f>
        <v>6355894.0049870918</v>
      </c>
      <c r="V208" s="2">
        <f>$C208+total_production!U208</f>
        <v>6364313.1311465744</v>
      </c>
      <c r="W208" s="2">
        <f>$C208+total_production!V208</f>
        <v>6364313.1311465744</v>
      </c>
      <c r="X208" s="2">
        <f>$C208+total_production!W208</f>
        <v>6371575.7748535713</v>
      </c>
      <c r="Y208" s="2">
        <f>$C208+total_production!X208</f>
        <v>6371575.7748535713</v>
      </c>
      <c r="Z208" s="2">
        <f>$C208+total_production!Y208</f>
        <v>6371575.7748535713</v>
      </c>
      <c r="AA208" s="2">
        <f>$C208+total_production!Z208</f>
        <v>6371575.7748535713</v>
      </c>
      <c r="AB208" s="2">
        <f>$C208+total_production!AA208</f>
        <v>6371575.7748535713</v>
      </c>
    </row>
    <row r="209" spans="1:28" x14ac:dyDescent="0.2">
      <c r="A209" t="s">
        <v>454</v>
      </c>
      <c r="B209" t="s">
        <v>455</v>
      </c>
      <c r="C209" s="1">
        <v>1531274</v>
      </c>
      <c r="D209" s="2">
        <f>$C209+total_production!C209</f>
        <v>1557083.0925499303</v>
      </c>
      <c r="E209" s="2">
        <f>$C209+total_production!D209</f>
        <v>1558533.9395878806</v>
      </c>
      <c r="F209" s="2">
        <f>$C209+total_production!E209</f>
        <v>1559714.4654405445</v>
      </c>
      <c r="G209" s="2">
        <f>$C209+total_production!F209</f>
        <v>1561135.1717953463</v>
      </c>
      <c r="H209" s="2">
        <f>$C209+total_production!G209</f>
        <v>1564976.9484133697</v>
      </c>
      <c r="I209" s="2">
        <f>$C209+total_production!H209</f>
        <v>1566569.7134452595</v>
      </c>
      <c r="J209" s="2">
        <f>$C209+total_production!I209</f>
        <v>1568794.1515539691</v>
      </c>
      <c r="K209" s="2">
        <f>$C209+total_production!J209</f>
        <v>1574979.1542536537</v>
      </c>
      <c r="L209" s="2">
        <f>$C209+total_production!K209</f>
        <v>1577049.1098918633</v>
      </c>
      <c r="M209" s="2">
        <f>$C209+total_production!L209</f>
        <v>1585628.1179049888</v>
      </c>
      <c r="N209" s="2">
        <f>$C209+total_production!M209</f>
        <v>1589726.1210879518</v>
      </c>
      <c r="O209" s="2">
        <f>$C209+total_production!N209</f>
        <v>1593392.2564722756</v>
      </c>
      <c r="P209" s="2">
        <f>$C209+total_production!O209</f>
        <v>1593392.2564722756</v>
      </c>
      <c r="Q209" s="2">
        <f>$C209+total_production!P209</f>
        <v>1593392.2564722756</v>
      </c>
      <c r="R209" s="2">
        <f>$C209+total_production!Q209</f>
        <v>1596596.4538845634</v>
      </c>
      <c r="S209" s="2">
        <f>$C209+total_production!R209</f>
        <v>1596596.4538845634</v>
      </c>
      <c r="T209" s="2">
        <f>$C209+total_production!S209</f>
        <v>1600178.3329929742</v>
      </c>
      <c r="U209" s="2">
        <f>$C209+total_production!T209</f>
        <v>1600178.3329929742</v>
      </c>
      <c r="V209" s="2">
        <f>$C209+total_production!U209</f>
        <v>1603447.7810998363</v>
      </c>
      <c r="W209" s="2">
        <f>$C209+total_production!V209</f>
        <v>1603447.7810998363</v>
      </c>
      <c r="X209" s="2">
        <f>$C209+total_production!W209</f>
        <v>1606275.0693901449</v>
      </c>
      <c r="Y209" s="2">
        <f>$C209+total_production!X209</f>
        <v>1606275.0693901449</v>
      </c>
      <c r="Z209" s="2">
        <f>$C209+total_production!Y209</f>
        <v>1606275.0693901449</v>
      </c>
      <c r="AA209" s="2">
        <f>$C209+total_production!Z209</f>
        <v>1606275.0693901449</v>
      </c>
      <c r="AB209" s="2">
        <f>$C209+total_production!AA209</f>
        <v>1606275.0693901449</v>
      </c>
    </row>
    <row r="210" spans="1:28" x14ac:dyDescent="0.2">
      <c r="A210" t="s">
        <v>503</v>
      </c>
      <c r="B210" t="s">
        <v>504</v>
      </c>
      <c r="C210" s="1">
        <v>2380615</v>
      </c>
      <c r="D210" s="2">
        <f>$C210+total_production!C210</f>
        <v>2395579.6901759775</v>
      </c>
      <c r="E210" s="2">
        <f>$C210+total_production!D210</f>
        <v>2396452.7329825475</v>
      </c>
      <c r="F210" s="2">
        <f>$C210+total_production!E210</f>
        <v>2397135.3377092262</v>
      </c>
      <c r="G210" s="2">
        <f>$C210+total_production!F210</f>
        <v>2397970.4729123679</v>
      </c>
      <c r="H210" s="2">
        <f>$C210+total_production!G210</f>
        <v>2400307.5968159889</v>
      </c>
      <c r="I210" s="2">
        <f>$C210+total_production!H210</f>
        <v>2401228.5668538776</v>
      </c>
      <c r="J210" s="2">
        <f>$C210+total_production!I210</f>
        <v>2402514.7834697887</v>
      </c>
      <c r="K210" s="2">
        <f>$C210+total_production!J210</f>
        <v>2406155.6405545897</v>
      </c>
      <c r="L210" s="2">
        <f>$C210+total_production!K210</f>
        <v>2407352.5321766315</v>
      </c>
      <c r="M210" s="2">
        <f>$C210+total_production!L210</f>
        <v>2412394.8182308669</v>
      </c>
      <c r="N210" s="2">
        <f>$C210+total_production!M210</f>
        <v>2414818.0115469131</v>
      </c>
      <c r="O210" s="2">
        <f>$C210+total_production!N210</f>
        <v>2416984.7419948163</v>
      </c>
      <c r="P210" s="2">
        <f>$C210+total_production!O210</f>
        <v>2416984.7419948163</v>
      </c>
      <c r="Q210" s="2">
        <f>$C210+total_production!P210</f>
        <v>2416984.7419948163</v>
      </c>
      <c r="R210" s="2">
        <f>$C210+total_production!Q210</f>
        <v>2418878.6447756072</v>
      </c>
      <c r="S210" s="2">
        <f>$C210+total_production!R210</f>
        <v>2418878.6447756072</v>
      </c>
      <c r="T210" s="2">
        <f>$C210+total_production!S210</f>
        <v>2420995.2023964128</v>
      </c>
      <c r="U210" s="2">
        <f>$C210+total_production!T210</f>
        <v>2420995.2023964128</v>
      </c>
      <c r="V210" s="2">
        <f>$C210+total_production!U210</f>
        <v>2422928.8793137777</v>
      </c>
      <c r="W210" s="2">
        <f>$C210+total_production!V210</f>
        <v>2422928.8793137777</v>
      </c>
      <c r="X210" s="2">
        <f>$C210+total_production!W210</f>
        <v>2424600.4717392433</v>
      </c>
      <c r="Y210" s="2">
        <f>$C210+total_production!X210</f>
        <v>2424600.4717392433</v>
      </c>
      <c r="Z210" s="2">
        <f>$C210+total_production!Y210</f>
        <v>2424600.4717392433</v>
      </c>
      <c r="AA210" s="2">
        <f>$C210+total_production!Z210</f>
        <v>2424600.4717392433</v>
      </c>
      <c r="AB210" s="2">
        <f>$C210+total_production!AA210</f>
        <v>2424600.4717392433</v>
      </c>
    </row>
    <row r="211" spans="1:28" x14ac:dyDescent="0.2">
      <c r="A211" t="s">
        <v>348</v>
      </c>
      <c r="B211" t="s">
        <v>349</v>
      </c>
      <c r="C211" s="1">
        <v>6200330</v>
      </c>
      <c r="D211" s="2">
        <f>$C211+total_production!C211</f>
        <v>6389335.2343652416</v>
      </c>
      <c r="E211" s="2">
        <f>$C211+total_production!D211</f>
        <v>6403912.6813690923</v>
      </c>
      <c r="F211" s="2">
        <f>$C211+total_production!E211</f>
        <v>6412322.9850641266</v>
      </c>
      <c r="G211" s="2">
        <f>$C211+total_production!F211</f>
        <v>6424140.9114706852</v>
      </c>
      <c r="H211" s="2">
        <f>$C211+total_production!G211</f>
        <v>6465890.8689398924</v>
      </c>
      <c r="I211" s="2">
        <f>$C211+total_production!H211</f>
        <v>6477238.0474898536</v>
      </c>
      <c r="J211" s="2">
        <f>$C211+total_production!I211</f>
        <v>6493085.3921310883</v>
      </c>
      <c r="K211" s="2">
        <f>$C211+total_production!J211</f>
        <v>6545170.704712918</v>
      </c>
      <c r="L211" s="2">
        <f>$C211+total_production!K211</f>
        <v>6559917.4851525882</v>
      </c>
      <c r="M211" s="2">
        <f>$C211+total_production!L211</f>
        <v>6631191.0969946114</v>
      </c>
      <c r="N211" s="2">
        <f>$C211+total_production!M211</f>
        <v>6667051.6597266169</v>
      </c>
      <c r="O211" s="2">
        <f>$C211+total_production!N211</f>
        <v>6698997.020104792</v>
      </c>
      <c r="P211" s="2">
        <f>$C211+total_production!O211</f>
        <v>6698997.020104792</v>
      </c>
      <c r="Q211" s="2">
        <f>$C211+total_production!P211</f>
        <v>6698997.020104792</v>
      </c>
      <c r="R211" s="2">
        <f>$C211+total_production!Q211</f>
        <v>6726939.9957448058</v>
      </c>
      <c r="S211" s="2">
        <f>$C211+total_production!R211</f>
        <v>6726939.9957448058</v>
      </c>
      <c r="T211" s="2">
        <f>$C211+total_production!S211</f>
        <v>6758104.4130758354</v>
      </c>
      <c r="U211" s="2">
        <f>$C211+total_production!T211</f>
        <v>6758104.4130758354</v>
      </c>
      <c r="V211" s="2">
        <f>$C211+total_production!U211</f>
        <v>6786766.3365845615</v>
      </c>
      <c r="W211" s="2">
        <f>$C211+total_production!V211</f>
        <v>6786766.3365845615</v>
      </c>
      <c r="X211" s="2">
        <f>$C211+total_production!W211</f>
        <v>6811480.6709641553</v>
      </c>
      <c r="Y211" s="2">
        <f>$C211+total_production!X211</f>
        <v>6811480.6709641553</v>
      </c>
      <c r="Z211" s="2">
        <f>$C211+total_production!Y211</f>
        <v>6811480.6709641553</v>
      </c>
      <c r="AA211" s="2">
        <f>$C211+total_production!Z211</f>
        <v>6811480.6709641553</v>
      </c>
      <c r="AB211" s="2">
        <f>$C211+total_production!AA211</f>
        <v>6811480.6709641553</v>
      </c>
    </row>
    <row r="212" spans="1:28" x14ac:dyDescent="0.2">
      <c r="A212" t="s">
        <v>374</v>
      </c>
      <c r="B212" t="s">
        <v>375</v>
      </c>
      <c r="C212" s="1">
        <v>4460335</v>
      </c>
      <c r="D212" s="2">
        <f>$C212+total_production!C212</f>
        <v>4551614.8664084813</v>
      </c>
      <c r="E212" s="2">
        <f>$C212+total_production!D212</f>
        <v>4556131.0048351772</v>
      </c>
      <c r="F212" s="2">
        <f>$C212+total_production!E212</f>
        <v>4560342.7698036525</v>
      </c>
      <c r="G212" s="2">
        <f>$C212+total_production!F212</f>
        <v>4565147.4064716771</v>
      </c>
      <c r="H212" s="2">
        <f>$C212+total_production!G212</f>
        <v>4576615.7892566193</v>
      </c>
      <c r="I212" s="2">
        <f>$C212+total_production!H212</f>
        <v>4582298.3009518841</v>
      </c>
      <c r="J212" s="2">
        <f>$C212+total_production!I212</f>
        <v>4590234.434226444</v>
      </c>
      <c r="K212" s="2">
        <f>$C212+total_production!J212</f>
        <v>4611052.2492979541</v>
      </c>
      <c r="L212" s="2">
        <f>$C212+total_production!K212</f>
        <v>4618437.2350851223</v>
      </c>
      <c r="M212" s="2">
        <f>$C212+total_production!L212</f>
        <v>4647464.2142423987</v>
      </c>
      <c r="N212" s="2">
        <f>$C212+total_production!M212</f>
        <v>4661047.3473113757</v>
      </c>
      <c r="O212" s="2">
        <f>$C212+total_production!N212</f>
        <v>4673220.1937891366</v>
      </c>
      <c r="P212" s="2">
        <f>$C212+total_production!O212</f>
        <v>4673220.1937891366</v>
      </c>
      <c r="Q212" s="2">
        <f>$C212+total_production!P212</f>
        <v>4673220.1937891366</v>
      </c>
      <c r="R212" s="2">
        <f>$C212+total_production!Q212</f>
        <v>4683855.7011907594</v>
      </c>
      <c r="S212" s="2">
        <f>$C212+total_production!R212</f>
        <v>4683855.7011907594</v>
      </c>
      <c r="T212" s="2">
        <f>$C212+total_production!S212</f>
        <v>4695756.0652074246</v>
      </c>
      <c r="U212" s="2">
        <f>$C212+total_production!T212</f>
        <v>4695756.0652074246</v>
      </c>
      <c r="V212" s="2">
        <f>$C212+total_production!U212</f>
        <v>4706584.8253101232</v>
      </c>
      <c r="W212" s="2">
        <f>$C212+total_production!V212</f>
        <v>4706584.8253101232</v>
      </c>
      <c r="X212" s="2">
        <f>$C212+total_production!W212</f>
        <v>4715960.2093899027</v>
      </c>
      <c r="Y212" s="2">
        <f>$C212+total_production!X212</f>
        <v>4715960.2093899027</v>
      </c>
      <c r="Z212" s="2">
        <f>$C212+total_production!Y212</f>
        <v>4715960.2093899027</v>
      </c>
      <c r="AA212" s="2">
        <f>$C212+total_production!Z212</f>
        <v>4715960.2093899027</v>
      </c>
      <c r="AB212" s="2">
        <f>$C212+total_production!AA212</f>
        <v>4715960.2093899027</v>
      </c>
    </row>
    <row r="213" spans="1:28" x14ac:dyDescent="0.2">
      <c r="A213" t="s">
        <v>464</v>
      </c>
      <c r="B213" t="s">
        <v>191</v>
      </c>
      <c r="C213" s="1">
        <v>14207452</v>
      </c>
      <c r="D213" s="2">
        <f>$C213+total_production!C213</f>
        <v>14227613.636050886</v>
      </c>
      <c r="E213" s="2">
        <f>$C213+total_production!D213</f>
        <v>14225230.9317837</v>
      </c>
      <c r="F213" s="2">
        <f>$C213+total_production!E213</f>
        <v>14226362.121400105</v>
      </c>
      <c r="G213" s="2">
        <f>$C213+total_production!F213</f>
        <v>14226214.286653651</v>
      </c>
      <c r="H213" s="2">
        <f>$C213+total_production!G213</f>
        <v>14217103.279689502</v>
      </c>
      <c r="I213" s="2">
        <f>$C213+total_production!H213</f>
        <v>14218629.480290174</v>
      </c>
      <c r="J213" s="2">
        <f>$C213+total_production!I213</f>
        <v>14220760.955247056</v>
      </c>
      <c r="K213" s="2">
        <f>$C213+total_production!J213</f>
        <v>14219551.312498586</v>
      </c>
      <c r="L213" s="2">
        <f>$C213+total_production!K213</f>
        <v>14221534.761077095</v>
      </c>
      <c r="M213" s="2">
        <f>$C213+total_production!L213</f>
        <v>14220721.706044238</v>
      </c>
      <c r="N213" s="2">
        <f>$C213+total_production!M213</f>
        <v>14218719.01438334</v>
      </c>
      <c r="O213" s="2">
        <f>$C213+total_production!N213</f>
        <v>14217048.391633239</v>
      </c>
      <c r="P213" s="2">
        <f>$C213+total_production!O213</f>
        <v>14217048.391633239</v>
      </c>
      <c r="Q213" s="2">
        <f>$C213+total_production!P213</f>
        <v>14217048.391633239</v>
      </c>
      <c r="R213" s="2">
        <f>$C213+total_production!Q213</f>
        <v>14215568.011161622</v>
      </c>
      <c r="S213" s="2">
        <f>$C213+total_production!R213</f>
        <v>14215568.011161622</v>
      </c>
      <c r="T213" s="2">
        <f>$C213+total_production!S213</f>
        <v>14213977.383318327</v>
      </c>
      <c r="U213" s="2">
        <f>$C213+total_production!T213</f>
        <v>14213977.383318327</v>
      </c>
      <c r="V213" s="2">
        <f>$C213+total_production!U213</f>
        <v>14212333.49886284</v>
      </c>
      <c r="W213" s="2">
        <f>$C213+total_production!V213</f>
        <v>14212333.49886284</v>
      </c>
      <c r="X213" s="2">
        <f>$C213+total_production!W213</f>
        <v>14210975.406639172</v>
      </c>
      <c r="Y213" s="2">
        <f>$C213+total_production!X213</f>
        <v>14210975.406639172</v>
      </c>
      <c r="Z213" s="2">
        <f>$C213+total_production!Y213</f>
        <v>14210975.406639172</v>
      </c>
      <c r="AA213" s="2">
        <f>$C213+total_production!Z213</f>
        <v>14210975.406639172</v>
      </c>
      <c r="AB213" s="2">
        <f>$C213+total_production!AA213</f>
        <v>14210975.406639172</v>
      </c>
    </row>
    <row r="214" spans="1:28" x14ac:dyDescent="0.2">
      <c r="A214" t="s">
        <v>359</v>
      </c>
      <c r="B214" t="s">
        <v>65</v>
      </c>
      <c r="C214" s="1">
        <v>9501230</v>
      </c>
      <c r="D214" s="2">
        <f>$C214+total_production!C214</f>
        <v>9640872.9166147783</v>
      </c>
      <c r="E214" s="2">
        <f>$C214+total_production!D214</f>
        <v>9652349.6813487578</v>
      </c>
      <c r="F214" s="2">
        <f>$C214+total_production!E214</f>
        <v>9658521.4826244321</v>
      </c>
      <c r="G214" s="2">
        <f>$C214+total_production!F214</f>
        <v>9667505.6387989037</v>
      </c>
      <c r="H214" s="2">
        <f>$C214+total_production!G214</f>
        <v>9700785.52396065</v>
      </c>
      <c r="I214" s="2">
        <f>$C214+total_production!H214</f>
        <v>9709112.5158968959</v>
      </c>
      <c r="J214" s="2">
        <f>$C214+total_production!I214</f>
        <v>9720741.9011627994</v>
      </c>
      <c r="K214" s="2">
        <f>$C214+total_production!J214</f>
        <v>9760438.0294753611</v>
      </c>
      <c r="L214" s="2">
        <f>$C214+total_production!K214</f>
        <v>9771259.7787997499</v>
      </c>
      <c r="M214" s="2">
        <f>$C214+total_production!L214</f>
        <v>9825428.9047361165</v>
      </c>
      <c r="N214" s="2">
        <f>$C214+total_production!M214</f>
        <v>9852969.4487034809</v>
      </c>
      <c r="O214" s="2">
        <f>$C214+total_production!N214</f>
        <v>9877482.8082604483</v>
      </c>
      <c r="P214" s="2">
        <f>$C214+total_production!O214</f>
        <v>9877482.8082604483</v>
      </c>
      <c r="Q214" s="2">
        <f>$C214+total_production!P214</f>
        <v>9877482.8082604483</v>
      </c>
      <c r="R214" s="2">
        <f>$C214+total_production!Q214</f>
        <v>9898928.3479940016</v>
      </c>
      <c r="S214" s="2">
        <f>$C214+total_production!R214</f>
        <v>9898928.3479940016</v>
      </c>
      <c r="T214" s="2">
        <f>$C214+total_production!S214</f>
        <v>9922835.423758788</v>
      </c>
      <c r="U214" s="2">
        <f>$C214+total_production!T214</f>
        <v>9922835.423758788</v>
      </c>
      <c r="V214" s="2">
        <f>$C214+total_production!U214</f>
        <v>9944855.2398134526</v>
      </c>
      <c r="W214" s="2">
        <f>$C214+total_production!V214</f>
        <v>9944855.2398134526</v>
      </c>
      <c r="X214" s="2">
        <f>$C214+total_production!W214</f>
        <v>9963831.6261129864</v>
      </c>
      <c r="Y214" s="2">
        <f>$C214+total_production!X214</f>
        <v>9963831.6261129864</v>
      </c>
      <c r="Z214" s="2">
        <f>$C214+total_production!Y214</f>
        <v>9963831.6261129864</v>
      </c>
      <c r="AA214" s="2">
        <f>$C214+total_production!Z214</f>
        <v>9963831.6261129864</v>
      </c>
      <c r="AB214" s="2">
        <f>$C214+total_production!AA214</f>
        <v>9963831.6261129864</v>
      </c>
    </row>
    <row r="215" spans="1:28" x14ac:dyDescent="0.2">
      <c r="A215" t="s">
        <v>886</v>
      </c>
      <c r="B215" t="s">
        <v>887</v>
      </c>
      <c r="C215" s="1">
        <v>291185</v>
      </c>
      <c r="D215" s="2">
        <f>$C215+total_production!C215</f>
        <v>291520.75319458439</v>
      </c>
      <c r="E215" s="2">
        <f>$C215+total_production!D215</f>
        <v>291522.98742472968</v>
      </c>
      <c r="F215" s="2">
        <f>$C215+total_production!E215</f>
        <v>291539.33402640332</v>
      </c>
      <c r="G215" s="2">
        <f>$C215+total_production!F215</f>
        <v>291551.86418753641</v>
      </c>
      <c r="H215" s="2">
        <f>$C215+total_production!G215</f>
        <v>291544.52110422944</v>
      </c>
      <c r="I215" s="2">
        <f>$C215+total_production!H215</f>
        <v>291566.57593299687</v>
      </c>
      <c r="J215" s="2">
        <f>$C215+total_production!I215</f>
        <v>291597.37746405066</v>
      </c>
      <c r="K215" s="2">
        <f>$C215+total_production!J215</f>
        <v>291649.24830000731</v>
      </c>
      <c r="L215" s="2">
        <f>$C215+total_production!K215</f>
        <v>291677.91073058732</v>
      </c>
      <c r="M215" s="2">
        <f>$C215+total_production!L215</f>
        <v>291753.95170886407</v>
      </c>
      <c r="N215" s="2">
        <f>$C215+total_production!M215</f>
        <v>291782.63501109678</v>
      </c>
      <c r="O215" s="2">
        <f>$C215+total_production!N215</f>
        <v>291808.86823527003</v>
      </c>
      <c r="P215" s="2">
        <f>$C215+total_production!O215</f>
        <v>291808.86823527003</v>
      </c>
      <c r="Q215" s="2">
        <f>$C215+total_production!P215</f>
        <v>291808.86823527003</v>
      </c>
      <c r="R215" s="2">
        <f>$C215+total_production!Q215</f>
        <v>291831.70016426302</v>
      </c>
      <c r="S215" s="2">
        <f>$C215+total_production!R215</f>
        <v>291831.70016426302</v>
      </c>
      <c r="T215" s="2">
        <f>$C215+total_production!S215</f>
        <v>291857.52736242278</v>
      </c>
      <c r="U215" s="2">
        <f>$C215+total_production!T215</f>
        <v>291857.52736242278</v>
      </c>
      <c r="V215" s="2">
        <f>$C215+total_production!U215</f>
        <v>291880.19312521152</v>
      </c>
      <c r="W215" s="2">
        <f>$C215+total_production!V215</f>
        <v>291880.19312521152</v>
      </c>
      <c r="X215" s="2">
        <f>$C215+total_production!W215</f>
        <v>291900.09396324825</v>
      </c>
      <c r="Y215" s="2">
        <f>$C215+total_production!X215</f>
        <v>291900.09396324825</v>
      </c>
      <c r="Z215" s="2">
        <f>$C215+total_production!Y215</f>
        <v>291900.09396324825</v>
      </c>
      <c r="AA215" s="2">
        <f>$C215+total_production!Z215</f>
        <v>291900.09396324825</v>
      </c>
      <c r="AB215" s="2">
        <f>$C215+total_production!AA215</f>
        <v>291900.09396324825</v>
      </c>
    </row>
    <row r="216" spans="1:28" x14ac:dyDescent="0.2">
      <c r="A216" t="s">
        <v>830</v>
      </c>
      <c r="B216" t="s">
        <v>831</v>
      </c>
      <c r="C216" s="1">
        <v>1246772</v>
      </c>
      <c r="D216" s="2">
        <f>$C216+total_production!C216</f>
        <v>1247657.1551534079</v>
      </c>
      <c r="E216" s="2">
        <f>$C216+total_production!D216</f>
        <v>1247578.3036738283</v>
      </c>
      <c r="F216" s="2">
        <f>$C216+total_production!E216</f>
        <v>1247626.4353746532</v>
      </c>
      <c r="G216" s="2">
        <f>$C216+total_production!F216</f>
        <v>1247629.1577448025</v>
      </c>
      <c r="H216" s="2">
        <f>$C216+total_production!G216</f>
        <v>1247317.8824172127</v>
      </c>
      <c r="I216" s="2">
        <f>$C216+total_production!H216</f>
        <v>1247382.8216896786</v>
      </c>
      <c r="J216" s="2">
        <f>$C216+total_production!I216</f>
        <v>1247473.515162685</v>
      </c>
      <c r="K216" s="2">
        <f>$C216+total_production!J216</f>
        <v>1247464.6621795909</v>
      </c>
      <c r="L216" s="2">
        <f>$C216+total_production!K216</f>
        <v>1247549.0571848119</v>
      </c>
      <c r="M216" s="2">
        <f>$C216+total_production!L216</f>
        <v>1247568.4098647274</v>
      </c>
      <c r="N216" s="2">
        <f>$C216+total_production!M216</f>
        <v>1247518.6063943992</v>
      </c>
      <c r="O216" s="2">
        <f>$C216+total_production!N216</f>
        <v>1247478.477920545</v>
      </c>
      <c r="P216" s="2">
        <f>$C216+total_production!O216</f>
        <v>1247478.477920545</v>
      </c>
      <c r="Q216" s="2">
        <f>$C216+total_production!P216</f>
        <v>1247478.477920545</v>
      </c>
      <c r="R216" s="2">
        <f>$C216+total_production!Q216</f>
        <v>1247442.6646820602</v>
      </c>
      <c r="S216" s="2">
        <f>$C216+total_production!R216</f>
        <v>1247442.6646820602</v>
      </c>
      <c r="T216" s="2">
        <f>$C216+total_production!S216</f>
        <v>1247404.9800893369</v>
      </c>
      <c r="U216" s="2">
        <f>$C216+total_production!T216</f>
        <v>1247404.9800893369</v>
      </c>
      <c r="V216" s="2">
        <f>$C216+total_production!U216</f>
        <v>1247363.5596448698</v>
      </c>
      <c r="W216" s="2">
        <f>$C216+total_production!V216</f>
        <v>1247363.5596448698</v>
      </c>
      <c r="X216" s="2">
        <f>$C216+total_production!W216</f>
        <v>1247330.0626088192</v>
      </c>
      <c r="Y216" s="2">
        <f>$C216+total_production!X216</f>
        <v>1247330.0626088192</v>
      </c>
      <c r="Z216" s="2">
        <f>$C216+total_production!Y216</f>
        <v>1247330.0626088192</v>
      </c>
      <c r="AA216" s="2">
        <f>$C216+total_production!Z216</f>
        <v>1247330.0626088192</v>
      </c>
      <c r="AB216" s="2">
        <f>$C216+total_production!AA216</f>
        <v>1247330.0626088192</v>
      </c>
    </row>
    <row r="217" spans="1:28" x14ac:dyDescent="0.2">
      <c r="A217" t="s">
        <v>665</v>
      </c>
      <c r="B217" t="s">
        <v>666</v>
      </c>
      <c r="C217" s="1">
        <v>3479285</v>
      </c>
      <c r="D217" s="2">
        <f>$C217+total_production!C217</f>
        <v>3482852.9708906175</v>
      </c>
      <c r="E217" s="2">
        <f>$C217+total_production!D217</f>
        <v>3482893.1588449059</v>
      </c>
      <c r="F217" s="2">
        <f>$C217+total_production!E217</f>
        <v>3483065.8929224401</v>
      </c>
      <c r="G217" s="2">
        <f>$C217+total_production!F217</f>
        <v>3483204.9303444126</v>
      </c>
      <c r="H217" s="2">
        <f>$C217+total_production!G217</f>
        <v>3483183.5476402221</v>
      </c>
      <c r="I217" s="2">
        <f>$C217+total_production!H217</f>
        <v>3483416.6003920031</v>
      </c>
      <c r="J217" s="2">
        <f>$C217+total_production!I217</f>
        <v>3483742.0792994513</v>
      </c>
      <c r="K217" s="2">
        <f>$C217+total_production!J217</f>
        <v>3484321.5545938923</v>
      </c>
      <c r="L217" s="2">
        <f>$C217+total_production!K217</f>
        <v>3484624.4296871363</v>
      </c>
      <c r="M217" s="2">
        <f>$C217+total_production!L217</f>
        <v>3485467.6475817929</v>
      </c>
      <c r="N217" s="2">
        <f>$C217+total_production!M217</f>
        <v>3485796.7982601644</v>
      </c>
      <c r="O217" s="2">
        <f>$C217+total_production!N217</f>
        <v>3486096.7814605772</v>
      </c>
      <c r="P217" s="2">
        <f>$C217+total_production!O217</f>
        <v>3486096.7814605772</v>
      </c>
      <c r="Q217" s="2">
        <f>$C217+total_production!P217</f>
        <v>3486096.7814605772</v>
      </c>
      <c r="R217" s="2">
        <f>$C217+total_production!Q217</f>
        <v>3486358.0422995342</v>
      </c>
      <c r="S217" s="2">
        <f>$C217+total_production!R217</f>
        <v>3486358.0422995342</v>
      </c>
      <c r="T217" s="2">
        <f>$C217+total_production!S217</f>
        <v>3486653.0287569836</v>
      </c>
      <c r="U217" s="2">
        <f>$C217+total_production!T217</f>
        <v>3486653.0287569836</v>
      </c>
      <c r="V217" s="2">
        <f>$C217+total_production!U217</f>
        <v>3486913.5269305599</v>
      </c>
      <c r="W217" s="2">
        <f>$C217+total_production!V217</f>
        <v>3486913.5269305599</v>
      </c>
      <c r="X217" s="2">
        <f>$C217+total_production!W217</f>
        <v>3487141.6906634541</v>
      </c>
      <c r="Y217" s="2">
        <f>$C217+total_production!X217</f>
        <v>3487141.6906634541</v>
      </c>
      <c r="Z217" s="2">
        <f>$C217+total_production!Y217</f>
        <v>3487141.6906634541</v>
      </c>
      <c r="AA217" s="2">
        <f>$C217+total_production!Z217</f>
        <v>3487141.6906634541</v>
      </c>
      <c r="AB217" s="2">
        <f>$C217+total_production!AA217</f>
        <v>3487141.6906634541</v>
      </c>
    </row>
    <row r="218" spans="1:28" x14ac:dyDescent="0.2">
      <c r="A218" t="s">
        <v>771</v>
      </c>
      <c r="B218" t="s">
        <v>772</v>
      </c>
      <c r="C218" s="1">
        <v>1472938</v>
      </c>
      <c r="D218" s="2">
        <f>$C218+total_production!C218</f>
        <v>1474293.0677869264</v>
      </c>
      <c r="E218" s="2">
        <f>$C218+total_production!D218</f>
        <v>1474031.2370995027</v>
      </c>
      <c r="F218" s="2">
        <f>$C218+total_production!E218</f>
        <v>1474113.3085711182</v>
      </c>
      <c r="G218" s="2">
        <f>$C218+total_production!F218</f>
        <v>1474066.9995684503</v>
      </c>
      <c r="H218" s="2">
        <f>$C218+total_production!G218</f>
        <v>1473104.3516049716</v>
      </c>
      <c r="I218" s="2">
        <f>$C218+total_production!H218</f>
        <v>1473215.0824032936</v>
      </c>
      <c r="J218" s="2">
        <f>$C218+total_production!I218</f>
        <v>1473369.7278171892</v>
      </c>
      <c r="K218" s="2">
        <f>$C218+total_production!J218</f>
        <v>1473113.7080162019</v>
      </c>
      <c r="L218" s="2">
        <f>$C218+total_production!K218</f>
        <v>1473257.6136367552</v>
      </c>
      <c r="M218" s="2">
        <f>$C218+total_production!L218</f>
        <v>1472985.63146075</v>
      </c>
      <c r="N218" s="2">
        <f>$C218+total_production!M218</f>
        <v>1472700.5256741641</v>
      </c>
      <c r="O218" s="2">
        <f>$C218+total_production!N218</f>
        <v>1472457.0990981986</v>
      </c>
      <c r="P218" s="2">
        <f>$C218+total_production!O218</f>
        <v>1472457.0990981986</v>
      </c>
      <c r="Q218" s="2">
        <f>$C218+total_production!P218</f>
        <v>1472457.0990981986</v>
      </c>
      <c r="R218" s="2">
        <f>$C218+total_production!Q218</f>
        <v>1472242.3971297992</v>
      </c>
      <c r="S218" s="2">
        <f>$C218+total_production!R218</f>
        <v>1472242.3971297992</v>
      </c>
      <c r="T218" s="2">
        <f>$C218+total_production!S218</f>
        <v>1472008.564131032</v>
      </c>
      <c r="U218" s="2">
        <f>$C218+total_production!T218</f>
        <v>1472008.564131032</v>
      </c>
      <c r="V218" s="2">
        <f>$C218+total_production!U218</f>
        <v>1471776.6701419237</v>
      </c>
      <c r="W218" s="2">
        <f>$C218+total_production!V218</f>
        <v>1471776.6701419237</v>
      </c>
      <c r="X218" s="2">
        <f>$C218+total_production!W218</f>
        <v>1471582.2392535191</v>
      </c>
      <c r="Y218" s="2">
        <f>$C218+total_production!X218</f>
        <v>1471582.2392535191</v>
      </c>
      <c r="Z218" s="2">
        <f>$C218+total_production!Y218</f>
        <v>1471582.2392535191</v>
      </c>
      <c r="AA218" s="2">
        <f>$C218+total_production!Z218</f>
        <v>1471582.2392535191</v>
      </c>
      <c r="AB218" s="2">
        <f>$C218+total_production!AA218</f>
        <v>1471582.2392535191</v>
      </c>
    </row>
    <row r="219" spans="1:28" x14ac:dyDescent="0.2">
      <c r="A219" t="s">
        <v>579</v>
      </c>
      <c r="B219" t="s">
        <v>580</v>
      </c>
      <c r="C219" s="1">
        <v>5636709</v>
      </c>
      <c r="D219" s="2">
        <f>$C219+total_production!C219</f>
        <v>5639814.8519562157</v>
      </c>
      <c r="E219" s="2">
        <f>$C219+total_production!D219</f>
        <v>5636080.7166906158</v>
      </c>
      <c r="F219" s="2">
        <f>$C219+total_production!E219</f>
        <v>5636455.1003233511</v>
      </c>
      <c r="G219" s="2">
        <f>$C219+total_production!F219</f>
        <v>5635227.9542747289</v>
      </c>
      <c r="H219" s="2">
        <f>$C219+total_production!G219</f>
        <v>5622225.5470790314</v>
      </c>
      <c r="I219" s="2">
        <f>$C219+total_production!H219</f>
        <v>5622730.6653340766</v>
      </c>
      <c r="J219" s="2">
        <f>$C219+total_production!I219</f>
        <v>5623436.1079282006</v>
      </c>
      <c r="K219" s="2">
        <f>$C219+total_production!J219</f>
        <v>5617464.5039470438</v>
      </c>
      <c r="L219" s="2">
        <f>$C219+total_production!K219</f>
        <v>5618120.9550613379</v>
      </c>
      <c r="M219" s="2">
        <f>$C219+total_production!L219</f>
        <v>5610799.3184676729</v>
      </c>
      <c r="N219" s="2">
        <f>$C219+total_production!M219</f>
        <v>5605507.3473774707</v>
      </c>
      <c r="O219" s="2">
        <f>$C219+total_production!N219</f>
        <v>5600907.5997098098</v>
      </c>
      <c r="P219" s="2">
        <f>$C219+total_production!O219</f>
        <v>5600907.5997098098</v>
      </c>
      <c r="Q219" s="2">
        <f>$C219+total_production!P219</f>
        <v>5600907.5997098098</v>
      </c>
      <c r="R219" s="2">
        <f>$C219+total_production!Q219</f>
        <v>5596864.9056897266</v>
      </c>
      <c r="S219" s="2">
        <f>$C219+total_production!R219</f>
        <v>5596864.9056897266</v>
      </c>
      <c r="T219" s="2">
        <f>$C219+total_production!S219</f>
        <v>5592417.1165625993</v>
      </c>
      <c r="U219" s="2">
        <f>$C219+total_production!T219</f>
        <v>5592417.1165625993</v>
      </c>
      <c r="V219" s="2">
        <f>$C219+total_production!U219</f>
        <v>5588143.8470099783</v>
      </c>
      <c r="W219" s="2">
        <f>$C219+total_production!V219</f>
        <v>5588143.8470099783</v>
      </c>
      <c r="X219" s="2">
        <f>$C219+total_production!W219</f>
        <v>5584519.0556528829</v>
      </c>
      <c r="Y219" s="2">
        <f>$C219+total_production!X219</f>
        <v>5584519.0556528829</v>
      </c>
      <c r="Z219" s="2">
        <f>$C219+total_production!Y219</f>
        <v>5584519.0556528829</v>
      </c>
      <c r="AA219" s="2">
        <f>$C219+total_production!Z219</f>
        <v>5584519.0556528829</v>
      </c>
      <c r="AB219" s="2">
        <f>$C219+total_production!AA219</f>
        <v>5584519.0556528829</v>
      </c>
    </row>
    <row r="220" spans="1:28" x14ac:dyDescent="0.2">
      <c r="A220" t="s">
        <v>367</v>
      </c>
      <c r="B220" t="s">
        <v>93</v>
      </c>
      <c r="C220" s="1">
        <v>13973001</v>
      </c>
      <c r="D220" s="2">
        <f>$C220+total_production!C220</f>
        <v>14074272.924366685</v>
      </c>
      <c r="E220" s="2">
        <f>$C220+total_production!D220</f>
        <v>14080684.961064549</v>
      </c>
      <c r="F220" s="2">
        <f>$C220+total_production!E220</f>
        <v>14085274.470071483</v>
      </c>
      <c r="G220" s="2">
        <f>$C220+total_production!F220</f>
        <v>14091106.366467124</v>
      </c>
      <c r="H220" s="2">
        <f>$C220+total_production!G220</f>
        <v>14108658.1292607</v>
      </c>
      <c r="I220" s="2">
        <f>$C220+total_production!H220</f>
        <v>14114850.293069135</v>
      </c>
      <c r="J220" s="2">
        <f>$C220+total_production!I220</f>
        <v>14123498.200874165</v>
      </c>
      <c r="K220" s="2">
        <f>$C220+total_production!J220</f>
        <v>14149002.951137209</v>
      </c>
      <c r="L220" s="2">
        <f>$C220+total_production!K220</f>
        <v>14157050.280235577</v>
      </c>
      <c r="M220" s="2">
        <f>$C220+total_production!L220</f>
        <v>14192250.195127917</v>
      </c>
      <c r="N220" s="2">
        <f>$C220+total_production!M220</f>
        <v>14209394.564755611</v>
      </c>
      <c r="O220" s="2">
        <f>$C220+total_production!N220</f>
        <v>14224707.427075241</v>
      </c>
      <c r="P220" s="2">
        <f>$C220+total_production!O220</f>
        <v>14224707.427075241</v>
      </c>
      <c r="Q220" s="2">
        <f>$C220+total_production!P220</f>
        <v>14224707.427075241</v>
      </c>
      <c r="R220" s="2">
        <f>$C220+total_production!Q220</f>
        <v>14238094.991299547</v>
      </c>
      <c r="S220" s="2">
        <f>$C220+total_production!R220</f>
        <v>14238094.991299547</v>
      </c>
      <c r="T220" s="2">
        <f>$C220+total_production!S220</f>
        <v>14253047.420900647</v>
      </c>
      <c r="U220" s="2">
        <f>$C220+total_production!T220</f>
        <v>14253047.420900647</v>
      </c>
      <c r="V220" s="2">
        <f>$C220+total_production!U220</f>
        <v>14266734.884330746</v>
      </c>
      <c r="W220" s="2">
        <f>$C220+total_production!V220</f>
        <v>14266734.884330746</v>
      </c>
      <c r="X220" s="2">
        <f>$C220+total_production!W220</f>
        <v>14278558.27560086</v>
      </c>
      <c r="Y220" s="2">
        <f>$C220+total_production!X220</f>
        <v>14278558.27560086</v>
      </c>
      <c r="Z220" s="2">
        <f>$C220+total_production!Y220</f>
        <v>14278558.27560086</v>
      </c>
      <c r="AA220" s="2">
        <f>$C220+total_production!Z220</f>
        <v>14278558.27560086</v>
      </c>
      <c r="AB220" s="2">
        <f>$C220+total_production!AA220</f>
        <v>14278558.27560086</v>
      </c>
    </row>
    <row r="221" spans="1:28" x14ac:dyDescent="0.2">
      <c r="A221" t="s">
        <v>744</v>
      </c>
      <c r="B221" t="s">
        <v>247</v>
      </c>
      <c r="C221" s="1">
        <v>2891911</v>
      </c>
      <c r="D221" s="2">
        <f>$C221+total_production!C221</f>
        <v>2893993.9037323236</v>
      </c>
      <c r="E221" s="2">
        <f>$C221+total_production!D221</f>
        <v>2893913.4657829469</v>
      </c>
      <c r="F221" s="2">
        <f>$C221+total_production!E221</f>
        <v>2894020.4795212052</v>
      </c>
      <c r="G221" s="2">
        <f>$C221+total_production!F221</f>
        <v>2894064.4829881131</v>
      </c>
      <c r="H221" s="2">
        <f>$C221+total_production!G221</f>
        <v>2893694.0914061507</v>
      </c>
      <c r="I221" s="2">
        <f>$C221+total_production!H221</f>
        <v>2893838.474301151</v>
      </c>
      <c r="J221" s="2">
        <f>$C221+total_production!I221</f>
        <v>2894040.1178627899</v>
      </c>
      <c r="K221" s="2">
        <f>$C221+total_production!J221</f>
        <v>2894199.8859978542</v>
      </c>
      <c r="L221" s="2">
        <f>$C221+total_production!K221</f>
        <v>2894387.5258452785</v>
      </c>
      <c r="M221" s="2">
        <f>$C221+total_production!L221</f>
        <v>2894657.717781472</v>
      </c>
      <c r="N221" s="2">
        <f>$C221+total_production!M221</f>
        <v>2894696.0931581096</v>
      </c>
      <c r="O221" s="2">
        <f>$C221+total_production!N221</f>
        <v>2894737.2227858179</v>
      </c>
      <c r="P221" s="2">
        <f>$C221+total_production!O221</f>
        <v>2894737.2227858179</v>
      </c>
      <c r="Q221" s="2">
        <f>$C221+total_production!P221</f>
        <v>2894737.2227858179</v>
      </c>
      <c r="R221" s="2">
        <f>$C221+total_production!Q221</f>
        <v>2894772.0319414334</v>
      </c>
      <c r="S221" s="2">
        <f>$C221+total_production!R221</f>
        <v>2894772.0319414334</v>
      </c>
      <c r="T221" s="2">
        <f>$C221+total_production!S221</f>
        <v>2894814.5533394222</v>
      </c>
      <c r="U221" s="2">
        <f>$C221+total_production!T221</f>
        <v>2894814.5533394222</v>
      </c>
      <c r="V221" s="2">
        <f>$C221+total_production!U221</f>
        <v>2894842.5795663358</v>
      </c>
      <c r="W221" s="2">
        <f>$C221+total_production!V221</f>
        <v>2894842.5795663358</v>
      </c>
      <c r="X221" s="2">
        <f>$C221+total_production!W221</f>
        <v>2894870.3813606468</v>
      </c>
      <c r="Y221" s="2">
        <f>$C221+total_production!X221</f>
        <v>2894870.3813606468</v>
      </c>
      <c r="Z221" s="2">
        <f>$C221+total_production!Y221</f>
        <v>2894870.3813606468</v>
      </c>
      <c r="AA221" s="2">
        <f>$C221+total_production!Z221</f>
        <v>2894870.3813606468</v>
      </c>
      <c r="AB221" s="2">
        <f>$C221+total_production!AA221</f>
        <v>2894870.3813606468</v>
      </c>
    </row>
    <row r="222" spans="1:28" x14ac:dyDescent="0.2">
      <c r="A222" t="s">
        <v>408</v>
      </c>
      <c r="B222" t="s">
        <v>163</v>
      </c>
      <c r="C222" s="1">
        <v>4516292</v>
      </c>
      <c r="D222" s="2">
        <f>$C222+total_production!C222</f>
        <v>4569733.7535962742</v>
      </c>
      <c r="E222" s="2">
        <f>$C222+total_production!D222</f>
        <v>4573286.6204115087</v>
      </c>
      <c r="F222" s="2">
        <f>$C222+total_production!E222</f>
        <v>4575698.4730777601</v>
      </c>
      <c r="G222" s="2">
        <f>$C222+total_production!F222</f>
        <v>4578836.5180103742</v>
      </c>
      <c r="H222" s="2">
        <f>$C222+total_production!G222</f>
        <v>4588681.536210062</v>
      </c>
      <c r="I222" s="2">
        <f>$C222+total_production!H222</f>
        <v>4591935.6069110176</v>
      </c>
      <c r="J222" s="2">
        <f>$C222+total_production!I222</f>
        <v>4596480.2062277496</v>
      </c>
      <c r="K222" s="2">
        <f>$C222+total_production!J222</f>
        <v>4610229.9193389351</v>
      </c>
      <c r="L222" s="2">
        <f>$C222+total_production!K222</f>
        <v>4614458.905950089</v>
      </c>
      <c r="M222" s="2">
        <f>$C222+total_production!L222</f>
        <v>4633395.7215567445</v>
      </c>
      <c r="N222" s="2">
        <f>$C222+total_production!M222</f>
        <v>4642693.3243310684</v>
      </c>
      <c r="O222" s="2">
        <f>$C222+total_production!N222</f>
        <v>4650992.2161827926</v>
      </c>
      <c r="P222" s="2">
        <f>$C222+total_production!O222</f>
        <v>4650992.2161827926</v>
      </c>
      <c r="Q222" s="2">
        <f>$C222+total_production!P222</f>
        <v>4650992.2161827926</v>
      </c>
      <c r="R222" s="2">
        <f>$C222+total_production!Q222</f>
        <v>4658248.5977336485</v>
      </c>
      <c r="S222" s="2">
        <f>$C222+total_production!R222</f>
        <v>4658248.5977336485</v>
      </c>
      <c r="T222" s="2">
        <f>$C222+total_production!S222</f>
        <v>4666350.2704154942</v>
      </c>
      <c r="U222" s="2">
        <f>$C222+total_production!T222</f>
        <v>4666350.2704154942</v>
      </c>
      <c r="V222" s="2">
        <f>$C222+total_production!U222</f>
        <v>4673775.2314069178</v>
      </c>
      <c r="W222" s="2">
        <f>$C222+total_production!V222</f>
        <v>4673775.2314069178</v>
      </c>
      <c r="X222" s="2">
        <f>$C222+total_production!W222</f>
        <v>4680186.1368377153</v>
      </c>
      <c r="Y222" s="2">
        <f>$C222+total_production!X222</f>
        <v>4680186.1368377153</v>
      </c>
      <c r="Z222" s="2">
        <f>$C222+total_production!Y222</f>
        <v>4680186.1368377153</v>
      </c>
      <c r="AA222" s="2">
        <f>$C222+total_production!Z222</f>
        <v>4680186.1368377153</v>
      </c>
      <c r="AB222" s="2">
        <f>$C222+total_production!AA222</f>
        <v>4680186.1368377153</v>
      </c>
    </row>
    <row r="223" spans="1:28" x14ac:dyDescent="0.2">
      <c r="A223" t="s">
        <v>499</v>
      </c>
      <c r="B223" t="s">
        <v>500</v>
      </c>
      <c r="C223" s="1">
        <v>4037048</v>
      </c>
      <c r="D223" s="2">
        <f>$C223+total_production!C223</f>
        <v>4055468.4865979929</v>
      </c>
      <c r="E223" s="2">
        <f>$C223+total_production!D223</f>
        <v>4056297.5225790837</v>
      </c>
      <c r="F223" s="2">
        <f>$C223+total_production!E223</f>
        <v>4057152.3598633083</v>
      </c>
      <c r="G223" s="2">
        <f>$C223+total_production!F223</f>
        <v>4058092.4975617919</v>
      </c>
      <c r="H223" s="2">
        <f>$C223+total_production!G223</f>
        <v>4060123.2306913589</v>
      </c>
      <c r="I223" s="2">
        <f>$C223+total_production!H223</f>
        <v>4061276.5768304509</v>
      </c>
      <c r="J223" s="2">
        <f>$C223+total_production!I223</f>
        <v>4062887.3273510635</v>
      </c>
      <c r="K223" s="2">
        <f>$C223+total_production!J223</f>
        <v>4066946.9504734189</v>
      </c>
      <c r="L223" s="2">
        <f>$C223+total_production!K223</f>
        <v>4068445.8378143776</v>
      </c>
      <c r="M223" s="2">
        <f>$C223+total_production!L223</f>
        <v>4074127.5845985687</v>
      </c>
      <c r="N223" s="2">
        <f>$C223+total_production!M223</f>
        <v>4076746.8376994901</v>
      </c>
      <c r="O223" s="2">
        <f>$C223+total_production!N223</f>
        <v>4079097.1669860003</v>
      </c>
      <c r="P223" s="2">
        <f>$C223+total_production!O223</f>
        <v>4079097.1669860003</v>
      </c>
      <c r="Q223" s="2">
        <f>$C223+total_production!P223</f>
        <v>4079097.1669860003</v>
      </c>
      <c r="R223" s="2">
        <f>$C223+total_production!Q223</f>
        <v>4081150.1620608489</v>
      </c>
      <c r="S223" s="2">
        <f>$C223+total_production!R223</f>
        <v>4081150.1620608489</v>
      </c>
      <c r="T223" s="2">
        <f>$C223+total_production!S223</f>
        <v>4083448.9180935523</v>
      </c>
      <c r="U223" s="2">
        <f>$C223+total_production!T223</f>
        <v>4083448.9180935523</v>
      </c>
      <c r="V223" s="2">
        <f>$C223+total_production!U223</f>
        <v>4085535.8899083259</v>
      </c>
      <c r="W223" s="2">
        <f>$C223+total_production!V223</f>
        <v>4085535.8899083259</v>
      </c>
      <c r="X223" s="2">
        <f>$C223+total_production!W223</f>
        <v>4087344.347027109</v>
      </c>
      <c r="Y223" s="2">
        <f>$C223+total_production!X223</f>
        <v>4087344.347027109</v>
      </c>
      <c r="Z223" s="2">
        <f>$C223+total_production!Y223</f>
        <v>4087344.347027109</v>
      </c>
      <c r="AA223" s="2">
        <f>$C223+total_production!Z223</f>
        <v>4087344.347027109</v>
      </c>
      <c r="AB223" s="2">
        <f>$C223+total_production!AA223</f>
        <v>4087344.347027109</v>
      </c>
    </row>
    <row r="224" spans="1:28" x14ac:dyDescent="0.2">
      <c r="A224" t="s">
        <v>396</v>
      </c>
      <c r="B224" t="s">
        <v>397</v>
      </c>
      <c r="C224" s="1">
        <v>2808865</v>
      </c>
      <c r="D224" s="2">
        <f>$C224+total_production!C224</f>
        <v>2876382.3047564765</v>
      </c>
      <c r="E224" s="2">
        <f>$C224+total_production!D224</f>
        <v>2881653.5604395219</v>
      </c>
      <c r="F224" s="2">
        <f>$C224+total_production!E224</f>
        <v>2884654.1331139277</v>
      </c>
      <c r="G224" s="2">
        <f>$C224+total_production!F224</f>
        <v>2888898.6190640833</v>
      </c>
      <c r="H224" s="2">
        <f>$C224+total_production!G224</f>
        <v>2904032.6224292973</v>
      </c>
      <c r="I224" s="2">
        <f>$C224+total_production!H224</f>
        <v>2908080.9939415795</v>
      </c>
      <c r="J224" s="2">
        <f>$C224+total_production!I224</f>
        <v>2913734.9050269141</v>
      </c>
      <c r="K224" s="2">
        <f>$C224+total_production!J224</f>
        <v>2932450.7345559918</v>
      </c>
      <c r="L224" s="2">
        <f>$C224+total_production!K224</f>
        <v>2937711.993605278</v>
      </c>
      <c r="M224" s="2">
        <f>$C224+total_production!L224</f>
        <v>2963309.1067043468</v>
      </c>
      <c r="N224" s="2">
        <f>$C224+total_production!M224</f>
        <v>2976213.856954583</v>
      </c>
      <c r="O224" s="2">
        <f>$C224+total_production!N224</f>
        <v>2987707.8473486742</v>
      </c>
      <c r="P224" s="2">
        <f>$C224+total_production!O224</f>
        <v>2987707.8473486742</v>
      </c>
      <c r="Q224" s="2">
        <f>$C224+total_production!P224</f>
        <v>2987707.8473486742</v>
      </c>
      <c r="R224" s="2">
        <f>$C224+total_production!Q224</f>
        <v>2997762.0825851168</v>
      </c>
      <c r="S224" s="2">
        <f>$C224+total_production!R224</f>
        <v>2997762.0825851168</v>
      </c>
      <c r="T224" s="2">
        <f>$C224+total_production!S224</f>
        <v>3008974.4537231121</v>
      </c>
      <c r="U224" s="2">
        <f>$C224+total_production!T224</f>
        <v>3008974.4537231121</v>
      </c>
      <c r="V224" s="2">
        <f>$C224+total_production!U224</f>
        <v>3019289.4085737048</v>
      </c>
      <c r="W224" s="2">
        <f>$C224+total_production!V224</f>
        <v>3019289.4085737048</v>
      </c>
      <c r="X224" s="2">
        <f>$C224+total_production!W224</f>
        <v>3028182.7284017964</v>
      </c>
      <c r="Y224" s="2">
        <f>$C224+total_production!X224</f>
        <v>3028182.7284017964</v>
      </c>
      <c r="Z224" s="2">
        <f>$C224+total_production!Y224</f>
        <v>3028182.7284017964</v>
      </c>
      <c r="AA224" s="2">
        <f>$C224+total_production!Z224</f>
        <v>3028182.7284017964</v>
      </c>
      <c r="AB224" s="2">
        <f>$C224+total_production!AA224</f>
        <v>3028182.7284017964</v>
      </c>
    </row>
    <row r="225" spans="1:28" x14ac:dyDescent="0.2">
      <c r="A225" t="s">
        <v>745</v>
      </c>
      <c r="B225" t="s">
        <v>257</v>
      </c>
      <c r="C225" s="1">
        <v>4864959</v>
      </c>
      <c r="D225" s="2">
        <f>$C225+total_production!C225</f>
        <v>4866613.8164770305</v>
      </c>
      <c r="E225" s="2">
        <f>$C225+total_production!D225</f>
        <v>4866239.5321650552</v>
      </c>
      <c r="F225" s="2">
        <f>$C225+total_production!E225</f>
        <v>4866342.9996736618</v>
      </c>
      <c r="G225" s="2">
        <f>$C225+total_production!F225</f>
        <v>4866266.9401695635</v>
      </c>
      <c r="H225" s="2">
        <f>$C225+total_production!G225</f>
        <v>4864903.4871172737</v>
      </c>
      <c r="I225" s="2">
        <f>$C225+total_production!H225</f>
        <v>4865043.0854405742</v>
      </c>
      <c r="J225" s="2">
        <f>$C225+total_production!I225</f>
        <v>4865238.0469220513</v>
      </c>
      <c r="K225" s="2">
        <f>$C225+total_production!J225</f>
        <v>4864831.6927716993</v>
      </c>
      <c r="L225" s="2">
        <f>$C225+total_production!K225</f>
        <v>4865013.1145951413</v>
      </c>
      <c r="M225" s="2">
        <f>$C225+total_production!L225</f>
        <v>4864564.4117191518</v>
      </c>
      <c r="N225" s="2">
        <f>$C225+total_production!M225</f>
        <v>4864135.5240003131</v>
      </c>
      <c r="O225" s="2">
        <f>$C225+total_production!N225</f>
        <v>4863767.9182806965</v>
      </c>
      <c r="P225" s="2">
        <f>$C225+total_production!O225</f>
        <v>4863767.9182806965</v>
      </c>
      <c r="Q225" s="2">
        <f>$C225+total_production!P225</f>
        <v>4863767.9182806965</v>
      </c>
      <c r="R225" s="2">
        <f>$C225+total_production!Q225</f>
        <v>4863443.9389037872</v>
      </c>
      <c r="S225" s="2">
        <f>$C225+total_production!R225</f>
        <v>4863443.9389037872</v>
      </c>
      <c r="T225" s="2">
        <f>$C225+total_production!S225</f>
        <v>4863090.3105297061</v>
      </c>
      <c r="U225" s="2">
        <f>$C225+total_production!T225</f>
        <v>4863090.3105297061</v>
      </c>
      <c r="V225" s="2">
        <f>$C225+total_production!U225</f>
        <v>4862742.009578879</v>
      </c>
      <c r="W225" s="2">
        <f>$C225+total_production!V225</f>
        <v>4862742.009578879</v>
      </c>
      <c r="X225" s="2">
        <f>$C225+total_production!W225</f>
        <v>4862449.2488300512</v>
      </c>
      <c r="Y225" s="2">
        <f>$C225+total_production!X225</f>
        <v>4862449.2488300512</v>
      </c>
      <c r="Z225" s="2">
        <f>$C225+total_production!Y225</f>
        <v>4862449.2488300512</v>
      </c>
      <c r="AA225" s="2">
        <f>$C225+total_production!Z225</f>
        <v>4862449.2488300512</v>
      </c>
      <c r="AB225" s="2">
        <f>$C225+total_production!AA225</f>
        <v>4862449.2488300512</v>
      </c>
    </row>
    <row r="226" spans="1:28" x14ac:dyDescent="0.2">
      <c r="A226" t="s">
        <v>655</v>
      </c>
      <c r="B226" t="s">
        <v>656</v>
      </c>
      <c r="C226" s="1">
        <v>7389721</v>
      </c>
      <c r="D226" s="2">
        <f>$C226+total_production!C226</f>
        <v>7393342.5397738423</v>
      </c>
      <c r="E226" s="2">
        <f>$C226+total_production!D226</f>
        <v>7393173.935597593</v>
      </c>
      <c r="F226" s="2">
        <f>$C226+total_production!E226</f>
        <v>7393361.7087353775</v>
      </c>
      <c r="G226" s="2">
        <f>$C226+total_production!F226</f>
        <v>7393427.934981063</v>
      </c>
      <c r="H226" s="2">
        <f>$C226+total_production!G226</f>
        <v>7392684.909169266</v>
      </c>
      <c r="I226" s="2">
        <f>$C226+total_production!H226</f>
        <v>7392938.2526154229</v>
      </c>
      <c r="J226" s="2">
        <f>$C226+total_production!I226</f>
        <v>7393292.0692832554</v>
      </c>
      <c r="K226" s="2">
        <f>$C226+total_production!J226</f>
        <v>7393520.4653807804</v>
      </c>
      <c r="L226" s="2">
        <f>$C226+total_production!K226</f>
        <v>7393849.7102375403</v>
      </c>
      <c r="M226" s="2">
        <f>$C226+total_production!L226</f>
        <v>7394258.0522743715</v>
      </c>
      <c r="N226" s="2">
        <f>$C226+total_production!M226</f>
        <v>7394282.2285385793</v>
      </c>
      <c r="O226" s="2">
        <f>$C226+total_production!N226</f>
        <v>7394316.6668178746</v>
      </c>
      <c r="P226" s="2">
        <f>$C226+total_production!O226</f>
        <v>7394316.6668178746</v>
      </c>
      <c r="Q226" s="2">
        <f>$C226+total_production!P226</f>
        <v>7394316.6668178746</v>
      </c>
      <c r="R226" s="2">
        <f>$C226+total_production!Q226</f>
        <v>7394344.6214145385</v>
      </c>
      <c r="S226" s="2">
        <f>$C226+total_production!R226</f>
        <v>7394344.6214145385</v>
      </c>
      <c r="T226" s="2">
        <f>$C226+total_production!S226</f>
        <v>7394382.6717168801</v>
      </c>
      <c r="U226" s="2">
        <f>$C226+total_production!T226</f>
        <v>7394382.6717168801</v>
      </c>
      <c r="V226" s="2">
        <f>$C226+total_production!U226</f>
        <v>7394397.0793251051</v>
      </c>
      <c r="W226" s="2">
        <f>$C226+total_production!V226</f>
        <v>7394397.0793251051</v>
      </c>
      <c r="X226" s="2">
        <f>$C226+total_production!W226</f>
        <v>7394416.2573010484</v>
      </c>
      <c r="Y226" s="2">
        <f>$C226+total_production!X226</f>
        <v>7394416.2573010484</v>
      </c>
      <c r="Z226" s="2">
        <f>$C226+total_production!Y226</f>
        <v>7394416.2573010484</v>
      </c>
      <c r="AA226" s="2">
        <f>$C226+total_production!Z226</f>
        <v>7394416.2573010484</v>
      </c>
      <c r="AB226" s="2">
        <f>$C226+total_production!AA226</f>
        <v>7394416.2573010484</v>
      </c>
    </row>
    <row r="227" spans="1:28" x14ac:dyDescent="0.2">
      <c r="A227" t="s">
        <v>805</v>
      </c>
      <c r="B227" t="s">
        <v>806</v>
      </c>
      <c r="C227" s="1">
        <v>2919428</v>
      </c>
      <c r="D227" s="2">
        <f>$C227+total_production!C227</f>
        <v>2919104.7937586717</v>
      </c>
      <c r="E227" s="2">
        <f>$C227+total_production!D227</f>
        <v>2917832.6076354394</v>
      </c>
      <c r="F227" s="2">
        <f>$C227+total_production!E227</f>
        <v>2917892.3579052263</v>
      </c>
      <c r="G227" s="2">
        <f>$C227+total_production!F227</f>
        <v>2917426.0171478642</v>
      </c>
      <c r="H227" s="2">
        <f>$C227+total_production!G227</f>
        <v>2913058.0895531219</v>
      </c>
      <c r="I227" s="2">
        <f>$C227+total_production!H227</f>
        <v>2913138.704594417</v>
      </c>
      <c r="J227" s="2">
        <f>$C227+total_production!I227</f>
        <v>2913251.2906735949</v>
      </c>
      <c r="K227" s="2">
        <f>$C227+total_production!J227</f>
        <v>2911019.2078175135</v>
      </c>
      <c r="L227" s="2">
        <f>$C227+total_production!K227</f>
        <v>2911123.9750342164</v>
      </c>
      <c r="M227" s="2">
        <f>$C227+total_production!L227</f>
        <v>2908336.3607768328</v>
      </c>
      <c r="N227" s="2">
        <f>$C227+total_production!M227</f>
        <v>2906429.0310200807</v>
      </c>
      <c r="O227" s="2">
        <f>$C227+total_production!N227</f>
        <v>2904765.8654478318</v>
      </c>
      <c r="P227" s="2">
        <f>$C227+total_production!O227</f>
        <v>2904765.8654478318</v>
      </c>
      <c r="Q227" s="2">
        <f>$C227+total_production!P227</f>
        <v>2904765.8654478318</v>
      </c>
      <c r="R227" s="2">
        <f>$C227+total_production!Q227</f>
        <v>2903305.0357607785</v>
      </c>
      <c r="S227" s="2">
        <f>$C227+total_production!R227</f>
        <v>2903305.0357607785</v>
      </c>
      <c r="T227" s="2">
        <f>$C227+total_production!S227</f>
        <v>2901694.9303467353</v>
      </c>
      <c r="U227" s="2">
        <f>$C227+total_production!T227</f>
        <v>2901694.9303467353</v>
      </c>
      <c r="V227" s="2">
        <f>$C227+total_production!U227</f>
        <v>2900156.7899941006</v>
      </c>
      <c r="W227" s="2">
        <f>$C227+total_production!V227</f>
        <v>2900156.7899941006</v>
      </c>
      <c r="X227" s="2">
        <f>$C227+total_production!W227</f>
        <v>2898849.3055129088</v>
      </c>
      <c r="Y227" s="2">
        <f>$C227+total_production!X227</f>
        <v>2898849.3055129088</v>
      </c>
      <c r="Z227" s="2">
        <f>$C227+total_production!Y227</f>
        <v>2898849.3055129088</v>
      </c>
      <c r="AA227" s="2">
        <f>$C227+total_production!Z227</f>
        <v>2898849.3055129088</v>
      </c>
      <c r="AB227" s="2">
        <f>$C227+total_production!AA227</f>
        <v>2898849.3055129088</v>
      </c>
    </row>
    <row r="228" spans="1:28" x14ac:dyDescent="0.2">
      <c r="A228" t="s">
        <v>850</v>
      </c>
      <c r="B228" t="s">
        <v>851</v>
      </c>
      <c r="C228" s="1">
        <v>393495</v>
      </c>
      <c r="D228" s="2">
        <f>$C228+total_production!C228</f>
        <v>394159.56399677374</v>
      </c>
      <c r="E228" s="2">
        <f>$C228+total_production!D228</f>
        <v>394105.11748488731</v>
      </c>
      <c r="F228" s="2">
        <f>$C228+total_production!E228</f>
        <v>394140.97162137734</v>
      </c>
      <c r="G228" s="2">
        <f>$C228+total_production!F228</f>
        <v>394144.71608983091</v>
      </c>
      <c r="H228" s="2">
        <f>$C228+total_production!G228</f>
        <v>393927.39160345664</v>
      </c>
      <c r="I228" s="2">
        <f>$C228+total_production!H228</f>
        <v>393975.76599078672</v>
      </c>
      <c r="J228" s="2">
        <f>$C228+total_production!I228</f>
        <v>394043.32512757595</v>
      </c>
      <c r="K228" s="2">
        <f>$C228+total_production!J228</f>
        <v>394044.84706406645</v>
      </c>
      <c r="L228" s="2">
        <f>$C228+total_production!K228</f>
        <v>394107.71436325624</v>
      </c>
      <c r="M228" s="2">
        <f>$C228+total_production!L228</f>
        <v>394132.4052534881</v>
      </c>
      <c r="N228" s="2">
        <f>$C228+total_production!M228</f>
        <v>394102.04992682277</v>
      </c>
      <c r="O228" s="2">
        <f>$C228+total_production!N228</f>
        <v>394078.05329867324</v>
      </c>
      <c r="P228" s="2">
        <f>$C228+total_production!O228</f>
        <v>394078.05329867324</v>
      </c>
      <c r="Q228" s="2">
        <f>$C228+total_production!P228</f>
        <v>394078.05329867324</v>
      </c>
      <c r="R228" s="2">
        <f>$C228+total_production!Q228</f>
        <v>394056.55133150477</v>
      </c>
      <c r="S228" s="2">
        <f>$C228+total_production!R228</f>
        <v>394056.55133150477</v>
      </c>
      <c r="T228" s="2">
        <f>$C228+total_production!S228</f>
        <v>394034.19237831759</v>
      </c>
      <c r="U228" s="2">
        <f>$C228+total_production!T228</f>
        <v>394034.19237831759</v>
      </c>
      <c r="V228" s="2">
        <f>$C228+total_production!U228</f>
        <v>394008.77059051517</v>
      </c>
      <c r="W228" s="2">
        <f>$C228+total_production!V228</f>
        <v>394008.77059051517</v>
      </c>
      <c r="X228" s="2">
        <f>$C228+total_production!W228</f>
        <v>393988.44413118338</v>
      </c>
      <c r="Y228" s="2">
        <f>$C228+total_production!X228</f>
        <v>393988.44413118338</v>
      </c>
      <c r="Z228" s="2">
        <f>$C228+total_production!Y228</f>
        <v>393988.44413118338</v>
      </c>
      <c r="AA228" s="2">
        <f>$C228+total_production!Z228</f>
        <v>393988.44413118338</v>
      </c>
      <c r="AB228" s="2">
        <f>$C228+total_production!AA228</f>
        <v>393988.44413118338</v>
      </c>
    </row>
    <row r="229" spans="1:28" x14ac:dyDescent="0.2">
      <c r="A229" t="s">
        <v>473</v>
      </c>
      <c r="B229" t="s">
        <v>143</v>
      </c>
      <c r="C229" s="1">
        <v>2402839</v>
      </c>
      <c r="D229" s="2">
        <f>$C229+total_production!C229</f>
        <v>2424913.3466778095</v>
      </c>
      <c r="E229" s="2">
        <f>$C229+total_production!D229</f>
        <v>2426177.3984964667</v>
      </c>
      <c r="F229" s="2">
        <f>$C229+total_production!E229</f>
        <v>2427185.718413617</v>
      </c>
      <c r="G229" s="2">
        <f>$C229+total_production!F229</f>
        <v>2428409.1203969512</v>
      </c>
      <c r="H229" s="2">
        <f>$C229+total_production!G229</f>
        <v>2431774.7199245268</v>
      </c>
      <c r="I229" s="2">
        <f>$C229+total_production!H229</f>
        <v>2433135.1447736486</v>
      </c>
      <c r="J229" s="2">
        <f>$C229+total_production!I229</f>
        <v>2435035.0991409491</v>
      </c>
      <c r="K229" s="2">
        <f>$C229+total_production!J229</f>
        <v>2440364.8703408283</v>
      </c>
      <c r="L229" s="2">
        <f>$C229+total_production!K229</f>
        <v>2442132.8769396795</v>
      </c>
      <c r="M229" s="2">
        <f>$C229+total_production!L229</f>
        <v>2449519.9279317111</v>
      </c>
      <c r="N229" s="2">
        <f>$C229+total_production!M229</f>
        <v>2453059.1890674764</v>
      </c>
      <c r="O229" s="2">
        <f>$C229+total_production!N229</f>
        <v>2456224.6685637357</v>
      </c>
      <c r="P229" s="2">
        <f>$C229+total_production!O229</f>
        <v>2456224.6685637357</v>
      </c>
      <c r="Q229" s="2">
        <f>$C229+total_production!P229</f>
        <v>2456224.6685637357</v>
      </c>
      <c r="R229" s="2">
        <f>$C229+total_production!Q229</f>
        <v>2458991.4267940493</v>
      </c>
      <c r="S229" s="2">
        <f>$C229+total_production!R229</f>
        <v>2458991.4267940493</v>
      </c>
      <c r="T229" s="2">
        <f>$C229+total_production!S229</f>
        <v>2462083.8823261335</v>
      </c>
      <c r="U229" s="2">
        <f>$C229+total_production!T229</f>
        <v>2462083.8823261335</v>
      </c>
      <c r="V229" s="2">
        <f>$C229+total_production!U229</f>
        <v>2464907.8612839966</v>
      </c>
      <c r="W229" s="2">
        <f>$C229+total_production!V229</f>
        <v>2464907.8612839966</v>
      </c>
      <c r="X229" s="2">
        <f>$C229+total_production!W229</f>
        <v>2467349.5076799686</v>
      </c>
      <c r="Y229" s="2">
        <f>$C229+total_production!X229</f>
        <v>2467349.5076799686</v>
      </c>
      <c r="Z229" s="2">
        <f>$C229+total_production!Y229</f>
        <v>2467349.5076799686</v>
      </c>
      <c r="AA229" s="2">
        <f>$C229+total_production!Z229</f>
        <v>2467349.5076799686</v>
      </c>
      <c r="AB229" s="2">
        <f>$C229+total_production!AA229</f>
        <v>2467349.5076799686</v>
      </c>
    </row>
    <row r="230" spans="1:28" x14ac:dyDescent="0.2">
      <c r="A230" t="s">
        <v>898</v>
      </c>
      <c r="B230" t="s">
        <v>899</v>
      </c>
      <c r="C230" s="1">
        <v>653766</v>
      </c>
      <c r="D230" s="2">
        <f>$C230+total_production!C230</f>
        <v>653995.56708230835</v>
      </c>
      <c r="E230" s="2">
        <f>$C230+total_production!D230</f>
        <v>654000.3159027854</v>
      </c>
      <c r="F230" s="2">
        <f>$C230+total_production!E230</f>
        <v>654011.30123361573</v>
      </c>
      <c r="G230" s="2">
        <f>$C230+total_production!F230</f>
        <v>654021.02076422574</v>
      </c>
      <c r="H230" s="2">
        <f>$C230+total_production!G230</f>
        <v>654027.09633401991</v>
      </c>
      <c r="I230" s="2">
        <f>$C230+total_production!H230</f>
        <v>654041.91773820249</v>
      </c>
      <c r="J230" s="2">
        <f>$C230+total_production!I230</f>
        <v>654062.61714811425</v>
      </c>
      <c r="K230" s="2">
        <f>$C230+total_production!J230</f>
        <v>654103.6177813434</v>
      </c>
      <c r="L230" s="2">
        <f>$C230+total_production!K230</f>
        <v>654122.87966149498</v>
      </c>
      <c r="M230" s="2">
        <f>$C230+total_production!L230</f>
        <v>654181.75631324202</v>
      </c>
      <c r="N230" s="2">
        <f>$C230+total_production!M230</f>
        <v>654206.13569880917</v>
      </c>
      <c r="O230" s="2">
        <f>$C230+total_production!N230</f>
        <v>654228.22658169363</v>
      </c>
      <c r="P230" s="2">
        <f>$C230+total_production!O230</f>
        <v>654228.22658169363</v>
      </c>
      <c r="Q230" s="2">
        <f>$C230+total_production!P230</f>
        <v>654228.22658169363</v>
      </c>
      <c r="R230" s="2">
        <f>$C230+total_production!Q230</f>
        <v>654247.48699060513</v>
      </c>
      <c r="S230" s="2">
        <f>$C230+total_production!R230</f>
        <v>654247.48699060513</v>
      </c>
      <c r="T230" s="2">
        <f>$C230+total_production!S230</f>
        <v>654269.1666729732</v>
      </c>
      <c r="U230" s="2">
        <f>$C230+total_production!T230</f>
        <v>654269.1666729732</v>
      </c>
      <c r="V230" s="2">
        <f>$C230+total_production!U230</f>
        <v>654288.50995670003</v>
      </c>
      <c r="W230" s="2">
        <f>$C230+total_production!V230</f>
        <v>654288.50995670003</v>
      </c>
      <c r="X230" s="2">
        <f>$C230+total_production!W230</f>
        <v>654305.38449509023</v>
      </c>
      <c r="Y230" s="2">
        <f>$C230+total_production!X230</f>
        <v>654305.38449509023</v>
      </c>
      <c r="Z230" s="2">
        <f>$C230+total_production!Y230</f>
        <v>654305.38449509023</v>
      </c>
      <c r="AA230" s="2">
        <f>$C230+total_production!Z230</f>
        <v>654305.38449509023</v>
      </c>
      <c r="AB230" s="2">
        <f>$C230+total_production!AA230</f>
        <v>654305.38449509023</v>
      </c>
    </row>
    <row r="231" spans="1:28" x14ac:dyDescent="0.2">
      <c r="A231" t="s">
        <v>846</v>
      </c>
      <c r="B231" t="s">
        <v>847</v>
      </c>
      <c r="C231" s="1">
        <v>1433365</v>
      </c>
      <c r="D231" s="2">
        <f>$C231+total_production!C231</f>
        <v>1427613.4831370045</v>
      </c>
      <c r="E231" s="2">
        <f>$C231+total_production!D231</f>
        <v>1422252.4645505247</v>
      </c>
      <c r="F231" s="2">
        <f>$C231+total_production!E231</f>
        <v>1422288.8076018549</v>
      </c>
      <c r="G231" s="2">
        <f>$C231+total_production!F231</f>
        <v>1420170.2710639786</v>
      </c>
      <c r="H231" s="2">
        <f>$C231+total_production!G231</f>
        <v>1401960.3554152118</v>
      </c>
      <c r="I231" s="2">
        <f>$C231+total_production!H231</f>
        <v>1402009.3894462583</v>
      </c>
      <c r="J231" s="2">
        <f>$C231+total_production!I231</f>
        <v>1402077.8698342</v>
      </c>
      <c r="K231" s="2">
        <f>$C231+total_production!J231</f>
        <v>1392043.8728153312</v>
      </c>
      <c r="L231" s="2">
        <f>$C231+total_production!K231</f>
        <v>1392107.5973867509</v>
      </c>
      <c r="M231" s="2">
        <f>$C231+total_production!L231</f>
        <v>1379428.8291896037</v>
      </c>
      <c r="N231" s="2">
        <f>$C231+total_production!M231</f>
        <v>1371059.538456056</v>
      </c>
      <c r="O231" s="2">
        <f>$C231+total_production!N231</f>
        <v>1363745.6308072733</v>
      </c>
      <c r="P231" s="2">
        <f>$C231+total_production!O231</f>
        <v>1363745.6308072733</v>
      </c>
      <c r="Q231" s="2">
        <f>$C231+total_production!P231</f>
        <v>1363745.6308072733</v>
      </c>
      <c r="R231" s="2">
        <f>$C231+total_production!Q231</f>
        <v>1357324.2598726805</v>
      </c>
      <c r="S231" s="2">
        <f>$C231+total_production!R231</f>
        <v>1357324.2598726805</v>
      </c>
      <c r="T231" s="2">
        <f>$C231+total_production!S231</f>
        <v>1350238.0457260162</v>
      </c>
      <c r="U231" s="2">
        <f>$C231+total_production!T231</f>
        <v>1350238.0457260162</v>
      </c>
      <c r="V231" s="2">
        <f>$C231+total_production!U231</f>
        <v>1343494.8401956398</v>
      </c>
      <c r="W231" s="2">
        <f>$C231+total_production!V231</f>
        <v>1343494.8401956398</v>
      </c>
      <c r="X231" s="2">
        <f>$C231+total_production!W231</f>
        <v>1337754.5272829582</v>
      </c>
      <c r="Y231" s="2">
        <f>$C231+total_production!X231</f>
        <v>1337754.5272829582</v>
      </c>
      <c r="Z231" s="2">
        <f>$C231+total_production!Y231</f>
        <v>1337754.5272829582</v>
      </c>
      <c r="AA231" s="2">
        <f>$C231+total_production!Z231</f>
        <v>1337754.5272829582</v>
      </c>
      <c r="AB231" s="2">
        <f>$C231+total_production!AA231</f>
        <v>1337754.5272829582</v>
      </c>
    </row>
    <row r="232" spans="1:28" x14ac:dyDescent="0.2">
      <c r="A232" t="s">
        <v>885</v>
      </c>
      <c r="B232" t="s">
        <v>293</v>
      </c>
      <c r="C232" s="1">
        <v>642575</v>
      </c>
      <c r="D232" s="2">
        <f>$C232+total_production!C232</f>
        <v>642906.48243941576</v>
      </c>
      <c r="E232" s="2">
        <f>$C232+total_production!D232</f>
        <v>642900.94035852107</v>
      </c>
      <c r="F232" s="2">
        <f>$C232+total_production!E232</f>
        <v>642917.53953747358</v>
      </c>
      <c r="G232" s="2">
        <f>$C232+total_production!F232</f>
        <v>642927.13897318416</v>
      </c>
      <c r="H232" s="2">
        <f>$C232+total_production!G232</f>
        <v>642893.19948758523</v>
      </c>
      <c r="I232" s="2">
        <f>$C232+total_production!H232</f>
        <v>642915.59509352129</v>
      </c>
      <c r="J232" s="2">
        <f>$C232+total_production!I232</f>
        <v>642946.8725502172</v>
      </c>
      <c r="K232" s="2">
        <f>$C232+total_production!J232</f>
        <v>642984.7713141602</v>
      </c>
      <c r="L232" s="2">
        <f>$C232+total_production!K232</f>
        <v>643013.87661836401</v>
      </c>
      <c r="M232" s="2">
        <f>$C232+total_production!L232</f>
        <v>643072.39098559273</v>
      </c>
      <c r="N232" s="2">
        <f>$C232+total_production!M232</f>
        <v>643089.24215609592</v>
      </c>
      <c r="O232" s="2">
        <f>$C232+total_production!N232</f>
        <v>643105.14955659839</v>
      </c>
      <c r="P232" s="2">
        <f>$C232+total_production!O232</f>
        <v>643105.14955659839</v>
      </c>
      <c r="Q232" s="2">
        <f>$C232+total_production!P232</f>
        <v>643105.14955659839</v>
      </c>
      <c r="R232" s="2">
        <f>$C232+total_production!Q232</f>
        <v>643118.91330842336</v>
      </c>
      <c r="S232" s="2">
        <f>$C232+total_production!R232</f>
        <v>643118.91330842336</v>
      </c>
      <c r="T232" s="2">
        <f>$C232+total_production!S232</f>
        <v>643134.74115832651</v>
      </c>
      <c r="U232" s="2">
        <f>$C232+total_production!T232</f>
        <v>643134.74115832651</v>
      </c>
      <c r="V232" s="2">
        <f>$C232+total_production!U232</f>
        <v>643147.86824554089</v>
      </c>
      <c r="W232" s="2">
        <f>$C232+total_production!V232</f>
        <v>643147.86824554089</v>
      </c>
      <c r="X232" s="2">
        <f>$C232+total_production!W232</f>
        <v>643159.65646403341</v>
      </c>
      <c r="Y232" s="2">
        <f>$C232+total_production!X232</f>
        <v>643159.65646403341</v>
      </c>
      <c r="Z232" s="2">
        <f>$C232+total_production!Y232</f>
        <v>643159.65646403341</v>
      </c>
      <c r="AA232" s="2">
        <f>$C232+total_production!Z232</f>
        <v>643159.65646403341</v>
      </c>
      <c r="AB232" s="2">
        <f>$C232+total_production!AA232</f>
        <v>643159.65646403341</v>
      </c>
    </row>
    <row r="233" spans="1:28" x14ac:dyDescent="0.2">
      <c r="A233" t="s">
        <v>852</v>
      </c>
      <c r="B233" t="s">
        <v>289</v>
      </c>
      <c r="C233" s="1">
        <v>1076808</v>
      </c>
      <c r="D233" s="2">
        <f>$C233+total_production!C233</f>
        <v>1077557.6132731545</v>
      </c>
      <c r="E233" s="2">
        <f>$C233+total_production!D233</f>
        <v>1077583.1700662617</v>
      </c>
      <c r="F233" s="2">
        <f>$C233+total_production!E233</f>
        <v>1077618.4434925944</v>
      </c>
      <c r="G233" s="2">
        <f>$C233+total_production!F233</f>
        <v>1077653.7759027632</v>
      </c>
      <c r="H233" s="2">
        <f>$C233+total_production!G233</f>
        <v>1077708.2357944306</v>
      </c>
      <c r="I233" s="2">
        <f>$C233+total_production!H233</f>
        <v>1077755.8266878373</v>
      </c>
      <c r="J233" s="2">
        <f>$C233+total_production!I233</f>
        <v>1077822.2916056386</v>
      </c>
      <c r="K233" s="2">
        <f>$C233+total_production!J233</f>
        <v>1077973.4406243914</v>
      </c>
      <c r="L233" s="2">
        <f>$C233+total_production!K233</f>
        <v>1078035.2896957626</v>
      </c>
      <c r="M233" s="2">
        <f>$C233+total_production!L233</f>
        <v>1078249.0219167222</v>
      </c>
      <c r="N233" s="2">
        <f>$C233+total_production!M233</f>
        <v>1078343.5037369838</v>
      </c>
      <c r="O233" s="2">
        <f>$C233+total_production!N233</f>
        <v>1078428.5993243046</v>
      </c>
      <c r="P233" s="2">
        <f>$C233+total_production!O233</f>
        <v>1078428.5993243046</v>
      </c>
      <c r="Q233" s="2">
        <f>$C233+total_production!P233</f>
        <v>1078428.5993243046</v>
      </c>
      <c r="R233" s="2">
        <f>$C233+total_production!Q233</f>
        <v>1078502.8772116487</v>
      </c>
      <c r="S233" s="2">
        <f>$C233+total_production!R233</f>
        <v>1078502.8772116487</v>
      </c>
      <c r="T233" s="2">
        <f>$C233+total_production!S233</f>
        <v>1078586.2132981739</v>
      </c>
      <c r="U233" s="2">
        <f>$C233+total_production!T233</f>
        <v>1078586.2132981739</v>
      </c>
      <c r="V233" s="2">
        <f>$C233+total_production!U233</f>
        <v>1078661.3748560431</v>
      </c>
      <c r="W233" s="2">
        <f>$C233+total_production!V233</f>
        <v>1078661.3748560431</v>
      </c>
      <c r="X233" s="2">
        <f>$C233+total_production!W233</f>
        <v>1078726.6709236265</v>
      </c>
      <c r="Y233" s="2">
        <f>$C233+total_production!X233</f>
        <v>1078726.6709236265</v>
      </c>
      <c r="Z233" s="2">
        <f>$C233+total_production!Y233</f>
        <v>1078726.6709236265</v>
      </c>
      <c r="AA233" s="2">
        <f>$C233+total_production!Z233</f>
        <v>1078726.6709236265</v>
      </c>
      <c r="AB233" s="2">
        <f>$C233+total_production!AA233</f>
        <v>1078726.6709236265</v>
      </c>
    </row>
    <row r="234" spans="1:28" x14ac:dyDescent="0.2">
      <c r="A234" t="s">
        <v>875</v>
      </c>
      <c r="B234" t="s">
        <v>876</v>
      </c>
      <c r="C234" s="1">
        <v>4519933</v>
      </c>
      <c r="D234" s="2">
        <f>$C234+total_production!C234</f>
        <v>4520445.5384019818</v>
      </c>
      <c r="E234" s="2">
        <f>$C234+total_production!D234</f>
        <v>4520467.4794965778</v>
      </c>
      <c r="F234" s="2">
        <f>$C234+total_production!E234</f>
        <v>4520491.33174734</v>
      </c>
      <c r="G234" s="2">
        <f>$C234+total_production!F234</f>
        <v>4520517.0876159035</v>
      </c>
      <c r="H234" s="2">
        <f>$C234+total_production!G234</f>
        <v>4520569.7115962896</v>
      </c>
      <c r="I234" s="2">
        <f>$C234+total_production!H234</f>
        <v>4520601.8930439558</v>
      </c>
      <c r="J234" s="2">
        <f>$C234+total_production!I234</f>
        <v>4520646.8372994782</v>
      </c>
      <c r="K234" s="2">
        <f>$C234+total_production!J234</f>
        <v>4520757.8585476317</v>
      </c>
      <c r="L234" s="2">
        <f>$C234+total_production!K234</f>
        <v>4520799.6815207051</v>
      </c>
      <c r="M234" s="2">
        <f>$C234+total_production!L234</f>
        <v>4520955.3653058391</v>
      </c>
      <c r="N234" s="2">
        <f>$C234+total_production!M234</f>
        <v>4521026.5773745272</v>
      </c>
      <c r="O234" s="2">
        <f>$C234+total_production!N234</f>
        <v>4521090.5212489413</v>
      </c>
      <c r="P234" s="2">
        <f>$C234+total_production!O234</f>
        <v>4521090.5212489413</v>
      </c>
      <c r="Q234" s="2">
        <f>$C234+total_production!P234</f>
        <v>4521090.5212489413</v>
      </c>
      <c r="R234" s="2">
        <f>$C234+total_production!Q234</f>
        <v>4521146.3685210124</v>
      </c>
      <c r="S234" s="2">
        <f>$C234+total_production!R234</f>
        <v>4521146.3685210124</v>
      </c>
      <c r="T234" s="2">
        <f>$C234+total_production!S234</f>
        <v>4521208.9241110384</v>
      </c>
      <c r="U234" s="2">
        <f>$C234+total_production!T234</f>
        <v>4521208.9241110384</v>
      </c>
      <c r="V234" s="2">
        <f>$C234+total_production!U234</f>
        <v>4521265.6480610184</v>
      </c>
      <c r="W234" s="2">
        <f>$C234+total_production!V234</f>
        <v>4521265.6480610184</v>
      </c>
      <c r="X234" s="2">
        <f>$C234+total_production!W234</f>
        <v>4521314.824708119</v>
      </c>
      <c r="Y234" s="2">
        <f>$C234+total_production!X234</f>
        <v>4521314.824708119</v>
      </c>
      <c r="Z234" s="2">
        <f>$C234+total_production!Y234</f>
        <v>4521314.824708119</v>
      </c>
      <c r="AA234" s="2">
        <f>$C234+total_production!Z234</f>
        <v>4521314.824708119</v>
      </c>
      <c r="AB234" s="2">
        <f>$C234+total_production!AA234</f>
        <v>4521314.824708119</v>
      </c>
    </row>
    <row r="235" spans="1:28" x14ac:dyDescent="0.2">
      <c r="A235" t="s">
        <v>938</v>
      </c>
      <c r="B235" t="s">
        <v>939</v>
      </c>
      <c r="C235" s="1">
        <v>319840</v>
      </c>
      <c r="D235" s="2">
        <f>$C235+total_production!C235</f>
        <v>319850.35042551922</v>
      </c>
      <c r="E235" s="2">
        <f>$C235+total_production!D235</f>
        <v>319850.50053832598</v>
      </c>
      <c r="F235" s="2">
        <f>$C235+total_production!E235</f>
        <v>319850.99963447172</v>
      </c>
      <c r="G235" s="2">
        <f>$C235+total_production!F235</f>
        <v>319851.41496548417</v>
      </c>
      <c r="H235" s="2">
        <f>$C235+total_production!G235</f>
        <v>319851.4684409558</v>
      </c>
      <c r="I235" s="2">
        <f>$C235+total_production!H235</f>
        <v>319852.141821286</v>
      </c>
      <c r="J235" s="2">
        <f>$C235+total_production!I235</f>
        <v>319853.08225684188</v>
      </c>
      <c r="K235" s="2">
        <f>$C235+total_production!J235</f>
        <v>319854.82088415232</v>
      </c>
      <c r="L235" s="2">
        <f>$C235+total_production!K235</f>
        <v>319855.69600846962</v>
      </c>
      <c r="M235" s="2">
        <f>$C235+total_production!L235</f>
        <v>319858.21378641046</v>
      </c>
      <c r="N235" s="2">
        <f>$C235+total_production!M235</f>
        <v>319859.2182555435</v>
      </c>
      <c r="O235" s="2">
        <f>$C235+total_production!N235</f>
        <v>319860.13172797271</v>
      </c>
      <c r="P235" s="2">
        <f>$C235+total_production!O235</f>
        <v>319860.13172797271</v>
      </c>
      <c r="Q235" s="2">
        <f>$C235+total_production!P235</f>
        <v>319860.13172797271</v>
      </c>
      <c r="R235" s="2">
        <f>$C235+total_production!Q235</f>
        <v>319860.92761416419</v>
      </c>
      <c r="S235" s="2">
        <f>$C235+total_production!R235</f>
        <v>319860.92761416419</v>
      </c>
      <c r="T235" s="2">
        <f>$C235+total_production!S235</f>
        <v>319861.82520087057</v>
      </c>
      <c r="U235" s="2">
        <f>$C235+total_production!T235</f>
        <v>319861.82520087057</v>
      </c>
      <c r="V235" s="2">
        <f>$C235+total_production!U235</f>
        <v>319862.62091994233</v>
      </c>
      <c r="W235" s="2">
        <f>$C235+total_production!V235</f>
        <v>319862.62091994233</v>
      </c>
      <c r="X235" s="2">
        <f>$C235+total_production!W235</f>
        <v>319863.31681981776</v>
      </c>
      <c r="Y235" s="2">
        <f>$C235+total_production!X235</f>
        <v>319863.31681981776</v>
      </c>
      <c r="Z235" s="2">
        <f>$C235+total_production!Y235</f>
        <v>319863.31681981776</v>
      </c>
      <c r="AA235" s="2">
        <f>$C235+total_production!Z235</f>
        <v>319863.31681981776</v>
      </c>
      <c r="AB235" s="2">
        <f>$C235+total_production!AA235</f>
        <v>319863.31681981776</v>
      </c>
    </row>
    <row r="236" spans="1:28" x14ac:dyDescent="0.2">
      <c r="A236" t="s">
        <v>883</v>
      </c>
      <c r="B236" t="s">
        <v>884</v>
      </c>
      <c r="C236" s="1">
        <v>207501</v>
      </c>
      <c r="D236" s="2">
        <f>$C236+total_production!C236</f>
        <v>207872.23689939786</v>
      </c>
      <c r="E236" s="2">
        <f>$C236+total_production!D236</f>
        <v>207877.48970131739</v>
      </c>
      <c r="F236" s="2">
        <f>$C236+total_production!E236</f>
        <v>207895.39849742225</v>
      </c>
      <c r="G236" s="2">
        <f>$C236+total_production!F236</f>
        <v>207910.24814892816</v>
      </c>
      <c r="H236" s="2">
        <f>$C236+total_production!G236</f>
        <v>207911.71395510907</v>
      </c>
      <c r="I236" s="2">
        <f>$C236+total_production!H236</f>
        <v>207935.87649600956</v>
      </c>
      <c r="J236" s="2">
        <f>$C236+total_production!I236</f>
        <v>207969.62163462464</v>
      </c>
      <c r="K236" s="2">
        <f>$C236+total_production!J236</f>
        <v>208031.75513400775</v>
      </c>
      <c r="L236" s="2">
        <f>$C236+total_production!K236</f>
        <v>208063.15674489769</v>
      </c>
      <c r="M236" s="2">
        <f>$C236+total_production!L236</f>
        <v>208153.18088989836</v>
      </c>
      <c r="N236" s="2">
        <f>$C236+total_production!M236</f>
        <v>208189.01372516697</v>
      </c>
      <c r="O236" s="2">
        <f>$C236+total_production!N236</f>
        <v>208221.607790054</v>
      </c>
      <c r="P236" s="2">
        <f>$C236+total_production!O236</f>
        <v>208221.607790054</v>
      </c>
      <c r="Q236" s="2">
        <f>$C236+total_production!P236</f>
        <v>208221.607790054</v>
      </c>
      <c r="R236" s="2">
        <f>$C236+total_production!Q236</f>
        <v>208250.00498448758</v>
      </c>
      <c r="S236" s="2">
        <f>$C236+total_production!R236</f>
        <v>208250.00498448758</v>
      </c>
      <c r="T236" s="2">
        <f>$C236+total_production!S236</f>
        <v>208282.03472271038</v>
      </c>
      <c r="U236" s="2">
        <f>$C236+total_production!T236</f>
        <v>208282.03472271038</v>
      </c>
      <c r="V236" s="2">
        <f>$C236+total_production!U236</f>
        <v>208310.41791591016</v>
      </c>
      <c r="W236" s="2">
        <f>$C236+total_production!V236</f>
        <v>208310.41791591016</v>
      </c>
      <c r="X236" s="2">
        <f>$C236+total_production!W236</f>
        <v>208335.24447642386</v>
      </c>
      <c r="Y236" s="2">
        <f>$C236+total_production!X236</f>
        <v>208335.24447642386</v>
      </c>
      <c r="Z236" s="2">
        <f>$C236+total_production!Y236</f>
        <v>208335.24447642386</v>
      </c>
      <c r="AA236" s="2">
        <f>$C236+total_production!Z236</f>
        <v>208335.24447642386</v>
      </c>
      <c r="AB236" s="2">
        <f>$C236+total_production!AA236</f>
        <v>208335.24447642386</v>
      </c>
    </row>
    <row r="237" spans="1:28" x14ac:dyDescent="0.2">
      <c r="A237" t="s">
        <v>946</v>
      </c>
      <c r="B237" t="s">
        <v>947</v>
      </c>
      <c r="C237" s="1">
        <v>89035</v>
      </c>
      <c r="D237" s="2">
        <f>$C237+total_production!C237</f>
        <v>89038.030863046122</v>
      </c>
      <c r="E237" s="2">
        <f>$C237+total_production!D237</f>
        <v>89037.860520218019</v>
      </c>
      <c r="F237" s="2">
        <f>$C237+total_production!E237</f>
        <v>89038.01940517436</v>
      </c>
      <c r="G237" s="2">
        <f>$C237+total_production!F237</f>
        <v>89038.064371658824</v>
      </c>
      <c r="H237" s="2">
        <f>$C237+total_production!G237</f>
        <v>89037.341814977306</v>
      </c>
      <c r="I237" s="2">
        <f>$C237+total_production!H237</f>
        <v>89037.556182500033</v>
      </c>
      <c r="J237" s="2">
        <f>$C237+total_production!I237</f>
        <v>89037.85556582229</v>
      </c>
      <c r="K237" s="2">
        <f>$C237+total_production!J237</f>
        <v>89037.996473844512</v>
      </c>
      <c r="L237" s="2">
        <f>$C237+total_production!K237</f>
        <v>89038.275065635156</v>
      </c>
      <c r="M237" s="2">
        <f>$C237+total_production!L237</f>
        <v>89038.55431669169</v>
      </c>
      <c r="N237" s="2">
        <f>$C237+total_production!M237</f>
        <v>89038.531275787536</v>
      </c>
      <c r="O237" s="2">
        <f>$C237+total_production!N237</f>
        <v>89038.522389890451</v>
      </c>
      <c r="P237" s="2">
        <f>$C237+total_production!O237</f>
        <v>89038.522389890451</v>
      </c>
      <c r="Q237" s="2">
        <f>$C237+total_production!P237</f>
        <v>89038.522389890451</v>
      </c>
      <c r="R237" s="2">
        <f>$C237+total_production!Q237</f>
        <v>89038.512660510969</v>
      </c>
      <c r="S237" s="2">
        <f>$C237+total_production!R237</f>
        <v>89038.512660510969</v>
      </c>
      <c r="T237" s="2">
        <f>$C237+total_production!S237</f>
        <v>89038.508010040488</v>
      </c>
      <c r="U237" s="2">
        <f>$C237+total_production!T237</f>
        <v>89038.508010040488</v>
      </c>
      <c r="V237" s="2">
        <f>$C237+total_production!U237</f>
        <v>89038.485159707401</v>
      </c>
      <c r="W237" s="2">
        <f>$C237+total_production!V237</f>
        <v>89038.485159707401</v>
      </c>
      <c r="X237" s="2">
        <f>$C237+total_production!W237</f>
        <v>89038.47155046773</v>
      </c>
      <c r="Y237" s="2">
        <f>$C237+total_production!X237</f>
        <v>89038.47155046773</v>
      </c>
      <c r="Z237" s="2">
        <f>$C237+total_production!Y237</f>
        <v>89038.47155046773</v>
      </c>
      <c r="AA237" s="2">
        <f>$C237+total_production!Z237</f>
        <v>89038.47155046773</v>
      </c>
      <c r="AB237" s="2">
        <f>$C237+total_production!AA237</f>
        <v>89038.47155046773</v>
      </c>
    </row>
    <row r="238" spans="1:28" x14ac:dyDescent="0.2">
      <c r="A238" t="s">
        <v>914</v>
      </c>
      <c r="B238" t="s">
        <v>915</v>
      </c>
      <c r="C238" s="1">
        <v>502803</v>
      </c>
      <c r="D238" s="2">
        <f>$C238+total_production!C238</f>
        <v>502843.45639453729</v>
      </c>
      <c r="E238" s="2">
        <f>$C238+total_production!D238</f>
        <v>502782.84512996429</v>
      </c>
      <c r="F238" s="2">
        <f>$C238+total_production!E238</f>
        <v>502788.43330543261</v>
      </c>
      <c r="G238" s="2">
        <f>$C238+total_production!F238</f>
        <v>502768.16678791709</v>
      </c>
      <c r="H238" s="2">
        <f>$C238+total_production!G238</f>
        <v>502557.56195700169</v>
      </c>
      <c r="I238" s="2">
        <f>$C238+total_production!H238</f>
        <v>502565.10152122035</v>
      </c>
      <c r="J238" s="2">
        <f>$C238+total_production!I238</f>
        <v>502575.63119360473</v>
      </c>
      <c r="K238" s="2">
        <f>$C238+total_production!J238</f>
        <v>502477.2776748148</v>
      </c>
      <c r="L238" s="2">
        <f>$C238+total_production!K238</f>
        <v>502487.07608396595</v>
      </c>
      <c r="M238" s="2">
        <f>$C238+total_production!L238</f>
        <v>502366.12027717353</v>
      </c>
      <c r="N238" s="2">
        <f>$C238+total_production!M238</f>
        <v>502279.47018773347</v>
      </c>
      <c r="O238" s="2">
        <f>$C238+total_production!N238</f>
        <v>502204.11608539778</v>
      </c>
      <c r="P238" s="2">
        <f>$C238+total_production!O238</f>
        <v>502204.11608539778</v>
      </c>
      <c r="Q238" s="2">
        <f>$C238+total_production!P238</f>
        <v>502204.11608539778</v>
      </c>
      <c r="R238" s="2">
        <f>$C238+total_production!Q238</f>
        <v>502137.89437680773</v>
      </c>
      <c r="S238" s="2">
        <f>$C238+total_production!R238</f>
        <v>502137.89437680773</v>
      </c>
      <c r="T238" s="2">
        <f>$C238+total_production!S238</f>
        <v>502065.01610892353</v>
      </c>
      <c r="U238" s="2">
        <f>$C238+total_production!T238</f>
        <v>502065.01610892353</v>
      </c>
      <c r="V238" s="2">
        <f>$C238+total_production!U238</f>
        <v>501995.06074278179</v>
      </c>
      <c r="W238" s="2">
        <f>$C238+total_production!V238</f>
        <v>501995.06074278179</v>
      </c>
      <c r="X238" s="2">
        <f>$C238+total_production!W238</f>
        <v>501935.70136282145</v>
      </c>
      <c r="Y238" s="2">
        <f>$C238+total_production!X238</f>
        <v>501935.70136282145</v>
      </c>
      <c r="Z238" s="2">
        <f>$C238+total_production!Y238</f>
        <v>501935.70136282145</v>
      </c>
      <c r="AA238" s="2">
        <f>$C238+total_production!Z238</f>
        <v>501935.70136282145</v>
      </c>
      <c r="AB238" s="2">
        <f>$C238+total_production!AA238</f>
        <v>501935.70136282145</v>
      </c>
    </row>
    <row r="239" spans="1:28" x14ac:dyDescent="0.2">
      <c r="A239" t="s">
        <v>936</v>
      </c>
      <c r="B239" t="s">
        <v>937</v>
      </c>
      <c r="C239" s="1">
        <v>53177</v>
      </c>
      <c r="D239" s="2">
        <f>$C239+total_production!C239</f>
        <v>53190.20136883168</v>
      </c>
      <c r="E239" s="2">
        <f>$C239+total_production!D239</f>
        <v>53189.366088404226</v>
      </c>
      <c r="F239" s="2">
        <f>$C239+total_production!E239</f>
        <v>53190.063682162014</v>
      </c>
      <c r="G239" s="2">
        <f>$C239+total_production!F239</f>
        <v>53190.226158073121</v>
      </c>
      <c r="H239" s="2">
        <f>$C239+total_production!G239</f>
        <v>53186.757464315604</v>
      </c>
      <c r="I239" s="2">
        <f>$C239+total_production!H239</f>
        <v>53187.698657548557</v>
      </c>
      <c r="J239" s="2">
        <f>$C239+total_production!I239</f>
        <v>53189.013117656068</v>
      </c>
      <c r="K239" s="2">
        <f>$C239+total_production!J239</f>
        <v>53189.466510158229</v>
      </c>
      <c r="L239" s="2">
        <f>$C239+total_production!K239</f>
        <v>53190.689683821758</v>
      </c>
      <c r="M239" s="2">
        <f>$C239+total_production!L239</f>
        <v>53191.706536808117</v>
      </c>
      <c r="N239" s="2">
        <f>$C239+total_production!M239</f>
        <v>53191.468049607538</v>
      </c>
      <c r="O239" s="2">
        <f>$C239+total_production!N239</f>
        <v>53191.308985457385</v>
      </c>
      <c r="P239" s="2">
        <f>$C239+total_production!O239</f>
        <v>53191.308985457385</v>
      </c>
      <c r="Q239" s="2">
        <f>$C239+total_production!P239</f>
        <v>53191.308985457385</v>
      </c>
      <c r="R239" s="2">
        <f>$C239+total_production!Q239</f>
        <v>53191.160875238929</v>
      </c>
      <c r="S239" s="2">
        <f>$C239+total_production!R239</f>
        <v>53191.160875238929</v>
      </c>
      <c r="T239" s="2">
        <f>$C239+total_production!S239</f>
        <v>53191.024129460449</v>
      </c>
      <c r="U239" s="2">
        <f>$C239+total_production!T239</f>
        <v>53191.024129460449</v>
      </c>
      <c r="V239" s="2">
        <f>$C239+total_production!U239</f>
        <v>53190.813176154188</v>
      </c>
      <c r="W239" s="2">
        <f>$C239+total_production!V239</f>
        <v>53190.813176154188</v>
      </c>
      <c r="X239" s="2">
        <f>$C239+total_production!W239</f>
        <v>53190.659227710057</v>
      </c>
      <c r="Y239" s="2">
        <f>$C239+total_production!X239</f>
        <v>53190.659227710057</v>
      </c>
      <c r="Z239" s="2">
        <f>$C239+total_production!Y239</f>
        <v>53190.659227710057</v>
      </c>
      <c r="AA239" s="2">
        <f>$C239+total_production!Z239</f>
        <v>53190.659227710057</v>
      </c>
      <c r="AB239" s="2">
        <f>$C239+total_production!AA239</f>
        <v>53190.659227710057</v>
      </c>
    </row>
    <row r="240" spans="1:28" x14ac:dyDescent="0.2">
      <c r="A240" t="s">
        <v>942</v>
      </c>
      <c r="B240" t="s">
        <v>943</v>
      </c>
      <c r="C240" s="1">
        <v>20131</v>
      </c>
      <c r="D240" s="2">
        <f>$C240+total_production!C240</f>
        <v>20134.5256335003</v>
      </c>
      <c r="E240" s="2">
        <f>$C240+total_production!D240</f>
        <v>20133.652776319304</v>
      </c>
      <c r="F240" s="2">
        <f>$C240+total_production!E240</f>
        <v>20133.877700280489</v>
      </c>
      <c r="G240" s="2">
        <f>$C240+total_production!F240</f>
        <v>20133.688671428918</v>
      </c>
      <c r="H240" s="2">
        <f>$C240+total_production!G240</f>
        <v>20130.523942824231</v>
      </c>
      <c r="I240" s="2">
        <f>$C240+total_production!H240</f>
        <v>20130.827410147202</v>
      </c>
      <c r="J240" s="2">
        <f>$C240+total_production!I240</f>
        <v>20131.251229269576</v>
      </c>
      <c r="K240" s="2">
        <f>$C240+total_production!J240</f>
        <v>20130.255871262678</v>
      </c>
      <c r="L240" s="2">
        <f>$C240+total_production!K240</f>
        <v>20130.650257053185</v>
      </c>
      <c r="M240" s="2">
        <f>$C240+total_production!L240</f>
        <v>20129.533060003785</v>
      </c>
      <c r="N240" s="2">
        <f>$C240+total_production!M240</f>
        <v>20128.507656559719</v>
      </c>
      <c r="O240" s="2">
        <f>$C240+total_production!N240</f>
        <v>20127.627178216761</v>
      </c>
      <c r="P240" s="2">
        <f>$C240+total_production!O240</f>
        <v>20127.627178216761</v>
      </c>
      <c r="Q240" s="2">
        <f>$C240+total_production!P240</f>
        <v>20127.627178216761</v>
      </c>
      <c r="R240" s="2">
        <f>$C240+total_production!Q240</f>
        <v>20126.851470316746</v>
      </c>
      <c r="S240" s="2">
        <f>$C240+total_production!R240</f>
        <v>20126.851470316746</v>
      </c>
      <c r="T240" s="2">
        <f>$C240+total_production!S240</f>
        <v>20126.003899401814</v>
      </c>
      <c r="U240" s="2">
        <f>$C240+total_production!T240</f>
        <v>20126.003899401814</v>
      </c>
      <c r="V240" s="2">
        <f>$C240+total_production!U240</f>
        <v>20125.171772325775</v>
      </c>
      <c r="W240" s="2">
        <f>$C240+total_production!V240</f>
        <v>20125.171772325775</v>
      </c>
      <c r="X240" s="2">
        <f>$C240+total_production!W240</f>
        <v>20124.471516960246</v>
      </c>
      <c r="Y240" s="2">
        <f>$C240+total_production!X240</f>
        <v>20124.471516960246</v>
      </c>
      <c r="Z240" s="2">
        <f>$C240+total_production!Y240</f>
        <v>20124.471516960246</v>
      </c>
      <c r="AA240" s="2">
        <f>$C240+total_production!Z240</f>
        <v>20124.471516960246</v>
      </c>
      <c r="AB240" s="2">
        <f>$C240+total_production!AA240</f>
        <v>20124.471516960246</v>
      </c>
    </row>
    <row r="241" spans="1:28" x14ac:dyDescent="0.2">
      <c r="A241" t="s">
        <v>874</v>
      </c>
      <c r="B241" t="s">
        <v>283</v>
      </c>
      <c r="C241" s="1">
        <v>795136</v>
      </c>
      <c r="D241" s="2">
        <f>$C241+total_production!C241</f>
        <v>795629.1009884025</v>
      </c>
      <c r="E241" s="2">
        <f>$C241+total_production!D241</f>
        <v>795632.34968048299</v>
      </c>
      <c r="F241" s="2">
        <f>$C241+total_production!E241</f>
        <v>795656.3589109038</v>
      </c>
      <c r="G241" s="2">
        <f>$C241+total_production!F241</f>
        <v>795674.74956502544</v>
      </c>
      <c r="H241" s="2">
        <f>$C241+total_production!G241</f>
        <v>795663.8529430062</v>
      </c>
      <c r="I241" s="2">
        <f>$C241+total_production!H241</f>
        <v>795696.24618756806</v>
      </c>
      <c r="J241" s="2">
        <f>$C241+total_production!I241</f>
        <v>795741.48623630416</v>
      </c>
      <c r="K241" s="2">
        <f>$C241+total_production!J241</f>
        <v>795817.60988891055</v>
      </c>
      <c r="L241" s="2">
        <f>$C241+total_production!K241</f>
        <v>795859.7081129913</v>
      </c>
      <c r="M241" s="2">
        <f>$C241+total_production!L241</f>
        <v>795971.31537494226</v>
      </c>
      <c r="N241" s="2">
        <f>$C241+total_production!M241</f>
        <v>796013.39261996932</v>
      </c>
      <c r="O241" s="2">
        <f>$C241+total_production!N241</f>
        <v>796051.87778430362</v>
      </c>
      <c r="P241" s="2">
        <f>$C241+total_production!O241</f>
        <v>796051.87778430362</v>
      </c>
      <c r="Q241" s="2">
        <f>$C241+total_production!P241</f>
        <v>796051.87778430362</v>
      </c>
      <c r="R241" s="2">
        <f>$C241+total_production!Q241</f>
        <v>796085.37277439702</v>
      </c>
      <c r="S241" s="2">
        <f>$C241+total_production!R241</f>
        <v>796085.37277439702</v>
      </c>
      <c r="T241" s="2">
        <f>$C241+total_production!S241</f>
        <v>796123.26298373321</v>
      </c>
      <c r="U241" s="2">
        <f>$C241+total_production!T241</f>
        <v>796123.26298373321</v>
      </c>
      <c r="V241" s="2">
        <f>$C241+total_production!U241</f>
        <v>796156.51194730797</v>
      </c>
      <c r="W241" s="2">
        <f>$C241+total_production!V241</f>
        <v>796156.51194730797</v>
      </c>
      <c r="X241" s="2">
        <f>$C241+total_production!W241</f>
        <v>796185.70607893774</v>
      </c>
      <c r="Y241" s="2">
        <f>$C241+total_production!X241</f>
        <v>796185.70607893774</v>
      </c>
      <c r="Z241" s="2">
        <f>$C241+total_production!Y241</f>
        <v>796185.70607893774</v>
      </c>
      <c r="AA241" s="2">
        <f>$C241+total_production!Z241</f>
        <v>796185.70607893774</v>
      </c>
      <c r="AB241" s="2">
        <f>$C241+total_production!AA241</f>
        <v>796185.70607893774</v>
      </c>
    </row>
    <row r="242" spans="1:28" x14ac:dyDescent="0.2">
      <c r="A242" t="s">
        <v>1005</v>
      </c>
      <c r="B242" t="s">
        <v>1006</v>
      </c>
      <c r="C242" s="1">
        <v>15862</v>
      </c>
      <c r="D242" s="2">
        <f>$C242+total_production!C242</f>
        <v>15862</v>
      </c>
      <c r="E242" s="2">
        <f>$C242+total_production!D242</f>
        <v>15862</v>
      </c>
      <c r="F242" s="2">
        <f>$C242+total_production!E242</f>
        <v>15862</v>
      </c>
      <c r="G242" s="2">
        <f>$C242+total_production!F242</f>
        <v>15862</v>
      </c>
      <c r="H242" s="2">
        <f>$C242+total_production!G242</f>
        <v>15862</v>
      </c>
      <c r="I242" s="2">
        <f>$C242+total_production!H242</f>
        <v>15862</v>
      </c>
      <c r="J242" s="2">
        <f>$C242+total_production!I242</f>
        <v>15862</v>
      </c>
      <c r="K242" s="2">
        <f>$C242+total_production!J242</f>
        <v>15862</v>
      </c>
      <c r="L242" s="2">
        <f>$C242+total_production!K242</f>
        <v>15862</v>
      </c>
      <c r="M242" s="2">
        <f>$C242+total_production!L242</f>
        <v>15862</v>
      </c>
      <c r="N242" s="2">
        <f>$C242+total_production!M242</f>
        <v>15862</v>
      </c>
      <c r="O242" s="2">
        <f>$C242+total_production!N242</f>
        <v>15862</v>
      </c>
      <c r="P242" s="2">
        <f>$C242+total_production!O242</f>
        <v>15862</v>
      </c>
      <c r="Q242" s="2">
        <f>$C242+total_production!P242</f>
        <v>15862</v>
      </c>
      <c r="R242" s="2">
        <f>$C242+total_production!Q242</f>
        <v>15862</v>
      </c>
      <c r="S242" s="2">
        <f>$C242+total_production!R242</f>
        <v>15862</v>
      </c>
      <c r="T242" s="2">
        <f>$C242+total_production!S242</f>
        <v>15862</v>
      </c>
      <c r="U242" s="2">
        <f>$C242+total_production!T242</f>
        <v>15862</v>
      </c>
      <c r="V242" s="2">
        <f>$C242+total_production!U242</f>
        <v>15862</v>
      </c>
      <c r="W242" s="2">
        <f>$C242+total_production!V242</f>
        <v>15862</v>
      </c>
      <c r="X242" s="2">
        <f>$C242+total_production!W242</f>
        <v>15862</v>
      </c>
      <c r="Y242" s="2">
        <f>$C242+total_production!X242</f>
        <v>15862</v>
      </c>
      <c r="Z242" s="2">
        <f>$C242+total_production!Y242</f>
        <v>15862</v>
      </c>
      <c r="AA242" s="2">
        <f>$C242+total_production!Z242</f>
        <v>15862</v>
      </c>
      <c r="AB242" s="2">
        <f>$C242+total_production!AA242</f>
        <v>15862</v>
      </c>
    </row>
    <row r="243" spans="1:28" x14ac:dyDescent="0.2">
      <c r="A243" t="s">
        <v>1007</v>
      </c>
      <c r="B243" t="s">
        <v>1008</v>
      </c>
      <c r="C243" s="1">
        <v>7393</v>
      </c>
      <c r="D243" s="2">
        <f>$C243+total_production!C243</f>
        <v>7393</v>
      </c>
      <c r="E243" s="2">
        <f>$C243+total_production!D243</f>
        <v>7393</v>
      </c>
      <c r="F243" s="2">
        <f>$C243+total_production!E243</f>
        <v>7393</v>
      </c>
      <c r="G243" s="2">
        <f>$C243+total_production!F243</f>
        <v>7393</v>
      </c>
      <c r="H243" s="2">
        <f>$C243+total_production!G243</f>
        <v>7393</v>
      </c>
      <c r="I243" s="2">
        <f>$C243+total_production!H243</f>
        <v>7393</v>
      </c>
      <c r="J243" s="2">
        <f>$C243+total_production!I243</f>
        <v>7393</v>
      </c>
      <c r="K243" s="2">
        <f>$C243+total_production!J243</f>
        <v>7393</v>
      </c>
      <c r="L243" s="2">
        <f>$C243+total_production!K243</f>
        <v>7393</v>
      </c>
      <c r="M243" s="2">
        <f>$C243+total_production!L243</f>
        <v>7393</v>
      </c>
      <c r="N243" s="2">
        <f>$C243+total_production!M243</f>
        <v>7393</v>
      </c>
      <c r="O243" s="2">
        <f>$C243+total_production!N243</f>
        <v>7393</v>
      </c>
      <c r="P243" s="2">
        <f>$C243+total_production!O243</f>
        <v>7393</v>
      </c>
      <c r="Q243" s="2">
        <f>$C243+total_production!P243</f>
        <v>7393</v>
      </c>
      <c r="R243" s="2">
        <f>$C243+total_production!Q243</f>
        <v>7393</v>
      </c>
      <c r="S243" s="2">
        <f>$C243+total_production!R243</f>
        <v>7393</v>
      </c>
      <c r="T243" s="2">
        <f>$C243+total_production!S243</f>
        <v>7393</v>
      </c>
      <c r="U243" s="2">
        <f>$C243+total_production!T243</f>
        <v>7393</v>
      </c>
      <c r="V243" s="2">
        <f>$C243+total_production!U243</f>
        <v>7393</v>
      </c>
      <c r="W243" s="2">
        <f>$C243+total_production!V243</f>
        <v>7393</v>
      </c>
      <c r="X243" s="2">
        <f>$C243+total_production!W243</f>
        <v>7393</v>
      </c>
      <c r="Y243" s="2">
        <f>$C243+total_production!X243</f>
        <v>7393</v>
      </c>
      <c r="Z243" s="2">
        <f>$C243+total_production!Y243</f>
        <v>7393</v>
      </c>
      <c r="AA243" s="2">
        <f>$C243+total_production!Z243</f>
        <v>7393</v>
      </c>
      <c r="AB243" s="2">
        <f>$C243+total_production!AA243</f>
        <v>7393</v>
      </c>
    </row>
    <row r="244" spans="1:28" x14ac:dyDescent="0.2">
      <c r="A244" t="s">
        <v>994</v>
      </c>
      <c r="B244" t="s">
        <v>995</v>
      </c>
      <c r="C244" s="1">
        <v>3069</v>
      </c>
      <c r="D244" s="2">
        <f>$C244+total_production!C244</f>
        <v>3069</v>
      </c>
      <c r="E244" s="2">
        <f>$C244+total_production!D244</f>
        <v>3069</v>
      </c>
      <c r="F244" s="2">
        <f>$C244+total_production!E244</f>
        <v>3069</v>
      </c>
      <c r="G244" s="2">
        <f>$C244+total_production!F244</f>
        <v>3069</v>
      </c>
      <c r="H244" s="2">
        <f>$C244+total_production!G244</f>
        <v>3069</v>
      </c>
      <c r="I244" s="2">
        <f>$C244+total_production!H244</f>
        <v>3069</v>
      </c>
      <c r="J244" s="2">
        <f>$C244+total_production!I244</f>
        <v>3069</v>
      </c>
      <c r="K244" s="2">
        <f>$C244+total_production!J244</f>
        <v>3069</v>
      </c>
      <c r="L244" s="2">
        <f>$C244+total_production!K244</f>
        <v>3069</v>
      </c>
      <c r="M244" s="2">
        <f>$C244+total_production!L244</f>
        <v>3069</v>
      </c>
      <c r="N244" s="2">
        <f>$C244+total_production!M244</f>
        <v>3069</v>
      </c>
      <c r="O244" s="2">
        <f>$C244+total_production!N244</f>
        <v>3069</v>
      </c>
      <c r="P244" s="2">
        <f>$C244+total_production!O244</f>
        <v>3069</v>
      </c>
      <c r="Q244" s="2">
        <f>$C244+total_production!P244</f>
        <v>3069</v>
      </c>
      <c r="R244" s="2">
        <f>$C244+total_production!Q244</f>
        <v>3069</v>
      </c>
      <c r="S244" s="2">
        <f>$C244+total_production!R244</f>
        <v>3069</v>
      </c>
      <c r="T244" s="2">
        <f>$C244+total_production!S244</f>
        <v>3069</v>
      </c>
      <c r="U244" s="2">
        <f>$C244+total_production!T244</f>
        <v>3069</v>
      </c>
      <c r="V244" s="2">
        <f>$C244+total_production!U244</f>
        <v>3069</v>
      </c>
      <c r="W244" s="2">
        <f>$C244+total_production!V244</f>
        <v>3069</v>
      </c>
      <c r="X244" s="2">
        <f>$C244+total_production!W244</f>
        <v>3069</v>
      </c>
      <c r="Y244" s="2">
        <f>$C244+total_production!X244</f>
        <v>3069</v>
      </c>
      <c r="Z244" s="2">
        <f>$C244+total_production!Y244</f>
        <v>3069</v>
      </c>
      <c r="AA244" s="2">
        <f>$C244+total_production!Z244</f>
        <v>3069</v>
      </c>
      <c r="AB244" s="2">
        <f>$C244+total_production!AA244</f>
        <v>3069</v>
      </c>
    </row>
    <row r="245" spans="1:28" x14ac:dyDescent="0.2">
      <c r="A245" t="s">
        <v>1009</v>
      </c>
      <c r="B245" t="s">
        <v>1010</v>
      </c>
      <c r="C245" s="1">
        <v>227630</v>
      </c>
      <c r="D245" s="2">
        <f>$C245+total_production!C245</f>
        <v>227630</v>
      </c>
      <c r="E245" s="2">
        <f>$C245+total_production!D245</f>
        <v>227630</v>
      </c>
      <c r="F245" s="2">
        <f>$C245+total_production!E245</f>
        <v>227630</v>
      </c>
      <c r="G245" s="2">
        <f>$C245+total_production!F245</f>
        <v>227630</v>
      </c>
      <c r="H245" s="2">
        <f>$C245+total_production!G245</f>
        <v>227630</v>
      </c>
      <c r="I245" s="2">
        <f>$C245+total_production!H245</f>
        <v>227630</v>
      </c>
      <c r="J245" s="2">
        <f>$C245+total_production!I245</f>
        <v>227630</v>
      </c>
      <c r="K245" s="2">
        <f>$C245+total_production!J245</f>
        <v>227630</v>
      </c>
      <c r="L245" s="2">
        <f>$C245+total_production!K245</f>
        <v>227630</v>
      </c>
      <c r="M245" s="2">
        <f>$C245+total_production!L245</f>
        <v>227630</v>
      </c>
      <c r="N245" s="2">
        <f>$C245+total_production!M245</f>
        <v>227630</v>
      </c>
      <c r="O245" s="2">
        <f>$C245+total_production!N245</f>
        <v>227630</v>
      </c>
      <c r="P245" s="2">
        <f>$C245+total_production!O245</f>
        <v>227630</v>
      </c>
      <c r="Q245" s="2">
        <f>$C245+total_production!P245</f>
        <v>227630</v>
      </c>
      <c r="R245" s="2">
        <f>$C245+total_production!Q245</f>
        <v>227630</v>
      </c>
      <c r="S245" s="2">
        <f>$C245+total_production!R245</f>
        <v>227630</v>
      </c>
      <c r="T245" s="2">
        <f>$C245+total_production!S245</f>
        <v>227630</v>
      </c>
      <c r="U245" s="2">
        <f>$C245+total_production!T245</f>
        <v>227630</v>
      </c>
      <c r="V245" s="2">
        <f>$C245+total_production!U245</f>
        <v>227630</v>
      </c>
      <c r="W245" s="2">
        <f>$C245+total_production!V245</f>
        <v>227630</v>
      </c>
      <c r="X245" s="2">
        <f>$C245+total_production!W245</f>
        <v>227630</v>
      </c>
      <c r="Y245" s="2">
        <f>$C245+total_production!X245</f>
        <v>227630</v>
      </c>
      <c r="Z245" s="2">
        <f>$C245+total_production!Y245</f>
        <v>227630</v>
      </c>
      <c r="AA245" s="2">
        <f>$C245+total_production!Z245</f>
        <v>227630</v>
      </c>
      <c r="AB245" s="2">
        <f>$C245+total_production!AA245</f>
        <v>227630</v>
      </c>
    </row>
    <row r="246" spans="1:28" x14ac:dyDescent="0.2">
      <c r="A246" t="s">
        <v>1013</v>
      </c>
      <c r="B246" t="s">
        <v>1014</v>
      </c>
      <c r="C246" s="1">
        <v>0</v>
      </c>
      <c r="D246" s="2">
        <f>$C246+total_production!C246</f>
        <v>0</v>
      </c>
      <c r="E246" s="2">
        <f>$C246+total_production!D246</f>
        <v>0</v>
      </c>
      <c r="F246" s="2">
        <f>$C246+total_production!E246</f>
        <v>0</v>
      </c>
      <c r="G246" s="2">
        <f>$C246+total_production!F246</f>
        <v>0</v>
      </c>
      <c r="H246" s="2">
        <f>$C246+total_production!G246</f>
        <v>0</v>
      </c>
      <c r="I246" s="2">
        <f>$C246+total_production!H246</f>
        <v>0</v>
      </c>
      <c r="J246" s="2">
        <f>$C246+total_production!I246</f>
        <v>0</v>
      </c>
      <c r="K246" s="2">
        <f>$C246+total_production!J246</f>
        <v>0</v>
      </c>
      <c r="L246" s="2">
        <f>$C246+total_production!K246</f>
        <v>0</v>
      </c>
      <c r="M246" s="2">
        <f>$C246+total_production!L246</f>
        <v>0</v>
      </c>
      <c r="N246" s="2">
        <f>$C246+total_production!M246</f>
        <v>0</v>
      </c>
      <c r="O246" s="2">
        <f>$C246+total_production!N246</f>
        <v>0</v>
      </c>
      <c r="P246" s="2">
        <f>$C246+total_production!O246</f>
        <v>0</v>
      </c>
      <c r="Q246" s="2">
        <f>$C246+total_production!P246</f>
        <v>0</v>
      </c>
      <c r="R246" s="2">
        <f>$C246+total_production!Q246</f>
        <v>0</v>
      </c>
      <c r="S246" s="2">
        <f>$C246+total_production!R246</f>
        <v>0</v>
      </c>
      <c r="T246" s="2">
        <f>$C246+total_production!S246</f>
        <v>0</v>
      </c>
      <c r="U246" s="2">
        <f>$C246+total_production!T246</f>
        <v>0</v>
      </c>
      <c r="V246" s="2">
        <f>$C246+total_production!U246</f>
        <v>0</v>
      </c>
      <c r="W246" s="2">
        <f>$C246+total_production!V246</f>
        <v>0</v>
      </c>
      <c r="X246" s="2">
        <f>$C246+total_production!W246</f>
        <v>0</v>
      </c>
      <c r="Y246" s="2">
        <f>$C246+total_production!X246</f>
        <v>0</v>
      </c>
      <c r="Z246" s="2">
        <f>$C246+total_production!Y246</f>
        <v>0</v>
      </c>
      <c r="AA246" s="2">
        <f>$C246+total_production!Z246</f>
        <v>0</v>
      </c>
      <c r="AB246" s="2">
        <f>$C246+total_production!AA246</f>
        <v>0</v>
      </c>
    </row>
    <row r="247" spans="1:28" x14ac:dyDescent="0.2">
      <c r="A247" t="s">
        <v>932</v>
      </c>
      <c r="B247" t="s">
        <v>933</v>
      </c>
      <c r="C247" s="1">
        <v>69186</v>
      </c>
      <c r="D247" s="2">
        <f>$C247+total_production!C247</f>
        <v>69206.347415113414</v>
      </c>
      <c r="E247" s="2">
        <f>$C247+total_production!D247</f>
        <v>69203.993200893296</v>
      </c>
      <c r="F247" s="2">
        <f>$C247+total_production!E247</f>
        <v>69205.131815555549</v>
      </c>
      <c r="G247" s="2">
        <f>$C247+total_production!F247</f>
        <v>69205.00066241181</v>
      </c>
      <c r="H247" s="2">
        <f>$C247+total_production!G247</f>
        <v>69195.979475804095</v>
      </c>
      <c r="I247" s="2">
        <f>$C247+total_production!H247</f>
        <v>69197.515694273796</v>
      </c>
      <c r="J247" s="2">
        <f>$C247+total_production!I247</f>
        <v>69199.66116007627</v>
      </c>
      <c r="K247" s="2">
        <f>$C247+total_production!J247</f>
        <v>69198.527045474475</v>
      </c>
      <c r="L247" s="2">
        <f>$C247+total_production!K247</f>
        <v>69200.523513264256</v>
      </c>
      <c r="M247" s="2">
        <f>$C247+total_production!L247</f>
        <v>69199.810782119675</v>
      </c>
      <c r="N247" s="2">
        <f>$C247+total_production!M247</f>
        <v>69197.864298555302</v>
      </c>
      <c r="O247" s="2">
        <f>$C247+total_production!N247</f>
        <v>69196.243339294524</v>
      </c>
      <c r="P247" s="2">
        <f>$C247+total_production!O247</f>
        <v>69196.243339294524</v>
      </c>
      <c r="Q247" s="2">
        <f>$C247+total_production!P247</f>
        <v>69196.243339294524</v>
      </c>
      <c r="R247" s="2">
        <f>$C247+total_production!Q247</f>
        <v>69194.806468623938</v>
      </c>
      <c r="S247" s="2">
        <f>$C247+total_production!R247</f>
        <v>69194.806468623938</v>
      </c>
      <c r="T247" s="2">
        <f>$C247+total_production!S247</f>
        <v>69193.264149372233</v>
      </c>
      <c r="U247" s="2">
        <f>$C247+total_production!T247</f>
        <v>69193.264149372233</v>
      </c>
      <c r="V247" s="2">
        <f>$C247+total_production!U247</f>
        <v>69191.665345223591</v>
      </c>
      <c r="W247" s="2">
        <f>$C247+total_production!V247</f>
        <v>69191.665345223591</v>
      </c>
      <c r="X247" s="2">
        <f>$C247+total_production!W247</f>
        <v>69190.345910868433</v>
      </c>
      <c r="Y247" s="2">
        <f>$C247+total_production!X247</f>
        <v>69190.345910868433</v>
      </c>
      <c r="Z247" s="2">
        <f>$C247+total_production!Y247</f>
        <v>69190.345910868433</v>
      </c>
      <c r="AA247" s="2">
        <f>$C247+total_production!Z247</f>
        <v>69190.345910868433</v>
      </c>
      <c r="AB247" s="2">
        <f>$C247+total_production!AA247</f>
        <v>69190.345910868433</v>
      </c>
    </row>
    <row r="248" spans="1:28" x14ac:dyDescent="0.2">
      <c r="A248" t="s">
        <v>708</v>
      </c>
      <c r="B248" t="s">
        <v>709</v>
      </c>
      <c r="C248" s="1">
        <v>17278175</v>
      </c>
      <c r="D248" s="2">
        <f>$C248+total_production!C248</f>
        <v>17280710.98302982</v>
      </c>
      <c r="E248" s="2">
        <f>$C248+total_production!D248</f>
        <v>17280406.513405439</v>
      </c>
      <c r="F248" s="2">
        <f>$C248+total_production!E248</f>
        <v>17280549.080703169</v>
      </c>
      <c r="G248" s="2">
        <f>$C248+total_production!F248</f>
        <v>17280528.780598089</v>
      </c>
      <c r="H248" s="2">
        <f>$C248+total_production!G248</f>
        <v>17279366.35356243</v>
      </c>
      <c r="I248" s="2">
        <f>$C248+total_production!H248</f>
        <v>17279558.705306362</v>
      </c>
      <c r="J248" s="2">
        <f>$C248+total_production!I248</f>
        <v>17279827.341634333</v>
      </c>
      <c r="K248" s="2">
        <f>$C248+total_production!J248</f>
        <v>17279666.999255173</v>
      </c>
      <c r="L248" s="2">
        <f>$C248+total_production!K248</f>
        <v>17279916.979364544</v>
      </c>
      <c r="M248" s="2">
        <f>$C248+total_production!L248</f>
        <v>17279804.523046635</v>
      </c>
      <c r="N248" s="2">
        <f>$C248+total_production!M248</f>
        <v>17279545.564044774</v>
      </c>
      <c r="O248" s="2">
        <f>$C248+total_production!N248</f>
        <v>17279329.281114887</v>
      </c>
      <c r="P248" s="2">
        <f>$C248+total_production!O248</f>
        <v>17279329.281114887</v>
      </c>
      <c r="Q248" s="2">
        <f>$C248+total_production!P248</f>
        <v>17279329.281114887</v>
      </c>
      <c r="R248" s="2">
        <f>$C248+total_production!Q248</f>
        <v>17279137.674501281</v>
      </c>
      <c r="S248" s="2">
        <f>$C248+total_production!R248</f>
        <v>17279137.674501281</v>
      </c>
      <c r="T248" s="2">
        <f>$C248+total_production!S248</f>
        <v>17278931.651225045</v>
      </c>
      <c r="U248" s="2">
        <f>$C248+total_production!T248</f>
        <v>17278931.651225045</v>
      </c>
      <c r="V248" s="2">
        <f>$C248+total_production!U248</f>
        <v>17278719.187880892</v>
      </c>
      <c r="W248" s="2">
        <f>$C248+total_production!V248</f>
        <v>17278719.187880892</v>
      </c>
      <c r="X248" s="2">
        <f>$C248+total_production!W248</f>
        <v>17278543.527968701</v>
      </c>
      <c r="Y248" s="2">
        <f>$C248+total_production!X248</f>
        <v>17278543.527968701</v>
      </c>
      <c r="Z248" s="2">
        <f>$C248+total_production!Y248</f>
        <v>17278543.527968701</v>
      </c>
      <c r="AA248" s="2">
        <f>$C248+total_production!Z248</f>
        <v>17278543.527968701</v>
      </c>
      <c r="AB248" s="2">
        <f>$C248+total_production!AA248</f>
        <v>17278543.527968701</v>
      </c>
    </row>
    <row r="249" spans="1:28" x14ac:dyDescent="0.2">
      <c r="A249" t="s">
        <v>382</v>
      </c>
      <c r="B249" t="s">
        <v>383</v>
      </c>
      <c r="C249" s="1">
        <v>60851977</v>
      </c>
      <c r="D249" s="2">
        <f>$C249+total_production!C249</f>
        <v>60921560.561292201</v>
      </c>
      <c r="E249" s="2">
        <f>$C249+total_production!D249</f>
        <v>60918995.685377315</v>
      </c>
      <c r="F249" s="2">
        <f>$C249+total_production!E249</f>
        <v>60922563.423238307</v>
      </c>
      <c r="G249" s="2">
        <f>$C249+total_production!F249</f>
        <v>60924077.197647981</v>
      </c>
      <c r="H249" s="2">
        <f>$C249+total_production!G249</f>
        <v>60912124.873692743</v>
      </c>
      <c r="I249" s="2">
        <f>$C249+total_production!H249</f>
        <v>60916938.464259274</v>
      </c>
      <c r="J249" s="2">
        <f>$C249+total_production!I249</f>
        <v>60923661.071851447</v>
      </c>
      <c r="K249" s="2">
        <f>$C249+total_production!J249</f>
        <v>60929208.60411112</v>
      </c>
      <c r="L249" s="2">
        <f>$C249+total_production!K249</f>
        <v>60935464.340979859</v>
      </c>
      <c r="M249" s="2">
        <f>$C249+total_production!L249</f>
        <v>60944752.062275052</v>
      </c>
      <c r="N249" s="2">
        <f>$C249+total_production!M249</f>
        <v>60946215.10025312</v>
      </c>
      <c r="O249" s="2">
        <f>$C249+total_production!N249</f>
        <v>60947746.861681469</v>
      </c>
      <c r="P249" s="2">
        <f>$C249+total_production!O249</f>
        <v>60947746.861681469</v>
      </c>
      <c r="Q249" s="2">
        <f>$C249+total_production!P249</f>
        <v>60947746.861681469</v>
      </c>
      <c r="R249" s="2">
        <f>$C249+total_production!Q249</f>
        <v>60949048.303884029</v>
      </c>
      <c r="S249" s="2">
        <f>$C249+total_production!R249</f>
        <v>60949048.303884029</v>
      </c>
      <c r="T249" s="2">
        <f>$C249+total_production!S249</f>
        <v>60950621.487706341</v>
      </c>
      <c r="U249" s="2">
        <f>$C249+total_production!T249</f>
        <v>60950621.487706341</v>
      </c>
      <c r="V249" s="2">
        <f>$C249+total_production!U249</f>
        <v>60951703.793659389</v>
      </c>
      <c r="W249" s="2">
        <f>$C249+total_production!V249</f>
        <v>60951703.793659389</v>
      </c>
      <c r="X249" s="2">
        <f>$C249+total_production!W249</f>
        <v>60952756.644329727</v>
      </c>
      <c r="Y249" s="2">
        <f>$C249+total_production!X249</f>
        <v>60952756.644329727</v>
      </c>
      <c r="Z249" s="2">
        <f>$C249+total_production!Y249</f>
        <v>60952756.644329727</v>
      </c>
      <c r="AA249" s="2">
        <f>$C249+total_production!Z249</f>
        <v>60952756.644329727</v>
      </c>
      <c r="AB249" s="2">
        <f>$C249+total_production!AA249</f>
        <v>60952756.644329727</v>
      </c>
    </row>
    <row r="250" spans="1:28" x14ac:dyDescent="0.2">
      <c r="A250" t="s">
        <v>1015</v>
      </c>
      <c r="B250" t="s">
        <v>1016</v>
      </c>
      <c r="C250" s="1">
        <v>282838</v>
      </c>
      <c r="D250" s="2">
        <f>$C250+total_production!C250</f>
        <v>282838</v>
      </c>
      <c r="E250" s="2">
        <f>$C250+total_production!D250</f>
        <v>282838</v>
      </c>
      <c r="F250" s="2">
        <f>$C250+total_production!E250</f>
        <v>282838</v>
      </c>
      <c r="G250" s="2">
        <f>$C250+total_production!F250</f>
        <v>282838</v>
      </c>
      <c r="H250" s="2">
        <f>$C250+total_production!G250</f>
        <v>282838</v>
      </c>
      <c r="I250" s="2">
        <f>$C250+total_production!H250</f>
        <v>282838</v>
      </c>
      <c r="J250" s="2">
        <f>$C250+total_production!I250</f>
        <v>282838</v>
      </c>
      <c r="K250" s="2">
        <f>$C250+total_production!J250</f>
        <v>282838</v>
      </c>
      <c r="L250" s="2">
        <f>$C250+total_production!K250</f>
        <v>282838</v>
      </c>
      <c r="M250" s="2">
        <f>$C250+total_production!L250</f>
        <v>282838</v>
      </c>
      <c r="N250" s="2">
        <f>$C250+total_production!M250</f>
        <v>282838</v>
      </c>
      <c r="O250" s="2">
        <f>$C250+total_production!N250</f>
        <v>282838</v>
      </c>
      <c r="P250" s="2">
        <f>$C250+total_production!O250</f>
        <v>282838</v>
      </c>
      <c r="Q250" s="2">
        <f>$C250+total_production!P250</f>
        <v>282838</v>
      </c>
      <c r="R250" s="2">
        <f>$C250+total_production!Q250</f>
        <v>282838</v>
      </c>
      <c r="S250" s="2">
        <f>$C250+total_production!R250</f>
        <v>282838</v>
      </c>
      <c r="T250" s="2">
        <f>$C250+total_production!S250</f>
        <v>282838</v>
      </c>
      <c r="U250" s="2">
        <f>$C250+total_production!T250</f>
        <v>282838</v>
      </c>
      <c r="V250" s="2">
        <f>$C250+total_production!U250</f>
        <v>282838</v>
      </c>
      <c r="W250" s="2">
        <f>$C250+total_production!V250</f>
        <v>282838</v>
      </c>
      <c r="X250" s="2">
        <f>$C250+total_production!W250</f>
        <v>282838</v>
      </c>
      <c r="Y250" s="2">
        <f>$C250+total_production!X250</f>
        <v>282838</v>
      </c>
      <c r="Z250" s="2">
        <f>$C250+total_production!Y250</f>
        <v>282838</v>
      </c>
      <c r="AA250" s="2">
        <f>$C250+total_production!Z250</f>
        <v>282838</v>
      </c>
      <c r="AB250" s="2">
        <f>$C250+total_production!AA250</f>
        <v>282838</v>
      </c>
    </row>
    <row r="251" spans="1:28" x14ac:dyDescent="0.2">
      <c r="A251" t="s">
        <v>950</v>
      </c>
      <c r="B251" t="s">
        <v>951</v>
      </c>
      <c r="C251" s="1">
        <v>34399</v>
      </c>
      <c r="D251" s="2">
        <f>$C251+total_production!C251</f>
        <v>34400.631582446273</v>
      </c>
      <c r="E251" s="2">
        <f>$C251+total_production!D251</f>
        <v>34400.62323560709</v>
      </c>
      <c r="F251" s="2">
        <f>$C251+total_production!E251</f>
        <v>34400.70381283365</v>
      </c>
      <c r="G251" s="2">
        <f>$C251+total_production!F251</f>
        <v>34400.757833689342</v>
      </c>
      <c r="H251" s="2">
        <f>$C251+total_production!G251</f>
        <v>34400.655996543261</v>
      </c>
      <c r="I251" s="2">
        <f>$C251+total_production!H251</f>
        <v>34400.764711306714</v>
      </c>
      <c r="J251" s="2">
        <f>$C251+total_production!I251</f>
        <v>34400.916541148516</v>
      </c>
      <c r="K251" s="2">
        <f>$C251+total_production!J251</f>
        <v>34401.135609933786</v>
      </c>
      <c r="L251" s="2">
        <f>$C251+total_production!K251</f>
        <v>34401.276895517702</v>
      </c>
      <c r="M251" s="2">
        <f>$C251+total_production!L251</f>
        <v>34401.60537008442</v>
      </c>
      <c r="N251" s="2">
        <f>$C251+total_production!M251</f>
        <v>34401.716332783755</v>
      </c>
      <c r="O251" s="2">
        <f>$C251+total_production!N251</f>
        <v>34401.819045710035</v>
      </c>
      <c r="P251" s="2">
        <f>$C251+total_production!O251</f>
        <v>34401.819045710035</v>
      </c>
      <c r="Q251" s="2">
        <f>$C251+total_production!P251</f>
        <v>34401.819045710035</v>
      </c>
      <c r="R251" s="2">
        <f>$C251+total_production!Q251</f>
        <v>34401.908240127486</v>
      </c>
      <c r="S251" s="2">
        <f>$C251+total_production!R251</f>
        <v>34401.908240127486</v>
      </c>
      <c r="T251" s="2">
        <f>$C251+total_production!S251</f>
        <v>34402.009776387291</v>
      </c>
      <c r="U251" s="2">
        <f>$C251+total_production!T251</f>
        <v>34402.009776387291</v>
      </c>
      <c r="V251" s="2">
        <f>$C251+total_production!U251</f>
        <v>34402.096991903578</v>
      </c>
      <c r="W251" s="2">
        <f>$C251+total_production!V251</f>
        <v>34402.096991903578</v>
      </c>
      <c r="X251" s="2">
        <f>$C251+total_production!W251</f>
        <v>34402.17421881888</v>
      </c>
      <c r="Y251" s="2">
        <f>$C251+total_production!X251</f>
        <v>34402.17421881888</v>
      </c>
      <c r="Z251" s="2">
        <f>$C251+total_production!Y251</f>
        <v>34402.17421881888</v>
      </c>
      <c r="AA251" s="2">
        <f>$C251+total_production!Z251</f>
        <v>34402.17421881888</v>
      </c>
      <c r="AB251" s="2">
        <f>$C251+total_production!AA251</f>
        <v>34402.17421881888</v>
      </c>
    </row>
    <row r="252" spans="1:28" x14ac:dyDescent="0.2">
      <c r="A252" t="s">
        <v>813</v>
      </c>
      <c r="B252" t="s">
        <v>814</v>
      </c>
      <c r="C252" s="1">
        <v>3011033</v>
      </c>
      <c r="D252" s="2">
        <f>$C252+total_production!C252</f>
        <v>3012010.1432487168</v>
      </c>
      <c r="E252" s="2">
        <f>$C252+total_production!D252</f>
        <v>3011873.4864355829</v>
      </c>
      <c r="F252" s="2">
        <f>$C252+total_production!E252</f>
        <v>3011929.5688105556</v>
      </c>
      <c r="G252" s="2">
        <f>$C252+total_production!F252</f>
        <v>3011914.8288007132</v>
      </c>
      <c r="H252" s="2">
        <f>$C252+total_production!G252</f>
        <v>3011400.3061864213</v>
      </c>
      <c r="I252" s="2">
        <f>$C252+total_production!H252</f>
        <v>3011475.9725054265</v>
      </c>
      <c r="J252" s="2">
        <f>$C252+total_production!I252</f>
        <v>3011581.6472535348</v>
      </c>
      <c r="K252" s="2">
        <f>$C252+total_production!J252</f>
        <v>3011486.6338465693</v>
      </c>
      <c r="L252" s="2">
        <f>$C252+total_production!K252</f>
        <v>3011584.9697093689</v>
      </c>
      <c r="M252" s="2">
        <f>$C252+total_production!L252</f>
        <v>3011500.3015696639</v>
      </c>
      <c r="N252" s="2">
        <f>$C252+total_production!M252</f>
        <v>3011371.8957454003</v>
      </c>
      <c r="O252" s="2">
        <f>$C252+total_production!N252</f>
        <v>3011263.6159232478</v>
      </c>
      <c r="P252" s="2">
        <f>$C252+total_production!O252</f>
        <v>3011263.6159232478</v>
      </c>
      <c r="Q252" s="2">
        <f>$C252+total_production!P252</f>
        <v>3011263.6159232478</v>
      </c>
      <c r="R252" s="2">
        <f>$C252+total_production!Q252</f>
        <v>3011167.8756498056</v>
      </c>
      <c r="S252" s="2">
        <f>$C252+total_production!R252</f>
        <v>3011167.8756498056</v>
      </c>
      <c r="T252" s="2">
        <f>$C252+total_production!S252</f>
        <v>3011064.3510827669</v>
      </c>
      <c r="U252" s="2">
        <f>$C252+total_production!T252</f>
        <v>3011064.3510827669</v>
      </c>
      <c r="V252" s="2">
        <f>$C252+total_production!U252</f>
        <v>3010959.3946836558</v>
      </c>
      <c r="W252" s="2">
        <f>$C252+total_production!V252</f>
        <v>3010959.3946836558</v>
      </c>
      <c r="X252" s="2">
        <f>$C252+total_production!W252</f>
        <v>3010872.0911595919</v>
      </c>
      <c r="Y252" s="2">
        <f>$C252+total_production!X252</f>
        <v>3010872.0911595919</v>
      </c>
      <c r="Z252" s="2">
        <f>$C252+total_production!Y252</f>
        <v>3010872.0911595919</v>
      </c>
      <c r="AA252" s="2">
        <f>$C252+total_production!Z252</f>
        <v>3010872.0911595919</v>
      </c>
      <c r="AB252" s="2">
        <f>$C252+total_production!AA252</f>
        <v>3010872.0911595919</v>
      </c>
    </row>
    <row r="253" spans="1:28" x14ac:dyDescent="0.2">
      <c r="A253" t="s">
        <v>878</v>
      </c>
      <c r="B253" t="s">
        <v>237</v>
      </c>
      <c r="C253" s="1">
        <v>750877</v>
      </c>
      <c r="D253" s="2">
        <f>$C253+total_production!C253</f>
        <v>744591.83231994254</v>
      </c>
      <c r="E253" s="2">
        <f>$C253+total_production!D253</f>
        <v>739059.08239359653</v>
      </c>
      <c r="F253" s="2">
        <f>$C253+total_production!E253</f>
        <v>739079.43991186272</v>
      </c>
      <c r="G253" s="2">
        <f>$C253+total_production!F253</f>
        <v>736880.83139190124</v>
      </c>
      <c r="H253" s="2">
        <f>$C253+total_production!G253</f>
        <v>718103.242572836</v>
      </c>
      <c r="I253" s="2">
        <f>$C253+total_production!H253</f>
        <v>718130.70892874605</v>
      </c>
      <c r="J253" s="2">
        <f>$C253+total_production!I253</f>
        <v>718169.06813903176</v>
      </c>
      <c r="K253" s="2">
        <f>$C253+total_production!J253</f>
        <v>707763.66285887291</v>
      </c>
      <c r="L253" s="2">
        <f>$C253+total_production!K253</f>
        <v>707799.3581040214</v>
      </c>
      <c r="M253" s="2">
        <f>$C253+total_production!L253</f>
        <v>694640.2819246049</v>
      </c>
      <c r="N253" s="2">
        <f>$C253+total_production!M253</f>
        <v>685976.48608396307</v>
      </c>
      <c r="O253" s="2">
        <f>$C253+total_production!N253</f>
        <v>678403.98782948265</v>
      </c>
      <c r="P253" s="2">
        <f>$C253+total_production!O253</f>
        <v>678403.98782948265</v>
      </c>
      <c r="Q253" s="2">
        <f>$C253+total_production!P253</f>
        <v>678403.98782948265</v>
      </c>
      <c r="R253" s="2">
        <f>$C253+total_production!Q253</f>
        <v>671755.79243993806</v>
      </c>
      <c r="S253" s="2">
        <f>$C253+total_production!R253</f>
        <v>671755.79243993806</v>
      </c>
      <c r="T253" s="2">
        <f>$C253+total_production!S253</f>
        <v>664418.6075890346</v>
      </c>
      <c r="U253" s="2">
        <f>$C253+total_production!T253</f>
        <v>664418.6075890346</v>
      </c>
      <c r="V253" s="2">
        <f>$C253+total_production!U253</f>
        <v>657438.58292040974</v>
      </c>
      <c r="W253" s="2">
        <f>$C253+total_production!V253</f>
        <v>657438.58292040974</v>
      </c>
      <c r="X253" s="2">
        <f>$C253+total_production!W253</f>
        <v>651496.03686455905</v>
      </c>
      <c r="Y253" s="2">
        <f>$C253+total_production!X253</f>
        <v>651496.03686455905</v>
      </c>
      <c r="Z253" s="2">
        <f>$C253+total_production!Y253</f>
        <v>651496.03686455905</v>
      </c>
      <c r="AA253" s="2">
        <f>$C253+total_production!Z253</f>
        <v>651496.03686455905</v>
      </c>
      <c r="AB253" s="2">
        <f>$C253+total_production!AA253</f>
        <v>651496.03686455905</v>
      </c>
    </row>
    <row r="254" spans="1:28" x14ac:dyDescent="0.2">
      <c r="A254" t="s">
        <v>861</v>
      </c>
      <c r="B254" t="s">
        <v>285</v>
      </c>
      <c r="C254" s="1">
        <v>2280339</v>
      </c>
      <c r="D254" s="2">
        <f>$C254+total_production!C254</f>
        <v>2280969.7518451586</v>
      </c>
      <c r="E254" s="2">
        <f>$C254+total_production!D254</f>
        <v>2280971.1433359152</v>
      </c>
      <c r="F254" s="2">
        <f>$C254+total_production!E254</f>
        <v>2281002.0191131081</v>
      </c>
      <c r="G254" s="2">
        <f>$C254+total_production!F254</f>
        <v>2281024.5548969978</v>
      </c>
      <c r="H254" s="2">
        <f>$C254+total_production!G254</f>
        <v>2281001.0947720031</v>
      </c>
      <c r="I254" s="2">
        <f>$C254+total_production!H254</f>
        <v>2281042.7523588608</v>
      </c>
      <c r="J254" s="2">
        <f>$C254+total_production!I254</f>
        <v>2281100.9308860563</v>
      </c>
      <c r="K254" s="2">
        <f>$C254+total_production!J254</f>
        <v>2281193.5555233667</v>
      </c>
      <c r="L254" s="2">
        <f>$C254+total_production!K254</f>
        <v>2281247.6936762417</v>
      </c>
      <c r="M254" s="2">
        <f>$C254+total_production!L254</f>
        <v>2281384.5488838656</v>
      </c>
      <c r="N254" s="2">
        <f>$C254+total_production!M254</f>
        <v>2281434.2811488551</v>
      </c>
      <c r="O254" s="2">
        <f>$C254+total_production!N254</f>
        <v>2281479.9448533701</v>
      </c>
      <c r="P254" s="2">
        <f>$C254+total_production!O254</f>
        <v>2281479.9448533701</v>
      </c>
      <c r="Q254" s="2">
        <f>$C254+total_production!P254</f>
        <v>2281479.9448533701</v>
      </c>
      <c r="R254" s="2">
        <f>$C254+total_production!Q254</f>
        <v>2281519.65859388</v>
      </c>
      <c r="S254" s="2">
        <f>$C254+total_production!R254</f>
        <v>2281519.65859388</v>
      </c>
      <c r="T254" s="2">
        <f>$C254+total_production!S254</f>
        <v>2281564.6758882855</v>
      </c>
      <c r="U254" s="2">
        <f>$C254+total_production!T254</f>
        <v>2281564.6758882855</v>
      </c>
      <c r="V254" s="2">
        <f>$C254+total_production!U254</f>
        <v>2281603.906317275</v>
      </c>
      <c r="W254" s="2">
        <f>$C254+total_production!V254</f>
        <v>2281603.906317275</v>
      </c>
      <c r="X254" s="2">
        <f>$C254+total_production!W254</f>
        <v>2281638.4461970152</v>
      </c>
      <c r="Y254" s="2">
        <f>$C254+total_production!X254</f>
        <v>2281638.4461970152</v>
      </c>
      <c r="Z254" s="2">
        <f>$C254+total_production!Y254</f>
        <v>2281638.4461970152</v>
      </c>
      <c r="AA254" s="2">
        <f>$C254+total_production!Z254</f>
        <v>2281638.4461970152</v>
      </c>
      <c r="AB254" s="2">
        <f>$C254+total_production!AA254</f>
        <v>2281638.4461970152</v>
      </c>
    </row>
    <row r="255" spans="1:28" x14ac:dyDescent="0.2">
      <c r="A255" t="s">
        <v>920</v>
      </c>
      <c r="B255" t="s">
        <v>921</v>
      </c>
      <c r="C255" s="1">
        <v>40699</v>
      </c>
      <c r="D255" s="2">
        <f>$C255+total_production!C255</f>
        <v>40775.202676901084</v>
      </c>
      <c r="E255" s="2">
        <f>$C255+total_production!D255</f>
        <v>40772.709425601599</v>
      </c>
      <c r="F255" s="2">
        <f>$C255+total_production!E255</f>
        <v>40776.597784964164</v>
      </c>
      <c r="G255" s="2">
        <f>$C255+total_production!F255</f>
        <v>40778.368446396176</v>
      </c>
      <c r="H255" s="2">
        <f>$C255+total_production!G255</f>
        <v>40766.366361119253</v>
      </c>
      <c r="I255" s="2">
        <f>$C255+total_production!H255</f>
        <v>40771.612534093889</v>
      </c>
      <c r="J255" s="2">
        <f>$C255+total_production!I255</f>
        <v>40778.939281514897</v>
      </c>
      <c r="K255" s="2">
        <f>$C255+total_production!J255</f>
        <v>40785.556792180956</v>
      </c>
      <c r="L255" s="2">
        <f>$C255+total_production!K255</f>
        <v>40792.374712659148</v>
      </c>
      <c r="M255" s="2">
        <f>$C255+total_production!L255</f>
        <v>40803.220466084218</v>
      </c>
      <c r="N255" s="2">
        <f>$C255+total_production!M255</f>
        <v>40805.289790868024</v>
      </c>
      <c r="O255" s="2">
        <f>$C255+total_production!N255</f>
        <v>40807.374286953098</v>
      </c>
      <c r="P255" s="2">
        <f>$C255+total_production!O255</f>
        <v>40807.374286953098</v>
      </c>
      <c r="Q255" s="2">
        <f>$C255+total_production!P255</f>
        <v>40807.374286953098</v>
      </c>
      <c r="R255" s="2">
        <f>$C255+total_production!Q255</f>
        <v>40809.157087324755</v>
      </c>
      <c r="S255" s="2">
        <f>$C255+total_production!R255</f>
        <v>40809.157087324755</v>
      </c>
      <c r="T255" s="2">
        <f>$C255+total_production!S255</f>
        <v>40811.273857613378</v>
      </c>
      <c r="U255" s="2">
        <f>$C255+total_production!T255</f>
        <v>40811.273857613378</v>
      </c>
      <c r="V255" s="2">
        <f>$C255+total_production!U255</f>
        <v>40812.835928151268</v>
      </c>
      <c r="W255" s="2">
        <f>$C255+total_production!V255</f>
        <v>40812.835928151268</v>
      </c>
      <c r="X255" s="2">
        <f>$C255+total_production!W255</f>
        <v>40814.309084208246</v>
      </c>
      <c r="Y255" s="2">
        <f>$C255+total_production!X255</f>
        <v>40814.309084208246</v>
      </c>
      <c r="Z255" s="2">
        <f>$C255+total_production!Y255</f>
        <v>40814.309084208246</v>
      </c>
      <c r="AA255" s="2">
        <f>$C255+total_production!Z255</f>
        <v>40814.309084208246</v>
      </c>
      <c r="AB255" s="2">
        <f>$C255+total_production!AA255</f>
        <v>40814.309084208246</v>
      </c>
    </row>
    <row r="256" spans="1:28" x14ac:dyDescent="0.2">
      <c r="A256" t="s">
        <v>748</v>
      </c>
      <c r="B256" t="s">
        <v>749</v>
      </c>
      <c r="C256" s="1">
        <v>747381</v>
      </c>
      <c r="D256" s="2">
        <f>$C256+total_production!C256</f>
        <v>749015.65518462262</v>
      </c>
      <c r="E256" s="2">
        <f>$C256+total_production!D256</f>
        <v>748650.80096874514</v>
      </c>
      <c r="F256" s="2">
        <f>$C256+total_production!E256</f>
        <v>748752.71843480668</v>
      </c>
      <c r="G256" s="2">
        <f>$C256+total_production!F256</f>
        <v>748679.32755841315</v>
      </c>
      <c r="H256" s="2">
        <f>$C256+total_production!G256</f>
        <v>747349.26223307441</v>
      </c>
      <c r="I256" s="2">
        <f>$C256+total_production!H256</f>
        <v>747486.76923956233</v>
      </c>
      <c r="J256" s="2">
        <f>$C256+total_production!I256</f>
        <v>747678.81001100224</v>
      </c>
      <c r="K256" s="2">
        <f>$C256+total_production!J256</f>
        <v>747285.77424587414</v>
      </c>
      <c r="L256" s="2">
        <f>$C256+total_production!K256</f>
        <v>747464.47819634667</v>
      </c>
      <c r="M256" s="2">
        <f>$C256+total_production!L256</f>
        <v>747031.65066281392</v>
      </c>
      <c r="N256" s="2">
        <f>$C256+total_production!M256</f>
        <v>746615.19616756681</v>
      </c>
      <c r="O256" s="2">
        <f>$C256+total_production!N256</f>
        <v>746258.34982749773</v>
      </c>
      <c r="P256" s="2">
        <f>$C256+total_production!O256</f>
        <v>746258.34982749773</v>
      </c>
      <c r="Q256" s="2">
        <f>$C256+total_production!P256</f>
        <v>746258.34982749773</v>
      </c>
      <c r="R256" s="2">
        <f>$C256+total_production!Q256</f>
        <v>745943.83499680087</v>
      </c>
      <c r="S256" s="2">
        <f>$C256+total_production!R256</f>
        <v>745943.83499680087</v>
      </c>
      <c r="T256" s="2">
        <f>$C256+total_production!S256</f>
        <v>745600.59374649648</v>
      </c>
      <c r="U256" s="2">
        <f>$C256+total_production!T256</f>
        <v>745600.59374649648</v>
      </c>
      <c r="V256" s="2">
        <f>$C256+total_production!U256</f>
        <v>745262.35072793206</v>
      </c>
      <c r="W256" s="2">
        <f>$C256+total_production!V256</f>
        <v>745262.35072793206</v>
      </c>
      <c r="X256" s="2">
        <f>$C256+total_production!W256</f>
        <v>744978.09698270517</v>
      </c>
      <c r="Y256" s="2">
        <f>$C256+total_production!X256</f>
        <v>744978.09698270517</v>
      </c>
      <c r="Z256" s="2">
        <f>$C256+total_production!Y256</f>
        <v>744978.09698270517</v>
      </c>
      <c r="AA256" s="2">
        <f>$C256+total_production!Z256</f>
        <v>744978.09698270517</v>
      </c>
      <c r="AB256" s="2">
        <f>$C256+total_production!AA256</f>
        <v>744978.09698270517</v>
      </c>
    </row>
    <row r="257" spans="1:28" x14ac:dyDescent="0.2">
      <c r="A257" t="s">
        <v>629</v>
      </c>
      <c r="B257" t="s">
        <v>630</v>
      </c>
      <c r="C257" s="1">
        <v>4797376</v>
      </c>
      <c r="D257" s="2">
        <f>$C257+total_production!C257</f>
        <v>4801928.693557837</v>
      </c>
      <c r="E257" s="2">
        <f>$C257+total_production!D257</f>
        <v>4801352.9339319533</v>
      </c>
      <c r="F257" s="2">
        <f>$C257+total_production!E257</f>
        <v>4801610.6095915278</v>
      </c>
      <c r="G257" s="2">
        <f>$C257+total_production!F257</f>
        <v>4801563.7343521928</v>
      </c>
      <c r="H257" s="2">
        <f>$C257+total_production!G257</f>
        <v>4799376.4368526079</v>
      </c>
      <c r="I257" s="2">
        <f>$C257+total_production!H257</f>
        <v>4799724.0927546052</v>
      </c>
      <c r="J257" s="2">
        <f>$C257+total_production!I257</f>
        <v>4800209.6251599742</v>
      </c>
      <c r="K257" s="2">
        <f>$C257+total_production!J257</f>
        <v>4799871.6631480819</v>
      </c>
      <c r="L257" s="2">
        <f>$C257+total_production!K257</f>
        <v>4800323.4763660319</v>
      </c>
      <c r="M257" s="2">
        <f>$C257+total_production!L257</f>
        <v>4800059.2587205982</v>
      </c>
      <c r="N257" s="2">
        <f>$C257+total_production!M257</f>
        <v>4799551.2012038184</v>
      </c>
      <c r="O257" s="2">
        <f>$C257+total_production!N257</f>
        <v>4799125.3100431422</v>
      </c>
      <c r="P257" s="2">
        <f>$C257+total_production!O257</f>
        <v>4799125.3100431422</v>
      </c>
      <c r="Q257" s="2">
        <f>$C257+total_production!P257</f>
        <v>4799125.3100431422</v>
      </c>
      <c r="R257" s="2">
        <f>$C257+total_production!Q257</f>
        <v>4798748.2898497283</v>
      </c>
      <c r="S257" s="2">
        <f>$C257+total_production!R257</f>
        <v>4798748.2898497283</v>
      </c>
      <c r="T257" s="2">
        <f>$C257+total_production!S257</f>
        <v>4798342.0266690636</v>
      </c>
      <c r="U257" s="2">
        <f>$C257+total_production!T257</f>
        <v>4798342.0266690636</v>
      </c>
      <c r="V257" s="2">
        <f>$C257+total_production!U257</f>
        <v>4797925.7846999224</v>
      </c>
      <c r="W257" s="2">
        <f>$C257+total_production!V257</f>
        <v>4797925.7846999224</v>
      </c>
      <c r="X257" s="2">
        <f>$C257+total_production!W257</f>
        <v>4797580.8491449058</v>
      </c>
      <c r="Y257" s="2">
        <f>$C257+total_production!X257</f>
        <v>4797580.8491449058</v>
      </c>
      <c r="Z257" s="2">
        <f>$C257+total_production!Y257</f>
        <v>4797580.8491449058</v>
      </c>
      <c r="AA257" s="2">
        <f>$C257+total_production!Z257</f>
        <v>4797580.8491449058</v>
      </c>
      <c r="AB257" s="2">
        <f>$C257+total_production!AA257</f>
        <v>4797580.8491449058</v>
      </c>
    </row>
    <row r="258" spans="1:28" x14ac:dyDescent="0.2">
      <c r="A258" t="s">
        <v>775</v>
      </c>
      <c r="B258" t="s">
        <v>776</v>
      </c>
      <c r="C258" s="1">
        <v>1419756</v>
      </c>
      <c r="D258" s="2">
        <f>$C258+total_production!C258</f>
        <v>1421318.121370666</v>
      </c>
      <c r="E258" s="2">
        <f>$C258+total_production!D258</f>
        <v>1421280.8585085501</v>
      </c>
      <c r="F258" s="2">
        <f>$C258+total_production!E258</f>
        <v>1421359.7451123076</v>
      </c>
      <c r="G258" s="2">
        <f>$C258+total_production!F258</f>
        <v>1421400.9960732746</v>
      </c>
      <c r="H258" s="2">
        <f>$C258+total_production!G258</f>
        <v>1421202.660900281</v>
      </c>
      <c r="I258" s="2">
        <f>$C258+total_production!H258</f>
        <v>1421309.0946760988</v>
      </c>
      <c r="J258" s="2">
        <f>$C258+total_production!I258</f>
        <v>1421457.7389156711</v>
      </c>
      <c r="K258" s="2">
        <f>$C258+total_production!J258</f>
        <v>1421617.1878152941</v>
      </c>
      <c r="L258" s="2">
        <f>$C258+total_production!K258</f>
        <v>1421755.5090302497</v>
      </c>
      <c r="M258" s="2">
        <f>$C258+total_production!L258</f>
        <v>1422007.4385354819</v>
      </c>
      <c r="N258" s="2">
        <f>$C258+total_production!M258</f>
        <v>1422070.3540889672</v>
      </c>
      <c r="O258" s="2">
        <f>$C258+total_production!N258</f>
        <v>1422130.9441455831</v>
      </c>
      <c r="P258" s="2">
        <f>$C258+total_production!O258</f>
        <v>1422130.9441455831</v>
      </c>
      <c r="Q258" s="2">
        <f>$C258+total_production!P258</f>
        <v>1422130.9441455831</v>
      </c>
      <c r="R258" s="2">
        <f>$C258+total_production!Q258</f>
        <v>1422183.179125098</v>
      </c>
      <c r="S258" s="2">
        <f>$C258+total_production!R258</f>
        <v>1422183.179125098</v>
      </c>
      <c r="T258" s="2">
        <f>$C258+total_production!S258</f>
        <v>1422243.8565146315</v>
      </c>
      <c r="U258" s="2">
        <f>$C258+total_production!T258</f>
        <v>1422243.8565146315</v>
      </c>
      <c r="V258" s="2">
        <f>$C258+total_production!U258</f>
        <v>1422292.411322146</v>
      </c>
      <c r="W258" s="2">
        <f>$C258+total_production!V258</f>
        <v>1422292.411322146</v>
      </c>
      <c r="X258" s="2">
        <f>$C258+total_production!W258</f>
        <v>1422336.6575110611</v>
      </c>
      <c r="Y258" s="2">
        <f>$C258+total_production!X258</f>
        <v>1422336.6575110611</v>
      </c>
      <c r="Z258" s="2">
        <f>$C258+total_production!Y258</f>
        <v>1422336.6575110611</v>
      </c>
      <c r="AA258" s="2">
        <f>$C258+total_production!Z258</f>
        <v>1422336.6575110611</v>
      </c>
      <c r="AB258" s="2">
        <f>$C258+total_production!AA258</f>
        <v>1422336.6575110611</v>
      </c>
    </row>
    <row r="259" spans="1:28" x14ac:dyDescent="0.2">
      <c r="A259" t="s">
        <v>733</v>
      </c>
      <c r="B259" t="s">
        <v>734</v>
      </c>
      <c r="C259" s="1">
        <v>1940641</v>
      </c>
      <c r="D259" s="2">
        <f>$C259+total_production!C259</f>
        <v>1942859.5399789603</v>
      </c>
      <c r="E259" s="2">
        <f>$C259+total_production!D259</f>
        <v>1942789.3699612224</v>
      </c>
      <c r="F259" s="2">
        <f>$C259+total_production!E259</f>
        <v>1942902.4306942672</v>
      </c>
      <c r="G259" s="2">
        <f>$C259+total_production!F259</f>
        <v>1942954.8459394893</v>
      </c>
      <c r="H259" s="2">
        <f>$C259+total_production!G259</f>
        <v>1942613.7495473272</v>
      </c>
      <c r="I259" s="2">
        <f>$C259+total_production!H259</f>
        <v>1942766.2910453952</v>
      </c>
      <c r="J259" s="2">
        <f>$C259+total_production!I259</f>
        <v>1942979.32882226</v>
      </c>
      <c r="K259" s="2">
        <f>$C259+total_production!J259</f>
        <v>1943176.1429074924</v>
      </c>
      <c r="L259" s="2">
        <f>$C259+total_production!K259</f>
        <v>1943374.3856662577</v>
      </c>
      <c r="M259" s="2">
        <f>$C259+total_production!L259</f>
        <v>1943695.3126776777</v>
      </c>
      <c r="N259" s="2">
        <f>$C259+total_production!M259</f>
        <v>1943759.1366348278</v>
      </c>
      <c r="O259" s="2">
        <f>$C259+total_production!N259</f>
        <v>1943822.9419732948</v>
      </c>
      <c r="P259" s="2">
        <f>$C259+total_production!O259</f>
        <v>1943822.9419732948</v>
      </c>
      <c r="Q259" s="2">
        <f>$C259+total_production!P259</f>
        <v>1943822.9419732948</v>
      </c>
      <c r="R259" s="2">
        <f>$C259+total_production!Q259</f>
        <v>1943877.5848989007</v>
      </c>
      <c r="S259" s="2">
        <f>$C259+total_production!R259</f>
        <v>1943877.5848989007</v>
      </c>
      <c r="T259" s="2">
        <f>$C259+total_production!S259</f>
        <v>1943942.2295946304</v>
      </c>
      <c r="U259" s="2">
        <f>$C259+total_production!T259</f>
        <v>1943942.2295946304</v>
      </c>
      <c r="V259" s="2">
        <f>$C259+total_production!U259</f>
        <v>1943990.593739768</v>
      </c>
      <c r="W259" s="2">
        <f>$C259+total_production!V259</f>
        <v>1943990.593739768</v>
      </c>
      <c r="X259" s="2">
        <f>$C259+total_production!W259</f>
        <v>1944035.9352385018</v>
      </c>
      <c r="Y259" s="2">
        <f>$C259+total_production!X259</f>
        <v>1944035.9352385018</v>
      </c>
      <c r="Z259" s="2">
        <f>$C259+total_production!Y259</f>
        <v>1944035.9352385018</v>
      </c>
      <c r="AA259" s="2">
        <f>$C259+total_production!Z259</f>
        <v>1944035.9352385018</v>
      </c>
      <c r="AB259" s="2">
        <f>$C259+total_production!AA259</f>
        <v>1944035.9352385018</v>
      </c>
    </row>
    <row r="260" spans="1:28" x14ac:dyDescent="0.2">
      <c r="A260" t="s">
        <v>853</v>
      </c>
      <c r="B260" t="s">
        <v>854</v>
      </c>
      <c r="C260" s="1">
        <v>399890</v>
      </c>
      <c r="D260" s="2">
        <f>$C260+total_production!C260</f>
        <v>400561.23181516066</v>
      </c>
      <c r="E260" s="2">
        <f>$C260+total_production!D260</f>
        <v>400527.59889696754</v>
      </c>
      <c r="F260" s="2">
        <f>$C260+total_production!E260</f>
        <v>400562.54322272335</v>
      </c>
      <c r="G260" s="2">
        <f>$C260+total_production!F260</f>
        <v>400573.96547290077</v>
      </c>
      <c r="H260" s="2">
        <f>$C260+total_production!G260</f>
        <v>400428.04062554456</v>
      </c>
      <c r="I260" s="2">
        <f>$C260+total_production!H260</f>
        <v>400475.18749657768</v>
      </c>
      <c r="J260" s="2">
        <f>$C260+total_production!I260</f>
        <v>400541.03229762043</v>
      </c>
      <c r="K260" s="2">
        <f>$C260+total_production!J260</f>
        <v>400579.26963278692</v>
      </c>
      <c r="L260" s="2">
        <f>$C260+total_production!K260</f>
        <v>400640.54165318236</v>
      </c>
      <c r="M260" s="2">
        <f>$C260+total_production!L260</f>
        <v>400711.13220531191</v>
      </c>
      <c r="N260" s="2">
        <f>$C260+total_production!M260</f>
        <v>400712.08603804698</v>
      </c>
      <c r="O260" s="2">
        <f>$C260+total_production!N260</f>
        <v>400715.3956007146</v>
      </c>
      <c r="P260" s="2">
        <f>$C260+total_production!O260</f>
        <v>400715.3956007146</v>
      </c>
      <c r="Q260" s="2">
        <f>$C260+total_production!P260</f>
        <v>400715.3956007146</v>
      </c>
      <c r="R260" s="2">
        <f>$C260+total_production!Q260</f>
        <v>400717.87696869584</v>
      </c>
      <c r="S260" s="2">
        <f>$C260+total_production!R260</f>
        <v>400717.87696869584</v>
      </c>
      <c r="T260" s="2">
        <f>$C260+total_production!S260</f>
        <v>400721.95482790592</v>
      </c>
      <c r="U260" s="2">
        <f>$C260+total_production!T260</f>
        <v>400721.95482790592</v>
      </c>
      <c r="V260" s="2">
        <f>$C260+total_production!U260</f>
        <v>400721.77997282025</v>
      </c>
      <c r="W260" s="2">
        <f>$C260+total_production!V260</f>
        <v>400721.77997282025</v>
      </c>
      <c r="X260" s="2">
        <f>$C260+total_production!W260</f>
        <v>400722.91708636004</v>
      </c>
      <c r="Y260" s="2">
        <f>$C260+total_production!X260</f>
        <v>400722.91708636004</v>
      </c>
      <c r="Z260" s="2">
        <f>$C260+total_production!Y260</f>
        <v>400722.91708636004</v>
      </c>
      <c r="AA260" s="2">
        <f>$C260+total_production!Z260</f>
        <v>400722.91708636004</v>
      </c>
      <c r="AB260" s="2">
        <f>$C260+total_production!AA260</f>
        <v>400722.91708636004</v>
      </c>
    </row>
    <row r="261" spans="1:28" x14ac:dyDescent="0.2">
      <c r="A261" t="s">
        <v>785</v>
      </c>
      <c r="B261" t="s">
        <v>786</v>
      </c>
      <c r="C261" s="1">
        <v>1010523</v>
      </c>
      <c r="D261" s="2">
        <f>$C261+total_production!C261</f>
        <v>1011909.7198437249</v>
      </c>
      <c r="E261" s="2">
        <f>$C261+total_production!D261</f>
        <v>1011815.6697222025</v>
      </c>
      <c r="F261" s="2">
        <f>$C261+total_production!E261</f>
        <v>1011889.3225061917</v>
      </c>
      <c r="G261" s="2">
        <f>$C261+total_production!F261</f>
        <v>1011904.1328214845</v>
      </c>
      <c r="H261" s="2">
        <f>$C261+total_production!G261</f>
        <v>1011518.0346919019</v>
      </c>
      <c r="I261" s="2">
        <f>$C261+total_production!H261</f>
        <v>1011617.4070000767</v>
      </c>
      <c r="J261" s="2">
        <f>$C261+total_production!I261</f>
        <v>1011756.1892716791</v>
      </c>
      <c r="K261" s="2">
        <f>$C261+total_production!J261</f>
        <v>1011792.9748824482</v>
      </c>
      <c r="L261" s="2">
        <f>$C261+total_production!K261</f>
        <v>1011922.1190220232</v>
      </c>
      <c r="M261" s="2">
        <f>$C261+total_production!L261</f>
        <v>1012015.4484139279</v>
      </c>
      <c r="N261" s="2">
        <f>$C261+total_production!M261</f>
        <v>1011981.0588702292</v>
      </c>
      <c r="O261" s="2">
        <f>$C261+total_production!N261</f>
        <v>1011956.2134441652</v>
      </c>
      <c r="P261" s="2">
        <f>$C261+total_production!O261</f>
        <v>1011956.2134441652</v>
      </c>
      <c r="Q261" s="2">
        <f>$C261+total_production!P261</f>
        <v>1011956.2134441652</v>
      </c>
      <c r="R261" s="2">
        <f>$C261+total_production!Q261</f>
        <v>1011933.5075486674</v>
      </c>
      <c r="S261" s="2">
        <f>$C261+total_production!R261</f>
        <v>1011933.5075486674</v>
      </c>
      <c r="T261" s="2">
        <f>$C261+total_production!S261</f>
        <v>1011911.2681738142</v>
      </c>
      <c r="U261" s="2">
        <f>$C261+total_production!T261</f>
        <v>1011911.2681738142</v>
      </c>
      <c r="V261" s="2">
        <f>$C261+total_production!U261</f>
        <v>1011881.5761565241</v>
      </c>
      <c r="W261" s="2">
        <f>$C261+total_production!V261</f>
        <v>1011881.5761565241</v>
      </c>
      <c r="X261" s="2">
        <f>$C261+total_production!W261</f>
        <v>1011859.0047571327</v>
      </c>
      <c r="Y261" s="2">
        <f>$C261+total_production!X261</f>
        <v>1011859.0047571327</v>
      </c>
      <c r="Z261" s="2">
        <f>$C261+total_production!Y261</f>
        <v>1011859.0047571327</v>
      </c>
      <c r="AA261" s="2">
        <f>$C261+total_production!Z261</f>
        <v>1011859.0047571327</v>
      </c>
      <c r="AB261" s="2">
        <f>$C261+total_production!AA261</f>
        <v>1011859.0047571327</v>
      </c>
    </row>
    <row r="262" spans="1:28" x14ac:dyDescent="0.2">
      <c r="A262" t="s">
        <v>908</v>
      </c>
      <c r="B262" t="s">
        <v>909</v>
      </c>
      <c r="C262" s="1">
        <v>56847</v>
      </c>
      <c r="D262" s="2">
        <f>$C262+total_production!C262</f>
        <v>56991.488312821064</v>
      </c>
      <c r="E262" s="2">
        <f>$C262+total_production!D262</f>
        <v>56983.733554118822</v>
      </c>
      <c r="F262" s="2">
        <f>$C262+total_production!E262</f>
        <v>56991.286224111143</v>
      </c>
      <c r="G262" s="2">
        <f>$C262+total_production!F262</f>
        <v>56993.560753404563</v>
      </c>
      <c r="H262" s="2">
        <f>$C262+total_production!G262</f>
        <v>56960.375172406711</v>
      </c>
      <c r="I262" s="2">
        <f>$C262+total_production!H262</f>
        <v>56970.565231890825</v>
      </c>
      <c r="J262" s="2">
        <f>$C262+total_production!I262</f>
        <v>56984.796556783476</v>
      </c>
      <c r="K262" s="2">
        <f>$C262+total_production!J262</f>
        <v>56992.142621263753</v>
      </c>
      <c r="L262" s="2">
        <f>$C262+total_production!K262</f>
        <v>57005.385611071113</v>
      </c>
      <c r="M262" s="2">
        <f>$C262+total_production!L262</f>
        <v>57019.480149527233</v>
      </c>
      <c r="N262" s="2">
        <f>$C262+total_production!M262</f>
        <v>57018.923259265182</v>
      </c>
      <c r="O262" s="2">
        <f>$C262+total_production!N262</f>
        <v>57018.971510021736</v>
      </c>
      <c r="P262" s="2">
        <f>$C262+total_production!O262</f>
        <v>57018.971510021736</v>
      </c>
      <c r="Q262" s="2">
        <f>$C262+total_production!P262</f>
        <v>57018.971510021736</v>
      </c>
      <c r="R262" s="2">
        <f>$C262+total_production!Q262</f>
        <v>57018.922202813941</v>
      </c>
      <c r="S262" s="2">
        <f>$C262+total_production!R262</f>
        <v>57018.922202813941</v>
      </c>
      <c r="T262" s="2">
        <f>$C262+total_production!S262</f>
        <v>57019.157192868603</v>
      </c>
      <c r="U262" s="2">
        <f>$C262+total_production!T262</f>
        <v>57019.157192868603</v>
      </c>
      <c r="V262" s="2">
        <f>$C262+total_production!U262</f>
        <v>57018.504697509459</v>
      </c>
      <c r="W262" s="2">
        <f>$C262+total_production!V262</f>
        <v>57018.504697509459</v>
      </c>
      <c r="X262" s="2">
        <f>$C262+total_production!W262</f>
        <v>57018.227064328901</v>
      </c>
      <c r="Y262" s="2">
        <f>$C262+total_production!X262</f>
        <v>57018.227064328901</v>
      </c>
      <c r="Z262" s="2">
        <f>$C262+total_production!Y262</f>
        <v>57018.227064328901</v>
      </c>
      <c r="AA262" s="2">
        <f>$C262+total_production!Z262</f>
        <v>57018.227064328901</v>
      </c>
      <c r="AB262" s="2">
        <f>$C262+total_production!AA262</f>
        <v>57018.227064328901</v>
      </c>
    </row>
    <row r="263" spans="1:28" x14ac:dyDescent="0.2">
      <c r="A263" t="s">
        <v>881</v>
      </c>
      <c r="B263" t="s">
        <v>882</v>
      </c>
      <c r="C263" s="1">
        <v>233026</v>
      </c>
      <c r="D263" s="2">
        <f>$C263+total_production!C263</f>
        <v>233167.73112780062</v>
      </c>
      <c r="E263" s="2">
        <f>$C263+total_production!D263</f>
        <v>232967.82483015599</v>
      </c>
      <c r="F263" s="2">
        <f>$C263+total_production!E263</f>
        <v>232986.66291886655</v>
      </c>
      <c r="G263" s="2">
        <f>$C263+total_production!F263</f>
        <v>232920.11044717857</v>
      </c>
      <c r="H263" s="2">
        <f>$C263+total_production!G263</f>
        <v>232225.12802027911</v>
      </c>
      <c r="I263" s="2">
        <f>$C263+total_production!H263</f>
        <v>232250.54436241012</v>
      </c>
      <c r="J263" s="2">
        <f>$C263+total_production!I263</f>
        <v>232286.04054602052</v>
      </c>
      <c r="K263" s="2">
        <f>$C263+total_production!J263</f>
        <v>231962.84109000245</v>
      </c>
      <c r="L263" s="2">
        <f>$C263+total_production!K263</f>
        <v>231995.87213955674</v>
      </c>
      <c r="M263" s="2">
        <f>$C263+total_production!L263</f>
        <v>231598.70076405071</v>
      </c>
      <c r="N263" s="2">
        <f>$C263+total_production!M263</f>
        <v>231313.54122509784</v>
      </c>
      <c r="O263" s="2">
        <f>$C263+total_production!N263</f>
        <v>231065.58773422227</v>
      </c>
      <c r="P263" s="2">
        <f>$C263+total_production!O263</f>
        <v>231065.58773422227</v>
      </c>
      <c r="Q263" s="2">
        <f>$C263+total_production!P263</f>
        <v>231065.58773422227</v>
      </c>
      <c r="R263" s="2">
        <f>$C263+total_production!Q263</f>
        <v>230847.67902068162</v>
      </c>
      <c r="S263" s="2">
        <f>$C263+total_production!R263</f>
        <v>230847.67902068162</v>
      </c>
      <c r="T263" s="2">
        <f>$C263+total_production!S263</f>
        <v>230607.88350868938</v>
      </c>
      <c r="U263" s="2">
        <f>$C263+total_production!T263</f>
        <v>230607.88350868938</v>
      </c>
      <c r="V263" s="2">
        <f>$C263+total_production!U263</f>
        <v>230377.6530792689</v>
      </c>
      <c r="W263" s="2">
        <f>$C263+total_production!V263</f>
        <v>230377.6530792689</v>
      </c>
      <c r="X263" s="2">
        <f>$C263+total_production!W263</f>
        <v>230182.31159255019</v>
      </c>
      <c r="Y263" s="2">
        <f>$C263+total_production!X263</f>
        <v>230182.31159255019</v>
      </c>
      <c r="Z263" s="2">
        <f>$C263+total_production!Y263</f>
        <v>230182.31159255019</v>
      </c>
      <c r="AA263" s="2">
        <f>$C263+total_production!Z263</f>
        <v>230182.31159255019</v>
      </c>
      <c r="AB263" s="2">
        <f>$C263+total_production!AA263</f>
        <v>230182.31159255019</v>
      </c>
    </row>
    <row r="264" spans="1:28" x14ac:dyDescent="0.2">
      <c r="A264" t="s">
        <v>918</v>
      </c>
      <c r="B264" t="s">
        <v>919</v>
      </c>
      <c r="C264" s="1">
        <v>35143</v>
      </c>
      <c r="D264" s="2">
        <f>$C264+total_production!C264</f>
        <v>35228.082284948621</v>
      </c>
      <c r="E264" s="2">
        <f>$C264+total_production!D264</f>
        <v>35229.32721803632</v>
      </c>
      <c r="F264" s="2">
        <f>$C264+total_production!E264</f>
        <v>35233.429221929226</v>
      </c>
      <c r="G264" s="2">
        <f>$C264+total_production!F264</f>
        <v>35236.847241963682</v>
      </c>
      <c r="H264" s="2">
        <f>$C264+total_production!G264</f>
        <v>35237.324642933221</v>
      </c>
      <c r="I264" s="2">
        <f>$C264+total_production!H264</f>
        <v>35242.859065027034</v>
      </c>
      <c r="J264" s="2">
        <f>$C264+total_production!I264</f>
        <v>35250.588377994529</v>
      </c>
      <c r="K264" s="2">
        <f>$C264+total_production!J264</f>
        <v>35264.899060137177</v>
      </c>
      <c r="L264" s="2">
        <f>$C264+total_production!K264</f>
        <v>35272.091588845396</v>
      </c>
      <c r="M264" s="2">
        <f>$C264+total_production!L264</f>
        <v>35292.811625315175</v>
      </c>
      <c r="N264" s="2">
        <f>$C264+total_production!M264</f>
        <v>35301.084785844381</v>
      </c>
      <c r="O264" s="2">
        <f>$C264+total_production!N264</f>
        <v>35308.60784726229</v>
      </c>
      <c r="P264" s="2">
        <f>$C264+total_production!O264</f>
        <v>35308.60784726229</v>
      </c>
      <c r="Q264" s="2">
        <f>$C264+total_production!P264</f>
        <v>35308.60784726229</v>
      </c>
      <c r="R264" s="2">
        <f>$C264+total_production!Q264</f>
        <v>35315.162608545223</v>
      </c>
      <c r="S264" s="2">
        <f>$C264+total_production!R264</f>
        <v>35315.162608545223</v>
      </c>
      <c r="T264" s="2">
        <f>$C264+total_production!S264</f>
        <v>35322.554631234219</v>
      </c>
      <c r="U264" s="2">
        <f>$C264+total_production!T264</f>
        <v>35322.554631234219</v>
      </c>
      <c r="V264" s="2">
        <f>$C264+total_production!U264</f>
        <v>35329.108688524349</v>
      </c>
      <c r="W264" s="2">
        <f>$C264+total_production!V264</f>
        <v>35329.108688524349</v>
      </c>
      <c r="X264" s="2">
        <f>$C264+total_production!W264</f>
        <v>35334.840243696133</v>
      </c>
      <c r="Y264" s="2">
        <f>$C264+total_production!X264</f>
        <v>35334.840243696133</v>
      </c>
      <c r="Z264" s="2">
        <f>$C264+total_production!Y264</f>
        <v>35334.840243696133</v>
      </c>
      <c r="AA264" s="2">
        <f>$C264+total_production!Z264</f>
        <v>35334.840243696133</v>
      </c>
      <c r="AB264" s="2">
        <f>$C264+total_production!AA264</f>
        <v>35334.840243696133</v>
      </c>
    </row>
    <row r="265" spans="1:28" x14ac:dyDescent="0.2">
      <c r="A265" t="s">
        <v>615</v>
      </c>
      <c r="B265" t="s">
        <v>616</v>
      </c>
      <c r="C265" s="1">
        <v>2904173</v>
      </c>
      <c r="D265" s="2">
        <f>$C265+total_production!C265</f>
        <v>2909936.3006072808</v>
      </c>
      <c r="E265" s="2">
        <f>$C265+total_production!D265</f>
        <v>2909918.1909868489</v>
      </c>
      <c r="F265" s="2">
        <f>$C265+total_production!E265</f>
        <v>2910202.1409420464</v>
      </c>
      <c r="G265" s="2">
        <f>$C265+total_production!F265</f>
        <v>2910397.0293107596</v>
      </c>
      <c r="H265" s="2">
        <f>$C265+total_production!G265</f>
        <v>2910076.4878701176</v>
      </c>
      <c r="I265" s="2">
        <f>$C265+total_production!H265</f>
        <v>2910459.5930417874</v>
      </c>
      <c r="J265" s="2">
        <f>$C265+total_production!I265</f>
        <v>2910994.6335069174</v>
      </c>
      <c r="K265" s="2">
        <f>$C265+total_production!J265</f>
        <v>2911788.0014872751</v>
      </c>
      <c r="L265" s="2">
        <f>$C265+total_production!K265</f>
        <v>2912285.8845360912</v>
      </c>
      <c r="M265" s="2">
        <f>$C265+total_production!L265</f>
        <v>2913470.4775878545</v>
      </c>
      <c r="N265" s="2">
        <f>$C265+total_production!M265</f>
        <v>2913879.2698034076</v>
      </c>
      <c r="O265" s="2">
        <f>$C265+total_production!N265</f>
        <v>2914256.7554591084</v>
      </c>
      <c r="P265" s="2">
        <f>$C265+total_production!O265</f>
        <v>2914256.7554591084</v>
      </c>
      <c r="Q265" s="2">
        <f>$C265+total_production!P265</f>
        <v>2914256.7554591084</v>
      </c>
      <c r="R265" s="2">
        <f>$C265+total_production!Q265</f>
        <v>2914584.7064077933</v>
      </c>
      <c r="S265" s="2">
        <f>$C265+total_production!R265</f>
        <v>2914584.7064077933</v>
      </c>
      <c r="T265" s="2">
        <f>$C265+total_production!S265</f>
        <v>2914957.5639818092</v>
      </c>
      <c r="U265" s="2">
        <f>$C265+total_production!T265</f>
        <v>2914957.5639818092</v>
      </c>
      <c r="V265" s="2">
        <f>$C265+total_production!U265</f>
        <v>2915279.2185974615</v>
      </c>
      <c r="W265" s="2">
        <f>$C265+total_production!V265</f>
        <v>2915279.2185974615</v>
      </c>
      <c r="X265" s="2">
        <f>$C265+total_production!W265</f>
        <v>2915563.548218017</v>
      </c>
      <c r="Y265" s="2">
        <f>$C265+total_production!X265</f>
        <v>2915563.548218017</v>
      </c>
      <c r="Z265" s="2">
        <f>$C265+total_production!Y265</f>
        <v>2915563.548218017</v>
      </c>
      <c r="AA265" s="2">
        <f>$C265+total_production!Z265</f>
        <v>2915563.548218017</v>
      </c>
      <c r="AB265" s="2">
        <f>$C265+total_production!AA265</f>
        <v>2915563.548218017</v>
      </c>
    </row>
    <row r="266" spans="1:28" x14ac:dyDescent="0.2">
      <c r="A266" t="s">
        <v>704</v>
      </c>
      <c r="B266" t="s">
        <v>705</v>
      </c>
      <c r="C266" s="1">
        <v>1785077</v>
      </c>
      <c r="D266" s="2">
        <f>$C266+total_production!C266</f>
        <v>1787996.3850131414</v>
      </c>
      <c r="E266" s="2">
        <f>$C266+total_production!D266</f>
        <v>1787989.4516415212</v>
      </c>
      <c r="F266" s="2">
        <f>$C266+total_production!E266</f>
        <v>1788133.1526192145</v>
      </c>
      <c r="G266" s="2">
        <f>$C266+total_production!F266</f>
        <v>1788232.6740471062</v>
      </c>
      <c r="H266" s="2">
        <f>$C266+total_production!G266</f>
        <v>1788078.0209570613</v>
      </c>
      <c r="I266" s="2">
        <f>$C266+total_production!H266</f>
        <v>1788271.9022615678</v>
      </c>
      <c r="J266" s="2">
        <f>$C266+total_production!I266</f>
        <v>1788542.6747569928</v>
      </c>
      <c r="K266" s="2">
        <f>$C266+total_production!J266</f>
        <v>1788948.4019967816</v>
      </c>
      <c r="L266" s="2">
        <f>$C266+total_production!K266</f>
        <v>1789200.3699213476</v>
      </c>
      <c r="M266" s="2">
        <f>$C266+total_production!L266</f>
        <v>1789805.2099841093</v>
      </c>
      <c r="N266" s="2">
        <f>$C266+total_production!M266</f>
        <v>1790015.5979541591</v>
      </c>
      <c r="O266" s="2">
        <f>$C266+total_production!N266</f>
        <v>1790209.7011854481</v>
      </c>
      <c r="P266" s="2">
        <f>$C266+total_production!O266</f>
        <v>1790209.7011854481</v>
      </c>
      <c r="Q266" s="2">
        <f>$C266+total_production!P266</f>
        <v>1790209.7011854481</v>
      </c>
      <c r="R266" s="2">
        <f>$C266+total_production!Q266</f>
        <v>1790378.361646353</v>
      </c>
      <c r="S266" s="2">
        <f>$C266+total_production!R266</f>
        <v>1790378.361646353</v>
      </c>
      <c r="T266" s="2">
        <f>$C266+total_production!S266</f>
        <v>1790570.0276399781</v>
      </c>
      <c r="U266" s="2">
        <f>$C266+total_production!T266</f>
        <v>1790570.0276399781</v>
      </c>
      <c r="V266" s="2">
        <f>$C266+total_production!U266</f>
        <v>1790735.6353475596</v>
      </c>
      <c r="W266" s="2">
        <f>$C266+total_production!V266</f>
        <v>1790735.6353475596</v>
      </c>
      <c r="X266" s="2">
        <f>$C266+total_production!W266</f>
        <v>1790881.9340532583</v>
      </c>
      <c r="Y266" s="2">
        <f>$C266+total_production!X266</f>
        <v>1790881.9340532583</v>
      </c>
      <c r="Z266" s="2">
        <f>$C266+total_production!Y266</f>
        <v>1790881.9340532583</v>
      </c>
      <c r="AA266" s="2">
        <f>$C266+total_production!Z266</f>
        <v>1790881.9340532583</v>
      </c>
      <c r="AB266" s="2">
        <f>$C266+total_production!AA266</f>
        <v>1790881.9340532583</v>
      </c>
    </row>
    <row r="267" spans="1:28" x14ac:dyDescent="0.2">
      <c r="A267" t="s">
        <v>357</v>
      </c>
      <c r="B267" t="s">
        <v>358</v>
      </c>
      <c r="C267" s="1">
        <v>57419675</v>
      </c>
      <c r="D267" s="2">
        <f>$C267+total_production!C267</f>
        <v>57539443.479141608</v>
      </c>
      <c r="E267" s="2">
        <f>$C267+total_production!D267</f>
        <v>57526128.488140389</v>
      </c>
      <c r="F267" s="2">
        <f>$C267+total_production!E267</f>
        <v>57532798.341159545</v>
      </c>
      <c r="G267" s="2">
        <f>$C267+total_production!F267</f>
        <v>57532220.336453669</v>
      </c>
      <c r="H267" s="2">
        <f>$C267+total_production!G267</f>
        <v>57480988.24687276</v>
      </c>
      <c r="I267" s="2">
        <f>$C267+total_production!H267</f>
        <v>57489987.210032076</v>
      </c>
      <c r="J267" s="2">
        <f>$C267+total_production!I267</f>
        <v>57502555.062910363</v>
      </c>
      <c r="K267" s="2">
        <f>$C267+total_production!J267</f>
        <v>57496811.284536064</v>
      </c>
      <c r="L267" s="2">
        <f>$C267+total_production!K267</f>
        <v>57508506.326903723</v>
      </c>
      <c r="M267" s="2">
        <f>$C267+total_production!L267</f>
        <v>57505470.173226468</v>
      </c>
      <c r="N267" s="2">
        <f>$C267+total_production!M267</f>
        <v>57494815.503305137</v>
      </c>
      <c r="O267" s="2">
        <f>$C267+total_production!N267</f>
        <v>57485973.671228088</v>
      </c>
      <c r="P267" s="2">
        <f>$C267+total_production!O267</f>
        <v>57485973.671228088</v>
      </c>
      <c r="Q267" s="2">
        <f>$C267+total_production!P267</f>
        <v>57485973.671228088</v>
      </c>
      <c r="R267" s="2">
        <f>$C267+total_production!Q267</f>
        <v>57478130.4139084</v>
      </c>
      <c r="S267" s="2">
        <f>$C267+total_production!R267</f>
        <v>57478130.4139084</v>
      </c>
      <c r="T267" s="2">
        <f>$C267+total_production!S267</f>
        <v>57469728.980000988</v>
      </c>
      <c r="U267" s="2">
        <f>$C267+total_production!T267</f>
        <v>57469728.980000988</v>
      </c>
      <c r="V267" s="2">
        <f>$C267+total_production!U267</f>
        <v>57460965.635084495</v>
      </c>
      <c r="W267" s="2">
        <f>$C267+total_production!V267</f>
        <v>57460965.635084495</v>
      </c>
      <c r="X267" s="2">
        <f>$C267+total_production!W267</f>
        <v>57453749.352146573</v>
      </c>
      <c r="Y267" s="2">
        <f>$C267+total_production!X267</f>
        <v>57453749.352146573</v>
      </c>
      <c r="Z267" s="2">
        <f>$C267+total_production!Y267</f>
        <v>57453749.352146573</v>
      </c>
      <c r="AA267" s="2">
        <f>$C267+total_production!Z267</f>
        <v>57453749.352146573</v>
      </c>
      <c r="AB267" s="2">
        <f>$C267+total_production!AA267</f>
        <v>57453749.352146573</v>
      </c>
    </row>
    <row r="268" spans="1:28" x14ac:dyDescent="0.2">
      <c r="A268" t="s">
        <v>390</v>
      </c>
      <c r="B268" t="s">
        <v>391</v>
      </c>
      <c r="C268" s="1">
        <v>10306368</v>
      </c>
      <c r="D268" s="2">
        <f>$C268+total_production!C268</f>
        <v>10359519.347969322</v>
      </c>
      <c r="E268" s="2">
        <f>$C268+total_production!D268</f>
        <v>10351947.637362128</v>
      </c>
      <c r="F268" s="2">
        <f>$C268+total_production!E268</f>
        <v>10355006.438361004</v>
      </c>
      <c r="G268" s="2">
        <f>$C268+total_production!F268</f>
        <v>10354155.187608927</v>
      </c>
      <c r="H268" s="2">
        <f>$C268+total_production!G268</f>
        <v>10325691.459174633</v>
      </c>
      <c r="I268" s="2">
        <f>$C268+total_production!H268</f>
        <v>10329818.392320165</v>
      </c>
      <c r="J268" s="2">
        <f>$C268+total_production!I268</f>
        <v>10335582.02171761</v>
      </c>
      <c r="K268" s="2">
        <f>$C268+total_production!J268</f>
        <v>10330176.154808912</v>
      </c>
      <c r="L268" s="2">
        <f>$C268+total_production!K268</f>
        <v>10335539.512468124</v>
      </c>
      <c r="M268" s="2">
        <f>$C268+total_production!L268</f>
        <v>10330638.40619502</v>
      </c>
      <c r="N268" s="2">
        <f>$C268+total_production!M268</f>
        <v>10323449.107445724</v>
      </c>
      <c r="O268" s="2">
        <f>$C268+total_production!N268</f>
        <v>10317380.889082788</v>
      </c>
      <c r="P268" s="2">
        <f>$C268+total_production!O268</f>
        <v>10317380.889082788</v>
      </c>
      <c r="Q268" s="2">
        <f>$C268+total_production!P268</f>
        <v>10317380.889082788</v>
      </c>
      <c r="R268" s="2">
        <f>$C268+total_production!Q268</f>
        <v>10312016.433720117</v>
      </c>
      <c r="S268" s="2">
        <f>$C268+total_production!R268</f>
        <v>10312016.433720117</v>
      </c>
      <c r="T268" s="2">
        <f>$C268+total_production!S268</f>
        <v>10306212.611673569</v>
      </c>
      <c r="U268" s="2">
        <f>$C268+total_production!T268</f>
        <v>10306212.611673569</v>
      </c>
      <c r="V268" s="2">
        <f>$C268+total_production!U268</f>
        <v>10300338.411587143</v>
      </c>
      <c r="W268" s="2">
        <f>$C268+total_production!V268</f>
        <v>10300338.411587143</v>
      </c>
      <c r="X268" s="2">
        <f>$C268+total_production!W268</f>
        <v>10295449.262916403</v>
      </c>
      <c r="Y268" s="2">
        <f>$C268+total_production!X268</f>
        <v>10295449.262916403</v>
      </c>
      <c r="Z268" s="2">
        <f>$C268+total_production!Y268</f>
        <v>10295449.262916403</v>
      </c>
      <c r="AA268" s="2">
        <f>$C268+total_production!Z268</f>
        <v>10295449.262916403</v>
      </c>
      <c r="AB268" s="2">
        <f>$C268+total_production!AA268</f>
        <v>10295449.262916403</v>
      </c>
    </row>
    <row r="269" spans="1:28" x14ac:dyDescent="0.2">
      <c r="A269" t="s">
        <v>696</v>
      </c>
      <c r="B269" t="s">
        <v>697</v>
      </c>
      <c r="C269" s="1">
        <v>719107</v>
      </c>
      <c r="D269" s="2">
        <f>$C269+total_production!C269</f>
        <v>721756.22716861649</v>
      </c>
      <c r="E269" s="2">
        <f>$C269+total_production!D269</f>
        <v>721444.7716455569</v>
      </c>
      <c r="F269" s="2">
        <f>$C269+total_production!E269</f>
        <v>721593.31239262188</v>
      </c>
      <c r="G269" s="2">
        <f>$C269+total_production!F269</f>
        <v>721574.47017906571</v>
      </c>
      <c r="H269" s="2">
        <f>$C269+total_production!G269</f>
        <v>720382.90565056761</v>
      </c>
      <c r="I269" s="2">
        <f>$C269+total_production!H269</f>
        <v>720583.31677007175</v>
      </c>
      <c r="J269" s="2">
        <f>$C269+total_production!I269</f>
        <v>720863.20873323537</v>
      </c>
      <c r="K269" s="2">
        <f>$C269+total_production!J269</f>
        <v>720707.06374454417</v>
      </c>
      <c r="L269" s="2">
        <f>$C269+total_production!K269</f>
        <v>720967.51780931302</v>
      </c>
      <c r="M269" s="2">
        <f>$C269+total_production!L269</f>
        <v>720864.1675146604</v>
      </c>
      <c r="N269" s="2">
        <f>$C269+total_production!M269</f>
        <v>720603.42811280163</v>
      </c>
      <c r="O269" s="2">
        <f>$C269+total_production!N269</f>
        <v>720386.01195060695</v>
      </c>
      <c r="P269" s="2">
        <f>$C269+total_production!O269</f>
        <v>720386.01195060695</v>
      </c>
      <c r="Q269" s="2">
        <f>$C269+total_production!P269</f>
        <v>720386.01195060695</v>
      </c>
      <c r="R269" s="2">
        <f>$C269+total_production!Q269</f>
        <v>720193.33796470612</v>
      </c>
      <c r="S269" s="2">
        <f>$C269+total_production!R269</f>
        <v>720193.33796470612</v>
      </c>
      <c r="T269" s="2">
        <f>$C269+total_production!S269</f>
        <v>719986.36547160428</v>
      </c>
      <c r="U269" s="2">
        <f>$C269+total_production!T269</f>
        <v>719986.36547160428</v>
      </c>
      <c r="V269" s="2">
        <f>$C269+total_production!U269</f>
        <v>719772.30661176285</v>
      </c>
      <c r="W269" s="2">
        <f>$C269+total_production!V269</f>
        <v>719772.30661176285</v>
      </c>
      <c r="X269" s="2">
        <f>$C269+total_production!W269</f>
        <v>719595.50799360313</v>
      </c>
      <c r="Y269" s="2">
        <f>$C269+total_production!X269</f>
        <v>719595.50799360313</v>
      </c>
      <c r="Z269" s="2">
        <f>$C269+total_production!Y269</f>
        <v>719595.50799360313</v>
      </c>
      <c r="AA269" s="2">
        <f>$C269+total_production!Z269</f>
        <v>719595.50799360313</v>
      </c>
      <c r="AB269" s="2">
        <f>$C269+total_production!AA269</f>
        <v>719595.50799360313</v>
      </c>
    </row>
    <row r="270" spans="1:28" x14ac:dyDescent="0.2">
      <c r="A270" t="s">
        <v>355</v>
      </c>
      <c r="B270" t="s">
        <v>356</v>
      </c>
      <c r="C270" s="1">
        <v>35342156</v>
      </c>
      <c r="D270" s="2">
        <f>$C270+total_production!C270</f>
        <v>35472930.062224716</v>
      </c>
      <c r="E270" s="2">
        <f>$C270+total_production!D270</f>
        <v>35457688.054997653</v>
      </c>
      <c r="F270" s="2">
        <f>$C270+total_production!E270</f>
        <v>35465012.617063098</v>
      </c>
      <c r="G270" s="2">
        <f>$C270+total_production!F270</f>
        <v>35464129.866054118</v>
      </c>
      <c r="H270" s="2">
        <f>$C270+total_production!G270</f>
        <v>35405766.646497481</v>
      </c>
      <c r="I270" s="2">
        <f>$C270+total_production!H270</f>
        <v>35415648.942853317</v>
      </c>
      <c r="J270" s="2">
        <f>$C270+total_production!I270</f>
        <v>35429450.449149206</v>
      </c>
      <c r="K270" s="2">
        <f>$C270+total_production!J270</f>
        <v>35421970.140094273</v>
      </c>
      <c r="L270" s="2">
        <f>$C270+total_production!K270</f>
        <v>35434813.161287397</v>
      </c>
      <c r="M270" s="2">
        <f>$C270+total_production!L270</f>
        <v>35429994.451048166</v>
      </c>
      <c r="N270" s="2">
        <f>$C270+total_production!M270</f>
        <v>35417319.508795604</v>
      </c>
      <c r="O270" s="2">
        <f>$C270+total_production!N270</f>
        <v>35406757.927408583</v>
      </c>
      <c r="P270" s="2">
        <f>$C270+total_production!O270</f>
        <v>35406757.927408583</v>
      </c>
      <c r="Q270" s="2">
        <f>$C270+total_production!P270</f>
        <v>35406757.927408583</v>
      </c>
      <c r="R270" s="2">
        <f>$C270+total_production!Q270</f>
        <v>35397396.944124877</v>
      </c>
      <c r="S270" s="2">
        <f>$C270+total_production!R270</f>
        <v>35397396.944124877</v>
      </c>
      <c r="T270" s="2">
        <f>$C270+total_production!S270</f>
        <v>35387345.403776675</v>
      </c>
      <c r="U270" s="2">
        <f>$C270+total_production!T270</f>
        <v>35387345.403776675</v>
      </c>
      <c r="V270" s="2">
        <f>$C270+total_production!U270</f>
        <v>35376936.873242177</v>
      </c>
      <c r="W270" s="2">
        <f>$C270+total_production!V270</f>
        <v>35376936.873242177</v>
      </c>
      <c r="X270" s="2">
        <f>$C270+total_production!W270</f>
        <v>35368343.855057441</v>
      </c>
      <c r="Y270" s="2">
        <f>$C270+total_production!X270</f>
        <v>35368343.855057441</v>
      </c>
      <c r="Z270" s="2">
        <f>$C270+total_production!Y270</f>
        <v>35368343.855057441</v>
      </c>
      <c r="AA270" s="2">
        <f>$C270+total_production!Z270</f>
        <v>35368343.855057441</v>
      </c>
      <c r="AB270" s="2">
        <f>$C270+total_production!AA270</f>
        <v>35368343.855057441</v>
      </c>
    </row>
    <row r="271" spans="1:28" x14ac:dyDescent="0.2">
      <c r="A271" t="s">
        <v>410</v>
      </c>
      <c r="B271" t="s">
        <v>411</v>
      </c>
      <c r="C271" s="1">
        <v>10526015</v>
      </c>
      <c r="D271" s="2">
        <f>$C271+total_production!C271</f>
        <v>10564738.450788293</v>
      </c>
      <c r="E271" s="2">
        <f>$C271+total_production!D271</f>
        <v>10560191.610140545</v>
      </c>
      <c r="F271" s="2">
        <f>$C271+total_production!E271</f>
        <v>10562362.476314254</v>
      </c>
      <c r="G271" s="2">
        <f>$C271+total_production!F271</f>
        <v>10562089.089626692</v>
      </c>
      <c r="H271" s="2">
        <f>$C271+total_production!G271</f>
        <v>10544691.656040642</v>
      </c>
      <c r="I271" s="2">
        <f>$C271+total_production!H271</f>
        <v>10547620.58785742</v>
      </c>
      <c r="J271" s="2">
        <f>$C271+total_production!I271</f>
        <v>10551711.101787979</v>
      </c>
      <c r="K271" s="2">
        <f>$C271+total_production!J271</f>
        <v>10549438.488942079</v>
      </c>
      <c r="L271" s="2">
        <f>$C271+total_production!K271</f>
        <v>10553244.925426234</v>
      </c>
      <c r="M271" s="2">
        <f>$C271+total_production!L271</f>
        <v>10551746.382494645</v>
      </c>
      <c r="N271" s="2">
        <f>$C271+total_production!M271</f>
        <v>10547943.575077541</v>
      </c>
      <c r="O271" s="2">
        <f>$C271+total_production!N271</f>
        <v>10544772.939139821</v>
      </c>
      <c r="P271" s="2">
        <f>$C271+total_production!O271</f>
        <v>10544772.939139821</v>
      </c>
      <c r="Q271" s="2">
        <f>$C271+total_production!P271</f>
        <v>10544772.939139821</v>
      </c>
      <c r="R271" s="2">
        <f>$C271+total_production!Q271</f>
        <v>10541963.068200631</v>
      </c>
      <c r="S271" s="2">
        <f>$C271+total_production!R271</f>
        <v>10541963.068200631</v>
      </c>
      <c r="T271" s="2">
        <f>$C271+total_production!S271</f>
        <v>10538944.851077111</v>
      </c>
      <c r="U271" s="2">
        <f>$C271+total_production!T271</f>
        <v>10538944.851077111</v>
      </c>
      <c r="V271" s="2">
        <f>$C271+total_production!U271</f>
        <v>10535822.745690042</v>
      </c>
      <c r="W271" s="2">
        <f>$C271+total_production!V271</f>
        <v>10535822.745690042</v>
      </c>
      <c r="X271" s="2">
        <f>$C271+total_production!W271</f>
        <v>10533244.251284527</v>
      </c>
      <c r="Y271" s="2">
        <f>$C271+total_production!X271</f>
        <v>10533244.251284527</v>
      </c>
      <c r="Z271" s="2">
        <f>$C271+total_production!Y271</f>
        <v>10533244.251284527</v>
      </c>
      <c r="AA271" s="2">
        <f>$C271+total_production!Z271</f>
        <v>10533244.251284527</v>
      </c>
      <c r="AB271" s="2">
        <f>$C271+total_production!AA271</f>
        <v>10533244.251284527</v>
      </c>
    </row>
    <row r="272" spans="1:28" x14ac:dyDescent="0.2">
      <c r="A272" t="s">
        <v>669</v>
      </c>
      <c r="B272" t="s">
        <v>670</v>
      </c>
      <c r="C272" s="1">
        <v>2251890</v>
      </c>
      <c r="D272" s="2">
        <f>$C272+total_production!C272</f>
        <v>2237140.800375592</v>
      </c>
      <c r="E272" s="2">
        <f>$C272+total_production!D272</f>
        <v>2222121.6180612943</v>
      </c>
      <c r="F272" s="2">
        <f>$C272+total_production!E272</f>
        <v>2222290.3819982619</v>
      </c>
      <c r="G272" s="2">
        <f>$C272+total_production!F272</f>
        <v>2216402.8445247286</v>
      </c>
      <c r="H272" s="2">
        <f>$C272+total_production!G272</f>
        <v>2165325.6875634198</v>
      </c>
      <c r="I272" s="2">
        <f>$C272+total_production!H272</f>
        <v>2165553.3838030575</v>
      </c>
      <c r="J272" s="2">
        <f>$C272+total_production!I272</f>
        <v>2165871.3818646162</v>
      </c>
      <c r="K272" s="2">
        <f>$C272+total_production!J272</f>
        <v>2137955.7270674091</v>
      </c>
      <c r="L272" s="2">
        <f>$C272+total_production!K272</f>
        <v>2138251.6408435158</v>
      </c>
      <c r="M272" s="2">
        <f>$C272+total_production!L272</f>
        <v>2103020.9035329856</v>
      </c>
      <c r="N272" s="2">
        <f>$C272+total_production!M272</f>
        <v>2079676.9759477947</v>
      </c>
      <c r="O272" s="2">
        <f>$C272+total_production!N272</f>
        <v>2059281.5356641719</v>
      </c>
      <c r="P272" s="2">
        <f>$C272+total_production!O272</f>
        <v>2059281.5356641719</v>
      </c>
      <c r="Q272" s="2">
        <f>$C272+total_production!P272</f>
        <v>2059281.5356641719</v>
      </c>
      <c r="R272" s="2">
        <f>$C272+total_production!Q272</f>
        <v>2041374.1900450857</v>
      </c>
      <c r="S272" s="2">
        <f>$C272+total_production!R272</f>
        <v>2041374.1900450857</v>
      </c>
      <c r="T272" s="2">
        <f>$C272+total_production!S272</f>
        <v>2021615.372314038</v>
      </c>
      <c r="U272" s="2">
        <f>$C272+total_production!T272</f>
        <v>2021615.372314038</v>
      </c>
      <c r="V272" s="2">
        <f>$C272+total_production!U272</f>
        <v>2002805.1610429296</v>
      </c>
      <c r="W272" s="2">
        <f>$C272+total_production!V272</f>
        <v>2002805.1610429296</v>
      </c>
      <c r="X272" s="2">
        <f>$C272+total_production!W272</f>
        <v>1986795.0044450369</v>
      </c>
      <c r="Y272" s="2">
        <f>$C272+total_production!X272</f>
        <v>1986795.0044450369</v>
      </c>
      <c r="Z272" s="2">
        <f>$C272+total_production!Y272</f>
        <v>1986795.0044450369</v>
      </c>
      <c r="AA272" s="2">
        <f>$C272+total_production!Z272</f>
        <v>1986795.0044450369</v>
      </c>
      <c r="AB272" s="2">
        <f>$C272+total_production!AA272</f>
        <v>1986795.0044450369</v>
      </c>
    </row>
    <row r="273" spans="1:28" x14ac:dyDescent="0.2">
      <c r="A273" t="s">
        <v>643</v>
      </c>
      <c r="B273" t="s">
        <v>644</v>
      </c>
      <c r="C273" s="1">
        <v>1155290</v>
      </c>
      <c r="D273" s="2">
        <f>$C273+total_production!C273</f>
        <v>1159404.7343929976</v>
      </c>
      <c r="E273" s="2">
        <f>$C273+total_production!D273</f>
        <v>1158936.0368300674</v>
      </c>
      <c r="F273" s="2">
        <f>$C273+total_production!E273</f>
        <v>1159165.8532772965</v>
      </c>
      <c r="G273" s="2">
        <f>$C273+total_production!F273</f>
        <v>1159141.9710475742</v>
      </c>
      <c r="H273" s="2">
        <f>$C273+total_production!G273</f>
        <v>1157343.0967918725</v>
      </c>
      <c r="I273" s="2">
        <f>$C273+total_production!H273</f>
        <v>1157653.1650551585</v>
      </c>
      <c r="J273" s="2">
        <f>$C273+total_production!I273</f>
        <v>1158086.2029781071</v>
      </c>
      <c r="K273" s="2">
        <f>$C273+total_production!J273</f>
        <v>1157869.5395880493</v>
      </c>
      <c r="L273" s="2">
        <f>$C273+total_production!K273</f>
        <v>1158272.503953143</v>
      </c>
      <c r="M273" s="2">
        <f>$C273+total_production!L273</f>
        <v>1158144.1476795541</v>
      </c>
      <c r="N273" s="2">
        <f>$C273+total_production!M273</f>
        <v>1157761.4462330074</v>
      </c>
      <c r="O273" s="2">
        <f>$C273+total_production!N273</f>
        <v>1157443.1683210931</v>
      </c>
      <c r="P273" s="2">
        <f>$C273+total_production!O273</f>
        <v>1157443.1683210931</v>
      </c>
      <c r="Q273" s="2">
        <f>$C273+total_production!P273</f>
        <v>1157443.1683210931</v>
      </c>
      <c r="R273" s="2">
        <f>$C273+total_production!Q273</f>
        <v>1157160.9606667706</v>
      </c>
      <c r="S273" s="2">
        <f>$C273+total_production!R273</f>
        <v>1157160.9606667706</v>
      </c>
      <c r="T273" s="2">
        <f>$C273+total_production!S273</f>
        <v>1156858.2795555056</v>
      </c>
      <c r="U273" s="2">
        <f>$C273+total_production!T273</f>
        <v>1156858.2795555056</v>
      </c>
      <c r="V273" s="2">
        <f>$C273+total_production!U273</f>
        <v>1156543.7753020099</v>
      </c>
      <c r="W273" s="2">
        <f>$C273+total_production!V273</f>
        <v>1156543.7753020099</v>
      </c>
      <c r="X273" s="2">
        <f>$C273+total_production!W273</f>
        <v>1156284.441302344</v>
      </c>
      <c r="Y273" s="2">
        <f>$C273+total_production!X273</f>
        <v>1156284.441302344</v>
      </c>
      <c r="Z273" s="2">
        <f>$C273+total_production!Y273</f>
        <v>1156284.441302344</v>
      </c>
      <c r="AA273" s="2">
        <f>$C273+total_production!Z273</f>
        <v>1156284.441302344</v>
      </c>
      <c r="AB273" s="2">
        <f>$C273+total_production!AA273</f>
        <v>1156284.441302344</v>
      </c>
    </row>
    <row r="274" spans="1:28" x14ac:dyDescent="0.2">
      <c r="A274" t="s">
        <v>334</v>
      </c>
      <c r="B274" t="s">
        <v>335</v>
      </c>
      <c r="C274" s="1">
        <v>2368759</v>
      </c>
      <c r="D274" s="2">
        <f>$C274+total_production!C274</f>
        <v>17196707.862146944</v>
      </c>
      <c r="E274" s="2">
        <f>$C274+total_production!D274</f>
        <v>18549157.871404089</v>
      </c>
      <c r="F274" s="2">
        <f>$C274+total_production!E274</f>
        <v>19196556.962769672</v>
      </c>
      <c r="G274" s="2">
        <f>$C274+total_production!F274</f>
        <v>20198393.632113978</v>
      </c>
      <c r="H274" s="2">
        <f>$C274+total_production!G274</f>
        <v>24193096.410560589</v>
      </c>
      <c r="I274" s="2">
        <f>$C274+total_production!H274</f>
        <v>25066567.018660702</v>
      </c>
      <c r="J274" s="2">
        <f>$C274+total_production!I274</f>
        <v>26286446.453852933</v>
      </c>
      <c r="K274" s="2">
        <f>$C274+total_production!J274</f>
        <v>30731449.91306594</v>
      </c>
      <c r="L274" s="2">
        <f>$C274+total_production!K274</f>
        <v>31866611.329751514</v>
      </c>
      <c r="M274" s="2">
        <f>$C274+total_production!L274</f>
        <v>37904498.181362443</v>
      </c>
      <c r="N274" s="2">
        <f>$C274+total_production!M274</f>
        <v>41026904.027985334</v>
      </c>
      <c r="O274" s="2">
        <f>$C274+total_production!N274</f>
        <v>43802395.8925578</v>
      </c>
      <c r="P274" s="2">
        <f>$C274+total_production!O274</f>
        <v>43802395.8925578</v>
      </c>
      <c r="Q274" s="2">
        <f>$C274+total_production!P274</f>
        <v>43802395.8925578</v>
      </c>
      <c r="R274" s="2">
        <f>$C274+total_production!Q274</f>
        <v>46231161.800177969</v>
      </c>
      <c r="S274" s="2">
        <f>$C274+total_production!R274</f>
        <v>46231161.800177969</v>
      </c>
      <c r="T274" s="2">
        <f>$C274+total_production!S274</f>
        <v>48936727.092678972</v>
      </c>
      <c r="U274" s="2">
        <f>$C274+total_production!T274</f>
        <v>48936727.092678972</v>
      </c>
      <c r="V274" s="2">
        <f>$C274+total_production!U274</f>
        <v>51434633.574966863</v>
      </c>
      <c r="W274" s="2">
        <f>$C274+total_production!V274</f>
        <v>51434633.574966863</v>
      </c>
      <c r="X274" s="2">
        <f>$C274+total_production!W274</f>
        <v>53585356.035984598</v>
      </c>
      <c r="Y274" s="2">
        <f>$C274+total_production!X274</f>
        <v>53585356.035984598</v>
      </c>
      <c r="Z274" s="2">
        <f>$C274+total_production!Y274</f>
        <v>53585356.035984598</v>
      </c>
      <c r="AA274" s="2">
        <f>$C274+total_production!Z274</f>
        <v>53585356.035984598</v>
      </c>
      <c r="AB274" s="2">
        <f>$C274+total_production!AA274</f>
        <v>53585356.035984598</v>
      </c>
    </row>
    <row r="275" spans="1:28" x14ac:dyDescent="0.2">
      <c r="A275" t="s">
        <v>398</v>
      </c>
      <c r="B275" t="s">
        <v>15</v>
      </c>
      <c r="C275" s="1">
        <v>15740673</v>
      </c>
      <c r="D275" s="2">
        <f>$C275+total_production!C275</f>
        <v>15796583.79289824</v>
      </c>
      <c r="E275" s="2">
        <f>$C275+total_production!D275</f>
        <v>15793172.984379128</v>
      </c>
      <c r="F275" s="2">
        <f>$C275+total_production!E275</f>
        <v>15796119.916128544</v>
      </c>
      <c r="G275" s="2">
        <f>$C275+total_production!F275</f>
        <v>15796853.391292749</v>
      </c>
      <c r="H275" s="2">
        <f>$C275+total_production!G275</f>
        <v>15782599.462650763</v>
      </c>
      <c r="I275" s="2">
        <f>$C275+total_production!H275</f>
        <v>15786575.46184743</v>
      </c>
      <c r="J275" s="2">
        <f>$C275+total_production!I275</f>
        <v>15792128.298553526</v>
      </c>
      <c r="K275" s="2">
        <f>$C275+total_production!J275</f>
        <v>15794266.373103937</v>
      </c>
      <c r="L275" s="2">
        <f>$C275+total_production!K275</f>
        <v>15799433.577173512</v>
      </c>
      <c r="M275" s="2">
        <f>$C275+total_production!L275</f>
        <v>15804011.173230125</v>
      </c>
      <c r="N275" s="2">
        <f>$C275+total_production!M275</f>
        <v>15803188.786999</v>
      </c>
      <c r="O275" s="2">
        <f>$C275+total_production!N275</f>
        <v>15802678.634805698</v>
      </c>
      <c r="P275" s="2">
        <f>$C275+total_production!O275</f>
        <v>15802678.634805698</v>
      </c>
      <c r="Q275" s="2">
        <f>$C275+total_production!P275</f>
        <v>15802678.634805698</v>
      </c>
      <c r="R275" s="2">
        <f>$C275+total_production!Q275</f>
        <v>15802195.001727067</v>
      </c>
      <c r="S275" s="2">
        <f>$C275+total_production!R275</f>
        <v>15802195.001727067</v>
      </c>
      <c r="T275" s="2">
        <f>$C275+total_production!S275</f>
        <v>15801774.11467647</v>
      </c>
      <c r="U275" s="2">
        <f>$C275+total_production!T275</f>
        <v>15801774.11467647</v>
      </c>
      <c r="V275" s="2">
        <f>$C275+total_production!U275</f>
        <v>15801032.061118681</v>
      </c>
      <c r="W275" s="2">
        <f>$C275+total_production!V275</f>
        <v>15801032.061118681</v>
      </c>
      <c r="X275" s="2">
        <f>$C275+total_production!W275</f>
        <v>15800508.6743406</v>
      </c>
      <c r="Y275" s="2">
        <f>$C275+total_production!X275</f>
        <v>15800508.6743406</v>
      </c>
      <c r="Z275" s="2">
        <f>$C275+total_production!Y275</f>
        <v>15800508.6743406</v>
      </c>
      <c r="AA275" s="2">
        <f>$C275+total_production!Z275</f>
        <v>15800508.6743406</v>
      </c>
      <c r="AB275" s="2">
        <f>$C275+total_production!AA275</f>
        <v>15800508.6743406</v>
      </c>
    </row>
    <row r="276" spans="1:28" x14ac:dyDescent="0.2">
      <c r="A276" t="s">
        <v>566</v>
      </c>
      <c r="B276" t="s">
        <v>249</v>
      </c>
      <c r="C276" s="1">
        <v>4965219</v>
      </c>
      <c r="D276" s="2">
        <f>$C276+total_production!C276</f>
        <v>4973443.1430318244</v>
      </c>
      <c r="E276" s="2">
        <f>$C276+total_production!D276</f>
        <v>4973610.5418609949</v>
      </c>
      <c r="F276" s="2">
        <f>$C276+total_production!E276</f>
        <v>4974004.2486649463</v>
      </c>
      <c r="G276" s="2">
        <f>$C276+total_production!F276</f>
        <v>4974351.4717777176</v>
      </c>
      <c r="H276" s="2">
        <f>$C276+total_production!G276</f>
        <v>4974559.737229594</v>
      </c>
      <c r="I276" s="2">
        <f>$C276+total_production!H276</f>
        <v>4975090.9262999017</v>
      </c>
      <c r="J276" s="2">
        <f>$C276+total_production!I276</f>
        <v>4975832.779107607</v>
      </c>
      <c r="K276" s="2">
        <f>$C276+total_production!J276</f>
        <v>4977296.9261968546</v>
      </c>
      <c r="L276" s="2">
        <f>$C276+total_production!K276</f>
        <v>4977987.2589132469</v>
      </c>
      <c r="M276" s="2">
        <f>$C276+total_production!L276</f>
        <v>4980090.6644573333</v>
      </c>
      <c r="N276" s="2">
        <f>$C276+total_production!M276</f>
        <v>4980960.0114766173</v>
      </c>
      <c r="O276" s="2">
        <f>$C276+total_production!N276</f>
        <v>4981747.8928042296</v>
      </c>
      <c r="P276" s="2">
        <f>$C276+total_production!O276</f>
        <v>4981747.8928042296</v>
      </c>
      <c r="Q276" s="2">
        <f>$C276+total_production!P276</f>
        <v>4981747.8928042296</v>
      </c>
      <c r="R276" s="2">
        <f>$C276+total_production!Q276</f>
        <v>4982434.8008157983</v>
      </c>
      <c r="S276" s="2">
        <f>$C276+total_production!R276</f>
        <v>4982434.8008157983</v>
      </c>
      <c r="T276" s="2">
        <f>$C276+total_production!S276</f>
        <v>4983208.0640943479</v>
      </c>
      <c r="U276" s="2">
        <f>$C276+total_production!T276</f>
        <v>4983208.0640943479</v>
      </c>
      <c r="V276" s="2">
        <f>$C276+total_production!U276</f>
        <v>4983897.7747999495</v>
      </c>
      <c r="W276" s="2">
        <f>$C276+total_production!V276</f>
        <v>4983897.7747999495</v>
      </c>
      <c r="X276" s="2">
        <f>$C276+total_production!W276</f>
        <v>4984499.5330566429</v>
      </c>
      <c r="Y276" s="2">
        <f>$C276+total_production!X276</f>
        <v>4984499.5330566429</v>
      </c>
      <c r="Z276" s="2">
        <f>$C276+total_production!Y276</f>
        <v>4984499.5330566429</v>
      </c>
      <c r="AA276" s="2">
        <f>$C276+total_production!Z276</f>
        <v>4984499.5330566429</v>
      </c>
      <c r="AB276" s="2">
        <f>$C276+total_production!AA276</f>
        <v>4984499.5330566429</v>
      </c>
    </row>
    <row r="277" spans="1:28" x14ac:dyDescent="0.2">
      <c r="A277" t="s">
        <v>561</v>
      </c>
      <c r="B277" t="s">
        <v>195</v>
      </c>
      <c r="C277" s="1">
        <v>2612990</v>
      </c>
      <c r="D277" s="2">
        <f>$C277+total_production!C277</f>
        <v>2621747.0013695699</v>
      </c>
      <c r="E277" s="2">
        <f>$C277+total_production!D277</f>
        <v>2621834.2157514039</v>
      </c>
      <c r="F277" s="2">
        <f>$C277+total_production!E277</f>
        <v>2622258.8420950347</v>
      </c>
      <c r="G277" s="2">
        <f>$C277+total_production!F277</f>
        <v>2622596.0017658598</v>
      </c>
      <c r="H277" s="2">
        <f>$C277+total_production!G277</f>
        <v>2622504.1806715289</v>
      </c>
      <c r="I277" s="2">
        <f>$C277+total_production!H277</f>
        <v>2623077.0863730246</v>
      </c>
      <c r="J277" s="2">
        <f>$C277+total_production!I277</f>
        <v>2623877.2001685873</v>
      </c>
      <c r="K277" s="2">
        <f>$C277+total_production!J277</f>
        <v>2625279.8052808498</v>
      </c>
      <c r="L277" s="2">
        <f>$C277+total_production!K277</f>
        <v>2626024.3528840621</v>
      </c>
      <c r="M277" s="2">
        <f>$C277+total_production!L277</f>
        <v>2628069.4848834723</v>
      </c>
      <c r="N277" s="2">
        <f>$C277+total_production!M277</f>
        <v>2628860.4286637227</v>
      </c>
      <c r="O277" s="2">
        <f>$C277+total_production!N277</f>
        <v>2629581.9599961154</v>
      </c>
      <c r="P277" s="2">
        <f>$C277+total_production!O277</f>
        <v>2629581.9599961154</v>
      </c>
      <c r="Q277" s="2">
        <f>$C277+total_production!P277</f>
        <v>2629581.9599961154</v>
      </c>
      <c r="R277" s="2">
        <f>$C277+total_production!Q277</f>
        <v>2630210.2436194909</v>
      </c>
      <c r="S277" s="2">
        <f>$C277+total_production!R277</f>
        <v>2630210.2436194909</v>
      </c>
      <c r="T277" s="2">
        <f>$C277+total_production!S277</f>
        <v>2630919.9848747202</v>
      </c>
      <c r="U277" s="2">
        <f>$C277+total_production!T277</f>
        <v>2630919.9848747202</v>
      </c>
      <c r="V277" s="2">
        <f>$C277+total_production!U277</f>
        <v>2631545.700031009</v>
      </c>
      <c r="W277" s="2">
        <f>$C277+total_production!V277</f>
        <v>2631545.700031009</v>
      </c>
      <c r="X277" s="2">
        <f>$C277+total_production!W277</f>
        <v>2632094.1057525696</v>
      </c>
      <c r="Y277" s="2">
        <f>$C277+total_production!X277</f>
        <v>2632094.1057525696</v>
      </c>
      <c r="Z277" s="2">
        <f>$C277+total_production!Y277</f>
        <v>2632094.1057525696</v>
      </c>
      <c r="AA277" s="2">
        <f>$C277+total_production!Z277</f>
        <v>2632094.1057525696</v>
      </c>
      <c r="AB277" s="2">
        <f>$C277+total_production!AA277</f>
        <v>2632094.1057525696</v>
      </c>
    </row>
    <row r="278" spans="1:28" x14ac:dyDescent="0.2">
      <c r="A278" t="s">
        <v>593</v>
      </c>
      <c r="B278" t="s">
        <v>594</v>
      </c>
      <c r="C278" s="1">
        <v>2318977</v>
      </c>
      <c r="D278" s="2">
        <f>$C278+total_production!C278</f>
        <v>2326384.7344619031</v>
      </c>
      <c r="E278" s="2">
        <f>$C278+total_production!D278</f>
        <v>2326893.6141035887</v>
      </c>
      <c r="F278" s="2">
        <f>$C278+total_production!E278</f>
        <v>2327226.953742973</v>
      </c>
      <c r="G278" s="2">
        <f>$C278+total_production!F278</f>
        <v>2327667.7963093044</v>
      </c>
      <c r="H278" s="2">
        <f>$C278+total_production!G278</f>
        <v>2329088.9587510121</v>
      </c>
      <c r="I278" s="2">
        <f>$C278+total_production!H278</f>
        <v>2329538.7004658217</v>
      </c>
      <c r="J278" s="2">
        <f>$C278+total_production!I278</f>
        <v>2330166.8047934962</v>
      </c>
      <c r="K278" s="2">
        <f>$C278+total_production!J278</f>
        <v>2332100.8842593459</v>
      </c>
      <c r="L278" s="2">
        <f>$C278+total_production!K278</f>
        <v>2332685.3680844358</v>
      </c>
      <c r="M278" s="2">
        <f>$C278+total_production!L278</f>
        <v>2335345.3239727346</v>
      </c>
      <c r="N278" s="2">
        <f>$C278+total_production!M278</f>
        <v>2336658.3754443647</v>
      </c>
      <c r="O278" s="2">
        <f>$C278+total_production!N278</f>
        <v>2337829.8689155984</v>
      </c>
      <c r="P278" s="2">
        <f>$C278+total_production!O278</f>
        <v>2337829.8689155984</v>
      </c>
      <c r="Q278" s="2">
        <f>$C278+total_production!P278</f>
        <v>2337829.8689155984</v>
      </c>
      <c r="R278" s="2">
        <f>$C278+total_production!Q278</f>
        <v>2338854.2853442407</v>
      </c>
      <c r="S278" s="2">
        <f>$C278+total_production!R278</f>
        <v>2338854.2853442407</v>
      </c>
      <c r="T278" s="2">
        <f>$C278+total_production!S278</f>
        <v>2339997.7612891993</v>
      </c>
      <c r="U278" s="2">
        <f>$C278+total_production!T278</f>
        <v>2339997.7612891993</v>
      </c>
      <c r="V278" s="2">
        <f>$C278+total_production!U278</f>
        <v>2341046.5457615214</v>
      </c>
      <c r="W278" s="2">
        <f>$C278+total_production!V278</f>
        <v>2341046.5457615214</v>
      </c>
      <c r="X278" s="2">
        <f>$C278+total_production!W278</f>
        <v>2341951.8236677148</v>
      </c>
      <c r="Y278" s="2">
        <f>$C278+total_production!X278</f>
        <v>2341951.8236677148</v>
      </c>
      <c r="Z278" s="2">
        <f>$C278+total_production!Y278</f>
        <v>2341951.8236677148</v>
      </c>
      <c r="AA278" s="2">
        <f>$C278+total_production!Z278</f>
        <v>2341951.8236677148</v>
      </c>
      <c r="AB278" s="2">
        <f>$C278+total_production!AA278</f>
        <v>2341951.8236677148</v>
      </c>
    </row>
    <row r="279" spans="1:28" x14ac:dyDescent="0.2">
      <c r="A279" t="s">
        <v>557</v>
      </c>
      <c r="B279" t="s">
        <v>558</v>
      </c>
      <c r="C279" s="1">
        <v>3245585</v>
      </c>
      <c r="D279" s="2">
        <f>$C279+total_production!C279</f>
        <v>3254220.3471593219</v>
      </c>
      <c r="E279" s="2">
        <f>$C279+total_production!D279</f>
        <v>3254045.0712779514</v>
      </c>
      <c r="F279" s="2">
        <f>$C279+total_production!E279</f>
        <v>3254479.3280141316</v>
      </c>
      <c r="G279" s="2">
        <f>$C279+total_production!F279</f>
        <v>3254718.3470468125</v>
      </c>
      <c r="H279" s="2">
        <f>$C279+total_production!G279</f>
        <v>3253727.7532668421</v>
      </c>
      <c r="I279" s="2">
        <f>$C279+total_production!H279</f>
        <v>3254313.6522903065</v>
      </c>
      <c r="J279" s="2">
        <f>$C279+total_production!I279</f>
        <v>3255131.9124162868</v>
      </c>
      <c r="K279" s="2">
        <f>$C279+total_production!J279</f>
        <v>3256066.1082472769</v>
      </c>
      <c r="L279" s="2">
        <f>$C279+total_production!K279</f>
        <v>3256827.5419570585</v>
      </c>
      <c r="M279" s="2">
        <f>$C279+total_production!L279</f>
        <v>3258285.8381723901</v>
      </c>
      <c r="N279" s="2">
        <f>$C279+total_production!M279</f>
        <v>3258679.0879954812</v>
      </c>
      <c r="O279" s="2">
        <f>$C279+total_production!N279</f>
        <v>3259053.6352545917</v>
      </c>
      <c r="P279" s="2">
        <f>$C279+total_production!O279</f>
        <v>3259053.6352545917</v>
      </c>
      <c r="Q279" s="2">
        <f>$C279+total_production!P279</f>
        <v>3259053.6352545917</v>
      </c>
      <c r="R279" s="2">
        <f>$C279+total_production!Q279</f>
        <v>3259377.1822888437</v>
      </c>
      <c r="S279" s="2">
        <f>$C279+total_production!R279</f>
        <v>3259377.1822888437</v>
      </c>
      <c r="T279" s="2">
        <f>$C279+total_production!S279</f>
        <v>3259750.9386801878</v>
      </c>
      <c r="U279" s="2">
        <f>$C279+total_production!T279</f>
        <v>3259750.9386801878</v>
      </c>
      <c r="V279" s="2">
        <f>$C279+total_production!U279</f>
        <v>3260056.015246762</v>
      </c>
      <c r="W279" s="2">
        <f>$C279+total_production!V279</f>
        <v>3260056.015246762</v>
      </c>
      <c r="X279" s="2">
        <f>$C279+total_production!W279</f>
        <v>3260331.7606132659</v>
      </c>
      <c r="Y279" s="2">
        <f>$C279+total_production!X279</f>
        <v>3260331.7606132659</v>
      </c>
      <c r="Z279" s="2">
        <f>$C279+total_production!Y279</f>
        <v>3260331.7606132659</v>
      </c>
      <c r="AA279" s="2">
        <f>$C279+total_production!Z279</f>
        <v>3260331.7606132659</v>
      </c>
      <c r="AB279" s="2">
        <f>$C279+total_production!AA279</f>
        <v>3260331.7606132659</v>
      </c>
    </row>
    <row r="280" spans="1:28" x14ac:dyDescent="0.2">
      <c r="A280" t="s">
        <v>1017</v>
      </c>
      <c r="B280" t="s">
        <v>1018</v>
      </c>
      <c r="C280" s="1">
        <v>0</v>
      </c>
      <c r="D280" s="2">
        <f>$C280+total_production!C280</f>
        <v>0</v>
      </c>
      <c r="E280" s="2">
        <f>$C280+total_production!D280</f>
        <v>0</v>
      </c>
      <c r="F280" s="2">
        <f>$C280+total_production!E280</f>
        <v>0</v>
      </c>
      <c r="G280" s="2">
        <f>$C280+total_production!F280</f>
        <v>0</v>
      </c>
      <c r="H280" s="2">
        <f>$C280+total_production!G280</f>
        <v>0</v>
      </c>
      <c r="I280" s="2">
        <f>$C280+total_production!H280</f>
        <v>0</v>
      </c>
      <c r="J280" s="2">
        <f>$C280+total_production!I280</f>
        <v>0</v>
      </c>
      <c r="K280" s="2">
        <f>$C280+total_production!J280</f>
        <v>0</v>
      </c>
      <c r="L280" s="2">
        <f>$C280+total_production!K280</f>
        <v>0</v>
      </c>
      <c r="M280" s="2">
        <f>$C280+total_production!L280</f>
        <v>0</v>
      </c>
      <c r="N280" s="2">
        <f>$C280+total_production!M280</f>
        <v>0</v>
      </c>
      <c r="O280" s="2">
        <f>$C280+total_production!N280</f>
        <v>0</v>
      </c>
      <c r="P280" s="2">
        <f>$C280+total_production!O280</f>
        <v>0</v>
      </c>
      <c r="Q280" s="2">
        <f>$C280+total_production!P280</f>
        <v>0</v>
      </c>
      <c r="R280" s="2">
        <f>$C280+total_production!Q280</f>
        <v>0</v>
      </c>
      <c r="S280" s="2">
        <f>$C280+total_production!R280</f>
        <v>0</v>
      </c>
      <c r="T280" s="2">
        <f>$C280+total_production!S280</f>
        <v>0</v>
      </c>
      <c r="U280" s="2">
        <f>$C280+total_production!T280</f>
        <v>0</v>
      </c>
      <c r="V280" s="2">
        <f>$C280+total_production!U280</f>
        <v>0</v>
      </c>
      <c r="W280" s="2">
        <f>$C280+total_production!V280</f>
        <v>0</v>
      </c>
      <c r="X280" s="2">
        <f>$C280+total_production!W280</f>
        <v>0</v>
      </c>
      <c r="Y280" s="2">
        <f>$C280+total_production!X280</f>
        <v>0</v>
      </c>
      <c r="Z280" s="2">
        <f>$C280+total_production!Y280</f>
        <v>0</v>
      </c>
      <c r="AA280" s="2">
        <f>$C280+total_production!Z280</f>
        <v>0</v>
      </c>
      <c r="AB280" s="2">
        <f>$C280+total_production!AA280</f>
        <v>0</v>
      </c>
    </row>
    <row r="281" spans="1:28" x14ac:dyDescent="0.2">
      <c r="A281" t="s">
        <v>442</v>
      </c>
      <c r="B281" t="s">
        <v>443</v>
      </c>
      <c r="C281" s="1">
        <v>10704202</v>
      </c>
      <c r="D281" s="2">
        <f>$C281+total_production!C281</f>
        <v>10733163.250757929</v>
      </c>
      <c r="E281" s="2">
        <f>$C281+total_production!D281</f>
        <v>10734133.724017762</v>
      </c>
      <c r="F281" s="2">
        <f>$C281+total_production!E281</f>
        <v>10735497.515264675</v>
      </c>
      <c r="G281" s="2">
        <f>$C281+total_production!F281</f>
        <v>10736856.531135798</v>
      </c>
      <c r="H281" s="2">
        <f>$C281+total_production!G281</f>
        <v>10738902.32851409</v>
      </c>
      <c r="I281" s="2">
        <f>$C281+total_production!H281</f>
        <v>10740742.355146272</v>
      </c>
      <c r="J281" s="2">
        <f>$C281+total_production!I281</f>
        <v>10743312.116083834</v>
      </c>
      <c r="K281" s="2">
        <f>$C281+total_production!J281</f>
        <v>10749122.68976778</v>
      </c>
      <c r="L281" s="2">
        <f>$C281+total_production!K281</f>
        <v>10751513.986302726</v>
      </c>
      <c r="M281" s="2">
        <f>$C281+total_production!L281</f>
        <v>10759735.369661206</v>
      </c>
      <c r="N281" s="2">
        <f>$C281+total_production!M281</f>
        <v>10763360.637627048</v>
      </c>
      <c r="O281" s="2">
        <f>$C281+total_production!N281</f>
        <v>10766626.489031799</v>
      </c>
      <c r="P281" s="2">
        <f>$C281+total_production!O281</f>
        <v>10766626.489031799</v>
      </c>
      <c r="Q281" s="2">
        <f>$C281+total_production!P281</f>
        <v>10766626.489031799</v>
      </c>
      <c r="R281" s="2">
        <f>$C281+total_production!Q281</f>
        <v>10769477.050089724</v>
      </c>
      <c r="S281" s="2">
        <f>$C281+total_production!R281</f>
        <v>10769477.050089724</v>
      </c>
      <c r="T281" s="2">
        <f>$C281+total_production!S281</f>
        <v>10772675.624648331</v>
      </c>
      <c r="U281" s="2">
        <f>$C281+total_production!T281</f>
        <v>10772675.624648331</v>
      </c>
      <c r="V281" s="2">
        <f>$C281+total_production!U281</f>
        <v>10775559.294669796</v>
      </c>
      <c r="W281" s="2">
        <f>$C281+total_production!V281</f>
        <v>10775559.294669796</v>
      </c>
      <c r="X281" s="2">
        <f>$C281+total_production!W281</f>
        <v>10778064.848150795</v>
      </c>
      <c r="Y281" s="2">
        <f>$C281+total_production!X281</f>
        <v>10778064.848150795</v>
      </c>
      <c r="Z281" s="2">
        <f>$C281+total_production!Y281</f>
        <v>10778064.848150795</v>
      </c>
      <c r="AA281" s="2">
        <f>$C281+total_production!Z281</f>
        <v>10778064.848150795</v>
      </c>
      <c r="AB281" s="2">
        <f>$C281+total_production!AA281</f>
        <v>10778064.848150795</v>
      </c>
    </row>
    <row r="282" spans="1:28" x14ac:dyDescent="0.2">
      <c r="A282" t="s">
        <v>339</v>
      </c>
      <c r="B282" t="s">
        <v>35</v>
      </c>
      <c r="C282" s="1">
        <v>7588745</v>
      </c>
      <c r="D282" s="2">
        <f>$C282+total_production!C282</f>
        <v>8380677.0608468531</v>
      </c>
      <c r="E282" s="2">
        <f>$C282+total_production!D282</f>
        <v>8451518.2105052955</v>
      </c>
      <c r="F282" s="2">
        <f>$C282+total_production!E282</f>
        <v>8486177.1946730893</v>
      </c>
      <c r="G282" s="2">
        <f>$C282+total_production!F282</f>
        <v>8539185.953355182</v>
      </c>
      <c r="H282" s="2">
        <f>$C282+total_production!G282</f>
        <v>8747745.0237602238</v>
      </c>
      <c r="I282" s="2">
        <f>$C282+total_production!H282</f>
        <v>8794506.9120312072</v>
      </c>
      <c r="J282" s="2">
        <f>$C282+total_production!I282</f>
        <v>8859814.0503865629</v>
      </c>
      <c r="K282" s="2">
        <f>$C282+total_production!J282</f>
        <v>9094823.8024705201</v>
      </c>
      <c r="L282" s="2">
        <f>$C282+total_production!K282</f>
        <v>9155595.4997026026</v>
      </c>
      <c r="M282" s="2">
        <f>$C282+total_production!L282</f>
        <v>9475095.2843005061</v>
      </c>
      <c r="N282" s="2">
        <f>$C282+total_production!M282</f>
        <v>9639798.7960512526</v>
      </c>
      <c r="O282" s="2">
        <f>$C282+total_production!N282</f>
        <v>9786239.0613611136</v>
      </c>
      <c r="P282" s="2">
        <f>$C282+total_production!O282</f>
        <v>9786239.0613611136</v>
      </c>
      <c r="Q282" s="2">
        <f>$C282+total_production!P282</f>
        <v>9786239.0613611136</v>
      </c>
      <c r="R282" s="2">
        <f>$C282+total_production!Q282</f>
        <v>9914379.3210060131</v>
      </c>
      <c r="S282" s="2">
        <f>$C282+total_production!R282</f>
        <v>9914379.3210060131</v>
      </c>
      <c r="T282" s="2">
        <f>$C282+total_production!S282</f>
        <v>10057142.612131005</v>
      </c>
      <c r="U282" s="2">
        <f>$C282+total_production!T282</f>
        <v>10057142.612131005</v>
      </c>
      <c r="V282" s="2">
        <f>$C282+total_production!U282</f>
        <v>10188890.711871158</v>
      </c>
      <c r="W282" s="2">
        <f>$C282+total_production!V282</f>
        <v>10188890.711871158</v>
      </c>
      <c r="X282" s="2">
        <f>$C282+total_production!W282</f>
        <v>10302346.020509327</v>
      </c>
      <c r="Y282" s="2">
        <f>$C282+total_production!X282</f>
        <v>10302346.020509327</v>
      </c>
      <c r="Z282" s="2">
        <f>$C282+total_production!Y282</f>
        <v>10302346.020509327</v>
      </c>
      <c r="AA282" s="2">
        <f>$C282+total_production!Z282</f>
        <v>10302346.020509327</v>
      </c>
      <c r="AB282" s="2">
        <f>$C282+total_production!AA282</f>
        <v>10302346.020509327</v>
      </c>
    </row>
    <row r="283" spans="1:28" x14ac:dyDescent="0.2">
      <c r="A283" t="s">
        <v>1019</v>
      </c>
      <c r="B283" t="s">
        <v>323</v>
      </c>
      <c r="C283" s="1">
        <v>0</v>
      </c>
      <c r="D283" s="2">
        <f>$C283+total_production!C283</f>
        <v>0</v>
      </c>
      <c r="E283" s="2">
        <f>$C283+total_production!D283</f>
        <v>0</v>
      </c>
      <c r="F283" s="2">
        <f>$C283+total_production!E283</f>
        <v>0</v>
      </c>
      <c r="G283" s="2">
        <f>$C283+total_production!F283</f>
        <v>0</v>
      </c>
      <c r="H283" s="2">
        <f>$C283+total_production!G283</f>
        <v>0</v>
      </c>
      <c r="I283" s="2">
        <f>$C283+total_production!H283</f>
        <v>0</v>
      </c>
      <c r="J283" s="2">
        <f>$C283+total_production!I283</f>
        <v>0</v>
      </c>
      <c r="K283" s="2">
        <f>$C283+total_production!J283</f>
        <v>0</v>
      </c>
      <c r="L283" s="2">
        <f>$C283+total_production!K283</f>
        <v>0</v>
      </c>
      <c r="M283" s="2">
        <f>$C283+total_production!L283</f>
        <v>0</v>
      </c>
      <c r="N283" s="2">
        <f>$C283+total_production!M283</f>
        <v>0</v>
      </c>
      <c r="O283" s="2">
        <f>$C283+total_production!N283</f>
        <v>0</v>
      </c>
      <c r="P283" s="2">
        <f>$C283+total_production!O283</f>
        <v>0</v>
      </c>
      <c r="Q283" s="2">
        <f>$C283+total_production!P283</f>
        <v>0</v>
      </c>
      <c r="R283" s="2">
        <f>$C283+total_production!Q283</f>
        <v>0</v>
      </c>
      <c r="S283" s="2">
        <f>$C283+total_production!R283</f>
        <v>0</v>
      </c>
      <c r="T283" s="2">
        <f>$C283+total_production!S283</f>
        <v>0</v>
      </c>
      <c r="U283" s="2">
        <f>$C283+total_production!T283</f>
        <v>0</v>
      </c>
      <c r="V283" s="2">
        <f>$C283+total_production!U283</f>
        <v>0</v>
      </c>
      <c r="W283" s="2">
        <f>$C283+total_production!V283</f>
        <v>0</v>
      </c>
      <c r="X283" s="2">
        <f>$C283+total_production!W283</f>
        <v>0</v>
      </c>
      <c r="Y283" s="2">
        <f>$C283+total_production!X283</f>
        <v>0</v>
      </c>
      <c r="Z283" s="2">
        <f>$C283+total_production!Y283</f>
        <v>0</v>
      </c>
      <c r="AA283" s="2">
        <f>$C283+total_production!Z283</f>
        <v>0</v>
      </c>
      <c r="AB283" s="2">
        <f>$C283+total_production!AA283</f>
        <v>0</v>
      </c>
    </row>
    <row r="284" spans="1:28" x14ac:dyDescent="0.2">
      <c r="A284" t="s">
        <v>1020</v>
      </c>
      <c r="B284" t="s">
        <v>331</v>
      </c>
      <c r="C284" s="1">
        <v>0</v>
      </c>
      <c r="D284" s="2">
        <f>$C284+total_production!C284</f>
        <v>0</v>
      </c>
      <c r="E284" s="2">
        <f>$C284+total_production!D284</f>
        <v>0</v>
      </c>
      <c r="F284" s="2">
        <f>$C284+total_production!E284</f>
        <v>0</v>
      </c>
      <c r="G284" s="2">
        <f>$C284+total_production!F284</f>
        <v>0</v>
      </c>
      <c r="H284" s="2">
        <f>$C284+total_production!G284</f>
        <v>0</v>
      </c>
      <c r="I284" s="2">
        <f>$C284+total_production!H284</f>
        <v>0</v>
      </c>
      <c r="J284" s="2">
        <f>$C284+total_production!I284</f>
        <v>0</v>
      </c>
      <c r="K284" s="2">
        <f>$C284+total_production!J284</f>
        <v>0</v>
      </c>
      <c r="L284" s="2">
        <f>$C284+total_production!K284</f>
        <v>0</v>
      </c>
      <c r="M284" s="2">
        <f>$C284+total_production!L284</f>
        <v>0</v>
      </c>
      <c r="N284" s="2">
        <f>$C284+total_production!M284</f>
        <v>0</v>
      </c>
      <c r="O284" s="2">
        <f>$C284+total_production!N284</f>
        <v>0</v>
      </c>
      <c r="P284" s="2">
        <f>$C284+total_production!O284</f>
        <v>0</v>
      </c>
      <c r="Q284" s="2">
        <f>$C284+total_production!P284</f>
        <v>0</v>
      </c>
      <c r="R284" s="2">
        <f>$C284+total_production!Q284</f>
        <v>0</v>
      </c>
      <c r="S284" s="2">
        <f>$C284+total_production!R284</f>
        <v>0</v>
      </c>
      <c r="T284" s="2">
        <f>$C284+total_production!S284</f>
        <v>0</v>
      </c>
      <c r="U284" s="2">
        <f>$C284+total_production!T284</f>
        <v>0</v>
      </c>
      <c r="V284" s="2">
        <f>$C284+total_production!U284</f>
        <v>0</v>
      </c>
      <c r="W284" s="2">
        <f>$C284+total_production!V284</f>
        <v>0</v>
      </c>
      <c r="X284" s="2">
        <f>$C284+total_production!W284</f>
        <v>0</v>
      </c>
      <c r="Y284" s="2">
        <f>$C284+total_production!X284</f>
        <v>0</v>
      </c>
      <c r="Z284" s="2">
        <f>$C284+total_production!Y284</f>
        <v>0</v>
      </c>
      <c r="AA284" s="2">
        <f>$C284+total_production!Z284</f>
        <v>0</v>
      </c>
      <c r="AB284" s="2">
        <f>$C284+total_production!AA284</f>
        <v>0</v>
      </c>
    </row>
    <row r="285" spans="1:28" x14ac:dyDescent="0.2">
      <c r="A285" t="s">
        <v>412</v>
      </c>
      <c r="B285" t="s">
        <v>27</v>
      </c>
      <c r="C285" s="1">
        <v>19501511</v>
      </c>
      <c r="D285" s="2">
        <f>$C285+total_production!C285</f>
        <v>19536793.6592943</v>
      </c>
      <c r="E285" s="2">
        <f>$C285+total_production!D285</f>
        <v>19530490.33070045</v>
      </c>
      <c r="F285" s="2">
        <f>$C285+total_production!E285</f>
        <v>19532596.715252962</v>
      </c>
      <c r="G285" s="2">
        <f>$C285+total_production!F285</f>
        <v>19531574.831519283</v>
      </c>
      <c r="H285" s="2">
        <f>$C285+total_production!G285</f>
        <v>19508280.802854054</v>
      </c>
      <c r="I285" s="2">
        <f>$C285+total_production!H285</f>
        <v>19511122.736092012</v>
      </c>
      <c r="J285" s="2">
        <f>$C285+total_production!I285</f>
        <v>19515091.748765163</v>
      </c>
      <c r="K285" s="2">
        <f>$C285+total_production!J285</f>
        <v>19509308.940907359</v>
      </c>
      <c r="L285" s="2">
        <f>$C285+total_production!K285</f>
        <v>19513002.31413665</v>
      </c>
      <c r="M285" s="2">
        <f>$C285+total_production!L285</f>
        <v>19507019.34287833</v>
      </c>
      <c r="N285" s="2">
        <f>$C285+total_production!M285</f>
        <v>19500356.783980615</v>
      </c>
      <c r="O285" s="2">
        <f>$C285+total_production!N285</f>
        <v>19494681.568366755</v>
      </c>
      <c r="P285" s="2">
        <f>$C285+total_production!O285</f>
        <v>19494681.568366755</v>
      </c>
      <c r="Q285" s="2">
        <f>$C285+total_production!P285</f>
        <v>19494681.568366755</v>
      </c>
      <c r="R285" s="2">
        <f>$C285+total_production!Q285</f>
        <v>19489673.692314971</v>
      </c>
      <c r="S285" s="2">
        <f>$C285+total_production!R285</f>
        <v>19489673.692314971</v>
      </c>
      <c r="T285" s="2">
        <f>$C285+total_production!S285</f>
        <v>19484226.949785009</v>
      </c>
      <c r="U285" s="2">
        <f>$C285+total_production!T285</f>
        <v>19484226.949785009</v>
      </c>
      <c r="V285" s="2">
        <f>$C285+total_production!U285</f>
        <v>19478802.795162205</v>
      </c>
      <c r="W285" s="2">
        <f>$C285+total_production!V285</f>
        <v>19478802.795162205</v>
      </c>
      <c r="X285" s="2">
        <f>$C285+total_production!W285</f>
        <v>19474261.797387462</v>
      </c>
      <c r="Y285" s="2">
        <f>$C285+total_production!X285</f>
        <v>19474261.797387462</v>
      </c>
      <c r="Z285" s="2">
        <f>$C285+total_production!Y285</f>
        <v>19474261.797387462</v>
      </c>
      <c r="AA285" s="2">
        <f>$C285+total_production!Z285</f>
        <v>19474261.797387462</v>
      </c>
      <c r="AB285" s="2">
        <f>$C285+total_production!AA285</f>
        <v>19474261.797387462</v>
      </c>
    </row>
    <row r="286" spans="1:28" x14ac:dyDescent="0.2">
      <c r="A286" t="s">
        <v>1021</v>
      </c>
      <c r="B286" t="s">
        <v>1022</v>
      </c>
      <c r="C286" s="1">
        <v>0</v>
      </c>
      <c r="D286" s="2">
        <f>$C286+total_production!C286</f>
        <v>0</v>
      </c>
      <c r="E286" s="2">
        <f>$C286+total_production!D286</f>
        <v>0</v>
      </c>
      <c r="F286" s="2">
        <f>$C286+total_production!E286</f>
        <v>0</v>
      </c>
      <c r="G286" s="2">
        <f>$C286+total_production!F286</f>
        <v>0</v>
      </c>
      <c r="H286" s="2">
        <f>$C286+total_production!G286</f>
        <v>0</v>
      </c>
      <c r="I286" s="2">
        <f>$C286+total_production!H286</f>
        <v>0</v>
      </c>
      <c r="J286" s="2">
        <f>$C286+total_production!I286</f>
        <v>0</v>
      </c>
      <c r="K286" s="2">
        <f>$C286+total_production!J286</f>
        <v>0</v>
      </c>
      <c r="L286" s="2">
        <f>$C286+total_production!K286</f>
        <v>0</v>
      </c>
      <c r="M286" s="2">
        <f>$C286+total_production!L286</f>
        <v>0</v>
      </c>
      <c r="N286" s="2">
        <f>$C286+total_production!M286</f>
        <v>0</v>
      </c>
      <c r="O286" s="2">
        <f>$C286+total_production!N286</f>
        <v>0</v>
      </c>
      <c r="P286" s="2">
        <f>$C286+total_production!O286</f>
        <v>0</v>
      </c>
      <c r="Q286" s="2">
        <f>$C286+total_production!P286</f>
        <v>0</v>
      </c>
      <c r="R286" s="2">
        <f>$C286+total_production!Q286</f>
        <v>0</v>
      </c>
      <c r="S286" s="2">
        <f>$C286+total_production!R286</f>
        <v>0</v>
      </c>
      <c r="T286" s="2">
        <f>$C286+total_production!S286</f>
        <v>0</v>
      </c>
      <c r="U286" s="2">
        <f>$C286+total_production!T286</f>
        <v>0</v>
      </c>
      <c r="V286" s="2">
        <f>$C286+total_production!U286</f>
        <v>0</v>
      </c>
      <c r="W286" s="2">
        <f>$C286+total_production!V286</f>
        <v>0</v>
      </c>
      <c r="X286" s="2">
        <f>$C286+total_production!W286</f>
        <v>0</v>
      </c>
      <c r="Y286" s="2">
        <f>$C286+total_production!X286</f>
        <v>0</v>
      </c>
      <c r="Z286" s="2">
        <f>$C286+total_production!Y286</f>
        <v>0</v>
      </c>
      <c r="AA286" s="2">
        <f>$C286+total_production!Z286</f>
        <v>0</v>
      </c>
      <c r="AB286" s="2">
        <f>$C286+total_production!AA286</f>
        <v>0</v>
      </c>
    </row>
    <row r="287" spans="1:28" x14ac:dyDescent="0.2">
      <c r="A287" t="s">
        <v>1023</v>
      </c>
      <c r="B287" t="s">
        <v>1024</v>
      </c>
      <c r="C287" s="1">
        <v>0</v>
      </c>
      <c r="D287" s="2">
        <f>$C287+total_production!C287</f>
        <v>0</v>
      </c>
      <c r="E287" s="2">
        <f>$C287+total_production!D287</f>
        <v>0</v>
      </c>
      <c r="F287" s="2">
        <f>$C287+total_production!E287</f>
        <v>0</v>
      </c>
      <c r="G287" s="2">
        <f>$C287+total_production!F287</f>
        <v>0</v>
      </c>
      <c r="H287" s="2">
        <f>$C287+total_production!G287</f>
        <v>0</v>
      </c>
      <c r="I287" s="2">
        <f>$C287+total_production!H287</f>
        <v>0</v>
      </c>
      <c r="J287" s="2">
        <f>$C287+total_production!I287</f>
        <v>0</v>
      </c>
      <c r="K287" s="2">
        <f>$C287+total_production!J287</f>
        <v>0</v>
      </c>
      <c r="L287" s="2">
        <f>$C287+total_production!K287</f>
        <v>0</v>
      </c>
      <c r="M287" s="2">
        <f>$C287+total_production!L287</f>
        <v>0</v>
      </c>
      <c r="N287" s="2">
        <f>$C287+total_production!M287</f>
        <v>0</v>
      </c>
      <c r="O287" s="2">
        <f>$C287+total_production!N287</f>
        <v>0</v>
      </c>
      <c r="P287" s="2">
        <f>$C287+total_production!O287</f>
        <v>0</v>
      </c>
      <c r="Q287" s="2">
        <f>$C287+total_production!P287</f>
        <v>0</v>
      </c>
      <c r="R287" s="2">
        <f>$C287+total_production!Q287</f>
        <v>0</v>
      </c>
      <c r="S287" s="2">
        <f>$C287+total_production!R287</f>
        <v>0</v>
      </c>
      <c r="T287" s="2">
        <f>$C287+total_production!S287</f>
        <v>0</v>
      </c>
      <c r="U287" s="2">
        <f>$C287+total_production!T287</f>
        <v>0</v>
      </c>
      <c r="V287" s="2">
        <f>$C287+total_production!U287</f>
        <v>0</v>
      </c>
      <c r="W287" s="2">
        <f>$C287+total_production!V287</f>
        <v>0</v>
      </c>
      <c r="X287" s="2">
        <f>$C287+total_production!W287</f>
        <v>0</v>
      </c>
      <c r="Y287" s="2">
        <f>$C287+total_production!X287</f>
        <v>0</v>
      </c>
      <c r="Z287" s="2">
        <f>$C287+total_production!Y287</f>
        <v>0</v>
      </c>
      <c r="AA287" s="2">
        <f>$C287+total_production!Z287</f>
        <v>0</v>
      </c>
      <c r="AB287" s="2">
        <f>$C287+total_production!AA287</f>
        <v>0</v>
      </c>
    </row>
    <row r="288" spans="1:28" x14ac:dyDescent="0.2">
      <c r="A288" t="s">
        <v>990</v>
      </c>
      <c r="B288" t="s">
        <v>991</v>
      </c>
      <c r="C288" s="1">
        <v>0</v>
      </c>
      <c r="D288" s="2">
        <f>$C288+total_production!C288</f>
        <v>0</v>
      </c>
      <c r="E288" s="2">
        <f>$C288+total_production!D288</f>
        <v>0</v>
      </c>
      <c r="F288" s="2">
        <f>$C288+total_production!E288</f>
        <v>0</v>
      </c>
      <c r="G288" s="2">
        <f>$C288+total_production!F288</f>
        <v>0</v>
      </c>
      <c r="H288" s="2">
        <f>$C288+total_production!G288</f>
        <v>0</v>
      </c>
      <c r="I288" s="2">
        <f>$C288+total_production!H288</f>
        <v>0</v>
      </c>
      <c r="J288" s="2">
        <f>$C288+total_production!I288</f>
        <v>0</v>
      </c>
      <c r="K288" s="2">
        <f>$C288+total_production!J288</f>
        <v>0</v>
      </c>
      <c r="L288" s="2">
        <f>$C288+total_production!K288</f>
        <v>0</v>
      </c>
      <c r="M288" s="2">
        <f>$C288+total_production!L288</f>
        <v>0</v>
      </c>
      <c r="N288" s="2">
        <f>$C288+total_production!M288</f>
        <v>0</v>
      </c>
      <c r="O288" s="2">
        <f>$C288+total_production!N288</f>
        <v>0</v>
      </c>
      <c r="P288" s="2">
        <f>$C288+total_production!O288</f>
        <v>0</v>
      </c>
      <c r="Q288" s="2">
        <f>$C288+total_production!P288</f>
        <v>0</v>
      </c>
      <c r="R288" s="2">
        <f>$C288+total_production!Q288</f>
        <v>0</v>
      </c>
      <c r="S288" s="2">
        <f>$C288+total_production!R288</f>
        <v>0</v>
      </c>
      <c r="T288" s="2">
        <f>$C288+total_production!S288</f>
        <v>0</v>
      </c>
      <c r="U288" s="2">
        <f>$C288+total_production!T288</f>
        <v>0</v>
      </c>
      <c r="V288" s="2">
        <f>$C288+total_production!U288</f>
        <v>0</v>
      </c>
      <c r="W288" s="2">
        <f>$C288+total_production!V288</f>
        <v>0</v>
      </c>
      <c r="X288" s="2">
        <f>$C288+total_production!W288</f>
        <v>0</v>
      </c>
      <c r="Y288" s="2">
        <f>$C288+total_production!X288</f>
        <v>0</v>
      </c>
      <c r="Z288" s="2">
        <f>$C288+total_production!Y288</f>
        <v>0</v>
      </c>
      <c r="AA288" s="2">
        <f>$C288+total_production!Z288</f>
        <v>0</v>
      </c>
      <c r="AB288" s="2">
        <f>$C288+total_production!AA288</f>
        <v>0</v>
      </c>
    </row>
    <row r="289" spans="1:28" x14ac:dyDescent="0.2">
      <c r="A289" t="s">
        <v>1011</v>
      </c>
      <c r="B289" t="s">
        <v>1012</v>
      </c>
      <c r="C289" s="1">
        <v>0</v>
      </c>
      <c r="D289" s="2">
        <f>$C289+total_production!C289</f>
        <v>0</v>
      </c>
      <c r="E289" s="2">
        <f>$C289+total_production!D289</f>
        <v>0</v>
      </c>
      <c r="F289" s="2">
        <f>$C289+total_production!E289</f>
        <v>0</v>
      </c>
      <c r="G289" s="2">
        <f>$C289+total_production!F289</f>
        <v>0</v>
      </c>
      <c r="H289" s="2">
        <f>$C289+total_production!G289</f>
        <v>0</v>
      </c>
      <c r="I289" s="2">
        <f>$C289+total_production!H289</f>
        <v>0</v>
      </c>
      <c r="J289" s="2">
        <f>$C289+total_production!I289</f>
        <v>0</v>
      </c>
      <c r="K289" s="2">
        <f>$C289+total_production!J289</f>
        <v>0</v>
      </c>
      <c r="L289" s="2">
        <f>$C289+total_production!K289</f>
        <v>0</v>
      </c>
      <c r="M289" s="2">
        <f>$C289+total_production!L289</f>
        <v>0</v>
      </c>
      <c r="N289" s="2">
        <f>$C289+total_production!M289</f>
        <v>0</v>
      </c>
      <c r="O289" s="2">
        <f>$C289+total_production!N289</f>
        <v>0</v>
      </c>
      <c r="P289" s="2">
        <f>$C289+total_production!O289</f>
        <v>0</v>
      </c>
      <c r="Q289" s="2">
        <f>$C289+total_production!P289</f>
        <v>0</v>
      </c>
      <c r="R289" s="2">
        <f>$C289+total_production!Q289</f>
        <v>0</v>
      </c>
      <c r="S289" s="2">
        <f>$C289+total_production!R289</f>
        <v>0</v>
      </c>
      <c r="T289" s="2">
        <f>$C289+total_production!S289</f>
        <v>0</v>
      </c>
      <c r="U289" s="2">
        <f>$C289+total_production!T289</f>
        <v>0</v>
      </c>
      <c r="V289" s="2">
        <f>$C289+total_production!U289</f>
        <v>0</v>
      </c>
      <c r="W289" s="2">
        <f>$C289+total_production!V289</f>
        <v>0</v>
      </c>
      <c r="X289" s="2">
        <f>$C289+total_production!W289</f>
        <v>0</v>
      </c>
      <c r="Y289" s="2">
        <f>$C289+total_production!X289</f>
        <v>0</v>
      </c>
      <c r="Z289" s="2">
        <f>$C289+total_production!Y289</f>
        <v>0</v>
      </c>
      <c r="AA289" s="2">
        <f>$C289+total_production!Z289</f>
        <v>0</v>
      </c>
      <c r="AB289" s="2">
        <f>$C289+total_production!AA289</f>
        <v>0</v>
      </c>
    </row>
    <row r="290" spans="1:28" x14ac:dyDescent="0.2">
      <c r="A290" t="s">
        <v>992</v>
      </c>
      <c r="B290" t="s">
        <v>993</v>
      </c>
      <c r="C290" s="1">
        <v>0</v>
      </c>
      <c r="D290" s="2">
        <f>$C290+total_production!C290</f>
        <v>0</v>
      </c>
      <c r="E290" s="2">
        <f>$C290+total_production!D290</f>
        <v>0</v>
      </c>
      <c r="F290" s="2">
        <f>$C290+total_production!E290</f>
        <v>0</v>
      </c>
      <c r="G290" s="2">
        <f>$C290+total_production!F290</f>
        <v>0</v>
      </c>
      <c r="H290" s="2">
        <f>$C290+total_production!G290</f>
        <v>0</v>
      </c>
      <c r="I290" s="2">
        <f>$C290+total_production!H290</f>
        <v>0</v>
      </c>
      <c r="J290" s="2">
        <f>$C290+total_production!I290</f>
        <v>0</v>
      </c>
      <c r="K290" s="2">
        <f>$C290+total_production!J290</f>
        <v>0</v>
      </c>
      <c r="L290" s="2">
        <f>$C290+total_production!K290</f>
        <v>0</v>
      </c>
      <c r="M290" s="2">
        <f>$C290+total_production!L290</f>
        <v>0</v>
      </c>
      <c r="N290" s="2">
        <f>$C290+total_production!M290</f>
        <v>0</v>
      </c>
      <c r="O290" s="2">
        <f>$C290+total_production!N290</f>
        <v>0</v>
      </c>
      <c r="P290" s="2">
        <f>$C290+total_production!O290</f>
        <v>0</v>
      </c>
      <c r="Q290" s="2">
        <f>$C290+total_production!P290</f>
        <v>0</v>
      </c>
      <c r="R290" s="2">
        <f>$C290+total_production!Q290</f>
        <v>0</v>
      </c>
      <c r="S290" s="2">
        <f>$C290+total_production!R290</f>
        <v>0</v>
      </c>
      <c r="T290" s="2">
        <f>$C290+total_production!S290</f>
        <v>0</v>
      </c>
      <c r="U290" s="2">
        <f>$C290+total_production!T290</f>
        <v>0</v>
      </c>
      <c r="V290" s="2">
        <f>$C290+total_production!U290</f>
        <v>0</v>
      </c>
      <c r="W290" s="2">
        <f>$C290+total_production!V290</f>
        <v>0</v>
      </c>
      <c r="X290" s="2">
        <f>$C290+total_production!W290</f>
        <v>0</v>
      </c>
      <c r="Y290" s="2">
        <f>$C290+total_production!X290</f>
        <v>0</v>
      </c>
      <c r="Z290" s="2">
        <f>$C290+total_production!Y290</f>
        <v>0</v>
      </c>
      <c r="AA290" s="2">
        <f>$C290+total_production!Z290</f>
        <v>0</v>
      </c>
      <c r="AB290" s="2">
        <f>$C290+total_production!AA290</f>
        <v>0</v>
      </c>
    </row>
    <row r="291" spans="1:28" x14ac:dyDescent="0.2">
      <c r="A291" t="s">
        <v>974</v>
      </c>
      <c r="B291" t="s">
        <v>975</v>
      </c>
      <c r="C291" s="1">
        <v>0</v>
      </c>
      <c r="D291" s="2">
        <f>$C291+total_production!C291</f>
        <v>0</v>
      </c>
      <c r="E291" s="2">
        <f>$C291+total_production!D291</f>
        <v>0</v>
      </c>
      <c r="F291" s="2">
        <f>$C291+total_production!E291</f>
        <v>0</v>
      </c>
      <c r="G291" s="2">
        <f>$C291+total_production!F291</f>
        <v>0</v>
      </c>
      <c r="H291" s="2">
        <f>$C291+total_production!G291</f>
        <v>0</v>
      </c>
      <c r="I291" s="2">
        <f>$C291+total_production!H291</f>
        <v>0</v>
      </c>
      <c r="J291" s="2">
        <f>$C291+total_production!I291</f>
        <v>0</v>
      </c>
      <c r="K291" s="2">
        <f>$C291+total_production!J291</f>
        <v>0</v>
      </c>
      <c r="L291" s="2">
        <f>$C291+total_production!K291</f>
        <v>0</v>
      </c>
      <c r="M291" s="2">
        <f>$C291+total_production!L291</f>
        <v>0</v>
      </c>
      <c r="N291" s="2">
        <f>$C291+total_production!M291</f>
        <v>0</v>
      </c>
      <c r="O291" s="2">
        <f>$C291+total_production!N291</f>
        <v>0</v>
      </c>
      <c r="P291" s="2">
        <f>$C291+total_production!O291</f>
        <v>0</v>
      </c>
      <c r="Q291" s="2">
        <f>$C291+total_production!P291</f>
        <v>0</v>
      </c>
      <c r="R291" s="2">
        <f>$C291+total_production!Q291</f>
        <v>0</v>
      </c>
      <c r="S291" s="2">
        <f>$C291+total_production!R291</f>
        <v>0</v>
      </c>
      <c r="T291" s="2">
        <f>$C291+total_production!S291</f>
        <v>0</v>
      </c>
      <c r="U291" s="2">
        <f>$C291+total_production!T291</f>
        <v>0</v>
      </c>
      <c r="V291" s="2">
        <f>$C291+total_production!U291</f>
        <v>0</v>
      </c>
      <c r="W291" s="2">
        <f>$C291+total_production!V291</f>
        <v>0</v>
      </c>
      <c r="X291" s="2">
        <f>$C291+total_production!W291</f>
        <v>0</v>
      </c>
      <c r="Y291" s="2">
        <f>$C291+total_production!X291</f>
        <v>0</v>
      </c>
      <c r="Z291" s="2">
        <f>$C291+total_production!Y291</f>
        <v>0</v>
      </c>
      <c r="AA291" s="2">
        <f>$C291+total_production!Z291</f>
        <v>0</v>
      </c>
      <c r="AB291" s="2">
        <f>$C291+total_production!AA291</f>
        <v>0</v>
      </c>
    </row>
    <row r="292" spans="1:28" x14ac:dyDescent="0.2">
      <c r="A292" t="s">
        <v>988</v>
      </c>
      <c r="B292" t="s">
        <v>989</v>
      </c>
      <c r="C292" s="1">
        <v>0</v>
      </c>
      <c r="D292" s="2">
        <f>$C292+total_production!C292</f>
        <v>0</v>
      </c>
      <c r="E292" s="2">
        <f>$C292+total_production!D292</f>
        <v>0</v>
      </c>
      <c r="F292" s="2">
        <f>$C292+total_production!E292</f>
        <v>0</v>
      </c>
      <c r="G292" s="2">
        <f>$C292+total_production!F292</f>
        <v>0</v>
      </c>
      <c r="H292" s="2">
        <f>$C292+total_production!G292</f>
        <v>0</v>
      </c>
      <c r="I292" s="2">
        <f>$C292+total_production!H292</f>
        <v>0</v>
      </c>
      <c r="J292" s="2">
        <f>$C292+total_production!I292</f>
        <v>0</v>
      </c>
      <c r="K292" s="2">
        <f>$C292+total_production!J292</f>
        <v>0</v>
      </c>
      <c r="L292" s="2">
        <f>$C292+total_production!K292</f>
        <v>0</v>
      </c>
      <c r="M292" s="2">
        <f>$C292+total_production!L292</f>
        <v>0</v>
      </c>
      <c r="N292" s="2">
        <f>$C292+total_production!M292</f>
        <v>0</v>
      </c>
      <c r="O292" s="2">
        <f>$C292+total_production!N292</f>
        <v>0</v>
      </c>
      <c r="P292" s="2">
        <f>$C292+total_production!O292</f>
        <v>0</v>
      </c>
      <c r="Q292" s="2">
        <f>$C292+total_production!P292</f>
        <v>0</v>
      </c>
      <c r="R292" s="2">
        <f>$C292+total_production!Q292</f>
        <v>0</v>
      </c>
      <c r="S292" s="2">
        <f>$C292+total_production!R292</f>
        <v>0</v>
      </c>
      <c r="T292" s="2">
        <f>$C292+total_production!S292</f>
        <v>0</v>
      </c>
      <c r="U292" s="2">
        <f>$C292+total_production!T292</f>
        <v>0</v>
      </c>
      <c r="V292" s="2">
        <f>$C292+total_production!U292</f>
        <v>0</v>
      </c>
      <c r="W292" s="2">
        <f>$C292+total_production!V292</f>
        <v>0</v>
      </c>
      <c r="X292" s="2">
        <f>$C292+total_production!W292</f>
        <v>0</v>
      </c>
      <c r="Y292" s="2">
        <f>$C292+total_production!X292</f>
        <v>0</v>
      </c>
      <c r="Z292" s="2">
        <f>$C292+total_production!Y292</f>
        <v>0</v>
      </c>
      <c r="AA292" s="2">
        <f>$C292+total_production!Z292</f>
        <v>0</v>
      </c>
      <c r="AB292" s="2">
        <f>$C292+total_production!AA292</f>
        <v>0</v>
      </c>
    </row>
    <row r="293" spans="1:28" x14ac:dyDescent="0.2">
      <c r="A293" t="s">
        <v>956</v>
      </c>
      <c r="B293" t="s">
        <v>957</v>
      </c>
      <c r="C293" s="1">
        <v>0</v>
      </c>
      <c r="D293" s="2">
        <f>$C293+total_production!C293</f>
        <v>0</v>
      </c>
      <c r="E293" s="2">
        <f>$C293+total_production!D293</f>
        <v>0</v>
      </c>
      <c r="F293" s="2">
        <f>$C293+total_production!E293</f>
        <v>0</v>
      </c>
      <c r="G293" s="2">
        <f>$C293+total_production!F293</f>
        <v>0</v>
      </c>
      <c r="H293" s="2">
        <f>$C293+total_production!G293</f>
        <v>0</v>
      </c>
      <c r="I293" s="2">
        <f>$C293+total_production!H293</f>
        <v>0</v>
      </c>
      <c r="J293" s="2">
        <f>$C293+total_production!I293</f>
        <v>0</v>
      </c>
      <c r="K293" s="2">
        <f>$C293+total_production!J293</f>
        <v>0</v>
      </c>
      <c r="L293" s="2">
        <f>$C293+total_production!K293</f>
        <v>0</v>
      </c>
      <c r="M293" s="2">
        <f>$C293+total_production!L293</f>
        <v>0</v>
      </c>
      <c r="N293" s="2">
        <f>$C293+total_production!M293</f>
        <v>0</v>
      </c>
      <c r="O293" s="2">
        <f>$C293+total_production!N293</f>
        <v>0</v>
      </c>
      <c r="P293" s="2">
        <f>$C293+total_production!O293</f>
        <v>0</v>
      </c>
      <c r="Q293" s="2">
        <f>$C293+total_production!P293</f>
        <v>0</v>
      </c>
      <c r="R293" s="2">
        <f>$C293+total_production!Q293</f>
        <v>0</v>
      </c>
      <c r="S293" s="2">
        <f>$C293+total_production!R293</f>
        <v>0</v>
      </c>
      <c r="T293" s="2">
        <f>$C293+total_production!S293</f>
        <v>0</v>
      </c>
      <c r="U293" s="2">
        <f>$C293+total_production!T293</f>
        <v>0</v>
      </c>
      <c r="V293" s="2">
        <f>$C293+total_production!U293</f>
        <v>0</v>
      </c>
      <c r="W293" s="2">
        <f>$C293+total_production!V293</f>
        <v>0</v>
      </c>
      <c r="X293" s="2">
        <f>$C293+total_production!W293</f>
        <v>0</v>
      </c>
      <c r="Y293" s="2">
        <f>$C293+total_production!X293</f>
        <v>0</v>
      </c>
      <c r="Z293" s="2">
        <f>$C293+total_production!Y293</f>
        <v>0</v>
      </c>
      <c r="AA293" s="2">
        <f>$C293+total_production!Z293</f>
        <v>0</v>
      </c>
      <c r="AB293" s="2">
        <f>$C293+total_production!AA293</f>
        <v>0</v>
      </c>
    </row>
    <row r="294" spans="1:28" x14ac:dyDescent="0.2">
      <c r="A294" t="s">
        <v>958</v>
      </c>
      <c r="B294" t="s">
        <v>959</v>
      </c>
      <c r="C294" s="1">
        <v>0</v>
      </c>
      <c r="D294" s="2">
        <f>$C294+total_production!C294</f>
        <v>0</v>
      </c>
      <c r="E294" s="2">
        <f>$C294+total_production!D294</f>
        <v>0</v>
      </c>
      <c r="F294" s="2">
        <f>$C294+total_production!E294</f>
        <v>0</v>
      </c>
      <c r="G294" s="2">
        <f>$C294+total_production!F294</f>
        <v>0</v>
      </c>
      <c r="H294" s="2">
        <f>$C294+total_production!G294</f>
        <v>0</v>
      </c>
      <c r="I294" s="2">
        <f>$C294+total_production!H294</f>
        <v>0</v>
      </c>
      <c r="J294" s="2">
        <f>$C294+total_production!I294</f>
        <v>0</v>
      </c>
      <c r="K294" s="2">
        <f>$C294+total_production!J294</f>
        <v>0</v>
      </c>
      <c r="L294" s="2">
        <f>$C294+total_production!K294</f>
        <v>0</v>
      </c>
      <c r="M294" s="2">
        <f>$C294+total_production!L294</f>
        <v>0</v>
      </c>
      <c r="N294" s="2">
        <f>$C294+total_production!M294</f>
        <v>0</v>
      </c>
      <c r="O294" s="2">
        <f>$C294+total_production!N294</f>
        <v>0</v>
      </c>
      <c r="P294" s="2">
        <f>$C294+total_production!O294</f>
        <v>0</v>
      </c>
      <c r="Q294" s="2">
        <f>$C294+total_production!P294</f>
        <v>0</v>
      </c>
      <c r="R294" s="2">
        <f>$C294+total_production!Q294</f>
        <v>0</v>
      </c>
      <c r="S294" s="2">
        <f>$C294+total_production!R294</f>
        <v>0</v>
      </c>
      <c r="T294" s="2">
        <f>$C294+total_production!S294</f>
        <v>0</v>
      </c>
      <c r="U294" s="2">
        <f>$C294+total_production!T294</f>
        <v>0</v>
      </c>
      <c r="V294" s="2">
        <f>$C294+total_production!U294</f>
        <v>0</v>
      </c>
      <c r="W294" s="2">
        <f>$C294+total_production!V294</f>
        <v>0</v>
      </c>
      <c r="X294" s="2">
        <f>$C294+total_production!W294</f>
        <v>0</v>
      </c>
      <c r="Y294" s="2">
        <f>$C294+total_production!X294</f>
        <v>0</v>
      </c>
      <c r="Z294" s="2">
        <f>$C294+total_production!Y294</f>
        <v>0</v>
      </c>
      <c r="AA294" s="2">
        <f>$C294+total_production!Z294</f>
        <v>0</v>
      </c>
      <c r="AB294" s="2">
        <f>$C294+total_production!AA294</f>
        <v>0</v>
      </c>
    </row>
    <row r="295" spans="1:28" x14ac:dyDescent="0.2">
      <c r="A295" t="s">
        <v>960</v>
      </c>
      <c r="B295" t="s">
        <v>961</v>
      </c>
      <c r="C295" s="1">
        <v>0</v>
      </c>
      <c r="D295" s="2">
        <f>$C295+total_production!C295</f>
        <v>0</v>
      </c>
      <c r="E295" s="2">
        <f>$C295+total_production!D295</f>
        <v>0</v>
      </c>
      <c r="F295" s="2">
        <f>$C295+total_production!E295</f>
        <v>0</v>
      </c>
      <c r="G295" s="2">
        <f>$C295+total_production!F295</f>
        <v>0</v>
      </c>
      <c r="H295" s="2">
        <f>$C295+total_production!G295</f>
        <v>0</v>
      </c>
      <c r="I295" s="2">
        <f>$C295+total_production!H295</f>
        <v>0</v>
      </c>
      <c r="J295" s="2">
        <f>$C295+total_production!I295</f>
        <v>0</v>
      </c>
      <c r="K295" s="2">
        <f>$C295+total_production!J295</f>
        <v>0</v>
      </c>
      <c r="L295" s="2">
        <f>$C295+total_production!K295</f>
        <v>0</v>
      </c>
      <c r="M295" s="2">
        <f>$C295+total_production!L295</f>
        <v>0</v>
      </c>
      <c r="N295" s="2">
        <f>$C295+total_production!M295</f>
        <v>0</v>
      </c>
      <c r="O295" s="2">
        <f>$C295+total_production!N295</f>
        <v>0</v>
      </c>
      <c r="P295" s="2">
        <f>$C295+total_production!O295</f>
        <v>0</v>
      </c>
      <c r="Q295" s="2">
        <f>$C295+total_production!P295</f>
        <v>0</v>
      </c>
      <c r="R295" s="2">
        <f>$C295+total_production!Q295</f>
        <v>0</v>
      </c>
      <c r="S295" s="2">
        <f>$C295+total_production!R295</f>
        <v>0</v>
      </c>
      <c r="T295" s="2">
        <f>$C295+total_production!S295</f>
        <v>0</v>
      </c>
      <c r="U295" s="2">
        <f>$C295+total_production!T295</f>
        <v>0</v>
      </c>
      <c r="V295" s="2">
        <f>$C295+total_production!U295</f>
        <v>0</v>
      </c>
      <c r="W295" s="2">
        <f>$C295+total_production!V295</f>
        <v>0</v>
      </c>
      <c r="X295" s="2">
        <f>$C295+total_production!W295</f>
        <v>0</v>
      </c>
      <c r="Y295" s="2">
        <f>$C295+total_production!X295</f>
        <v>0</v>
      </c>
      <c r="Z295" s="2">
        <f>$C295+total_production!Y295</f>
        <v>0</v>
      </c>
      <c r="AA295" s="2">
        <f>$C295+total_production!Z295</f>
        <v>0</v>
      </c>
      <c r="AB295" s="2">
        <f>$C295+total_production!AA295</f>
        <v>0</v>
      </c>
    </row>
    <row r="296" spans="1:28" x14ac:dyDescent="0.2">
      <c r="A296" t="s">
        <v>962</v>
      </c>
      <c r="B296" t="s">
        <v>315</v>
      </c>
      <c r="C296" s="1">
        <v>0</v>
      </c>
      <c r="D296" s="2">
        <f>$C296+total_production!C296</f>
        <v>0</v>
      </c>
      <c r="E296" s="2">
        <f>$C296+total_production!D296</f>
        <v>0</v>
      </c>
      <c r="F296" s="2">
        <f>$C296+total_production!E296</f>
        <v>0</v>
      </c>
      <c r="G296" s="2">
        <f>$C296+total_production!F296</f>
        <v>0</v>
      </c>
      <c r="H296" s="2">
        <f>$C296+total_production!G296</f>
        <v>0</v>
      </c>
      <c r="I296" s="2">
        <f>$C296+total_production!H296</f>
        <v>0</v>
      </c>
      <c r="J296" s="2">
        <f>$C296+total_production!I296</f>
        <v>0</v>
      </c>
      <c r="K296" s="2">
        <f>$C296+total_production!J296</f>
        <v>0</v>
      </c>
      <c r="L296" s="2">
        <f>$C296+total_production!K296</f>
        <v>0</v>
      </c>
      <c r="M296" s="2">
        <f>$C296+total_production!L296</f>
        <v>0</v>
      </c>
      <c r="N296" s="2">
        <f>$C296+total_production!M296</f>
        <v>0</v>
      </c>
      <c r="O296" s="2">
        <f>$C296+total_production!N296</f>
        <v>0</v>
      </c>
      <c r="P296" s="2">
        <f>$C296+total_production!O296</f>
        <v>0</v>
      </c>
      <c r="Q296" s="2">
        <f>$C296+total_production!P296</f>
        <v>0</v>
      </c>
      <c r="R296" s="2">
        <f>$C296+total_production!Q296</f>
        <v>0</v>
      </c>
      <c r="S296" s="2">
        <f>$C296+total_production!R296</f>
        <v>0</v>
      </c>
      <c r="T296" s="2">
        <f>$C296+total_production!S296</f>
        <v>0</v>
      </c>
      <c r="U296" s="2">
        <f>$C296+total_production!T296</f>
        <v>0</v>
      </c>
      <c r="V296" s="2">
        <f>$C296+total_production!U296</f>
        <v>0</v>
      </c>
      <c r="W296" s="2">
        <f>$C296+total_production!V296</f>
        <v>0</v>
      </c>
      <c r="X296" s="2">
        <f>$C296+total_production!W296</f>
        <v>0</v>
      </c>
      <c r="Y296" s="2">
        <f>$C296+total_production!X296</f>
        <v>0</v>
      </c>
      <c r="Z296" s="2">
        <f>$C296+total_production!Y296</f>
        <v>0</v>
      </c>
      <c r="AA296" s="2">
        <f>$C296+total_production!Z296</f>
        <v>0</v>
      </c>
      <c r="AB296" s="2">
        <f>$C296+total_production!AA296</f>
        <v>0</v>
      </c>
    </row>
    <row r="297" spans="1:28" x14ac:dyDescent="0.2">
      <c r="A297" t="s">
        <v>338</v>
      </c>
      <c r="B297" t="s">
        <v>7</v>
      </c>
      <c r="C297" s="1">
        <v>166614332</v>
      </c>
      <c r="D297" s="2">
        <f>$C297+total_production!C297</f>
        <v>167450195.73187009</v>
      </c>
      <c r="E297" s="2">
        <f>$C297+total_production!D297</f>
        <v>167489841.48982245</v>
      </c>
      <c r="F297" s="2">
        <f>$C297+total_production!E297</f>
        <v>167528510.85648477</v>
      </c>
      <c r="G297" s="2">
        <f>$C297+total_production!F297</f>
        <v>167571896.28249073</v>
      </c>
      <c r="H297" s="2">
        <f>$C297+total_production!G297</f>
        <v>167671026.15057322</v>
      </c>
      <c r="I297" s="2">
        <f>$C297+total_production!H297</f>
        <v>167723198.84538212</v>
      </c>
      <c r="J297" s="2">
        <f>$C297+total_production!I297</f>
        <v>167796062.65658051</v>
      </c>
      <c r="K297" s="2">
        <f>$C297+total_production!J297</f>
        <v>167983757.84226355</v>
      </c>
      <c r="L297" s="2">
        <f>$C297+total_production!K297</f>
        <v>168051561.4175669</v>
      </c>
      <c r="M297" s="2">
        <f>$C297+total_production!L297</f>
        <v>168313712.8557021</v>
      </c>
      <c r="N297" s="2">
        <f>$C297+total_production!M297</f>
        <v>168435565.96224058</v>
      </c>
      <c r="O297" s="2">
        <f>$C297+total_production!N297</f>
        <v>168544830.2803798</v>
      </c>
      <c r="P297" s="2">
        <f>$C297+total_production!O297</f>
        <v>168544830.2803798</v>
      </c>
      <c r="Q297" s="2">
        <f>$C297+total_production!P297</f>
        <v>168544830.2803798</v>
      </c>
      <c r="R297" s="2">
        <f>$C297+total_production!Q297</f>
        <v>168640284.84618667</v>
      </c>
      <c r="S297" s="2">
        <f>$C297+total_production!R297</f>
        <v>168640284.84618667</v>
      </c>
      <c r="T297" s="2">
        <f>$C297+total_production!S297</f>
        <v>168747124.88302058</v>
      </c>
      <c r="U297" s="2">
        <f>$C297+total_production!T297</f>
        <v>168747124.88302058</v>
      </c>
      <c r="V297" s="2">
        <f>$C297+total_production!U297</f>
        <v>168844244.83345196</v>
      </c>
      <c r="W297" s="2">
        <f>$C297+total_production!V297</f>
        <v>168844244.83345196</v>
      </c>
      <c r="X297" s="2">
        <f>$C297+total_production!W297</f>
        <v>168928362.83157268</v>
      </c>
      <c r="Y297" s="2">
        <f>$C297+total_production!X297</f>
        <v>168928362.83157268</v>
      </c>
      <c r="Z297" s="2">
        <f>$C297+total_production!Y297</f>
        <v>168928362.83157268</v>
      </c>
      <c r="AA297" s="2">
        <f>$C297+total_production!Z297</f>
        <v>168928362.83157268</v>
      </c>
      <c r="AB297" s="2">
        <f>$C297+total_production!AA297</f>
        <v>168928362.83157268</v>
      </c>
    </row>
    <row r="298" spans="1:28" x14ac:dyDescent="0.2">
      <c r="A298" t="s">
        <v>605</v>
      </c>
      <c r="B298" t="s">
        <v>129</v>
      </c>
      <c r="C298" s="1">
        <v>2302097</v>
      </c>
      <c r="D298" s="2">
        <f>$C298+total_production!C298</f>
        <v>2307780.6179457032</v>
      </c>
      <c r="E298" s="2">
        <f>$C298+total_production!D298</f>
        <v>2307156.1585742151</v>
      </c>
      <c r="F298" s="2">
        <f>$C298+total_production!E298</f>
        <v>2307472.2366461982</v>
      </c>
      <c r="G298" s="2">
        <f>$C298+total_production!F298</f>
        <v>2307447.4557661936</v>
      </c>
      <c r="H298" s="2">
        <f>$C298+total_production!G298</f>
        <v>2305041.7402834925</v>
      </c>
      <c r="I298" s="2">
        <f>$C298+total_production!H298</f>
        <v>2305468.1926981225</v>
      </c>
      <c r="J298" s="2">
        <f>$C298+total_production!I298</f>
        <v>2306063.7714455593</v>
      </c>
      <c r="K298" s="2">
        <f>$C298+total_production!J298</f>
        <v>2305803.9217219325</v>
      </c>
      <c r="L298" s="2">
        <f>$C298+total_production!K298</f>
        <v>2306358.1387987877</v>
      </c>
      <c r="M298" s="2">
        <f>$C298+total_production!L298</f>
        <v>2306229.8825102421</v>
      </c>
      <c r="N298" s="2">
        <f>$C298+total_production!M298</f>
        <v>2305735.2231132272</v>
      </c>
      <c r="O298" s="2">
        <f>$C298+total_production!N298</f>
        <v>2305325.1823288067</v>
      </c>
      <c r="P298" s="2">
        <f>$C298+total_production!O298</f>
        <v>2305325.1823288067</v>
      </c>
      <c r="Q298" s="2">
        <f>$C298+total_production!P298</f>
        <v>2305325.1823288067</v>
      </c>
      <c r="R298" s="2">
        <f>$C298+total_production!Q298</f>
        <v>2304961.3684587129</v>
      </c>
      <c r="S298" s="2">
        <f>$C298+total_production!R298</f>
        <v>2304961.3684587129</v>
      </c>
      <c r="T298" s="2">
        <f>$C298+total_production!S298</f>
        <v>2304571.9197352729</v>
      </c>
      <c r="U298" s="2">
        <f>$C298+total_production!T298</f>
        <v>2304571.9197352729</v>
      </c>
      <c r="V298" s="2">
        <f>$C298+total_production!U298</f>
        <v>2304164.894710137</v>
      </c>
      <c r="W298" s="2">
        <f>$C298+total_production!V298</f>
        <v>2304164.894710137</v>
      </c>
      <c r="X298" s="2">
        <f>$C298+total_production!W298</f>
        <v>2303829.9564110194</v>
      </c>
      <c r="Y298" s="2">
        <f>$C298+total_production!X298</f>
        <v>2303829.9564110194</v>
      </c>
      <c r="Z298" s="2">
        <f>$C298+total_production!Y298</f>
        <v>2303829.9564110194</v>
      </c>
      <c r="AA298" s="2">
        <f>$C298+total_production!Z298</f>
        <v>2303829.9564110194</v>
      </c>
      <c r="AB298" s="2">
        <f>$C298+total_production!AA298</f>
        <v>2303829.9564110194</v>
      </c>
    </row>
    <row r="299" spans="1:28" x14ac:dyDescent="0.2">
      <c r="A299" t="s">
        <v>448</v>
      </c>
      <c r="B299" t="s">
        <v>449</v>
      </c>
      <c r="C299" s="1">
        <v>4882548</v>
      </c>
      <c r="D299" s="2">
        <f>$C299+total_production!C299</f>
        <v>4908796.5586250005</v>
      </c>
      <c r="E299" s="2">
        <f>$C299+total_production!D299</f>
        <v>4909851.7540132385</v>
      </c>
      <c r="F299" s="2">
        <f>$C299+total_production!E299</f>
        <v>4911077.3656924376</v>
      </c>
      <c r="G299" s="2">
        <f>$C299+total_production!F299</f>
        <v>4912371.9061047081</v>
      </c>
      <c r="H299" s="2">
        <f>$C299+total_production!G299</f>
        <v>4914831.0634846501</v>
      </c>
      <c r="I299" s="2">
        <f>$C299+total_production!H299</f>
        <v>4916484.6582965711</v>
      </c>
      <c r="J299" s="2">
        <f>$C299+total_production!I299</f>
        <v>4918794.0506063951</v>
      </c>
      <c r="K299" s="2">
        <f>$C299+total_production!J299</f>
        <v>4924362.1211728072</v>
      </c>
      <c r="L299" s="2">
        <f>$C299+total_production!K299</f>
        <v>4926511.1311245067</v>
      </c>
      <c r="M299" s="2">
        <f>$C299+total_production!L299</f>
        <v>4934337.8023038125</v>
      </c>
      <c r="N299" s="2">
        <f>$C299+total_production!M299</f>
        <v>4937883.4357321067</v>
      </c>
      <c r="O299" s="2">
        <f>$C299+total_production!N299</f>
        <v>4941069.8804918593</v>
      </c>
      <c r="P299" s="2">
        <f>$C299+total_production!O299</f>
        <v>4941069.8804918593</v>
      </c>
      <c r="Q299" s="2">
        <f>$C299+total_production!P299</f>
        <v>4941069.8804918593</v>
      </c>
      <c r="R299" s="2">
        <f>$C299+total_production!Q299</f>
        <v>4943852.4069975577</v>
      </c>
      <c r="S299" s="2">
        <f>$C299+total_production!R299</f>
        <v>4943852.4069975577</v>
      </c>
      <c r="T299" s="2">
        <f>$C299+total_production!S299</f>
        <v>4946970.5932775605</v>
      </c>
      <c r="U299" s="2">
        <f>$C299+total_production!T299</f>
        <v>4946970.5932775605</v>
      </c>
      <c r="V299" s="2">
        <f>$C299+total_production!U299</f>
        <v>4949793.8403281271</v>
      </c>
      <c r="W299" s="2">
        <f>$C299+total_production!V299</f>
        <v>4949793.8403281271</v>
      </c>
      <c r="X299" s="2">
        <f>$C299+total_production!W299</f>
        <v>4952242.8601518851</v>
      </c>
      <c r="Y299" s="2">
        <f>$C299+total_production!X299</f>
        <v>4952242.8601518851</v>
      </c>
      <c r="Z299" s="2">
        <f>$C299+total_production!Y299</f>
        <v>4952242.8601518851</v>
      </c>
      <c r="AA299" s="2">
        <f>$C299+total_production!Z299</f>
        <v>4952242.8601518851</v>
      </c>
      <c r="AB299" s="2">
        <f>$C299+total_production!AA299</f>
        <v>4952242.8601518851</v>
      </c>
    </row>
    <row r="300" spans="1:28" x14ac:dyDescent="0.2">
      <c r="A300" t="s">
        <v>365</v>
      </c>
      <c r="B300" t="s">
        <v>366</v>
      </c>
      <c r="C300" s="1">
        <v>31514649</v>
      </c>
      <c r="D300" s="2">
        <f>$C300+total_production!C300</f>
        <v>31601416.512666285</v>
      </c>
      <c r="E300" s="2">
        <f>$C300+total_production!D300</f>
        <v>31591377.433450371</v>
      </c>
      <c r="F300" s="2">
        <f>$C300+total_production!E300</f>
        <v>31596232.82965561</v>
      </c>
      <c r="G300" s="2">
        <f>$C300+total_production!F300</f>
        <v>31595673.553108837</v>
      </c>
      <c r="H300" s="2">
        <f>$C300+total_production!G300</f>
        <v>31557204.493580334</v>
      </c>
      <c r="I300" s="2">
        <f>$C300+total_production!H300</f>
        <v>31563755.392295703</v>
      </c>
      <c r="J300" s="2">
        <f>$C300+total_production!I300</f>
        <v>31572904.30532242</v>
      </c>
      <c r="K300" s="2">
        <f>$C300+total_production!J300</f>
        <v>31568068.098731644</v>
      </c>
      <c r="L300" s="2">
        <f>$C300+total_production!K300</f>
        <v>31576581.639310274</v>
      </c>
      <c r="M300" s="2">
        <f>$C300+total_production!L300</f>
        <v>31573542.338825639</v>
      </c>
      <c r="N300" s="2">
        <f>$C300+total_production!M300</f>
        <v>31565241.946054131</v>
      </c>
      <c r="O300" s="2">
        <f>$C300+total_production!N300</f>
        <v>31558329.687056776</v>
      </c>
      <c r="P300" s="2">
        <f>$C300+total_production!O300</f>
        <v>31558329.687056776</v>
      </c>
      <c r="Q300" s="2">
        <f>$C300+total_production!P300</f>
        <v>31558329.687056776</v>
      </c>
      <c r="R300" s="2">
        <f>$C300+total_production!Q300</f>
        <v>31552202.437309537</v>
      </c>
      <c r="S300" s="2">
        <f>$C300+total_production!R300</f>
        <v>31552202.437309537</v>
      </c>
      <c r="T300" s="2">
        <f>$C300+total_production!S300</f>
        <v>31545625.523020327</v>
      </c>
      <c r="U300" s="2">
        <f>$C300+total_production!T300</f>
        <v>31545625.523020327</v>
      </c>
      <c r="V300" s="2">
        <f>$C300+total_production!U300</f>
        <v>31538807.740100756</v>
      </c>
      <c r="W300" s="2">
        <f>$C300+total_production!V300</f>
        <v>31538807.740100756</v>
      </c>
      <c r="X300" s="2">
        <f>$C300+total_production!W300</f>
        <v>31533181.274208892</v>
      </c>
      <c r="Y300" s="2">
        <f>$C300+total_production!X300</f>
        <v>31533181.274208892</v>
      </c>
      <c r="Z300" s="2">
        <f>$C300+total_production!Y300</f>
        <v>31533181.274208892</v>
      </c>
      <c r="AA300" s="2">
        <f>$C300+total_production!Z300</f>
        <v>31533181.274208892</v>
      </c>
      <c r="AB300" s="2">
        <f>$C300+total_production!AA300</f>
        <v>31533181.274208892</v>
      </c>
    </row>
    <row r="301" spans="1:28" x14ac:dyDescent="0.2">
      <c r="A301" t="s">
        <v>597</v>
      </c>
      <c r="B301" t="s">
        <v>598</v>
      </c>
      <c r="C301" s="1">
        <v>1709070</v>
      </c>
      <c r="D301" s="2">
        <f>$C301+total_production!C301</f>
        <v>1714292.5196794281</v>
      </c>
      <c r="E301" s="2">
        <f>$C301+total_production!D301</f>
        <v>1713074.637313064</v>
      </c>
      <c r="F301" s="2">
        <f>$C301+total_production!E301</f>
        <v>1713403.3545929736</v>
      </c>
      <c r="G301" s="2">
        <f>$C301+total_production!F301</f>
        <v>1713150.2018198678</v>
      </c>
      <c r="H301" s="2">
        <f>$C301+total_production!G301</f>
        <v>1708720.9270597624</v>
      </c>
      <c r="I301" s="2">
        <f>$C301+total_production!H301</f>
        <v>1709164.4322889252</v>
      </c>
      <c r="J301" s="2">
        <f>$C301+total_production!I301</f>
        <v>1709783.8268094035</v>
      </c>
      <c r="K301" s="2">
        <f>$C301+total_production!J301</f>
        <v>1708438.4055095445</v>
      </c>
      <c r="L301" s="2">
        <f>$C301+total_production!K301</f>
        <v>1709014.7844049248</v>
      </c>
      <c r="M301" s="2">
        <f>$C301+total_production!L301</f>
        <v>1707520.3488495427</v>
      </c>
      <c r="N301" s="2">
        <f>$C301+total_production!M301</f>
        <v>1706112.5423793301</v>
      </c>
      <c r="O301" s="2">
        <f>$C301+total_production!N301</f>
        <v>1704905.1185873151</v>
      </c>
      <c r="P301" s="2">
        <f>$C301+total_production!O301</f>
        <v>1704905.1185873151</v>
      </c>
      <c r="Q301" s="2">
        <f>$C301+total_production!P301</f>
        <v>1704905.1185873151</v>
      </c>
      <c r="R301" s="2">
        <f>$C301+total_production!Q301</f>
        <v>1703841.1232872584</v>
      </c>
      <c r="S301" s="2">
        <f>$C301+total_production!R301</f>
        <v>1703841.1232872584</v>
      </c>
      <c r="T301" s="2">
        <f>$C301+total_production!S301</f>
        <v>1702679.3316060172</v>
      </c>
      <c r="U301" s="2">
        <f>$C301+total_production!T301</f>
        <v>1702679.3316060172</v>
      </c>
      <c r="V301" s="2">
        <f>$C301+total_production!U301</f>
        <v>1701536.3424303273</v>
      </c>
      <c r="W301" s="2">
        <f>$C301+total_production!V301</f>
        <v>1701536.3424303273</v>
      </c>
      <c r="X301" s="2">
        <f>$C301+total_production!W301</f>
        <v>1700575.2164379663</v>
      </c>
      <c r="Y301" s="2">
        <f>$C301+total_production!X301</f>
        <v>1700575.2164379663</v>
      </c>
      <c r="Z301" s="2">
        <f>$C301+total_production!Y301</f>
        <v>1700575.2164379663</v>
      </c>
      <c r="AA301" s="2">
        <f>$C301+total_production!Z301</f>
        <v>1700575.2164379663</v>
      </c>
      <c r="AB301" s="2">
        <f>$C301+total_production!AA301</f>
        <v>1700575.2164379663</v>
      </c>
    </row>
    <row r="302" spans="1:28" x14ac:dyDescent="0.2">
      <c r="A302" t="s">
        <v>606</v>
      </c>
      <c r="B302" t="s">
        <v>607</v>
      </c>
      <c r="C302" s="1">
        <v>1754236</v>
      </c>
      <c r="D302" s="2">
        <f>$C302+total_production!C302</f>
        <v>1760654.9870503519</v>
      </c>
      <c r="E302" s="2">
        <f>$C302+total_production!D302</f>
        <v>1760650.2936458972</v>
      </c>
      <c r="F302" s="2">
        <f>$C302+total_production!E302</f>
        <v>1760965.6285117599</v>
      </c>
      <c r="G302" s="2">
        <f>$C302+total_production!F302</f>
        <v>1761188.2249859783</v>
      </c>
      <c r="H302" s="2">
        <f>$C302+total_production!G302</f>
        <v>1760884.529084052</v>
      </c>
      <c r="I302" s="2">
        <f>$C302+total_production!H302</f>
        <v>1761309.9787652667</v>
      </c>
      <c r="J302" s="2">
        <f>$C302+total_production!I302</f>
        <v>1761904.1571062552</v>
      </c>
      <c r="K302" s="2">
        <f>$C302+total_production!J302</f>
        <v>1762814.3774580222</v>
      </c>
      <c r="L302" s="2">
        <f>$C302+total_production!K302</f>
        <v>1763367.2913836627</v>
      </c>
      <c r="M302" s="2">
        <f>$C302+total_production!L302</f>
        <v>1764719.7323195075</v>
      </c>
      <c r="N302" s="2">
        <f>$C302+total_production!M302</f>
        <v>1765197.9385970777</v>
      </c>
      <c r="O302" s="2">
        <f>$C302+total_production!N302</f>
        <v>1765638.3299691272</v>
      </c>
      <c r="P302" s="2">
        <f>$C302+total_production!O302</f>
        <v>1765638.3299691272</v>
      </c>
      <c r="Q302" s="2">
        <f>$C302+total_production!P302</f>
        <v>1765638.3299691272</v>
      </c>
      <c r="R302" s="2">
        <f>$C302+total_production!Q302</f>
        <v>1766021.1253597601</v>
      </c>
      <c r="S302" s="2">
        <f>$C302+total_production!R302</f>
        <v>1766021.1253597601</v>
      </c>
      <c r="T302" s="2">
        <f>$C302+total_production!S302</f>
        <v>1766455.7202934013</v>
      </c>
      <c r="U302" s="2">
        <f>$C302+total_production!T302</f>
        <v>1766455.7202934013</v>
      </c>
      <c r="V302" s="2">
        <f>$C302+total_production!U302</f>
        <v>1766832.4470717125</v>
      </c>
      <c r="W302" s="2">
        <f>$C302+total_production!V302</f>
        <v>1766832.4470717125</v>
      </c>
      <c r="X302" s="2">
        <f>$C302+total_production!W302</f>
        <v>1767164.8241007114</v>
      </c>
      <c r="Y302" s="2">
        <f>$C302+total_production!X302</f>
        <v>1767164.8241007114</v>
      </c>
      <c r="Z302" s="2">
        <f>$C302+total_production!Y302</f>
        <v>1767164.8241007114</v>
      </c>
      <c r="AA302" s="2">
        <f>$C302+total_production!Z302</f>
        <v>1767164.8241007114</v>
      </c>
      <c r="AB302" s="2">
        <f>$C302+total_production!AA302</f>
        <v>1767164.8241007114</v>
      </c>
    </row>
    <row r="303" spans="1:28" x14ac:dyDescent="0.2">
      <c r="A303" t="s">
        <v>590</v>
      </c>
      <c r="B303" t="s">
        <v>207</v>
      </c>
      <c r="C303" s="1">
        <v>3241720</v>
      </c>
      <c r="D303" s="2">
        <f>$C303+total_production!C303</f>
        <v>3248621.8494198159</v>
      </c>
      <c r="E303" s="2">
        <f>$C303+total_production!D303</f>
        <v>3248681.2106202971</v>
      </c>
      <c r="F303" s="2">
        <f>$C303+total_production!E303</f>
        <v>3249016.438116997</v>
      </c>
      <c r="G303" s="2">
        <f>$C303+total_production!F303</f>
        <v>3249278.8171761227</v>
      </c>
      <c r="H303" s="2">
        <f>$C303+total_production!G303</f>
        <v>3249174.1464478006</v>
      </c>
      <c r="I303" s="2">
        <f>$C303+total_production!H303</f>
        <v>3249626.4352589832</v>
      </c>
      <c r="J303" s="2">
        <f>$C303+total_production!I303</f>
        <v>3250258.0968334111</v>
      </c>
      <c r="K303" s="2">
        <f>$C303+total_production!J303</f>
        <v>3251347.4516780274</v>
      </c>
      <c r="L303" s="2">
        <f>$C303+total_production!K303</f>
        <v>3251935.2457066891</v>
      </c>
      <c r="M303" s="2">
        <f>$C303+total_production!L303</f>
        <v>3253527.0796489199</v>
      </c>
      <c r="N303" s="2">
        <f>$C303+total_production!M303</f>
        <v>3254136.5852369256</v>
      </c>
      <c r="O303" s="2">
        <f>$C303+total_production!N303</f>
        <v>3254693.1685693497</v>
      </c>
      <c r="P303" s="2">
        <f>$C303+total_production!O303</f>
        <v>3254693.1685693497</v>
      </c>
      <c r="Q303" s="2">
        <f>$C303+total_production!P303</f>
        <v>3254693.1685693497</v>
      </c>
      <c r="R303" s="2">
        <f>$C303+total_production!Q303</f>
        <v>3255177.7282441133</v>
      </c>
      <c r="S303" s="2">
        <f>$C303+total_production!R303</f>
        <v>3255177.7282441133</v>
      </c>
      <c r="T303" s="2">
        <f>$C303+total_production!S303</f>
        <v>3255725.4080731063</v>
      </c>
      <c r="U303" s="2">
        <f>$C303+total_production!T303</f>
        <v>3255725.4080731063</v>
      </c>
      <c r="V303" s="2">
        <f>$C303+total_production!U303</f>
        <v>3256207.3714192631</v>
      </c>
      <c r="W303" s="2">
        <f>$C303+total_production!V303</f>
        <v>3256207.3714192631</v>
      </c>
      <c r="X303" s="2">
        <f>$C303+total_production!W303</f>
        <v>3256630.0865095742</v>
      </c>
      <c r="Y303" s="2">
        <f>$C303+total_production!X303</f>
        <v>3256630.0865095742</v>
      </c>
      <c r="Z303" s="2">
        <f>$C303+total_production!Y303</f>
        <v>3256630.0865095742</v>
      </c>
      <c r="AA303" s="2">
        <f>$C303+total_production!Z303</f>
        <v>3256630.0865095742</v>
      </c>
      <c r="AB303" s="2">
        <f>$C303+total_production!AA303</f>
        <v>3256630.0865095742</v>
      </c>
    </row>
    <row r="304" spans="1:28" x14ac:dyDescent="0.2">
      <c r="A304" t="s">
        <v>446</v>
      </c>
      <c r="B304" t="s">
        <v>447</v>
      </c>
      <c r="C304" s="1">
        <v>8771309</v>
      </c>
      <c r="D304" s="2">
        <f>$C304+total_production!C304</f>
        <v>8797162.097517157</v>
      </c>
      <c r="E304" s="2">
        <f>$C304+total_production!D304</f>
        <v>8796360.3285251576</v>
      </c>
      <c r="F304" s="2">
        <f>$C304+total_production!E304</f>
        <v>8797676.9010345992</v>
      </c>
      <c r="G304" s="2">
        <f>$C304+total_production!F304</f>
        <v>8798293.4068689179</v>
      </c>
      <c r="H304" s="2">
        <f>$C304+total_production!G304</f>
        <v>8794373.4390113968</v>
      </c>
      <c r="I304" s="2">
        <f>$C304+total_production!H304</f>
        <v>8796149.7581409216</v>
      </c>
      <c r="J304" s="2">
        <f>$C304+total_production!I304</f>
        <v>8798630.5458816327</v>
      </c>
      <c r="K304" s="2">
        <f>$C304+total_production!J304</f>
        <v>8800951.4422168862</v>
      </c>
      <c r="L304" s="2">
        <f>$C304+total_production!K304</f>
        <v>8803259.9445532653</v>
      </c>
      <c r="M304" s="2">
        <f>$C304+total_production!L304</f>
        <v>8807033.8329482991</v>
      </c>
      <c r="N304" s="2">
        <f>$C304+total_production!M304</f>
        <v>8807801.1733382847</v>
      </c>
      <c r="O304" s="2">
        <f>$C304+total_production!N304</f>
        <v>8808565.2625663821</v>
      </c>
      <c r="P304" s="2">
        <f>$C304+total_production!O304</f>
        <v>8808565.2625663821</v>
      </c>
      <c r="Q304" s="2">
        <f>$C304+total_production!P304</f>
        <v>8808565.2625663821</v>
      </c>
      <c r="R304" s="2">
        <f>$C304+total_production!Q304</f>
        <v>8809220.0824939962</v>
      </c>
      <c r="S304" s="2">
        <f>$C304+total_production!R304</f>
        <v>8809220.0824939962</v>
      </c>
      <c r="T304" s="2">
        <f>$C304+total_production!S304</f>
        <v>8809993.292024795</v>
      </c>
      <c r="U304" s="2">
        <f>$C304+total_production!T304</f>
        <v>8809993.292024795</v>
      </c>
      <c r="V304" s="2">
        <f>$C304+total_production!U304</f>
        <v>8810575.91615366</v>
      </c>
      <c r="W304" s="2">
        <f>$C304+total_production!V304</f>
        <v>8810575.91615366</v>
      </c>
      <c r="X304" s="2">
        <f>$C304+total_production!W304</f>
        <v>8811120.4558810927</v>
      </c>
      <c r="Y304" s="2">
        <f>$C304+total_production!X304</f>
        <v>8811120.4558810927</v>
      </c>
      <c r="Z304" s="2">
        <f>$C304+total_production!Y304</f>
        <v>8811120.4558810927</v>
      </c>
      <c r="AA304" s="2">
        <f>$C304+total_production!Z304</f>
        <v>8811120.4558810927</v>
      </c>
      <c r="AB304" s="2">
        <f>$C304+total_production!AA304</f>
        <v>8811120.4558810927</v>
      </c>
    </row>
    <row r="305" spans="1:28" x14ac:dyDescent="0.2">
      <c r="A305" t="s">
        <v>791</v>
      </c>
      <c r="B305" t="s">
        <v>792</v>
      </c>
      <c r="C305" s="1">
        <v>1091451</v>
      </c>
      <c r="D305" s="2">
        <f>$C305+total_production!C305</f>
        <v>1092491.8756824322</v>
      </c>
      <c r="E305" s="2">
        <f>$C305+total_production!D305</f>
        <v>1092262.5500129731</v>
      </c>
      <c r="F305" s="2">
        <f>$C305+total_production!E305</f>
        <v>1092327.2683746528</v>
      </c>
      <c r="G305" s="2">
        <f>$C305+total_production!F305</f>
        <v>1092281.6084199389</v>
      </c>
      <c r="H305" s="2">
        <f>$C305+total_production!G305</f>
        <v>1091445.0069159884</v>
      </c>
      <c r="I305" s="2">
        <f>$C305+total_production!H305</f>
        <v>1091532.324904978</v>
      </c>
      <c r="J305" s="2">
        <f>$C305+total_production!I305</f>
        <v>1091654.2722471128</v>
      </c>
      <c r="K305" s="2">
        <f>$C305+total_production!J305</f>
        <v>1091409.1543956036</v>
      </c>
      <c r="L305" s="2">
        <f>$C305+total_production!K305</f>
        <v>1091522.6327555671</v>
      </c>
      <c r="M305" s="2">
        <f>$C305+total_production!L305</f>
        <v>1091253.4334108809</v>
      </c>
      <c r="N305" s="2">
        <f>$C305+total_production!M305</f>
        <v>1090992.6898200561</v>
      </c>
      <c r="O305" s="2">
        <f>$C305+total_production!N305</f>
        <v>1090769.3313931271</v>
      </c>
      <c r="P305" s="2">
        <f>$C305+total_production!O305</f>
        <v>1090769.3313931271</v>
      </c>
      <c r="Q305" s="2">
        <f>$C305+total_production!P305</f>
        <v>1090769.3313931271</v>
      </c>
      <c r="R305" s="2">
        <f>$C305+total_production!Q305</f>
        <v>1090572.4580057971</v>
      </c>
      <c r="S305" s="2">
        <f>$C305+total_production!R305</f>
        <v>1090572.4580057971</v>
      </c>
      <c r="T305" s="2">
        <f>$C305+total_production!S305</f>
        <v>1090357.6383960489</v>
      </c>
      <c r="U305" s="2">
        <f>$C305+total_production!T305</f>
        <v>1090357.6383960489</v>
      </c>
      <c r="V305" s="2">
        <f>$C305+total_production!U305</f>
        <v>1090145.838783772</v>
      </c>
      <c r="W305" s="2">
        <f>$C305+total_production!V305</f>
        <v>1090145.838783772</v>
      </c>
      <c r="X305" s="2">
        <f>$C305+total_production!W305</f>
        <v>1089967.8790760974</v>
      </c>
      <c r="Y305" s="2">
        <f>$C305+total_production!X305</f>
        <v>1089967.8790760974</v>
      </c>
      <c r="Z305" s="2">
        <f>$C305+total_production!Y305</f>
        <v>1089967.8790760974</v>
      </c>
      <c r="AA305" s="2">
        <f>$C305+total_production!Z305</f>
        <v>1089967.8790760974</v>
      </c>
      <c r="AB305" s="2">
        <f>$C305+total_production!AA305</f>
        <v>1089967.8790760974</v>
      </c>
    </row>
    <row r="306" spans="1:28" x14ac:dyDescent="0.2">
      <c r="A306" t="s">
        <v>767</v>
      </c>
      <c r="B306" t="s">
        <v>768</v>
      </c>
      <c r="C306" s="1">
        <v>764232</v>
      </c>
      <c r="D306" s="2">
        <f>$C306+total_production!C306</f>
        <v>766037.2119653516</v>
      </c>
      <c r="E306" s="2">
        <f>$C306+total_production!D306</f>
        <v>766011.93381064967</v>
      </c>
      <c r="F306" s="2">
        <f>$C306+total_production!E306</f>
        <v>766102.03943133878</v>
      </c>
      <c r="G306" s="2">
        <f>$C306+total_production!F306</f>
        <v>766156.07062944421</v>
      </c>
      <c r="H306" s="2">
        <f>$C306+total_production!G306</f>
        <v>765988.13132249494</v>
      </c>
      <c r="I306" s="2">
        <f>$C306+total_production!H306</f>
        <v>766109.70179169439</v>
      </c>
      <c r="J306" s="2">
        <f>$C306+total_production!I306</f>
        <v>766279.48577060294</v>
      </c>
      <c r="K306" s="2">
        <f>$C306+total_production!J306</f>
        <v>766494.30250579701</v>
      </c>
      <c r="L306" s="2">
        <f>$C306+total_production!K306</f>
        <v>766652.29535039165</v>
      </c>
      <c r="M306" s="2">
        <f>$C306+total_production!L306</f>
        <v>766981.43704178825</v>
      </c>
      <c r="N306" s="2">
        <f>$C306+total_production!M306</f>
        <v>767080.46358846035</v>
      </c>
      <c r="O306" s="2">
        <f>$C306+total_production!N306</f>
        <v>767173.41692339524</v>
      </c>
      <c r="P306" s="2">
        <f>$C306+total_production!O306</f>
        <v>767173.41692339524</v>
      </c>
      <c r="Q306" s="2">
        <f>$C306+total_production!P306</f>
        <v>767173.41692339524</v>
      </c>
      <c r="R306" s="2">
        <f>$C306+total_production!Q306</f>
        <v>767253.92768218706</v>
      </c>
      <c r="S306" s="2">
        <f>$C306+total_production!R306</f>
        <v>767253.92768218706</v>
      </c>
      <c r="T306" s="2">
        <f>$C306+total_production!S306</f>
        <v>767346.24444995623</v>
      </c>
      <c r="U306" s="2">
        <f>$C306+total_production!T306</f>
        <v>767346.24444995623</v>
      </c>
      <c r="V306" s="2">
        <f>$C306+total_production!U306</f>
        <v>767423.58710972918</v>
      </c>
      <c r="W306" s="2">
        <f>$C306+total_production!V306</f>
        <v>767423.58710972918</v>
      </c>
      <c r="X306" s="2">
        <f>$C306+total_production!W306</f>
        <v>767492.75822221173</v>
      </c>
      <c r="Y306" s="2">
        <f>$C306+total_production!X306</f>
        <v>767492.75822221173</v>
      </c>
      <c r="Z306" s="2">
        <f>$C306+total_production!Y306</f>
        <v>767492.75822221173</v>
      </c>
      <c r="AA306" s="2">
        <f>$C306+total_production!Z306</f>
        <v>767492.75822221173</v>
      </c>
      <c r="AB306" s="2">
        <f>$C306+total_production!AA306</f>
        <v>767492.75822221173</v>
      </c>
    </row>
    <row r="307" spans="1:28" x14ac:dyDescent="0.2">
      <c r="A307" t="s">
        <v>550</v>
      </c>
      <c r="B307" t="s">
        <v>127</v>
      </c>
      <c r="C307" s="1">
        <v>4386238</v>
      </c>
      <c r="D307" s="2">
        <f>$C307+total_production!C307</f>
        <v>4393467.9414792638</v>
      </c>
      <c r="E307" s="2">
        <f>$C307+total_production!D307</f>
        <v>4391596.8544305041</v>
      </c>
      <c r="F307" s="2">
        <f>$C307+total_production!E307</f>
        <v>4392062.9237000169</v>
      </c>
      <c r="G307" s="2">
        <f>$C307+total_production!F307</f>
        <v>4391646.264222567</v>
      </c>
      <c r="H307" s="2">
        <f>$C307+total_production!G307</f>
        <v>4384876.9218822867</v>
      </c>
      <c r="I307" s="2">
        <f>$C307+total_production!H307</f>
        <v>4385505.7423636364</v>
      </c>
      <c r="J307" s="2">
        <f>$C307+total_production!I307</f>
        <v>4386383.9461251749</v>
      </c>
      <c r="K307" s="2">
        <f>$C307+total_production!J307</f>
        <v>4384203.3778990582</v>
      </c>
      <c r="L307" s="2">
        <f>$C307+total_production!K307</f>
        <v>4385020.5922870766</v>
      </c>
      <c r="M307" s="2">
        <f>$C307+total_production!L307</f>
        <v>4382556.1671052333</v>
      </c>
      <c r="N307" s="2">
        <f>$C307+total_production!M307</f>
        <v>4380333.3065049713</v>
      </c>
      <c r="O307" s="2">
        <f>$C307+total_production!N307</f>
        <v>4378423.0887079826</v>
      </c>
      <c r="P307" s="2">
        <f>$C307+total_production!O307</f>
        <v>4378423.0887079826</v>
      </c>
      <c r="Q307" s="2">
        <f>$C307+total_production!P307</f>
        <v>4378423.0887079826</v>
      </c>
      <c r="R307" s="2">
        <f>$C307+total_production!Q307</f>
        <v>4376740.4386729905</v>
      </c>
      <c r="S307" s="2">
        <f>$C307+total_production!R307</f>
        <v>4376740.4386729905</v>
      </c>
      <c r="T307" s="2">
        <f>$C307+total_production!S307</f>
        <v>4374901.0682664718</v>
      </c>
      <c r="U307" s="2">
        <f>$C307+total_production!T307</f>
        <v>4374901.0682664718</v>
      </c>
      <c r="V307" s="2">
        <f>$C307+total_production!U307</f>
        <v>4373097.7713445323</v>
      </c>
      <c r="W307" s="2">
        <f>$C307+total_production!V307</f>
        <v>4373097.7713445323</v>
      </c>
      <c r="X307" s="2">
        <f>$C307+total_production!W307</f>
        <v>4371579.4665618017</v>
      </c>
      <c r="Y307" s="2">
        <f>$C307+total_production!X307</f>
        <v>4371579.4665618017</v>
      </c>
      <c r="Z307" s="2">
        <f>$C307+total_production!Y307</f>
        <v>4371579.4665618017</v>
      </c>
      <c r="AA307" s="2">
        <f>$C307+total_production!Z307</f>
        <v>4371579.4665618017</v>
      </c>
      <c r="AB307" s="2">
        <f>$C307+total_production!AA307</f>
        <v>4371579.4665618017</v>
      </c>
    </row>
    <row r="308" spans="1:28" x14ac:dyDescent="0.2">
      <c r="A308" t="s">
        <v>417</v>
      </c>
      <c r="B308" t="s">
        <v>71</v>
      </c>
      <c r="C308" s="1">
        <v>14728433</v>
      </c>
      <c r="D308" s="2">
        <f>$C308+total_production!C308</f>
        <v>14764367.351393962</v>
      </c>
      <c r="E308" s="2">
        <f>$C308+total_production!D308</f>
        <v>14763276.339075221</v>
      </c>
      <c r="F308" s="2">
        <f>$C308+total_production!E308</f>
        <v>14765104.909916386</v>
      </c>
      <c r="G308" s="2">
        <f>$C308+total_production!F308</f>
        <v>14765970.188824004</v>
      </c>
      <c r="H308" s="2">
        <f>$C308+total_production!G308</f>
        <v>14760602.267018598</v>
      </c>
      <c r="I308" s="2">
        <f>$C308+total_production!H308</f>
        <v>14763069.374102758</v>
      </c>
      <c r="J308" s="2">
        <f>$C308+total_production!I308</f>
        <v>14766514.908695996</v>
      </c>
      <c r="K308" s="2">
        <f>$C308+total_production!J308</f>
        <v>14769781.032037942</v>
      </c>
      <c r="L308" s="2">
        <f>$C308+total_production!K308</f>
        <v>14772987.281620698</v>
      </c>
      <c r="M308" s="2">
        <f>$C308+total_production!L308</f>
        <v>14778282.789625831</v>
      </c>
      <c r="N308" s="2">
        <f>$C308+total_production!M308</f>
        <v>14779383.985018032</v>
      </c>
      <c r="O308" s="2">
        <f>$C308+total_production!N308</f>
        <v>14780476.206002854</v>
      </c>
      <c r="P308" s="2">
        <f>$C308+total_production!O308</f>
        <v>14780476.206002854</v>
      </c>
      <c r="Q308" s="2">
        <f>$C308+total_production!P308</f>
        <v>14780476.206002854</v>
      </c>
      <c r="R308" s="2">
        <f>$C308+total_production!Q308</f>
        <v>14781412.88092486</v>
      </c>
      <c r="S308" s="2">
        <f>$C308+total_production!R308</f>
        <v>14781412.88092486</v>
      </c>
      <c r="T308" s="2">
        <f>$C308+total_production!S308</f>
        <v>14782516.80814066</v>
      </c>
      <c r="U308" s="2">
        <f>$C308+total_production!T308</f>
        <v>14782516.80814066</v>
      </c>
      <c r="V308" s="2">
        <f>$C308+total_production!U308</f>
        <v>14783354.562425358</v>
      </c>
      <c r="W308" s="2">
        <f>$C308+total_production!V308</f>
        <v>14783354.562425358</v>
      </c>
      <c r="X308" s="2">
        <f>$C308+total_production!W308</f>
        <v>14784135.180545656</v>
      </c>
      <c r="Y308" s="2">
        <f>$C308+total_production!X308</f>
        <v>14784135.180545656</v>
      </c>
      <c r="Z308" s="2">
        <f>$C308+total_production!Y308</f>
        <v>14784135.180545656</v>
      </c>
      <c r="AA308" s="2">
        <f>$C308+total_production!Z308</f>
        <v>14784135.180545656</v>
      </c>
      <c r="AB308" s="2">
        <f>$C308+total_production!AA308</f>
        <v>14784135.180545656</v>
      </c>
    </row>
    <row r="309" spans="1:28" x14ac:dyDescent="0.2">
      <c r="A309" t="s">
        <v>409</v>
      </c>
      <c r="B309" t="s">
        <v>95</v>
      </c>
      <c r="C309" s="1">
        <v>12344381</v>
      </c>
      <c r="D309" s="2">
        <f>$C309+total_production!C309</f>
        <v>12389400.383570047</v>
      </c>
      <c r="E309" s="2">
        <f>$C309+total_production!D309</f>
        <v>12389707.032189457</v>
      </c>
      <c r="F309" s="2">
        <f>$C309+total_production!E309</f>
        <v>12391898.441850556</v>
      </c>
      <c r="G309" s="2">
        <f>$C309+total_production!F309</f>
        <v>12393581.075124426</v>
      </c>
      <c r="H309" s="2">
        <f>$C309+total_production!G309</f>
        <v>12392620.84259926</v>
      </c>
      <c r="I309" s="2">
        <f>$C309+total_production!H309</f>
        <v>12395577.491681419</v>
      </c>
      <c r="J309" s="2">
        <f>$C309+total_production!I309</f>
        <v>12399706.715239668</v>
      </c>
      <c r="K309" s="2">
        <f>$C309+total_production!J309</f>
        <v>12406673.955081793</v>
      </c>
      <c r="L309" s="2">
        <f>$C309+total_production!K309</f>
        <v>12410516.412892761</v>
      </c>
      <c r="M309" s="2">
        <f>$C309+total_production!L309</f>
        <v>12420727.464267958</v>
      </c>
      <c r="N309" s="2">
        <f>$C309+total_production!M309</f>
        <v>12424583.925270349</v>
      </c>
      <c r="O309" s="2">
        <f>$C309+total_production!N309</f>
        <v>12428110.521626221</v>
      </c>
      <c r="P309" s="2">
        <f>$C309+total_production!O309</f>
        <v>12428110.521626221</v>
      </c>
      <c r="Q309" s="2">
        <f>$C309+total_production!P309</f>
        <v>12428110.521626221</v>
      </c>
      <c r="R309" s="2">
        <f>$C309+total_production!Q309</f>
        <v>12431179.947652249</v>
      </c>
      <c r="S309" s="2">
        <f>$C309+total_production!R309</f>
        <v>12431179.947652249</v>
      </c>
      <c r="T309" s="2">
        <f>$C309+total_production!S309</f>
        <v>12434651.808812374</v>
      </c>
      <c r="U309" s="2">
        <f>$C309+total_production!T309</f>
        <v>12434651.808812374</v>
      </c>
      <c r="V309" s="2">
        <f>$C309+total_production!U309</f>
        <v>12437699.385893682</v>
      </c>
      <c r="W309" s="2">
        <f>$C309+total_production!V309</f>
        <v>12437699.385893682</v>
      </c>
      <c r="X309" s="2">
        <f>$C309+total_production!W309</f>
        <v>12440374.959099315</v>
      </c>
      <c r="Y309" s="2">
        <f>$C309+total_production!X309</f>
        <v>12440374.959099315</v>
      </c>
      <c r="Z309" s="2">
        <f>$C309+total_production!Y309</f>
        <v>12440374.959099315</v>
      </c>
      <c r="AA309" s="2">
        <f>$C309+total_production!Z309</f>
        <v>12440374.959099315</v>
      </c>
      <c r="AB309" s="2">
        <f>$C309+total_production!AA309</f>
        <v>12440374.959099315</v>
      </c>
    </row>
    <row r="310" spans="1:28" x14ac:dyDescent="0.2">
      <c r="A310" t="s">
        <v>529</v>
      </c>
      <c r="B310" t="s">
        <v>135</v>
      </c>
      <c r="C310" s="1">
        <v>2758044</v>
      </c>
      <c r="D310" s="2">
        <f>$C310+total_production!C310</f>
        <v>2770663.6250356673</v>
      </c>
      <c r="E310" s="2">
        <f>$C310+total_production!D310</f>
        <v>2771161.8301891154</v>
      </c>
      <c r="F310" s="2">
        <f>$C310+total_production!E310</f>
        <v>2771751.6136308052</v>
      </c>
      <c r="G310" s="2">
        <f>$C310+total_production!F310</f>
        <v>2772370.7381275343</v>
      </c>
      <c r="H310" s="2">
        <f>$C310+total_production!G310</f>
        <v>2773521.6710659261</v>
      </c>
      <c r="I310" s="2">
        <f>$C310+total_production!H310</f>
        <v>2774317.4066613736</v>
      </c>
      <c r="J310" s="2">
        <f>$C310+total_production!I310</f>
        <v>2775428.7222336833</v>
      </c>
      <c r="K310" s="2">
        <f>$C310+total_production!J310</f>
        <v>2778090.0612206925</v>
      </c>
      <c r="L310" s="2">
        <f>$C310+total_production!K310</f>
        <v>2779124.198302649</v>
      </c>
      <c r="M310" s="2">
        <f>$C310+total_production!L310</f>
        <v>2782867.5977748297</v>
      </c>
      <c r="N310" s="2">
        <f>$C310+total_production!M310</f>
        <v>2784558.7697822647</v>
      </c>
      <c r="O310" s="2">
        <f>$C310+total_production!N310</f>
        <v>2786078.9868080704</v>
      </c>
      <c r="P310" s="2">
        <f>$C310+total_production!O310</f>
        <v>2786078.9868080704</v>
      </c>
      <c r="Q310" s="2">
        <f>$C310+total_production!P310</f>
        <v>2786078.9868080704</v>
      </c>
      <c r="R310" s="2">
        <f>$C310+total_production!Q310</f>
        <v>2787406.4375815843</v>
      </c>
      <c r="S310" s="2">
        <f>$C310+total_production!R310</f>
        <v>2787406.4375815843</v>
      </c>
      <c r="T310" s="2">
        <f>$C310+total_production!S310</f>
        <v>2788894.2153103286</v>
      </c>
      <c r="U310" s="2">
        <f>$C310+total_production!T310</f>
        <v>2788894.2153103286</v>
      </c>
      <c r="V310" s="2">
        <f>$C310+total_production!U310</f>
        <v>2790240.6880470323</v>
      </c>
      <c r="W310" s="2">
        <f>$C310+total_production!V310</f>
        <v>2790240.6880470323</v>
      </c>
      <c r="X310" s="2">
        <f>$C310+total_production!W310</f>
        <v>2791408.876634778</v>
      </c>
      <c r="Y310" s="2">
        <f>$C310+total_production!X310</f>
        <v>2791408.876634778</v>
      </c>
      <c r="Z310" s="2">
        <f>$C310+total_production!Y310</f>
        <v>2791408.876634778</v>
      </c>
      <c r="AA310" s="2">
        <f>$C310+total_production!Z310</f>
        <v>2791408.876634778</v>
      </c>
      <c r="AB310" s="2">
        <f>$C310+total_production!AA310</f>
        <v>2791408.876634778</v>
      </c>
    </row>
    <row r="311" spans="1:28" x14ac:dyDescent="0.2">
      <c r="A311" t="s">
        <v>434</v>
      </c>
      <c r="B311" t="s">
        <v>49</v>
      </c>
      <c r="C311" s="1">
        <v>7799577</v>
      </c>
      <c r="D311" s="2">
        <f>$C311+total_production!C311</f>
        <v>7830292.4681606088</v>
      </c>
      <c r="E311" s="2">
        <f>$C311+total_production!D311</f>
        <v>7831427.6941748643</v>
      </c>
      <c r="F311" s="2">
        <f>$C311+total_production!E311</f>
        <v>7832867.7934293477</v>
      </c>
      <c r="G311" s="2">
        <f>$C311+total_production!F311</f>
        <v>7834347.0309203546</v>
      </c>
      <c r="H311" s="2">
        <f>$C311+total_production!G311</f>
        <v>7836881.7884507068</v>
      </c>
      <c r="I311" s="2">
        <f>$C311+total_production!H311</f>
        <v>7838824.769817709</v>
      </c>
      <c r="J311" s="2">
        <f>$C311+total_production!I311</f>
        <v>7841538.3162044892</v>
      </c>
      <c r="K311" s="2">
        <f>$C311+total_production!J311</f>
        <v>7847882.9189261319</v>
      </c>
      <c r="L311" s="2">
        <f>$C311+total_production!K311</f>
        <v>7850408.0153182801</v>
      </c>
      <c r="M311" s="2">
        <f>$C311+total_production!L311</f>
        <v>7859353.8647525879</v>
      </c>
      <c r="N311" s="2">
        <f>$C311+total_production!M311</f>
        <v>7863355.5606665369</v>
      </c>
      <c r="O311" s="2">
        <f>$C311+total_production!N311</f>
        <v>7866955.8937931899</v>
      </c>
      <c r="P311" s="2">
        <f>$C311+total_production!O311</f>
        <v>7866955.8937931899</v>
      </c>
      <c r="Q311" s="2">
        <f>$C311+total_production!P311</f>
        <v>7866955.8937931899</v>
      </c>
      <c r="R311" s="2">
        <f>$C311+total_production!Q311</f>
        <v>7870099.1725041931</v>
      </c>
      <c r="S311" s="2">
        <f>$C311+total_production!R311</f>
        <v>7870099.1725041931</v>
      </c>
      <c r="T311" s="2">
        <f>$C311+total_production!S311</f>
        <v>7873623.7590905242</v>
      </c>
      <c r="U311" s="2">
        <f>$C311+total_production!T311</f>
        <v>7873623.7590905242</v>
      </c>
      <c r="V311" s="2">
        <f>$C311+total_production!U311</f>
        <v>7876808.6162583083</v>
      </c>
      <c r="W311" s="2">
        <f>$C311+total_production!V311</f>
        <v>7876808.6162583083</v>
      </c>
      <c r="X311" s="2">
        <f>$C311+total_production!W311</f>
        <v>7879573.4303834718</v>
      </c>
      <c r="Y311" s="2">
        <f>$C311+total_production!X311</f>
        <v>7879573.4303834718</v>
      </c>
      <c r="Z311" s="2">
        <f>$C311+total_production!Y311</f>
        <v>7879573.4303834718</v>
      </c>
      <c r="AA311" s="2">
        <f>$C311+total_production!Z311</f>
        <v>7879573.4303834718</v>
      </c>
      <c r="AB311" s="2">
        <f>$C311+total_production!AA311</f>
        <v>7879573.4303834718</v>
      </c>
    </row>
    <row r="312" spans="1:28" x14ac:dyDescent="0.2">
      <c r="A312" t="s">
        <v>346</v>
      </c>
      <c r="B312" t="s">
        <v>347</v>
      </c>
      <c r="C312" s="1">
        <v>45600996</v>
      </c>
      <c r="D312" s="2">
        <f>$C312+total_production!C312</f>
        <v>45772210.083969384</v>
      </c>
      <c r="E312" s="2">
        <f>$C312+total_production!D312</f>
        <v>45771783.452194825</v>
      </c>
      <c r="F312" s="2">
        <f>$C312+total_production!E312</f>
        <v>45780212.31748908</v>
      </c>
      <c r="G312" s="2">
        <f>$C312+total_production!F312</f>
        <v>45786041.825011179</v>
      </c>
      <c r="H312" s="2">
        <f>$C312+total_production!G312</f>
        <v>45776902.913186774</v>
      </c>
      <c r="I312" s="2">
        <f>$C312+total_production!H312</f>
        <v>45788275.135039344</v>
      </c>
      <c r="J312" s="2">
        <f>$C312+total_production!I312</f>
        <v>45804157.454881303</v>
      </c>
      <c r="K312" s="2">
        <f>$C312+total_production!J312</f>
        <v>45827917.889290147</v>
      </c>
      <c r="L312" s="2">
        <f>$C312+total_production!K312</f>
        <v>45842697.215977632</v>
      </c>
      <c r="M312" s="2">
        <f>$C312+total_production!L312</f>
        <v>45878126.696949586</v>
      </c>
      <c r="N312" s="2">
        <f>$C312+total_production!M312</f>
        <v>45890435.772764631</v>
      </c>
      <c r="O312" s="2">
        <f>$C312+total_production!N312</f>
        <v>45901793.60183505</v>
      </c>
      <c r="P312" s="2">
        <f>$C312+total_production!O312</f>
        <v>45901793.60183505</v>
      </c>
      <c r="Q312" s="2">
        <f>$C312+total_production!P312</f>
        <v>45901793.60183505</v>
      </c>
      <c r="R312" s="2">
        <f>$C312+total_production!Q312</f>
        <v>45911662.416832693</v>
      </c>
      <c r="S312" s="2">
        <f>$C312+total_production!R312</f>
        <v>45911662.416832693</v>
      </c>
      <c r="T312" s="2">
        <f>$C312+total_production!S312</f>
        <v>45922878.138218604</v>
      </c>
      <c r="U312" s="2">
        <f>$C312+total_production!T312</f>
        <v>45922878.138218604</v>
      </c>
      <c r="V312" s="2">
        <f>$C312+total_production!U312</f>
        <v>45932566.696965478</v>
      </c>
      <c r="W312" s="2">
        <f>$C312+total_production!V312</f>
        <v>45932566.696965478</v>
      </c>
      <c r="X312" s="2">
        <f>$C312+total_production!W312</f>
        <v>45941126.426479578</v>
      </c>
      <c r="Y312" s="2">
        <f>$C312+total_production!X312</f>
        <v>45941126.426479578</v>
      </c>
      <c r="Z312" s="2">
        <f>$C312+total_production!Y312</f>
        <v>45941126.426479578</v>
      </c>
      <c r="AA312" s="2">
        <f>$C312+total_production!Z312</f>
        <v>45941126.426479578</v>
      </c>
      <c r="AB312" s="2">
        <f>$C312+total_production!AA312</f>
        <v>45941126.426479578</v>
      </c>
    </row>
    <row r="313" spans="1:28" x14ac:dyDescent="0.2">
      <c r="A313" t="s">
        <v>581</v>
      </c>
      <c r="B313" t="s">
        <v>582</v>
      </c>
      <c r="C313" s="1">
        <v>2290471</v>
      </c>
      <c r="D313" s="2">
        <f>$C313+total_production!C313</f>
        <v>2297254.8638659152</v>
      </c>
      <c r="E313" s="2">
        <f>$C313+total_production!D313</f>
        <v>2296596.9779292252</v>
      </c>
      <c r="F313" s="2">
        <f>$C313+total_production!E313</f>
        <v>2296969.0448780111</v>
      </c>
      <c r="G313" s="2">
        <f>$C313+total_production!F313</f>
        <v>2296970.7495340374</v>
      </c>
      <c r="H313" s="2">
        <f>$C313+total_production!G313</f>
        <v>2294400.603052347</v>
      </c>
      <c r="I313" s="2">
        <f>$C313+total_production!H313</f>
        <v>2294902.5956382873</v>
      </c>
      <c r="J313" s="2">
        <f>$C313+total_production!I313</f>
        <v>2295603.6729573505</v>
      </c>
      <c r="K313" s="2">
        <f>$C313+total_production!J313</f>
        <v>2295443.7888212902</v>
      </c>
      <c r="L313" s="2">
        <f>$C313+total_production!K313</f>
        <v>2296096.1778195431</v>
      </c>
      <c r="M313" s="2">
        <f>$C313+total_production!L313</f>
        <v>2296130.0141691309</v>
      </c>
      <c r="N313" s="2">
        <f>$C313+total_production!M313</f>
        <v>2295669.0392862647</v>
      </c>
      <c r="O313" s="2">
        <f>$C313+total_production!N313</f>
        <v>2295292.4123687791</v>
      </c>
      <c r="P313" s="2">
        <f>$C313+total_production!O313</f>
        <v>2295292.4123687791</v>
      </c>
      <c r="Q313" s="2">
        <f>$C313+total_production!P313</f>
        <v>2295292.4123687791</v>
      </c>
      <c r="R313" s="2">
        <f>$C313+total_production!Q313</f>
        <v>2294957.2532244162</v>
      </c>
      <c r="S313" s="2">
        <f>$C313+total_production!R313</f>
        <v>2294957.2532244162</v>
      </c>
      <c r="T313" s="2">
        <f>$C313+total_production!S313</f>
        <v>2294601.5776921562</v>
      </c>
      <c r="U313" s="2">
        <f>$C313+total_production!T313</f>
        <v>2294601.5776921562</v>
      </c>
      <c r="V313" s="2">
        <f>$C313+total_production!U313</f>
        <v>2294220.1772945919</v>
      </c>
      <c r="W313" s="2">
        <f>$C313+total_production!V313</f>
        <v>2294220.1772945919</v>
      </c>
      <c r="X313" s="2">
        <f>$C313+total_production!W313</f>
        <v>2293909.1181124244</v>
      </c>
      <c r="Y313" s="2">
        <f>$C313+total_production!X313</f>
        <v>2293909.1181124244</v>
      </c>
      <c r="Z313" s="2">
        <f>$C313+total_production!Y313</f>
        <v>2293909.1181124244</v>
      </c>
      <c r="AA313" s="2">
        <f>$C313+total_production!Z313</f>
        <v>2293909.1181124244</v>
      </c>
      <c r="AB313" s="2">
        <f>$C313+total_production!AA313</f>
        <v>2293909.1181124244</v>
      </c>
    </row>
    <row r="314" spans="1:28" x14ac:dyDescent="0.2">
      <c r="A314" t="s">
        <v>486</v>
      </c>
      <c r="B314" t="s">
        <v>487</v>
      </c>
      <c r="C314" s="1">
        <v>4155327</v>
      </c>
      <c r="D314" s="2">
        <f>$C314+total_production!C314</f>
        <v>4172316.8893509991</v>
      </c>
      <c r="E314" s="2">
        <f>$C314+total_production!D314</f>
        <v>4170938.6480099307</v>
      </c>
      <c r="F314" s="2">
        <f>$C314+total_production!E314</f>
        <v>4171854.4609541818</v>
      </c>
      <c r="G314" s="2">
        <f>$C314+total_production!F314</f>
        <v>4171955.0936824759</v>
      </c>
      <c r="H314" s="2">
        <f>$C314+total_production!G314</f>
        <v>4166446.3167661163</v>
      </c>
      <c r="I314" s="2">
        <f>$C314+total_production!H314</f>
        <v>4167681.9312425498</v>
      </c>
      <c r="J314" s="2">
        <f>$C314+total_production!I314</f>
        <v>4169407.576817397</v>
      </c>
      <c r="K314" s="2">
        <f>$C314+total_production!J314</f>
        <v>4169470.0407135091</v>
      </c>
      <c r="L314" s="2">
        <f>$C314+total_production!K314</f>
        <v>4171075.8438928472</v>
      </c>
      <c r="M314" s="2">
        <f>$C314+total_production!L314</f>
        <v>4171736.3783709244</v>
      </c>
      <c r="N314" s="2">
        <f>$C314+total_production!M314</f>
        <v>4170980.6205722648</v>
      </c>
      <c r="O314" s="2">
        <f>$C314+total_production!N314</f>
        <v>4170384.8157416494</v>
      </c>
      <c r="P314" s="2">
        <f>$C314+total_production!O314</f>
        <v>4170384.8157416494</v>
      </c>
      <c r="Q314" s="2">
        <f>$C314+total_production!P314</f>
        <v>4170384.8157416494</v>
      </c>
      <c r="R314" s="2">
        <f>$C314+total_production!Q314</f>
        <v>4169850.6393455742</v>
      </c>
      <c r="S314" s="2">
        <f>$C314+total_production!R314</f>
        <v>4169850.6393455742</v>
      </c>
      <c r="T314" s="2">
        <f>$C314+total_production!S314</f>
        <v>4169296.1339107072</v>
      </c>
      <c r="U314" s="2">
        <f>$C314+total_production!T314</f>
        <v>4169296.1339107072</v>
      </c>
      <c r="V314" s="2">
        <f>$C314+total_production!U314</f>
        <v>4168662.5817114762</v>
      </c>
      <c r="W314" s="2">
        <f>$C314+total_production!V314</f>
        <v>4168662.5817114762</v>
      </c>
      <c r="X314" s="2">
        <f>$C314+total_production!W314</f>
        <v>4168156.8329192004</v>
      </c>
      <c r="Y314" s="2">
        <f>$C314+total_production!X314</f>
        <v>4168156.8329192004</v>
      </c>
      <c r="Z314" s="2">
        <f>$C314+total_production!Y314</f>
        <v>4168156.8329192004</v>
      </c>
      <c r="AA314" s="2">
        <f>$C314+total_production!Z314</f>
        <v>4168156.8329192004</v>
      </c>
      <c r="AB314" s="2">
        <f>$C314+total_production!AA314</f>
        <v>4168156.8329192004</v>
      </c>
    </row>
    <row r="315" spans="1:28" x14ac:dyDescent="0.2">
      <c r="A315" t="s">
        <v>692</v>
      </c>
      <c r="B315" t="s">
        <v>693</v>
      </c>
      <c r="C315" s="1">
        <v>1065188</v>
      </c>
      <c r="D315" s="2">
        <f>$C315+total_production!C315</f>
        <v>1067493.3363953226</v>
      </c>
      <c r="E315" s="2">
        <f>$C315+total_production!D315</f>
        <v>1066860.4271152134</v>
      </c>
      <c r="F315" s="2">
        <f>$C315+total_production!E315</f>
        <v>1067011.195030743</v>
      </c>
      <c r="G315" s="2">
        <f>$C315+total_production!F315</f>
        <v>1066865.356730385</v>
      </c>
      <c r="H315" s="2">
        <f>$C315+total_production!G315</f>
        <v>1064581.857804006</v>
      </c>
      <c r="I315" s="2">
        <f>$C315+total_production!H315</f>
        <v>1064785.2738183565</v>
      </c>
      <c r="J315" s="2">
        <f>$C315+total_production!I315</f>
        <v>1065069.3623845815</v>
      </c>
      <c r="K315" s="2">
        <f>$C315+total_production!J315</f>
        <v>1064311.7055566909</v>
      </c>
      <c r="L315" s="2">
        <f>$C315+total_production!K315</f>
        <v>1064576.0647794115</v>
      </c>
      <c r="M315" s="2">
        <f>$C315+total_production!L315</f>
        <v>1063712.6863327776</v>
      </c>
      <c r="N315" s="2">
        <f>$C315+total_production!M315</f>
        <v>1062950.1871028161</v>
      </c>
      <c r="O315" s="2">
        <f>$C315+total_production!N315</f>
        <v>1062294.2873802835</v>
      </c>
      <c r="P315" s="2">
        <f>$C315+total_production!O315</f>
        <v>1062294.2873802835</v>
      </c>
      <c r="Q315" s="2">
        <f>$C315+total_production!P315</f>
        <v>1062294.2873802835</v>
      </c>
      <c r="R315" s="2">
        <f>$C315+total_production!Q315</f>
        <v>1061716.6386291848</v>
      </c>
      <c r="S315" s="2">
        <f>$C315+total_production!R315</f>
        <v>1061716.6386291848</v>
      </c>
      <c r="T315" s="2">
        <f>$C315+total_production!S315</f>
        <v>1061084.83446635</v>
      </c>
      <c r="U315" s="2">
        <f>$C315+total_production!T315</f>
        <v>1061084.83446635</v>
      </c>
      <c r="V315" s="2">
        <f>$C315+total_production!U315</f>
        <v>1060466.5023329663</v>
      </c>
      <c r="W315" s="2">
        <f>$C315+total_production!V315</f>
        <v>1060466.5023329663</v>
      </c>
      <c r="X315" s="2">
        <f>$C315+total_production!W315</f>
        <v>1059945.5583236271</v>
      </c>
      <c r="Y315" s="2">
        <f>$C315+total_production!X315</f>
        <v>1059945.5583236271</v>
      </c>
      <c r="Z315" s="2">
        <f>$C315+total_production!Y315</f>
        <v>1059945.5583236271</v>
      </c>
      <c r="AA315" s="2">
        <f>$C315+total_production!Z315</f>
        <v>1059945.5583236271</v>
      </c>
      <c r="AB315" s="2">
        <f>$C315+total_production!AA315</f>
        <v>1059945.5583236271</v>
      </c>
    </row>
    <row r="316" spans="1:28" x14ac:dyDescent="0.2">
      <c r="A316" t="s">
        <v>517</v>
      </c>
      <c r="B316" t="s">
        <v>518</v>
      </c>
      <c r="C316" s="1">
        <v>2042491</v>
      </c>
      <c r="D316" s="2">
        <f>$C316+total_production!C316</f>
        <v>2056255.6030983869</v>
      </c>
      <c r="E316" s="2">
        <f>$C316+total_production!D316</f>
        <v>2056855.8344086886</v>
      </c>
      <c r="F316" s="2">
        <f>$C316+total_production!E316</f>
        <v>2057495.7514770413</v>
      </c>
      <c r="G316" s="2">
        <f>$C316+total_production!F316</f>
        <v>2058191.3744939375</v>
      </c>
      <c r="H316" s="2">
        <f>$C316+total_production!G316</f>
        <v>2059642.4779599262</v>
      </c>
      <c r="I316" s="2">
        <f>$C316+total_production!H316</f>
        <v>2060505.8538254201</v>
      </c>
      <c r="J316" s="2">
        <f>$C316+total_production!I316</f>
        <v>2061711.6350542218</v>
      </c>
      <c r="K316" s="2">
        <f>$C316+total_production!J316</f>
        <v>2064712.0711648653</v>
      </c>
      <c r="L316" s="2">
        <f>$C316+total_production!K316</f>
        <v>2065834.1134654502</v>
      </c>
      <c r="M316" s="2">
        <f>$C316+total_production!L316</f>
        <v>2070038.5999845536</v>
      </c>
      <c r="N316" s="2">
        <f>$C316+total_production!M316</f>
        <v>2071967.3144655211</v>
      </c>
      <c r="O316" s="2">
        <f>$C316+total_production!N316</f>
        <v>2073698.744338192</v>
      </c>
      <c r="P316" s="2">
        <f>$C316+total_production!O316</f>
        <v>2073698.744338192</v>
      </c>
      <c r="Q316" s="2">
        <f>$C316+total_production!P316</f>
        <v>2073698.744338192</v>
      </c>
      <c r="R316" s="2">
        <f>$C316+total_production!Q316</f>
        <v>2075211.0118502907</v>
      </c>
      <c r="S316" s="2">
        <f>$C316+total_production!R316</f>
        <v>2075211.0118502907</v>
      </c>
      <c r="T316" s="2">
        <f>$C316+total_production!S316</f>
        <v>2076904.7026755859</v>
      </c>
      <c r="U316" s="2">
        <f>$C316+total_production!T316</f>
        <v>2076904.7026755859</v>
      </c>
      <c r="V316" s="2">
        <f>$C316+total_production!U316</f>
        <v>2078441.1842095242</v>
      </c>
      <c r="W316" s="2">
        <f>$C316+total_production!V316</f>
        <v>2078441.1842095242</v>
      </c>
      <c r="X316" s="2">
        <f>$C316+total_production!W316</f>
        <v>2079773.0049432714</v>
      </c>
      <c r="Y316" s="2">
        <f>$C316+total_production!X316</f>
        <v>2079773.0049432714</v>
      </c>
      <c r="Z316" s="2">
        <f>$C316+total_production!Y316</f>
        <v>2079773.0049432714</v>
      </c>
      <c r="AA316" s="2">
        <f>$C316+total_production!Z316</f>
        <v>2079773.0049432714</v>
      </c>
      <c r="AB316" s="2">
        <f>$C316+total_production!AA316</f>
        <v>2079773.0049432714</v>
      </c>
    </row>
    <row r="317" spans="1:28" x14ac:dyDescent="0.2">
      <c r="A317" t="s">
        <v>492</v>
      </c>
      <c r="B317" t="s">
        <v>493</v>
      </c>
      <c r="C317" s="1">
        <v>7765453</v>
      </c>
      <c r="D317" s="2">
        <f>$C317+total_production!C317</f>
        <v>7783594.0854426268</v>
      </c>
      <c r="E317" s="2">
        <f>$C317+total_production!D317</f>
        <v>7783494.7699846281</v>
      </c>
      <c r="F317" s="2">
        <f>$C317+total_production!E317</f>
        <v>7784391.0713665383</v>
      </c>
      <c r="G317" s="2">
        <f>$C317+total_production!F317</f>
        <v>7784989.3850263562</v>
      </c>
      <c r="H317" s="2">
        <f>$C317+total_production!G317</f>
        <v>7783834.6642486006</v>
      </c>
      <c r="I317" s="2">
        <f>$C317+total_production!H317</f>
        <v>7785043.9537325371</v>
      </c>
      <c r="J317" s="2">
        <f>$C317+total_production!I317</f>
        <v>7786732.8341126759</v>
      </c>
      <c r="K317" s="2">
        <f>$C317+total_production!J317</f>
        <v>7789157.4111783775</v>
      </c>
      <c r="L317" s="2">
        <f>$C317+total_production!K317</f>
        <v>7790729.0024271701</v>
      </c>
      <c r="M317" s="2">
        <f>$C317+total_production!L317</f>
        <v>7794367.3021502122</v>
      </c>
      <c r="N317" s="2">
        <f>$C317+total_production!M317</f>
        <v>7795591.4295134759</v>
      </c>
      <c r="O317" s="2">
        <f>$C317+total_production!N317</f>
        <v>7796725.069420822</v>
      </c>
      <c r="P317" s="2">
        <f>$C317+total_production!O317</f>
        <v>7796725.069420822</v>
      </c>
      <c r="Q317" s="2">
        <f>$C317+total_production!P317</f>
        <v>7796725.069420822</v>
      </c>
      <c r="R317" s="2">
        <f>$C317+total_production!Q317</f>
        <v>7797709.4212694755</v>
      </c>
      <c r="S317" s="2">
        <f>$C317+total_production!R317</f>
        <v>7797709.4212694755</v>
      </c>
      <c r="T317" s="2">
        <f>$C317+total_production!S317</f>
        <v>7798830.2481180821</v>
      </c>
      <c r="U317" s="2">
        <f>$C317+total_production!T317</f>
        <v>7798830.2481180821</v>
      </c>
      <c r="V317" s="2">
        <f>$C317+total_production!U317</f>
        <v>7799792.2000806155</v>
      </c>
      <c r="W317" s="2">
        <f>$C317+total_production!V317</f>
        <v>7799792.2000806155</v>
      </c>
      <c r="X317" s="2">
        <f>$C317+total_production!W317</f>
        <v>7800644.2602821887</v>
      </c>
      <c r="Y317" s="2">
        <f>$C317+total_production!X317</f>
        <v>7800644.2602821887</v>
      </c>
      <c r="Z317" s="2">
        <f>$C317+total_production!Y317</f>
        <v>7800644.2602821887</v>
      </c>
      <c r="AA317" s="2">
        <f>$C317+total_production!Z317</f>
        <v>7800644.2602821887</v>
      </c>
      <c r="AB317" s="2">
        <f>$C317+total_production!AA317</f>
        <v>7800644.2602821887</v>
      </c>
    </row>
    <row r="318" spans="1:28" x14ac:dyDescent="0.2">
      <c r="A318" t="s">
        <v>435</v>
      </c>
      <c r="B318" t="s">
        <v>436</v>
      </c>
      <c r="C318" s="1">
        <v>9619714</v>
      </c>
      <c r="D318" s="2">
        <f>$C318+total_production!C318</f>
        <v>9647707.5881531574</v>
      </c>
      <c r="E318" s="2">
        <f>$C318+total_production!D318</f>
        <v>9646856.2746405583</v>
      </c>
      <c r="F318" s="2">
        <f>$C318+total_production!E318</f>
        <v>9648280.8511750791</v>
      </c>
      <c r="G318" s="2">
        <f>$C318+total_production!F318</f>
        <v>9648954.422793258</v>
      </c>
      <c r="H318" s="2">
        <f>$C318+total_production!G318</f>
        <v>9644767.9049990028</v>
      </c>
      <c r="I318" s="2">
        <f>$C318+total_production!H318</f>
        <v>9646689.9431181308</v>
      </c>
      <c r="J318" s="2">
        <f>$C318+total_production!I318</f>
        <v>9649374.2403954919</v>
      </c>
      <c r="K318" s="2">
        <f>$C318+total_production!J318</f>
        <v>9651916.2236024328</v>
      </c>
      <c r="L318" s="2">
        <f>$C318+total_production!K318</f>
        <v>9654414.1021732744</v>
      </c>
      <c r="M318" s="2">
        <f>$C318+total_production!L318</f>
        <v>9658536.4334553536</v>
      </c>
      <c r="N318" s="2">
        <f>$C318+total_production!M318</f>
        <v>9659392.2255706899</v>
      </c>
      <c r="O318" s="2">
        <f>$C318+total_production!N318</f>
        <v>9660241.2916200515</v>
      </c>
      <c r="P318" s="2">
        <f>$C318+total_production!O318</f>
        <v>9660241.2916200515</v>
      </c>
      <c r="Q318" s="2">
        <f>$C318+total_production!P318</f>
        <v>9660241.2916200515</v>
      </c>
      <c r="R318" s="2">
        <f>$C318+total_production!Q318</f>
        <v>9660969.4024370052</v>
      </c>
      <c r="S318" s="2">
        <f>$C318+total_production!R318</f>
        <v>9660969.4024370052</v>
      </c>
      <c r="T318" s="2">
        <f>$C318+total_production!S318</f>
        <v>9661827.6456380617</v>
      </c>
      <c r="U318" s="2">
        <f>$C318+total_production!T318</f>
        <v>9661827.6456380617</v>
      </c>
      <c r="V318" s="2">
        <f>$C318+total_production!U318</f>
        <v>9662478.6103142016</v>
      </c>
      <c r="W318" s="2">
        <f>$C318+total_production!V318</f>
        <v>9662478.6103142016</v>
      </c>
      <c r="X318" s="2">
        <f>$C318+total_production!W318</f>
        <v>9663085.3147929255</v>
      </c>
      <c r="Y318" s="2">
        <f>$C318+total_production!X318</f>
        <v>9663085.3147929255</v>
      </c>
      <c r="Z318" s="2">
        <f>$C318+total_production!Y318</f>
        <v>9663085.3147929255</v>
      </c>
      <c r="AA318" s="2">
        <f>$C318+total_production!Z318</f>
        <v>9663085.3147929255</v>
      </c>
      <c r="AB318" s="2">
        <f>$C318+total_production!AA318</f>
        <v>9663085.3147929255</v>
      </c>
    </row>
    <row r="319" spans="1:28" x14ac:dyDescent="0.2">
      <c r="A319" t="s">
        <v>627</v>
      </c>
      <c r="B319" t="s">
        <v>628</v>
      </c>
      <c r="C319" s="1">
        <v>1668499</v>
      </c>
      <c r="D319" s="2">
        <f>$C319+total_production!C319</f>
        <v>1673485.3362253162</v>
      </c>
      <c r="E319" s="2">
        <f>$C319+total_production!D319</f>
        <v>1673103.2987285538</v>
      </c>
      <c r="F319" s="2">
        <f>$C319+total_production!E319</f>
        <v>1673370.7442861677</v>
      </c>
      <c r="G319" s="2">
        <f>$C319+total_production!F319</f>
        <v>1673408.3126922622</v>
      </c>
      <c r="H319" s="2">
        <f>$C319+total_production!G319</f>
        <v>1671868.9215626579</v>
      </c>
      <c r="I319" s="2">
        <f>$C319+total_production!H319</f>
        <v>1672229.7590073785</v>
      </c>
      <c r="J319" s="2">
        <f>$C319+total_production!I319</f>
        <v>1672733.7006101978</v>
      </c>
      <c r="K319" s="2">
        <f>$C319+total_production!J319</f>
        <v>1672790.6240919835</v>
      </c>
      <c r="L319" s="2">
        <f>$C319+total_production!K319</f>
        <v>1673259.5680279827</v>
      </c>
      <c r="M319" s="2">
        <f>$C319+total_production!L319</f>
        <v>1673501.4313446805</v>
      </c>
      <c r="N319" s="2">
        <f>$C319+total_production!M319</f>
        <v>1673312.8677402753</v>
      </c>
      <c r="O319" s="2">
        <f>$C319+total_production!N319</f>
        <v>1673166.9721817628</v>
      </c>
      <c r="P319" s="2">
        <f>$C319+total_production!O319</f>
        <v>1673166.9721817628</v>
      </c>
      <c r="Q319" s="2">
        <f>$C319+total_production!P319</f>
        <v>1673166.9721817628</v>
      </c>
      <c r="R319" s="2">
        <f>$C319+total_production!Q319</f>
        <v>1673035.643476211</v>
      </c>
      <c r="S319" s="2">
        <f>$C319+total_production!R319</f>
        <v>1673035.643476211</v>
      </c>
      <c r="T319" s="2">
        <f>$C319+total_production!S319</f>
        <v>1672900.9373632788</v>
      </c>
      <c r="U319" s="2">
        <f>$C319+total_production!T319</f>
        <v>1672900.9373632788</v>
      </c>
      <c r="V319" s="2">
        <f>$C319+total_production!U319</f>
        <v>1672741.8130656891</v>
      </c>
      <c r="W319" s="2">
        <f>$C319+total_production!V319</f>
        <v>1672741.8130656891</v>
      </c>
      <c r="X319" s="2">
        <f>$C319+total_production!W319</f>
        <v>1672616.165541996</v>
      </c>
      <c r="Y319" s="2">
        <f>$C319+total_production!X319</f>
        <v>1672616.165541996</v>
      </c>
      <c r="Z319" s="2">
        <f>$C319+total_production!Y319</f>
        <v>1672616.165541996</v>
      </c>
      <c r="AA319" s="2">
        <f>$C319+total_production!Z319</f>
        <v>1672616.165541996</v>
      </c>
      <c r="AB319" s="2">
        <f>$C319+total_production!AA319</f>
        <v>1672616.165541996</v>
      </c>
    </row>
    <row r="320" spans="1:28" x14ac:dyDescent="0.2">
      <c r="A320" t="s">
        <v>524</v>
      </c>
      <c r="B320" t="s">
        <v>183</v>
      </c>
      <c r="C320" s="1">
        <v>4643214</v>
      </c>
      <c r="D320" s="2">
        <f>$C320+total_production!C320</f>
        <v>4655615.9644726366</v>
      </c>
      <c r="E320" s="2">
        <f>$C320+total_production!D320</f>
        <v>4655475.3157646116</v>
      </c>
      <c r="F320" s="2">
        <f>$C320+total_production!E320</f>
        <v>4656092.3870282182</v>
      </c>
      <c r="G320" s="2">
        <f>$C320+total_production!F320</f>
        <v>4656475.3950252179</v>
      </c>
      <c r="H320" s="2">
        <f>$C320+total_production!G320</f>
        <v>4655435.3648123564</v>
      </c>
      <c r="I320" s="2">
        <f>$C320+total_production!H320</f>
        <v>4656267.9171267673</v>
      </c>
      <c r="J320" s="2">
        <f>$C320+total_production!I320</f>
        <v>4657430.6505234633</v>
      </c>
      <c r="K320" s="2">
        <f>$C320+total_production!J320</f>
        <v>4658963.1850895686</v>
      </c>
      <c r="L320" s="2">
        <f>$C320+total_production!K320</f>
        <v>4660045.1691379463</v>
      </c>
      <c r="M320" s="2">
        <f>$C320+total_production!L320</f>
        <v>4662376.9623336801</v>
      </c>
      <c r="N320" s="2">
        <f>$C320+total_production!M320</f>
        <v>4663106.146464115</v>
      </c>
      <c r="O320" s="2">
        <f>$C320+total_production!N320</f>
        <v>4663787.3213856248</v>
      </c>
      <c r="P320" s="2">
        <f>$C320+total_production!O320</f>
        <v>4663787.3213856248</v>
      </c>
      <c r="Q320" s="2">
        <f>$C320+total_production!P320</f>
        <v>4663787.3213856248</v>
      </c>
      <c r="R320" s="2">
        <f>$C320+total_production!Q320</f>
        <v>4664377.8401311357</v>
      </c>
      <c r="S320" s="2">
        <f>$C320+total_production!R320</f>
        <v>4664377.8401311357</v>
      </c>
      <c r="T320" s="2">
        <f>$C320+total_production!S320</f>
        <v>4665053.2726475745</v>
      </c>
      <c r="U320" s="2">
        <f>$C320+total_production!T320</f>
        <v>4665053.2726475745</v>
      </c>
      <c r="V320" s="2">
        <f>$C320+total_production!U320</f>
        <v>4665624.0401154216</v>
      </c>
      <c r="W320" s="2">
        <f>$C320+total_production!V320</f>
        <v>4665624.0401154216</v>
      </c>
      <c r="X320" s="2">
        <f>$C320+total_production!W320</f>
        <v>4666132.7416508012</v>
      </c>
      <c r="Y320" s="2">
        <f>$C320+total_production!X320</f>
        <v>4666132.7416508012</v>
      </c>
      <c r="Z320" s="2">
        <f>$C320+total_production!Y320</f>
        <v>4666132.7416508012</v>
      </c>
      <c r="AA320" s="2">
        <f>$C320+total_production!Z320</f>
        <v>4666132.7416508012</v>
      </c>
      <c r="AB320" s="2">
        <f>$C320+total_production!AA320</f>
        <v>4666132.7416508012</v>
      </c>
    </row>
    <row r="321" spans="1:28" x14ac:dyDescent="0.2">
      <c r="A321" t="s">
        <v>617</v>
      </c>
      <c r="B321" t="s">
        <v>618</v>
      </c>
      <c r="C321" s="1">
        <v>2752573</v>
      </c>
      <c r="D321" s="2">
        <f>$C321+total_production!C321</f>
        <v>2758035.2218701509</v>
      </c>
      <c r="E321" s="2">
        <f>$C321+total_production!D321</f>
        <v>2757851.6746612992</v>
      </c>
      <c r="F321" s="2">
        <f>$C321+total_production!E321</f>
        <v>2758130.6800804357</v>
      </c>
      <c r="G321" s="2">
        <f>$C321+total_production!F321</f>
        <v>2758255.8735965677</v>
      </c>
      <c r="H321" s="2">
        <f>$C321+total_production!G321</f>
        <v>2757378.9219033108</v>
      </c>
      <c r="I321" s="2">
        <f>$C321+total_production!H321</f>
        <v>2757755.3559088055</v>
      </c>
      <c r="J321" s="2">
        <f>$C321+total_production!I321</f>
        <v>2758281.0794966989</v>
      </c>
      <c r="K321" s="2">
        <f>$C321+total_production!J321</f>
        <v>2758747.1242072755</v>
      </c>
      <c r="L321" s="2">
        <f>$C321+total_production!K321</f>
        <v>2759236.3374160579</v>
      </c>
      <c r="M321" s="2">
        <f>$C321+total_production!L321</f>
        <v>2760003.4389100824</v>
      </c>
      <c r="N321" s="2">
        <f>$C321+total_production!M321</f>
        <v>2760144.6191025861</v>
      </c>
      <c r="O321" s="2">
        <f>$C321+total_production!N321</f>
        <v>2760287.8064690572</v>
      </c>
      <c r="P321" s="2">
        <f>$C321+total_production!O321</f>
        <v>2760287.8064690572</v>
      </c>
      <c r="Q321" s="2">
        <f>$C321+total_production!P321</f>
        <v>2760287.8064690572</v>
      </c>
      <c r="R321" s="2">
        <f>$C321+total_production!Q321</f>
        <v>2760410.125349767</v>
      </c>
      <c r="S321" s="2">
        <f>$C321+total_production!R321</f>
        <v>2760410.125349767</v>
      </c>
      <c r="T321" s="2">
        <f>$C321+total_production!S321</f>
        <v>2760555.8264613915</v>
      </c>
      <c r="U321" s="2">
        <f>$C321+total_production!T321</f>
        <v>2760555.8264613915</v>
      </c>
      <c r="V321" s="2">
        <f>$C321+total_production!U321</f>
        <v>2760662.028732561</v>
      </c>
      <c r="W321" s="2">
        <f>$C321+total_production!V321</f>
        <v>2760662.028732561</v>
      </c>
      <c r="X321" s="2">
        <f>$C321+total_production!W321</f>
        <v>2760762.7247589729</v>
      </c>
      <c r="Y321" s="2">
        <f>$C321+total_production!X321</f>
        <v>2760762.7247589729</v>
      </c>
      <c r="Z321" s="2">
        <f>$C321+total_production!Y321</f>
        <v>2760762.7247589729</v>
      </c>
      <c r="AA321" s="2">
        <f>$C321+total_production!Z321</f>
        <v>2760762.7247589729</v>
      </c>
      <c r="AB321" s="2">
        <f>$C321+total_production!AA321</f>
        <v>2760762.7247589729</v>
      </c>
    </row>
    <row r="322" spans="1:28" x14ac:dyDescent="0.2">
      <c r="A322" t="s">
        <v>540</v>
      </c>
      <c r="B322" t="s">
        <v>541</v>
      </c>
      <c r="C322" s="1">
        <v>5289080</v>
      </c>
      <c r="D322" s="2">
        <f>$C322+total_production!C322</f>
        <v>5300400.7283514105</v>
      </c>
      <c r="E322" s="2">
        <f>$C322+total_production!D322</f>
        <v>5300562.9043752495</v>
      </c>
      <c r="F322" s="2">
        <f>$C322+total_production!E322</f>
        <v>5301108.9078103891</v>
      </c>
      <c r="G322" s="2">
        <f>$C322+total_production!F322</f>
        <v>5301562.4554675007</v>
      </c>
      <c r="H322" s="2">
        <f>$C322+total_production!G322</f>
        <v>5301614.0229578512</v>
      </c>
      <c r="I322" s="2">
        <f>$C322+total_production!H322</f>
        <v>5302350.6905850945</v>
      </c>
      <c r="J322" s="2">
        <f>$C322+total_production!I322</f>
        <v>5303379.5124832923</v>
      </c>
      <c r="K322" s="2">
        <f>$C322+total_production!J322</f>
        <v>5305277.6757136453</v>
      </c>
      <c r="L322" s="2">
        <f>$C322+total_production!K322</f>
        <v>5306235.0481307749</v>
      </c>
      <c r="M322" s="2">
        <f>$C322+total_production!L322</f>
        <v>5308984.5616135346</v>
      </c>
      <c r="N322" s="2">
        <f>$C322+total_production!M322</f>
        <v>5310080.2212868528</v>
      </c>
      <c r="O322" s="2">
        <f>$C322+total_production!N322</f>
        <v>5311076.7362769591</v>
      </c>
      <c r="P322" s="2">
        <f>$C322+total_production!O322</f>
        <v>5311076.7362769591</v>
      </c>
      <c r="Q322" s="2">
        <f>$C322+total_production!P322</f>
        <v>5311076.7362769591</v>
      </c>
      <c r="R322" s="2">
        <f>$C322+total_production!Q322</f>
        <v>5311944.9567893576</v>
      </c>
      <c r="S322" s="2">
        <f>$C322+total_production!R322</f>
        <v>5311944.9567893576</v>
      </c>
      <c r="T322" s="2">
        <f>$C322+total_production!S322</f>
        <v>5312924.1801667092</v>
      </c>
      <c r="U322" s="2">
        <f>$C322+total_production!T322</f>
        <v>5312924.1801667092</v>
      </c>
      <c r="V322" s="2">
        <f>$C322+total_production!U322</f>
        <v>5313792.0953375837</v>
      </c>
      <c r="W322" s="2">
        <f>$C322+total_production!V322</f>
        <v>5313792.0953375837</v>
      </c>
      <c r="X322" s="2">
        <f>$C322+total_production!W322</f>
        <v>5314551.1944173547</v>
      </c>
      <c r="Y322" s="2">
        <f>$C322+total_production!X322</f>
        <v>5314551.1944173547</v>
      </c>
      <c r="Z322" s="2">
        <f>$C322+total_production!Y322</f>
        <v>5314551.1944173547</v>
      </c>
      <c r="AA322" s="2">
        <f>$C322+total_production!Z322</f>
        <v>5314551.1944173547</v>
      </c>
      <c r="AB322" s="2">
        <f>$C322+total_production!AA322</f>
        <v>5314551.1944173547</v>
      </c>
    </row>
    <row r="323" spans="1:28" x14ac:dyDescent="0.2">
      <c r="A323" t="s">
        <v>423</v>
      </c>
      <c r="B323" t="s">
        <v>424</v>
      </c>
      <c r="C323" s="1">
        <v>9114080</v>
      </c>
      <c r="D323" s="2">
        <f>$C323+total_production!C323</f>
        <v>9142564.8108031936</v>
      </c>
      <c r="E323" s="2">
        <f>$C323+total_production!D323</f>
        <v>9136515.3237642609</v>
      </c>
      <c r="F323" s="2">
        <f>$C323+total_production!E323</f>
        <v>9138272.9698164146</v>
      </c>
      <c r="G323" s="2">
        <f>$C323+total_production!F323</f>
        <v>9137104.3702142928</v>
      </c>
      <c r="H323" s="2">
        <f>$C323+total_production!G323</f>
        <v>9114989.2692428418</v>
      </c>
      <c r="I323" s="2">
        <f>$C323+total_production!H323</f>
        <v>9117360.6846286152</v>
      </c>
      <c r="J323" s="2">
        <f>$C323+total_production!I323</f>
        <v>9120672.5772493575</v>
      </c>
      <c r="K323" s="2">
        <f>$C323+total_production!J323</f>
        <v>9114353.4316235371</v>
      </c>
      <c r="L323" s="2">
        <f>$C323+total_production!K323</f>
        <v>9117435.320383044</v>
      </c>
      <c r="M323" s="2">
        <f>$C323+total_production!L323</f>
        <v>9110551.9904845264</v>
      </c>
      <c r="N323" s="2">
        <f>$C323+total_production!M323</f>
        <v>9103751.3428277317</v>
      </c>
      <c r="O323" s="2">
        <f>$C323+total_production!N323</f>
        <v>9097930.7019850444</v>
      </c>
      <c r="P323" s="2">
        <f>$C323+total_production!O323</f>
        <v>9097930.7019850444</v>
      </c>
      <c r="Q323" s="2">
        <f>$C323+total_production!P323</f>
        <v>9097930.7019850444</v>
      </c>
      <c r="R323" s="2">
        <f>$C323+total_production!Q323</f>
        <v>9092799.3887693416</v>
      </c>
      <c r="S323" s="2">
        <f>$C323+total_production!R323</f>
        <v>9092799.3887693416</v>
      </c>
      <c r="T323" s="2">
        <f>$C323+total_production!S323</f>
        <v>9087203.0386965536</v>
      </c>
      <c r="U323" s="2">
        <f>$C323+total_production!T323</f>
        <v>9087203.0386965536</v>
      </c>
      <c r="V323" s="2">
        <f>$C323+total_production!U323</f>
        <v>9081677.0545420479</v>
      </c>
      <c r="W323" s="2">
        <f>$C323+total_production!V323</f>
        <v>9081677.0545420479</v>
      </c>
      <c r="X323" s="2">
        <f>$C323+total_production!W323</f>
        <v>9077036.5177356228</v>
      </c>
      <c r="Y323" s="2">
        <f>$C323+total_production!X323</f>
        <v>9077036.5177356228</v>
      </c>
      <c r="Z323" s="2">
        <f>$C323+total_production!Y323</f>
        <v>9077036.5177356228</v>
      </c>
      <c r="AA323" s="2">
        <f>$C323+total_production!Z323</f>
        <v>9077036.5177356228</v>
      </c>
      <c r="AB323" s="2">
        <f>$C323+total_production!AA323</f>
        <v>9077036.5177356228</v>
      </c>
    </row>
    <row r="324" spans="1:28" x14ac:dyDescent="0.2">
      <c r="A324" t="s">
        <v>826</v>
      </c>
      <c r="B324" t="s">
        <v>827</v>
      </c>
      <c r="C324" s="1">
        <v>613781</v>
      </c>
      <c r="D324" s="2">
        <f>$C324+total_production!C324</f>
        <v>614835.67848182528</v>
      </c>
      <c r="E324" s="2">
        <f>$C324+total_production!D324</f>
        <v>614861.49643942597</v>
      </c>
      <c r="F324" s="2">
        <f>$C324+total_production!E324</f>
        <v>614911.7275150154</v>
      </c>
      <c r="G324" s="2">
        <f>$C324+total_production!F324</f>
        <v>614957.81212225335</v>
      </c>
      <c r="H324" s="2">
        <f>$C324+total_production!G324</f>
        <v>614999.50676634267</v>
      </c>
      <c r="I324" s="2">
        <f>$C324+total_production!H324</f>
        <v>615067.27851444343</v>
      </c>
      <c r="J324" s="2">
        <f>$C324+total_production!I324</f>
        <v>615161.92779173842</v>
      </c>
      <c r="K324" s="2">
        <f>$C324+total_production!J324</f>
        <v>615357.16741529212</v>
      </c>
      <c r="L324" s="2">
        <f>$C324+total_production!K324</f>
        <v>615445.24350265192</v>
      </c>
      <c r="M324" s="2">
        <f>$C324+total_production!L324</f>
        <v>615724.28599201643</v>
      </c>
      <c r="N324" s="2">
        <f>$C324+total_production!M324</f>
        <v>615842.21144954744</v>
      </c>
      <c r="O324" s="2">
        <f>$C324+total_production!N324</f>
        <v>615948.86131182092</v>
      </c>
      <c r="P324" s="2">
        <f>$C324+total_production!O324</f>
        <v>615948.86131182092</v>
      </c>
      <c r="Q324" s="2">
        <f>$C324+total_production!P324</f>
        <v>615948.86131182092</v>
      </c>
      <c r="R324" s="2">
        <f>$C324+total_production!Q324</f>
        <v>616041.88030418812</v>
      </c>
      <c r="S324" s="2">
        <f>$C324+total_production!R324</f>
        <v>616041.88030418812</v>
      </c>
      <c r="T324" s="2">
        <f>$C324+total_production!S324</f>
        <v>616146.47510637075</v>
      </c>
      <c r="U324" s="2">
        <f>$C324+total_production!T324</f>
        <v>616146.47510637075</v>
      </c>
      <c r="V324" s="2">
        <f>$C324+total_production!U324</f>
        <v>616240.11889264139</v>
      </c>
      <c r="W324" s="2">
        <f>$C324+total_production!V324</f>
        <v>616240.11889264139</v>
      </c>
      <c r="X324" s="2">
        <f>$C324+total_production!W324</f>
        <v>616321.7025207649</v>
      </c>
      <c r="Y324" s="2">
        <f>$C324+total_production!X324</f>
        <v>616321.7025207649</v>
      </c>
      <c r="Z324" s="2">
        <f>$C324+total_production!Y324</f>
        <v>616321.7025207649</v>
      </c>
      <c r="AA324" s="2">
        <f>$C324+total_production!Z324</f>
        <v>616321.7025207649</v>
      </c>
      <c r="AB324" s="2">
        <f>$C324+total_production!AA324</f>
        <v>616321.7025207649</v>
      </c>
    </row>
    <row r="325" spans="1:28" x14ac:dyDescent="0.2">
      <c r="A325" t="s">
        <v>474</v>
      </c>
      <c r="B325" t="s">
        <v>91</v>
      </c>
      <c r="C325" s="1">
        <v>8293609</v>
      </c>
      <c r="D325" s="2">
        <f>$C325+total_production!C325</f>
        <v>8314142.0359452609</v>
      </c>
      <c r="E325" s="2">
        <f>$C325+total_production!D325</f>
        <v>8314400.749945987</v>
      </c>
      <c r="F325" s="2">
        <f>$C325+total_production!E325</f>
        <v>8315393.1728485525</v>
      </c>
      <c r="G325" s="2">
        <f>$C325+total_production!F325</f>
        <v>8316203.123237486</v>
      </c>
      <c r="H325" s="2">
        <f>$C325+total_production!G325</f>
        <v>8316174.5926891314</v>
      </c>
      <c r="I325" s="2">
        <f>$C325+total_production!H325</f>
        <v>8317513.5692922156</v>
      </c>
      <c r="J325" s="2">
        <f>$C325+total_production!I325</f>
        <v>8319383.5692752255</v>
      </c>
      <c r="K325" s="2">
        <f>$C325+total_production!J325</f>
        <v>8322765.4922262616</v>
      </c>
      <c r="L325" s="2">
        <f>$C325+total_production!K325</f>
        <v>8324505.6247087652</v>
      </c>
      <c r="M325" s="2">
        <f>$C325+total_production!L325</f>
        <v>8329416.8390050717</v>
      </c>
      <c r="N325" s="2">
        <f>$C325+total_production!M325</f>
        <v>8331351.6543136584</v>
      </c>
      <c r="O325" s="2">
        <f>$C325+total_production!N325</f>
        <v>8333113.3917065831</v>
      </c>
      <c r="P325" s="2">
        <f>$C325+total_production!O325</f>
        <v>8333113.3917065831</v>
      </c>
      <c r="Q325" s="2">
        <f>$C325+total_production!P325</f>
        <v>8333113.3917065831</v>
      </c>
      <c r="R325" s="2">
        <f>$C325+total_production!Q325</f>
        <v>8334647.9880301431</v>
      </c>
      <c r="S325" s="2">
        <f>$C325+total_production!R325</f>
        <v>8334647.9880301431</v>
      </c>
      <c r="T325" s="2">
        <f>$C325+total_production!S325</f>
        <v>8336379.8321226863</v>
      </c>
      <c r="U325" s="2">
        <f>$C325+total_production!T325</f>
        <v>8336379.8321226863</v>
      </c>
      <c r="V325" s="2">
        <f>$C325+total_production!U325</f>
        <v>8337911.7132189432</v>
      </c>
      <c r="W325" s="2">
        <f>$C325+total_production!V325</f>
        <v>8337911.7132189432</v>
      </c>
      <c r="X325" s="2">
        <f>$C325+total_production!W325</f>
        <v>8339252.5894933436</v>
      </c>
      <c r="Y325" s="2">
        <f>$C325+total_production!X325</f>
        <v>8339252.5894933436</v>
      </c>
      <c r="Z325" s="2">
        <f>$C325+total_production!Y325</f>
        <v>8339252.5894933436</v>
      </c>
      <c r="AA325" s="2">
        <f>$C325+total_production!Z325</f>
        <v>8339252.5894933436</v>
      </c>
      <c r="AB325" s="2">
        <f>$C325+total_production!AA325</f>
        <v>8339252.5894933436</v>
      </c>
    </row>
    <row r="326" spans="1:28" x14ac:dyDescent="0.2">
      <c r="A326" t="s">
        <v>404</v>
      </c>
      <c r="B326" t="s">
        <v>99</v>
      </c>
      <c r="C326" s="1">
        <v>20054540</v>
      </c>
      <c r="D326" s="2">
        <f>$C326+total_production!C326</f>
        <v>20112237.938087072</v>
      </c>
      <c r="E326" s="2">
        <f>$C326+total_production!D326</f>
        <v>20113466.796178423</v>
      </c>
      <c r="F326" s="2">
        <f>$C326+total_production!E326</f>
        <v>20116225.680468842</v>
      </c>
      <c r="G326" s="2">
        <f>$C326+total_production!F326</f>
        <v>20118681.15926405</v>
      </c>
      <c r="H326" s="2">
        <f>$C326+total_production!G326</f>
        <v>20120329.822883219</v>
      </c>
      <c r="I326" s="2">
        <f>$C326+total_production!H326</f>
        <v>20124052.108519651</v>
      </c>
      <c r="J326" s="2">
        <f>$C326+total_production!I326</f>
        <v>20129250.611660667</v>
      </c>
      <c r="K326" s="2">
        <f>$C326+total_production!J326</f>
        <v>20139616.13687424</v>
      </c>
      <c r="L326" s="2">
        <f>$C326+total_production!K326</f>
        <v>20144453.615087219</v>
      </c>
      <c r="M326" s="2">
        <f>$C326+total_production!L326</f>
        <v>20159326.787939291</v>
      </c>
      <c r="N326" s="2">
        <f>$C326+total_production!M326</f>
        <v>20165506.423306428</v>
      </c>
      <c r="O326" s="2">
        <f>$C326+total_production!N326</f>
        <v>20171104.156288896</v>
      </c>
      <c r="P326" s="2">
        <f>$C326+total_production!O326</f>
        <v>20171104.156288896</v>
      </c>
      <c r="Q326" s="2">
        <f>$C326+total_production!P326</f>
        <v>20171104.156288896</v>
      </c>
      <c r="R326" s="2">
        <f>$C326+total_production!Q326</f>
        <v>20175984.959958252</v>
      </c>
      <c r="S326" s="2">
        <f>$C326+total_production!R326</f>
        <v>20175984.959958252</v>
      </c>
      <c r="T326" s="2">
        <f>$C326+total_production!S326</f>
        <v>20181477.879674681</v>
      </c>
      <c r="U326" s="2">
        <f>$C326+total_production!T326</f>
        <v>20181477.879674681</v>
      </c>
      <c r="V326" s="2">
        <f>$C326+total_production!U326</f>
        <v>20186381.667028479</v>
      </c>
      <c r="W326" s="2">
        <f>$C326+total_production!V326</f>
        <v>20186381.667028479</v>
      </c>
      <c r="X326" s="2">
        <f>$C326+total_production!W326</f>
        <v>20190658.635043181</v>
      </c>
      <c r="Y326" s="2">
        <f>$C326+total_production!X326</f>
        <v>20190658.635043181</v>
      </c>
      <c r="Z326" s="2">
        <f>$C326+total_production!Y326</f>
        <v>20190658.635043181</v>
      </c>
      <c r="AA326" s="2">
        <f>$C326+total_production!Z326</f>
        <v>20190658.635043181</v>
      </c>
      <c r="AB326" s="2">
        <f>$C326+total_production!AA326</f>
        <v>20190658.635043181</v>
      </c>
    </row>
    <row r="327" spans="1:28" x14ac:dyDescent="0.2">
      <c r="A327" t="s">
        <v>458</v>
      </c>
      <c r="B327" t="s">
        <v>459</v>
      </c>
      <c r="C327" s="1">
        <v>6823681</v>
      </c>
      <c r="D327" s="2">
        <f>$C327+total_production!C327</f>
        <v>6847932.9660794828</v>
      </c>
      <c r="E327" s="2">
        <f>$C327+total_production!D327</f>
        <v>6848510.740198696</v>
      </c>
      <c r="F327" s="2">
        <f>$C327+total_production!E327</f>
        <v>6849666.7314551501</v>
      </c>
      <c r="G327" s="2">
        <f>$C327+total_production!F327</f>
        <v>6850720.743443816</v>
      </c>
      <c r="H327" s="2">
        <f>$C327+total_production!G327</f>
        <v>6851624.72229895</v>
      </c>
      <c r="I327" s="2">
        <f>$C327+total_production!H327</f>
        <v>6853184.385262955</v>
      </c>
      <c r="J327" s="2">
        <f>$C327+total_production!I327</f>
        <v>6855362.5933880797</v>
      </c>
      <c r="K327" s="2">
        <f>$C327+total_production!J327</f>
        <v>6859824.7402883992</v>
      </c>
      <c r="L327" s="2">
        <f>$C327+total_production!K327</f>
        <v>6861851.6765165376</v>
      </c>
      <c r="M327" s="2">
        <f>$C327+total_production!L327</f>
        <v>6868234.177304497</v>
      </c>
      <c r="N327" s="2">
        <f>$C327+total_production!M327</f>
        <v>6870922.2982135098</v>
      </c>
      <c r="O327" s="2">
        <f>$C327+total_production!N327</f>
        <v>6873354.1681295969</v>
      </c>
      <c r="P327" s="2">
        <f>$C327+total_production!O327</f>
        <v>6873354.1681295969</v>
      </c>
      <c r="Q327" s="2">
        <f>$C327+total_production!P327</f>
        <v>6873354.1681295969</v>
      </c>
      <c r="R327" s="2">
        <f>$C327+total_production!Q327</f>
        <v>6875475.0931734089</v>
      </c>
      <c r="S327" s="2">
        <f>$C327+total_production!R327</f>
        <v>6875475.0931734089</v>
      </c>
      <c r="T327" s="2">
        <f>$C327+total_production!S327</f>
        <v>6877860.3671157565</v>
      </c>
      <c r="U327" s="2">
        <f>$C327+total_production!T327</f>
        <v>6877860.3671157565</v>
      </c>
      <c r="V327" s="2">
        <f>$C327+total_production!U327</f>
        <v>6879994.6891452037</v>
      </c>
      <c r="W327" s="2">
        <f>$C327+total_production!V327</f>
        <v>6879994.6891452037</v>
      </c>
      <c r="X327" s="2">
        <f>$C327+total_production!W327</f>
        <v>6881854.54651115</v>
      </c>
      <c r="Y327" s="2">
        <f>$C327+total_production!X327</f>
        <v>6881854.54651115</v>
      </c>
      <c r="Z327" s="2">
        <f>$C327+total_production!Y327</f>
        <v>6881854.54651115</v>
      </c>
      <c r="AA327" s="2">
        <f>$C327+total_production!Z327</f>
        <v>6881854.54651115</v>
      </c>
      <c r="AB327" s="2">
        <f>$C327+total_production!AA327</f>
        <v>6881854.54651115</v>
      </c>
    </row>
    <row r="328" spans="1:28" x14ac:dyDescent="0.2">
      <c r="A328" t="s">
        <v>588</v>
      </c>
      <c r="B328" t="s">
        <v>589</v>
      </c>
      <c r="C328" s="1">
        <v>6447795</v>
      </c>
      <c r="D328" s="2">
        <f>$C328+total_production!C328</f>
        <v>6454362.5576723292</v>
      </c>
      <c r="E328" s="2">
        <f>$C328+total_production!D328</f>
        <v>6454122.4451713078</v>
      </c>
      <c r="F328" s="2">
        <f>$C328+total_production!E328</f>
        <v>6454459.064564894</v>
      </c>
      <c r="G328" s="2">
        <f>$C328+total_production!F328</f>
        <v>6454602.6449650703</v>
      </c>
      <c r="H328" s="2">
        <f>$C328+total_production!G328</f>
        <v>6453481.3263871223</v>
      </c>
      <c r="I328" s="2">
        <f>$C328+total_production!H328</f>
        <v>6453935.4931450561</v>
      </c>
      <c r="J328" s="2">
        <f>$C328+total_production!I328</f>
        <v>6454569.7774392413</v>
      </c>
      <c r="K328" s="2">
        <f>$C328+total_production!J328</f>
        <v>6455096.7593670022</v>
      </c>
      <c r="L328" s="2">
        <f>$C328+total_production!K328</f>
        <v>6455686.9939731425</v>
      </c>
      <c r="M328" s="2">
        <f>$C328+total_production!L328</f>
        <v>6456567.8146430338</v>
      </c>
      <c r="N328" s="2">
        <f>$C328+total_production!M328</f>
        <v>6456708.817529737</v>
      </c>
      <c r="O328" s="2">
        <f>$C328+total_production!N328</f>
        <v>6456855.9316979395</v>
      </c>
      <c r="P328" s="2">
        <f>$C328+total_production!O328</f>
        <v>6456855.9316979395</v>
      </c>
      <c r="Q328" s="2">
        <f>$C328+total_production!P328</f>
        <v>6456855.9316979395</v>
      </c>
      <c r="R328" s="2">
        <f>$C328+total_production!Q328</f>
        <v>6456980.9986831546</v>
      </c>
      <c r="S328" s="2">
        <f>$C328+total_production!R328</f>
        <v>6456980.9986831546</v>
      </c>
      <c r="T328" s="2">
        <f>$C328+total_production!S328</f>
        <v>6457131.9407502729</v>
      </c>
      <c r="U328" s="2">
        <f>$C328+total_production!T328</f>
        <v>6457131.9407502729</v>
      </c>
      <c r="V328" s="2">
        <f>$C328+total_production!U328</f>
        <v>6457236.4450083897</v>
      </c>
      <c r="W328" s="2">
        <f>$C328+total_production!V328</f>
        <v>6457236.4450083897</v>
      </c>
      <c r="X328" s="2">
        <f>$C328+total_production!W328</f>
        <v>6457337.8154953253</v>
      </c>
      <c r="Y328" s="2">
        <f>$C328+total_production!X328</f>
        <v>6457337.8154953253</v>
      </c>
      <c r="Z328" s="2">
        <f>$C328+total_production!Y328</f>
        <v>6457337.8154953253</v>
      </c>
      <c r="AA328" s="2">
        <f>$C328+total_production!Z328</f>
        <v>6457337.8154953253</v>
      </c>
      <c r="AB328" s="2">
        <f>$C328+total_production!AA328</f>
        <v>6457337.8154953253</v>
      </c>
    </row>
    <row r="329" spans="1:28" x14ac:dyDescent="0.2">
      <c r="A329" t="s">
        <v>888</v>
      </c>
      <c r="B329" t="s">
        <v>889</v>
      </c>
      <c r="C329" s="1">
        <v>98298</v>
      </c>
      <c r="D329" s="2">
        <f>$C329+total_production!C329</f>
        <v>98594.523974503609</v>
      </c>
      <c r="E329" s="2">
        <f>$C329+total_production!D329</f>
        <v>98566.241669547293</v>
      </c>
      <c r="F329" s="2">
        <f>$C329+total_production!E329</f>
        <v>98582.476612790429</v>
      </c>
      <c r="G329" s="2">
        <f>$C329+total_production!F329</f>
        <v>98582.720673633987</v>
      </c>
      <c r="H329" s="2">
        <f>$C329+total_production!G329</f>
        <v>98472.011959280266</v>
      </c>
      <c r="I329" s="2">
        <f>$C329+total_production!H329</f>
        <v>98493.916138535657</v>
      </c>
      <c r="J329" s="2">
        <f>$C329+total_production!I329</f>
        <v>98524.507274139556</v>
      </c>
      <c r="K329" s="2">
        <f>$C329+total_production!J329</f>
        <v>98518.333149928425</v>
      </c>
      <c r="L329" s="2">
        <f>$C329+total_production!K329</f>
        <v>98546.799796572624</v>
      </c>
      <c r="M329" s="2">
        <f>$C329+total_production!L329</f>
        <v>98549.29188798563</v>
      </c>
      <c r="N329" s="2">
        <f>$C329+total_production!M329</f>
        <v>98529.844153803497</v>
      </c>
      <c r="O329" s="2">
        <f>$C329+total_production!N329</f>
        <v>98513.993036295273</v>
      </c>
      <c r="P329" s="2">
        <f>$C329+total_production!O329</f>
        <v>98513.993036295273</v>
      </c>
      <c r="Q329" s="2">
        <f>$C329+total_production!P329</f>
        <v>98513.993036295273</v>
      </c>
      <c r="R329" s="2">
        <f>$C329+total_production!Q329</f>
        <v>98499.880187421499</v>
      </c>
      <c r="S329" s="2">
        <f>$C329+total_production!R329</f>
        <v>98499.880187421499</v>
      </c>
      <c r="T329" s="2">
        <f>$C329+total_production!S329</f>
        <v>98484.925201221486</v>
      </c>
      <c r="U329" s="2">
        <f>$C329+total_production!T329</f>
        <v>98484.925201221486</v>
      </c>
      <c r="V329" s="2">
        <f>$C329+total_production!U329</f>
        <v>98468.820052689101</v>
      </c>
      <c r="W329" s="2">
        <f>$C329+total_production!V329</f>
        <v>98468.820052689101</v>
      </c>
      <c r="X329" s="2">
        <f>$C329+total_production!W329</f>
        <v>98455.704437947599</v>
      </c>
      <c r="Y329" s="2">
        <f>$C329+total_production!X329</f>
        <v>98455.704437947599</v>
      </c>
      <c r="Z329" s="2">
        <f>$C329+total_production!Y329</f>
        <v>98455.704437947599</v>
      </c>
      <c r="AA329" s="2">
        <f>$C329+total_production!Z329</f>
        <v>98455.704437947599</v>
      </c>
      <c r="AB329" s="2">
        <f>$C329+total_production!AA329</f>
        <v>98455.704437947599</v>
      </c>
    </row>
    <row r="330" spans="1:28" x14ac:dyDescent="0.2">
      <c r="A330" t="s">
        <v>354</v>
      </c>
      <c r="B330" t="s">
        <v>29</v>
      </c>
      <c r="C330" s="1">
        <v>52208672</v>
      </c>
      <c r="D330" s="2">
        <f>$C330+total_production!C330</f>
        <v>52367362.69563774</v>
      </c>
      <c r="E330" s="2">
        <f>$C330+total_production!D330</f>
        <v>52373324.556895941</v>
      </c>
      <c r="F330" s="2">
        <f>$C330+total_production!E330</f>
        <v>52380759.043441646</v>
      </c>
      <c r="G330" s="2">
        <f>$C330+total_production!F330</f>
        <v>52388436.09137141</v>
      </c>
      <c r="H330" s="2">
        <f>$C330+total_production!G330</f>
        <v>52401865.116491742</v>
      </c>
      <c r="I330" s="2">
        <f>$C330+total_production!H330</f>
        <v>52411895.722914577</v>
      </c>
      <c r="J330" s="2">
        <f>$C330+total_production!I330</f>
        <v>52425904.357417285</v>
      </c>
      <c r="K330" s="2">
        <f>$C330+total_production!J330</f>
        <v>52458849.812805951</v>
      </c>
      <c r="L330" s="2">
        <f>$C330+total_production!K330</f>
        <v>52471885.577594802</v>
      </c>
      <c r="M330" s="2">
        <f>$C330+total_production!L330</f>
        <v>52518310.853938416</v>
      </c>
      <c r="N330" s="2">
        <f>$C330+total_production!M330</f>
        <v>52539128.702419885</v>
      </c>
      <c r="O330" s="2">
        <f>$C330+total_production!N330</f>
        <v>52557854.500661753</v>
      </c>
      <c r="P330" s="2">
        <f>$C330+total_production!O330</f>
        <v>52557854.500661753</v>
      </c>
      <c r="Q330" s="2">
        <f>$C330+total_production!P330</f>
        <v>52557854.500661753</v>
      </c>
      <c r="R330" s="2">
        <f>$C330+total_production!Q330</f>
        <v>52574203.77527152</v>
      </c>
      <c r="S330" s="2">
        <f>$C330+total_production!R330</f>
        <v>52574203.77527152</v>
      </c>
      <c r="T330" s="2">
        <f>$C330+total_production!S330</f>
        <v>52592534.218845822</v>
      </c>
      <c r="U330" s="2">
        <f>$C330+total_production!T330</f>
        <v>52592534.218845822</v>
      </c>
      <c r="V330" s="2">
        <f>$C330+total_production!U330</f>
        <v>52609104.208809122</v>
      </c>
      <c r="W330" s="2">
        <f>$C330+total_production!V330</f>
        <v>52609104.208809122</v>
      </c>
      <c r="X330" s="2">
        <f>$C330+total_production!W330</f>
        <v>52623486.689540856</v>
      </c>
      <c r="Y330" s="2">
        <f>$C330+total_production!X330</f>
        <v>52623486.689540856</v>
      </c>
      <c r="Z330" s="2">
        <f>$C330+total_production!Y330</f>
        <v>52623486.689540856</v>
      </c>
      <c r="AA330" s="2">
        <f>$C330+total_production!Z330</f>
        <v>52623486.689540856</v>
      </c>
      <c r="AB330" s="2">
        <f>$C330+total_production!AA330</f>
        <v>52623486.689540856</v>
      </c>
    </row>
    <row r="331" spans="1:28" x14ac:dyDescent="0.2">
      <c r="A331" t="s">
        <v>531</v>
      </c>
      <c r="B331" t="s">
        <v>532</v>
      </c>
      <c r="C331" s="1">
        <v>5860697</v>
      </c>
      <c r="D331" s="2">
        <f>$C331+total_production!C331</f>
        <v>5872976.5735442434</v>
      </c>
      <c r="E331" s="2">
        <f>$C331+total_production!D331</f>
        <v>5873434.7101492109</v>
      </c>
      <c r="F331" s="2">
        <f>$C331+total_production!E331</f>
        <v>5874010.1847467571</v>
      </c>
      <c r="G331" s="2">
        <f>$C331+total_production!F331</f>
        <v>5874603.0959487101</v>
      </c>
      <c r="H331" s="2">
        <f>$C331+total_production!G331</f>
        <v>5875631.233490075</v>
      </c>
      <c r="I331" s="2">
        <f>$C331+total_production!H331</f>
        <v>5876407.6635984397</v>
      </c>
      <c r="J331" s="2">
        <f>$C331+total_production!I331</f>
        <v>5877492.0173400249</v>
      </c>
      <c r="K331" s="2">
        <f>$C331+total_production!J331</f>
        <v>5880035.8643880775</v>
      </c>
      <c r="L331" s="2">
        <f>$C331+total_production!K331</f>
        <v>5881044.9120808048</v>
      </c>
      <c r="M331" s="2">
        <f>$C331+total_production!L331</f>
        <v>5884630.4958897503</v>
      </c>
      <c r="N331" s="2">
        <f>$C331+total_production!M331</f>
        <v>5886236.6629695566</v>
      </c>
      <c r="O331" s="2">
        <f>$C331+total_production!N331</f>
        <v>5887681.5544498051</v>
      </c>
      <c r="P331" s="2">
        <f>$C331+total_production!O331</f>
        <v>5887681.5544498051</v>
      </c>
      <c r="Q331" s="2">
        <f>$C331+total_production!P331</f>
        <v>5887681.5544498051</v>
      </c>
      <c r="R331" s="2">
        <f>$C331+total_production!Q331</f>
        <v>5888943.0500753736</v>
      </c>
      <c r="S331" s="2">
        <f>$C331+total_production!R331</f>
        <v>5888943.0500753736</v>
      </c>
      <c r="T331" s="2">
        <f>$C331+total_production!S331</f>
        <v>5890357.4813134512</v>
      </c>
      <c r="U331" s="2">
        <f>$C331+total_production!T331</f>
        <v>5890357.4813134512</v>
      </c>
      <c r="V331" s="2">
        <f>$C331+total_production!U331</f>
        <v>5891635.8610927314</v>
      </c>
      <c r="W331" s="2">
        <f>$C331+total_production!V331</f>
        <v>5891635.8610927314</v>
      </c>
      <c r="X331" s="2">
        <f>$C331+total_production!W331</f>
        <v>5892745.5438524773</v>
      </c>
      <c r="Y331" s="2">
        <f>$C331+total_production!X331</f>
        <v>5892745.5438524773</v>
      </c>
      <c r="Z331" s="2">
        <f>$C331+total_production!Y331</f>
        <v>5892745.5438524773</v>
      </c>
      <c r="AA331" s="2">
        <f>$C331+total_production!Z331</f>
        <v>5892745.5438524773</v>
      </c>
      <c r="AB331" s="2">
        <f>$C331+total_production!AA331</f>
        <v>5892745.5438524773</v>
      </c>
    </row>
    <row r="332" spans="1:28" x14ac:dyDescent="0.2">
      <c r="A332" t="s">
        <v>401</v>
      </c>
      <c r="B332" t="s">
        <v>57</v>
      </c>
      <c r="C332" s="1">
        <v>17476480</v>
      </c>
      <c r="D332" s="2">
        <f>$C332+total_production!C332</f>
        <v>17537658.712933503</v>
      </c>
      <c r="E332" s="2">
        <f>$C332+total_production!D332</f>
        <v>17540294.34952198</v>
      </c>
      <c r="F332" s="2">
        <f>$C332+total_production!E332</f>
        <v>17543140.463272568</v>
      </c>
      <c r="G332" s="2">
        <f>$C332+total_production!F332</f>
        <v>17546220.748564959</v>
      </c>
      <c r="H332" s="2">
        <f>$C332+total_production!G332</f>
        <v>17552559.543118436</v>
      </c>
      <c r="I332" s="2">
        <f>$C332+total_production!H332</f>
        <v>17556399.518709384</v>
      </c>
      <c r="J332" s="2">
        <f>$C332+total_production!I332</f>
        <v>17561762.386345226</v>
      </c>
      <c r="K332" s="2">
        <f>$C332+total_production!J332</f>
        <v>17575042.962430663</v>
      </c>
      <c r="L332" s="2">
        <f>$C332+total_production!K332</f>
        <v>17580033.390375733</v>
      </c>
      <c r="M332" s="2">
        <f>$C332+total_production!L332</f>
        <v>17598652.053014882</v>
      </c>
      <c r="N332" s="2">
        <f>$C332+total_production!M332</f>
        <v>17607176.873691253</v>
      </c>
      <c r="O332" s="2">
        <f>$C332+total_production!N332</f>
        <v>17614830.96124731</v>
      </c>
      <c r="P332" s="2">
        <f>$C332+total_production!O332</f>
        <v>17614830.96124731</v>
      </c>
      <c r="Q332" s="2">
        <f>$C332+total_production!P332</f>
        <v>17614830.96124731</v>
      </c>
      <c r="R332" s="2">
        <f>$C332+total_production!Q332</f>
        <v>17621515.994037423</v>
      </c>
      <c r="S332" s="2">
        <f>$C332+total_production!R332</f>
        <v>17621515.994037423</v>
      </c>
      <c r="T332" s="2">
        <f>$C332+total_production!S332</f>
        <v>17629003.67944888</v>
      </c>
      <c r="U332" s="2">
        <f>$C332+total_production!T332</f>
        <v>17629003.67944888</v>
      </c>
      <c r="V332" s="2">
        <f>$C332+total_production!U332</f>
        <v>17635794.372175604</v>
      </c>
      <c r="W332" s="2">
        <f>$C332+total_production!V332</f>
        <v>17635794.372175604</v>
      </c>
      <c r="X332" s="2">
        <f>$C332+total_production!W332</f>
        <v>17641681.197354492</v>
      </c>
      <c r="Y332" s="2">
        <f>$C332+total_production!X332</f>
        <v>17641681.197354492</v>
      </c>
      <c r="Z332" s="2">
        <f>$C332+total_production!Y332</f>
        <v>17641681.197354492</v>
      </c>
      <c r="AA332" s="2">
        <f>$C332+total_production!Z332</f>
        <v>17641681.197354492</v>
      </c>
      <c r="AB332" s="2">
        <f>$C332+total_production!AA332</f>
        <v>17641681.197354492</v>
      </c>
    </row>
    <row r="333" spans="1:28" x14ac:dyDescent="0.2">
      <c r="A333" t="s">
        <v>963</v>
      </c>
      <c r="B333" t="s">
        <v>964</v>
      </c>
      <c r="C333" s="1">
        <v>0</v>
      </c>
      <c r="D333" s="2">
        <f>$C333+total_production!C333</f>
        <v>0</v>
      </c>
      <c r="E333" s="2">
        <f>$C333+total_production!D333</f>
        <v>0</v>
      </c>
      <c r="F333" s="2">
        <f>$C333+total_production!E333</f>
        <v>0</v>
      </c>
      <c r="G333" s="2">
        <f>$C333+total_production!F333</f>
        <v>0</v>
      </c>
      <c r="H333" s="2">
        <f>$C333+total_production!G333</f>
        <v>0</v>
      </c>
      <c r="I333" s="2">
        <f>$C333+total_production!H333</f>
        <v>0</v>
      </c>
      <c r="J333" s="2">
        <f>$C333+total_production!I333</f>
        <v>0</v>
      </c>
      <c r="K333" s="2">
        <f>$C333+total_production!J333</f>
        <v>0</v>
      </c>
      <c r="L333" s="2">
        <f>$C333+total_production!K333</f>
        <v>0</v>
      </c>
      <c r="M333" s="2">
        <f>$C333+total_production!L333</f>
        <v>0</v>
      </c>
      <c r="N333" s="2">
        <f>$C333+total_production!M333</f>
        <v>0</v>
      </c>
      <c r="O333" s="2">
        <f>$C333+total_production!N333</f>
        <v>0</v>
      </c>
      <c r="P333" s="2">
        <f>$C333+total_production!O333</f>
        <v>0</v>
      </c>
      <c r="Q333" s="2">
        <f>$C333+total_production!P333</f>
        <v>0</v>
      </c>
      <c r="R333" s="2">
        <f>$C333+total_production!Q333</f>
        <v>0</v>
      </c>
      <c r="S333" s="2">
        <f>$C333+total_production!R333</f>
        <v>0</v>
      </c>
      <c r="T333" s="2">
        <f>$C333+total_production!S333</f>
        <v>0</v>
      </c>
      <c r="U333" s="2">
        <f>$C333+total_production!T333</f>
        <v>0</v>
      </c>
      <c r="V333" s="2">
        <f>$C333+total_production!U333</f>
        <v>0</v>
      </c>
      <c r="W333" s="2">
        <f>$C333+total_production!V333</f>
        <v>0</v>
      </c>
      <c r="X333" s="2">
        <f>$C333+total_production!W333</f>
        <v>0</v>
      </c>
      <c r="Y333" s="2">
        <f>$C333+total_production!X333</f>
        <v>0</v>
      </c>
      <c r="Z333" s="2">
        <f>$C333+total_production!Y333</f>
        <v>0</v>
      </c>
      <c r="AA333" s="2">
        <f>$C333+total_production!Z333</f>
        <v>0</v>
      </c>
      <c r="AB333" s="2">
        <f>$C333+total_production!AA333</f>
        <v>0</v>
      </c>
    </row>
    <row r="334" spans="1:28" x14ac:dyDescent="0.2">
      <c r="A334" t="s">
        <v>965</v>
      </c>
      <c r="B334" t="s">
        <v>966</v>
      </c>
      <c r="C334" s="1">
        <v>0</v>
      </c>
      <c r="D334" s="2">
        <f>$C334+total_production!C334</f>
        <v>0</v>
      </c>
      <c r="E334" s="2">
        <f>$C334+total_production!D334</f>
        <v>0</v>
      </c>
      <c r="F334" s="2">
        <f>$C334+total_production!E334</f>
        <v>0</v>
      </c>
      <c r="G334" s="2">
        <f>$C334+total_production!F334</f>
        <v>0</v>
      </c>
      <c r="H334" s="2">
        <f>$C334+total_production!G334</f>
        <v>0</v>
      </c>
      <c r="I334" s="2">
        <f>$C334+total_production!H334</f>
        <v>0</v>
      </c>
      <c r="J334" s="2">
        <f>$C334+total_production!I334</f>
        <v>0</v>
      </c>
      <c r="K334" s="2">
        <f>$C334+total_production!J334</f>
        <v>0</v>
      </c>
      <c r="L334" s="2">
        <f>$C334+total_production!K334</f>
        <v>0</v>
      </c>
      <c r="M334" s="2">
        <f>$C334+total_production!L334</f>
        <v>0</v>
      </c>
      <c r="N334" s="2">
        <f>$C334+total_production!M334</f>
        <v>0</v>
      </c>
      <c r="O334" s="2">
        <f>$C334+total_production!N334</f>
        <v>0</v>
      </c>
      <c r="P334" s="2">
        <f>$C334+total_production!O334</f>
        <v>0</v>
      </c>
      <c r="Q334" s="2">
        <f>$C334+total_production!P334</f>
        <v>0</v>
      </c>
      <c r="R334" s="2">
        <f>$C334+total_production!Q334</f>
        <v>0</v>
      </c>
      <c r="S334" s="2">
        <f>$C334+total_production!R334</f>
        <v>0</v>
      </c>
      <c r="T334" s="2">
        <f>$C334+total_production!S334</f>
        <v>0</v>
      </c>
      <c r="U334" s="2">
        <f>$C334+total_production!T334</f>
        <v>0</v>
      </c>
      <c r="V334" s="2">
        <f>$C334+total_production!U334</f>
        <v>0</v>
      </c>
      <c r="W334" s="2">
        <f>$C334+total_production!V334</f>
        <v>0</v>
      </c>
      <c r="X334" s="2">
        <f>$C334+total_production!W334</f>
        <v>0</v>
      </c>
      <c r="Y334" s="2">
        <f>$C334+total_production!X334</f>
        <v>0</v>
      </c>
      <c r="Z334" s="2">
        <f>$C334+total_production!Y334</f>
        <v>0</v>
      </c>
      <c r="AA334" s="2">
        <f>$C334+total_production!Z334</f>
        <v>0</v>
      </c>
      <c r="AB334" s="2">
        <f>$C334+total_production!AA334</f>
        <v>0</v>
      </c>
    </row>
    <row r="335" spans="1:28" x14ac:dyDescent="0.2">
      <c r="A335" t="s">
        <v>392</v>
      </c>
      <c r="B335" t="s">
        <v>393</v>
      </c>
      <c r="C335" s="1">
        <v>12064254</v>
      </c>
      <c r="D335" s="2">
        <f>$C335+total_production!C335</f>
        <v>12129971.355404323</v>
      </c>
      <c r="E335" s="2">
        <f>$C335+total_production!D335</f>
        <v>12133393.651292127</v>
      </c>
      <c r="F335" s="2">
        <f>$C335+total_production!E335</f>
        <v>12136415.774121296</v>
      </c>
      <c r="G335" s="2">
        <f>$C335+total_production!F335</f>
        <v>12139936.01674154</v>
      </c>
      <c r="H335" s="2">
        <f>$C335+total_production!G335</f>
        <v>12148781.38070653</v>
      </c>
      <c r="I335" s="2">
        <f>$C335+total_production!H335</f>
        <v>12152858.827679431</v>
      </c>
      <c r="J335" s="2">
        <f>$C335+total_production!I335</f>
        <v>12158553.345232971</v>
      </c>
      <c r="K335" s="2">
        <f>$C335+total_production!J335</f>
        <v>12173834.831227958</v>
      </c>
      <c r="L335" s="2">
        <f>$C335+total_production!K335</f>
        <v>12179133.876713056</v>
      </c>
      <c r="M335" s="2">
        <f>$C335+total_production!L335</f>
        <v>12200397.203201162</v>
      </c>
      <c r="N335" s="2">
        <f>$C335+total_production!M335</f>
        <v>12210429.355141886</v>
      </c>
      <c r="O335" s="2">
        <f>$C335+total_production!N335</f>
        <v>12219413.630219974</v>
      </c>
      <c r="P335" s="2">
        <f>$C335+total_production!O335</f>
        <v>12219413.630219974</v>
      </c>
      <c r="Q335" s="2">
        <f>$C335+total_production!P335</f>
        <v>12219413.630219974</v>
      </c>
      <c r="R335" s="2">
        <f>$C335+total_production!Q335</f>
        <v>12227264.307561193</v>
      </c>
      <c r="S335" s="2">
        <f>$C335+total_production!R335</f>
        <v>12227264.307561193</v>
      </c>
      <c r="T335" s="2">
        <f>$C335+total_production!S335</f>
        <v>12236045.321070261</v>
      </c>
      <c r="U335" s="2">
        <f>$C335+total_production!T335</f>
        <v>12236045.321070261</v>
      </c>
      <c r="V335" s="2">
        <f>$C335+total_production!U335</f>
        <v>12244045.555136204</v>
      </c>
      <c r="W335" s="2">
        <f>$C335+total_production!V335</f>
        <v>12244045.555136204</v>
      </c>
      <c r="X335" s="2">
        <f>$C335+total_production!W335</f>
        <v>12250968.748210529</v>
      </c>
      <c r="Y335" s="2">
        <f>$C335+total_production!X335</f>
        <v>12250968.748210529</v>
      </c>
      <c r="Z335" s="2">
        <f>$C335+total_production!Y335</f>
        <v>12250968.748210529</v>
      </c>
      <c r="AA335" s="2">
        <f>$C335+total_production!Z335</f>
        <v>12250968.748210529</v>
      </c>
      <c r="AB335" s="2">
        <f>$C335+total_production!AA335</f>
        <v>12250968.748210529</v>
      </c>
    </row>
    <row r="336" spans="1:28" x14ac:dyDescent="0.2">
      <c r="A336" t="s">
        <v>381</v>
      </c>
      <c r="B336" t="s">
        <v>47</v>
      </c>
      <c r="C336" s="1">
        <v>31233214</v>
      </c>
      <c r="D336" s="2">
        <f>$C336+total_production!C336</f>
        <v>31312415.666786164</v>
      </c>
      <c r="E336" s="2">
        <f>$C336+total_production!D336</f>
        <v>31316045.000246245</v>
      </c>
      <c r="F336" s="2">
        <f>$C336+total_production!E336</f>
        <v>31319716.6528209</v>
      </c>
      <c r="G336" s="2">
        <f>$C336+total_production!F336</f>
        <v>31323782.083813809</v>
      </c>
      <c r="H336" s="2">
        <f>$C336+total_production!G336</f>
        <v>31332736.639365103</v>
      </c>
      <c r="I336" s="2">
        <f>$C336+total_production!H336</f>
        <v>31337690.431623831</v>
      </c>
      <c r="J336" s="2">
        <f>$C336+total_production!I336</f>
        <v>31344608.843355834</v>
      </c>
      <c r="K336" s="2">
        <f>$C336+total_production!J336</f>
        <v>31362175.089688882</v>
      </c>
      <c r="L336" s="2">
        <f>$C336+total_production!K336</f>
        <v>31368613.032518599</v>
      </c>
      <c r="M336" s="2">
        <f>$C336+total_production!L336</f>
        <v>31393180.988621101</v>
      </c>
      <c r="N336" s="2">
        <f>$C336+total_production!M336</f>
        <v>31404538.723189965</v>
      </c>
      <c r="O336" s="2">
        <f>$C336+total_production!N336</f>
        <v>31414727.847813394</v>
      </c>
      <c r="P336" s="2">
        <f>$C336+total_production!O336</f>
        <v>31414727.847813394</v>
      </c>
      <c r="Q336" s="2">
        <f>$C336+total_production!P336</f>
        <v>31414727.847813394</v>
      </c>
      <c r="R336" s="2">
        <f>$C336+total_production!Q336</f>
        <v>31423628.387505695</v>
      </c>
      <c r="S336" s="2">
        <f>$C336+total_production!R336</f>
        <v>31423628.387505695</v>
      </c>
      <c r="T336" s="2">
        <f>$C336+total_production!S336</f>
        <v>31433593.079153974</v>
      </c>
      <c r="U336" s="2">
        <f>$C336+total_production!T336</f>
        <v>31433593.079153974</v>
      </c>
      <c r="V336" s="2">
        <f>$C336+total_production!U336</f>
        <v>31442643.657741446</v>
      </c>
      <c r="W336" s="2">
        <f>$C336+total_production!V336</f>
        <v>31442643.657741446</v>
      </c>
      <c r="X336" s="2">
        <f>$C336+total_production!W336</f>
        <v>31450485.093277249</v>
      </c>
      <c r="Y336" s="2">
        <f>$C336+total_production!X336</f>
        <v>31450485.093277249</v>
      </c>
      <c r="Z336" s="2">
        <f>$C336+total_production!Y336</f>
        <v>31450485.093277249</v>
      </c>
      <c r="AA336" s="2">
        <f>$C336+total_production!Z336</f>
        <v>31450485.093277249</v>
      </c>
      <c r="AB336" s="2">
        <f>$C336+total_production!AA336</f>
        <v>31450485.093277249</v>
      </c>
    </row>
    <row r="337" spans="1:28" x14ac:dyDescent="0.2">
      <c r="A337" t="s">
        <v>967</v>
      </c>
      <c r="B337" t="s">
        <v>321</v>
      </c>
      <c r="C337" s="1">
        <v>0</v>
      </c>
      <c r="D337" s="2">
        <f>$C337+total_production!C337</f>
        <v>0</v>
      </c>
      <c r="E337" s="2">
        <f>$C337+total_production!D337</f>
        <v>0</v>
      </c>
      <c r="F337" s="2">
        <f>$C337+total_production!E337</f>
        <v>0</v>
      </c>
      <c r="G337" s="2">
        <f>$C337+total_production!F337</f>
        <v>0</v>
      </c>
      <c r="H337" s="2">
        <f>$C337+total_production!G337</f>
        <v>0</v>
      </c>
      <c r="I337" s="2">
        <f>$C337+total_production!H337</f>
        <v>0</v>
      </c>
      <c r="J337" s="2">
        <f>$C337+total_production!I337</f>
        <v>0</v>
      </c>
      <c r="K337" s="2">
        <f>$C337+total_production!J337</f>
        <v>0</v>
      </c>
      <c r="L337" s="2">
        <f>$C337+total_production!K337</f>
        <v>0</v>
      </c>
      <c r="M337" s="2">
        <f>$C337+total_production!L337</f>
        <v>0</v>
      </c>
      <c r="N337" s="2">
        <f>$C337+total_production!M337</f>
        <v>0</v>
      </c>
      <c r="O337" s="2">
        <f>$C337+total_production!N337</f>
        <v>0</v>
      </c>
      <c r="P337" s="2">
        <f>$C337+total_production!O337</f>
        <v>0</v>
      </c>
      <c r="Q337" s="2">
        <f>$C337+total_production!P337</f>
        <v>0</v>
      </c>
      <c r="R337" s="2">
        <f>$C337+total_production!Q337</f>
        <v>0</v>
      </c>
      <c r="S337" s="2">
        <f>$C337+total_production!R337</f>
        <v>0</v>
      </c>
      <c r="T337" s="2">
        <f>$C337+total_production!S337</f>
        <v>0</v>
      </c>
      <c r="U337" s="2">
        <f>$C337+total_production!T337</f>
        <v>0</v>
      </c>
      <c r="V337" s="2">
        <f>$C337+total_production!U337</f>
        <v>0</v>
      </c>
      <c r="W337" s="2">
        <f>$C337+total_production!V337</f>
        <v>0</v>
      </c>
      <c r="X337" s="2">
        <f>$C337+total_production!W337</f>
        <v>0</v>
      </c>
      <c r="Y337" s="2">
        <f>$C337+total_production!X337</f>
        <v>0</v>
      </c>
      <c r="Z337" s="2">
        <f>$C337+total_production!Y337</f>
        <v>0</v>
      </c>
      <c r="AA337" s="2">
        <f>$C337+total_production!Z337</f>
        <v>0</v>
      </c>
      <c r="AB337" s="2">
        <f>$C337+total_production!AA337</f>
        <v>0</v>
      </c>
    </row>
    <row r="338" spans="1:28" x14ac:dyDescent="0.2">
      <c r="A338" t="s">
        <v>362</v>
      </c>
      <c r="B338" t="s">
        <v>363</v>
      </c>
      <c r="C338" s="1">
        <v>47190715</v>
      </c>
      <c r="D338" s="2">
        <f>$C338+total_production!C338</f>
        <v>47314152.519810073</v>
      </c>
      <c r="E338" s="2">
        <f>$C338+total_production!D338</f>
        <v>47316001.17406743</v>
      </c>
      <c r="F338" s="2">
        <f>$C338+total_production!E338</f>
        <v>47321949.841873176</v>
      </c>
      <c r="G338" s="2">
        <f>$C338+total_production!F338</f>
        <v>47326923.91398786</v>
      </c>
      <c r="H338" s="2">
        <f>$C338+total_production!G338</f>
        <v>47327762.942657091</v>
      </c>
      <c r="I338" s="2">
        <f>$C338+total_production!H338</f>
        <v>47335788.883000493</v>
      </c>
      <c r="J338" s="2">
        <f>$C338+total_production!I338</f>
        <v>47346997.822926119</v>
      </c>
      <c r="K338" s="2">
        <f>$C338+total_production!J338</f>
        <v>47367832.812570304</v>
      </c>
      <c r="L338" s="2">
        <f>$C338+total_production!K338</f>
        <v>47378263.315584332</v>
      </c>
      <c r="M338" s="2">
        <f>$C338+total_production!L338</f>
        <v>47408414.819969587</v>
      </c>
      <c r="N338" s="2">
        <f>$C338+total_production!M338</f>
        <v>47420480.442009315</v>
      </c>
      <c r="O338" s="2">
        <f>$C338+total_production!N338</f>
        <v>47431449.726697356</v>
      </c>
      <c r="P338" s="2">
        <f>$C338+total_production!O338</f>
        <v>47431449.726697356</v>
      </c>
      <c r="Q338" s="2">
        <f>$C338+total_production!P338</f>
        <v>47431449.726697356</v>
      </c>
      <c r="R338" s="2">
        <f>$C338+total_production!Q338</f>
        <v>47441007.538106225</v>
      </c>
      <c r="S338" s="2">
        <f>$C338+total_production!R338</f>
        <v>47441007.538106225</v>
      </c>
      <c r="T338" s="2">
        <f>$C338+total_production!S338</f>
        <v>47451784.948947378</v>
      </c>
      <c r="U338" s="2">
        <f>$C338+total_production!T338</f>
        <v>47451784.948947378</v>
      </c>
      <c r="V338" s="2">
        <f>$C338+total_production!U338</f>
        <v>47461344.331650577</v>
      </c>
      <c r="W338" s="2">
        <f>$C338+total_production!V338</f>
        <v>47461344.331650577</v>
      </c>
      <c r="X338" s="2">
        <f>$C338+total_production!W338</f>
        <v>47469702.796814702</v>
      </c>
      <c r="Y338" s="2">
        <f>$C338+total_production!X338</f>
        <v>47469702.796814702</v>
      </c>
      <c r="Z338" s="2">
        <f>$C338+total_production!Y338</f>
        <v>47469702.796814702</v>
      </c>
      <c r="AA338" s="2">
        <f>$C338+total_production!Z338</f>
        <v>47469702.796814702</v>
      </c>
      <c r="AB338" s="2">
        <f>$C338+total_production!AA338</f>
        <v>47469702.796814702</v>
      </c>
    </row>
    <row r="339" spans="1:28" x14ac:dyDescent="0.2">
      <c r="A339" t="s">
        <v>954</v>
      </c>
      <c r="B339" t="s">
        <v>955</v>
      </c>
      <c r="C339" s="1">
        <v>0</v>
      </c>
      <c r="D339" s="2">
        <f>$C339+total_production!C339</f>
        <v>0</v>
      </c>
      <c r="E339" s="2">
        <f>$C339+total_production!D339</f>
        <v>0</v>
      </c>
      <c r="F339" s="2">
        <f>$C339+total_production!E339</f>
        <v>0</v>
      </c>
      <c r="G339" s="2">
        <f>$C339+total_production!F339</f>
        <v>0</v>
      </c>
      <c r="H339" s="2">
        <f>$C339+total_production!G339</f>
        <v>0</v>
      </c>
      <c r="I339" s="2">
        <f>$C339+total_production!H339</f>
        <v>0</v>
      </c>
      <c r="J339" s="2">
        <f>$C339+total_production!I339</f>
        <v>0</v>
      </c>
      <c r="K339" s="2">
        <f>$C339+total_production!J339</f>
        <v>0</v>
      </c>
      <c r="L339" s="2">
        <f>$C339+total_production!K339</f>
        <v>0</v>
      </c>
      <c r="M339" s="2">
        <f>$C339+total_production!L339</f>
        <v>0</v>
      </c>
      <c r="N339" s="2">
        <f>$C339+total_production!M339</f>
        <v>0</v>
      </c>
      <c r="O339" s="2">
        <f>$C339+total_production!N339</f>
        <v>0</v>
      </c>
      <c r="P339" s="2">
        <f>$C339+total_production!O339</f>
        <v>0</v>
      </c>
      <c r="Q339" s="2">
        <f>$C339+total_production!P339</f>
        <v>0</v>
      </c>
      <c r="R339" s="2">
        <f>$C339+total_production!Q339</f>
        <v>0</v>
      </c>
      <c r="S339" s="2">
        <f>$C339+total_production!R339</f>
        <v>0</v>
      </c>
      <c r="T339" s="2">
        <f>$C339+total_production!S339</f>
        <v>0</v>
      </c>
      <c r="U339" s="2">
        <f>$C339+total_production!T339</f>
        <v>0</v>
      </c>
      <c r="V339" s="2">
        <f>$C339+total_production!U339</f>
        <v>0</v>
      </c>
      <c r="W339" s="2">
        <f>$C339+total_production!V339</f>
        <v>0</v>
      </c>
      <c r="X339" s="2">
        <f>$C339+total_production!W339</f>
        <v>0</v>
      </c>
      <c r="Y339" s="2">
        <f>$C339+total_production!X339</f>
        <v>0</v>
      </c>
      <c r="Z339" s="2">
        <f>$C339+total_production!Y339</f>
        <v>0</v>
      </c>
      <c r="AA339" s="2">
        <f>$C339+total_production!Z339</f>
        <v>0</v>
      </c>
      <c r="AB339" s="2">
        <f>$C339+total_production!AA339</f>
        <v>0</v>
      </c>
    </row>
    <row r="340" spans="1:28" x14ac:dyDescent="0.2">
      <c r="A340" t="s">
        <v>380</v>
      </c>
      <c r="B340" t="s">
        <v>53</v>
      </c>
      <c r="C340" s="1">
        <v>18077648</v>
      </c>
      <c r="D340" s="2">
        <f>$C340+total_production!C340</f>
        <v>18160012.527656287</v>
      </c>
      <c r="E340" s="2">
        <f>$C340+total_production!D340</f>
        <v>18164248.449210595</v>
      </c>
      <c r="F340" s="2">
        <f>$C340+total_production!E340</f>
        <v>18168039.287663922</v>
      </c>
      <c r="G340" s="2">
        <f>$C340+total_production!F340</f>
        <v>18172432.197411813</v>
      </c>
      <c r="H340" s="2">
        <f>$C340+total_production!G340</f>
        <v>18183334.642064866</v>
      </c>
      <c r="I340" s="2">
        <f>$C340+total_production!H340</f>
        <v>18188449.239865817</v>
      </c>
      <c r="J340" s="2">
        <f>$C340+total_production!I340</f>
        <v>18195592.230847765</v>
      </c>
      <c r="K340" s="2">
        <f>$C340+total_production!J340</f>
        <v>18214653.176278125</v>
      </c>
      <c r="L340" s="2">
        <f>$C340+total_production!K340</f>
        <v>18221300.101809062</v>
      </c>
      <c r="M340" s="2">
        <f>$C340+total_production!L340</f>
        <v>18247835.841419693</v>
      </c>
      <c r="N340" s="2">
        <f>$C340+total_production!M340</f>
        <v>18260330.409717202</v>
      </c>
      <c r="O340" s="2">
        <f>$C340+total_production!N340</f>
        <v>18271521.804990694</v>
      </c>
      <c r="P340" s="2">
        <f>$C340+total_production!O340</f>
        <v>18271521.804990694</v>
      </c>
      <c r="Q340" s="2">
        <f>$C340+total_production!P340</f>
        <v>18271521.804990694</v>
      </c>
      <c r="R340" s="2">
        <f>$C340+total_production!Q340</f>
        <v>18281300.798420511</v>
      </c>
      <c r="S340" s="2">
        <f>$C340+total_production!R340</f>
        <v>18281300.798420511</v>
      </c>
      <c r="T340" s="2">
        <f>$C340+total_production!S340</f>
        <v>18292239.653047983</v>
      </c>
      <c r="U340" s="2">
        <f>$C340+total_production!T340</f>
        <v>18292239.653047983</v>
      </c>
      <c r="V340" s="2">
        <f>$C340+total_production!U340</f>
        <v>18302202.837360203</v>
      </c>
      <c r="W340" s="2">
        <f>$C340+total_production!V340</f>
        <v>18302202.837360203</v>
      </c>
      <c r="X340" s="2">
        <f>$C340+total_production!W340</f>
        <v>18310825.71727429</v>
      </c>
      <c r="Y340" s="2">
        <f>$C340+total_production!X340</f>
        <v>18310825.71727429</v>
      </c>
      <c r="Z340" s="2">
        <f>$C340+total_production!Y340</f>
        <v>18310825.71727429</v>
      </c>
      <c r="AA340" s="2">
        <f>$C340+total_production!Z340</f>
        <v>18310825.71727429</v>
      </c>
      <c r="AB340" s="2">
        <f>$C340+total_production!AA340</f>
        <v>18310825.71727429</v>
      </c>
    </row>
    <row r="341" spans="1:28" x14ac:dyDescent="0.2">
      <c r="A341" t="s">
        <v>970</v>
      </c>
      <c r="B341" t="s">
        <v>971</v>
      </c>
      <c r="C341" s="1">
        <v>0</v>
      </c>
      <c r="D341" s="2">
        <f>$C341+total_production!C341</f>
        <v>0</v>
      </c>
      <c r="E341" s="2">
        <f>$C341+total_production!D341</f>
        <v>0</v>
      </c>
      <c r="F341" s="2">
        <f>$C341+total_production!E341</f>
        <v>0</v>
      </c>
      <c r="G341" s="2">
        <f>$C341+total_production!F341</f>
        <v>0</v>
      </c>
      <c r="H341" s="2">
        <f>$C341+total_production!G341</f>
        <v>0</v>
      </c>
      <c r="I341" s="2">
        <f>$C341+total_production!H341</f>
        <v>0</v>
      </c>
      <c r="J341" s="2">
        <f>$C341+total_production!I341</f>
        <v>0</v>
      </c>
      <c r="K341" s="2">
        <f>$C341+total_production!J341</f>
        <v>0</v>
      </c>
      <c r="L341" s="2">
        <f>$C341+total_production!K341</f>
        <v>0</v>
      </c>
      <c r="M341" s="2">
        <f>$C341+total_production!L341</f>
        <v>0</v>
      </c>
      <c r="N341" s="2">
        <f>$C341+total_production!M341</f>
        <v>0</v>
      </c>
      <c r="O341" s="2">
        <f>$C341+total_production!N341</f>
        <v>0</v>
      </c>
      <c r="P341" s="2">
        <f>$C341+total_production!O341</f>
        <v>0</v>
      </c>
      <c r="Q341" s="2">
        <f>$C341+total_production!P341</f>
        <v>0</v>
      </c>
      <c r="R341" s="2">
        <f>$C341+total_production!Q341</f>
        <v>0</v>
      </c>
      <c r="S341" s="2">
        <f>$C341+total_production!R341</f>
        <v>0</v>
      </c>
      <c r="T341" s="2">
        <f>$C341+total_production!S341</f>
        <v>0</v>
      </c>
      <c r="U341" s="2">
        <f>$C341+total_production!T341</f>
        <v>0</v>
      </c>
      <c r="V341" s="2">
        <f>$C341+total_production!U341</f>
        <v>0</v>
      </c>
      <c r="W341" s="2">
        <f>$C341+total_production!V341</f>
        <v>0</v>
      </c>
      <c r="X341" s="2">
        <f>$C341+total_production!W341</f>
        <v>0</v>
      </c>
      <c r="Y341" s="2">
        <f>$C341+total_production!X341</f>
        <v>0</v>
      </c>
      <c r="Z341" s="2">
        <f>$C341+total_production!Y341</f>
        <v>0</v>
      </c>
      <c r="AA341" s="2">
        <f>$C341+total_production!Z341</f>
        <v>0</v>
      </c>
      <c r="AB341" s="2">
        <f>$C341+total_production!AA341</f>
        <v>0</v>
      </c>
    </row>
    <row r="342" spans="1:28" x14ac:dyDescent="0.2">
      <c r="A342" t="s">
        <v>972</v>
      </c>
      <c r="B342" t="s">
        <v>973</v>
      </c>
      <c r="C342" s="1">
        <v>0</v>
      </c>
      <c r="D342" s="2">
        <f>$C342+total_production!C342</f>
        <v>0</v>
      </c>
      <c r="E342" s="2">
        <f>$C342+total_production!D342</f>
        <v>0</v>
      </c>
      <c r="F342" s="2">
        <f>$C342+total_production!E342</f>
        <v>0</v>
      </c>
      <c r="G342" s="2">
        <f>$C342+total_production!F342</f>
        <v>0</v>
      </c>
      <c r="H342" s="2">
        <f>$C342+total_production!G342</f>
        <v>0</v>
      </c>
      <c r="I342" s="2">
        <f>$C342+total_production!H342</f>
        <v>0</v>
      </c>
      <c r="J342" s="2">
        <f>$C342+total_production!I342</f>
        <v>0</v>
      </c>
      <c r="K342" s="2">
        <f>$C342+total_production!J342</f>
        <v>0</v>
      </c>
      <c r="L342" s="2">
        <f>$C342+total_production!K342</f>
        <v>0</v>
      </c>
      <c r="M342" s="2">
        <f>$C342+total_production!L342</f>
        <v>0</v>
      </c>
      <c r="N342" s="2">
        <f>$C342+total_production!M342</f>
        <v>0</v>
      </c>
      <c r="O342" s="2">
        <f>$C342+total_production!N342</f>
        <v>0</v>
      </c>
      <c r="P342" s="2">
        <f>$C342+total_production!O342</f>
        <v>0</v>
      </c>
      <c r="Q342" s="2">
        <f>$C342+total_production!P342</f>
        <v>0</v>
      </c>
      <c r="R342" s="2">
        <f>$C342+total_production!Q342</f>
        <v>0</v>
      </c>
      <c r="S342" s="2">
        <f>$C342+total_production!R342</f>
        <v>0</v>
      </c>
      <c r="T342" s="2">
        <f>$C342+total_production!S342</f>
        <v>0</v>
      </c>
      <c r="U342" s="2">
        <f>$C342+total_production!T342</f>
        <v>0</v>
      </c>
      <c r="V342" s="2">
        <f>$C342+total_production!U342</f>
        <v>0</v>
      </c>
      <c r="W342" s="2">
        <f>$C342+total_production!V342</f>
        <v>0</v>
      </c>
      <c r="X342" s="2">
        <f>$C342+total_production!W342</f>
        <v>0</v>
      </c>
      <c r="Y342" s="2">
        <f>$C342+total_production!X342</f>
        <v>0</v>
      </c>
      <c r="Z342" s="2">
        <f>$C342+total_production!Y342</f>
        <v>0</v>
      </c>
      <c r="AA342" s="2">
        <f>$C342+total_production!Z342</f>
        <v>0</v>
      </c>
      <c r="AB342" s="2">
        <f>$C342+total_production!AA342</f>
        <v>0</v>
      </c>
    </row>
    <row r="343" spans="1:28" x14ac:dyDescent="0.2">
      <c r="A343" t="s">
        <v>948</v>
      </c>
      <c r="B343" t="s">
        <v>949</v>
      </c>
      <c r="C343" s="1">
        <v>988099</v>
      </c>
      <c r="D343" s="2">
        <f>$C343+total_production!C343</f>
        <v>988101.78196591418</v>
      </c>
      <c r="E343" s="2">
        <f>$C343+total_production!D343</f>
        <v>988101.97307506169</v>
      </c>
      <c r="F343" s="2">
        <f>$C343+total_production!E343</f>
        <v>988102.09826036892</v>
      </c>
      <c r="G343" s="2">
        <f>$C343+total_production!F343</f>
        <v>988102.2638182732</v>
      </c>
      <c r="H343" s="2">
        <f>$C343+total_production!G343</f>
        <v>988102.79753414704</v>
      </c>
      <c r="I343" s="2">
        <f>$C343+total_production!H343</f>
        <v>988102.96643411601</v>
      </c>
      <c r="J343" s="2">
        <f>$C343+total_production!I343</f>
        <v>988103.20231795323</v>
      </c>
      <c r="K343" s="2">
        <f>$C343+total_production!J343</f>
        <v>988103.9286592087</v>
      </c>
      <c r="L343" s="2">
        <f>$C343+total_production!K343</f>
        <v>988104.1481614178</v>
      </c>
      <c r="M343" s="2">
        <f>$C343+total_production!L343</f>
        <v>988105.1471047051</v>
      </c>
      <c r="N343" s="2">
        <f>$C343+total_production!M343</f>
        <v>988105.64021963195</v>
      </c>
      <c r="O343" s="2">
        <f>$C343+total_production!N343</f>
        <v>988106.0801726192</v>
      </c>
      <c r="P343" s="2">
        <f>$C343+total_production!O343</f>
        <v>988106.0801726192</v>
      </c>
      <c r="Q343" s="2">
        <f>$C343+total_production!P343</f>
        <v>988106.0801726192</v>
      </c>
      <c r="R343" s="2">
        <f>$C343+total_production!Q343</f>
        <v>988106.46489099716</v>
      </c>
      <c r="S343" s="2">
        <f>$C343+total_production!R343</f>
        <v>988106.46489099716</v>
      </c>
      <c r="T343" s="2">
        <f>$C343+total_production!S343</f>
        <v>988106.8943220356</v>
      </c>
      <c r="U343" s="2">
        <f>$C343+total_production!T343</f>
        <v>988106.8943220356</v>
      </c>
      <c r="V343" s="2">
        <f>$C343+total_production!U343</f>
        <v>988107.28819180361</v>
      </c>
      <c r="W343" s="2">
        <f>$C343+total_production!V343</f>
        <v>988107.28819180361</v>
      </c>
      <c r="X343" s="2">
        <f>$C343+total_production!W343</f>
        <v>988107.62816785031</v>
      </c>
      <c r="Y343" s="2">
        <f>$C343+total_production!X343</f>
        <v>988107.62816785031</v>
      </c>
      <c r="Z343" s="2">
        <f>$C343+total_production!Y343</f>
        <v>988107.62816785031</v>
      </c>
      <c r="AA343" s="2">
        <f>$C343+total_production!Z343</f>
        <v>988107.62816785031</v>
      </c>
      <c r="AB343" s="2">
        <f>$C343+total_production!AA343</f>
        <v>988107.62816785031</v>
      </c>
    </row>
    <row r="344" spans="1:28" x14ac:dyDescent="0.2">
      <c r="A344" t="s">
        <v>968</v>
      </c>
      <c r="B344" t="s">
        <v>969</v>
      </c>
      <c r="C344" s="1">
        <v>0</v>
      </c>
      <c r="D344" s="2">
        <f>$C344+total_production!C344</f>
        <v>0</v>
      </c>
      <c r="E344" s="2">
        <f>$C344+total_production!D344</f>
        <v>0</v>
      </c>
      <c r="F344" s="2">
        <f>$C344+total_production!E344</f>
        <v>0</v>
      </c>
      <c r="G344" s="2">
        <f>$C344+total_production!F344</f>
        <v>0</v>
      </c>
      <c r="H344" s="2">
        <f>$C344+total_production!G344</f>
        <v>0</v>
      </c>
      <c r="I344" s="2">
        <f>$C344+total_production!H344</f>
        <v>0</v>
      </c>
      <c r="J344" s="2">
        <f>$C344+total_production!I344</f>
        <v>0</v>
      </c>
      <c r="K344" s="2">
        <f>$C344+total_production!J344</f>
        <v>0</v>
      </c>
      <c r="L344" s="2">
        <f>$C344+total_production!K344</f>
        <v>0</v>
      </c>
      <c r="M344" s="2">
        <f>$C344+total_production!L344</f>
        <v>0</v>
      </c>
      <c r="N344" s="2">
        <f>$C344+total_production!M344</f>
        <v>0</v>
      </c>
      <c r="O344" s="2">
        <f>$C344+total_production!N344</f>
        <v>0</v>
      </c>
      <c r="P344" s="2">
        <f>$C344+total_production!O344</f>
        <v>0</v>
      </c>
      <c r="Q344" s="2">
        <f>$C344+total_production!P344</f>
        <v>0</v>
      </c>
      <c r="R344" s="2">
        <f>$C344+total_production!Q344</f>
        <v>0</v>
      </c>
      <c r="S344" s="2">
        <f>$C344+total_production!R344</f>
        <v>0</v>
      </c>
      <c r="T344" s="2">
        <f>$C344+total_production!S344</f>
        <v>0</v>
      </c>
      <c r="U344" s="2">
        <f>$C344+total_production!T344</f>
        <v>0</v>
      </c>
      <c r="V344" s="2">
        <f>$C344+total_production!U344</f>
        <v>0</v>
      </c>
      <c r="W344" s="2">
        <f>$C344+total_production!V344</f>
        <v>0</v>
      </c>
      <c r="X344" s="2">
        <f>$C344+total_production!W344</f>
        <v>0</v>
      </c>
      <c r="Y344" s="2">
        <f>$C344+total_production!X344</f>
        <v>0</v>
      </c>
      <c r="Z344" s="2">
        <f>$C344+total_production!Y344</f>
        <v>0</v>
      </c>
      <c r="AA344" s="2">
        <f>$C344+total_production!Z344</f>
        <v>0</v>
      </c>
      <c r="AB344" s="2">
        <f>$C344+total_production!AA344</f>
        <v>0</v>
      </c>
    </row>
    <row r="345" spans="1:28" x14ac:dyDescent="0.2">
      <c r="A345" t="s">
        <v>372</v>
      </c>
      <c r="B345" t="s">
        <v>373</v>
      </c>
      <c r="C345" s="1">
        <v>16776191</v>
      </c>
      <c r="D345" s="2">
        <f>$C345+total_production!C345</f>
        <v>16857650.430595692</v>
      </c>
      <c r="E345" s="2">
        <f>$C345+total_production!D345</f>
        <v>16850016.767104626</v>
      </c>
      <c r="F345" s="2">
        <f>$C345+total_production!E345</f>
        <v>16854468.664063919</v>
      </c>
      <c r="G345" s="2">
        <f>$C345+total_production!F345</f>
        <v>16854584.319496043</v>
      </c>
      <c r="H345" s="2">
        <f>$C345+total_production!G345</f>
        <v>16824639.162049498</v>
      </c>
      <c r="I345" s="2">
        <f>$C345+total_production!H345</f>
        <v>16830645.659735538</v>
      </c>
      <c r="J345" s="2">
        <f>$C345+total_production!I345</f>
        <v>16839034.268278036</v>
      </c>
      <c r="K345" s="2">
        <f>$C345+total_production!J345</f>
        <v>16837571.639655124</v>
      </c>
      <c r="L345" s="2">
        <f>$C345+total_production!K345</f>
        <v>16845377.67727033</v>
      </c>
      <c r="M345" s="2">
        <f>$C345+total_production!L345</f>
        <v>16846352.736540571</v>
      </c>
      <c r="N345" s="2">
        <f>$C345+total_production!M345</f>
        <v>16841211.294409834</v>
      </c>
      <c r="O345" s="2">
        <f>$C345+total_production!N345</f>
        <v>16837032.021474723</v>
      </c>
      <c r="P345" s="2">
        <f>$C345+total_production!O345</f>
        <v>16837032.021474723</v>
      </c>
      <c r="Q345" s="2">
        <f>$C345+total_production!P345</f>
        <v>16837032.021474723</v>
      </c>
      <c r="R345" s="2">
        <f>$C345+total_production!Q345</f>
        <v>16833308.9762691</v>
      </c>
      <c r="S345" s="2">
        <f>$C345+total_production!R345</f>
        <v>16833308.9762691</v>
      </c>
      <c r="T345" s="2">
        <f>$C345+total_production!S345</f>
        <v>16829370.247904655</v>
      </c>
      <c r="U345" s="2">
        <f>$C345+total_production!T345</f>
        <v>16829370.247904655</v>
      </c>
      <c r="V345" s="2">
        <f>$C345+total_production!U345</f>
        <v>16825108.178576607</v>
      </c>
      <c r="W345" s="2">
        <f>$C345+total_production!V345</f>
        <v>16825108.178576607</v>
      </c>
      <c r="X345" s="2">
        <f>$C345+total_production!W345</f>
        <v>16821642.981819153</v>
      </c>
      <c r="Y345" s="2">
        <f>$C345+total_production!X345</f>
        <v>16821642.981819153</v>
      </c>
      <c r="Z345" s="2">
        <f>$C345+total_production!Y345</f>
        <v>16821642.981819153</v>
      </c>
      <c r="AA345" s="2">
        <f>$C345+total_production!Z345</f>
        <v>16821642.981819153</v>
      </c>
      <c r="AB345" s="2">
        <f>$C345+total_production!AA345</f>
        <v>16821642.981819153</v>
      </c>
    </row>
    <row r="346" spans="1:28" x14ac:dyDescent="0.2">
      <c r="A346" t="s">
        <v>343</v>
      </c>
      <c r="B346" t="s">
        <v>344</v>
      </c>
      <c r="C346" s="1">
        <v>63425384</v>
      </c>
      <c r="D346" s="2">
        <f>$C346+total_production!C346</f>
        <v>63615747.211826392</v>
      </c>
      <c r="E346" s="2">
        <f>$C346+total_production!D346</f>
        <v>63612059.778309137</v>
      </c>
      <c r="F346" s="2">
        <f>$C346+total_production!E346</f>
        <v>63621622.328149013</v>
      </c>
      <c r="G346" s="2">
        <f>$C346+total_production!F346</f>
        <v>63626954.537935749</v>
      </c>
      <c r="H346" s="2">
        <f>$C346+total_production!G346</f>
        <v>63605725.117581904</v>
      </c>
      <c r="I346" s="2">
        <f>$C346+total_production!H346</f>
        <v>63618626.906192705</v>
      </c>
      <c r="J346" s="2">
        <f>$C346+total_production!I346</f>
        <v>63636645.402130134</v>
      </c>
      <c r="K346" s="2">
        <f>$C346+total_production!J346</f>
        <v>63657542.616642721</v>
      </c>
      <c r="L346" s="2">
        <f>$C346+total_production!K346</f>
        <v>63674309.766563281</v>
      </c>
      <c r="M346" s="2">
        <f>$C346+total_production!L346</f>
        <v>63706834.545212828</v>
      </c>
      <c r="N346" s="2">
        <f>$C346+total_production!M346</f>
        <v>63715764.773222558</v>
      </c>
      <c r="O346" s="2">
        <f>$C346+total_production!N346</f>
        <v>63724249.112625629</v>
      </c>
      <c r="P346" s="2">
        <f>$C346+total_production!O346</f>
        <v>63724249.112625629</v>
      </c>
      <c r="Q346" s="2">
        <f>$C346+total_production!P346</f>
        <v>63724249.112625629</v>
      </c>
      <c r="R346" s="2">
        <f>$C346+total_production!Q346</f>
        <v>63731581.511729293</v>
      </c>
      <c r="S346" s="2">
        <f>$C346+total_production!R346</f>
        <v>63731581.511729293</v>
      </c>
      <c r="T346" s="2">
        <f>$C346+total_production!S346</f>
        <v>63740041.098716594</v>
      </c>
      <c r="U346" s="2">
        <f>$C346+total_production!T346</f>
        <v>63740041.098716594</v>
      </c>
      <c r="V346" s="2">
        <f>$C346+total_production!U346</f>
        <v>63746977.086784445</v>
      </c>
      <c r="W346" s="2">
        <f>$C346+total_production!V346</f>
        <v>63746977.086784445</v>
      </c>
      <c r="X346" s="2">
        <f>$C346+total_production!W346</f>
        <v>63753234.800667092</v>
      </c>
      <c r="Y346" s="2">
        <f>$C346+total_production!X346</f>
        <v>63753234.800667092</v>
      </c>
      <c r="Z346" s="2">
        <f>$C346+total_production!Y346</f>
        <v>63753234.800667092</v>
      </c>
      <c r="AA346" s="2">
        <f>$C346+total_production!Z346</f>
        <v>63753234.800667092</v>
      </c>
      <c r="AB346" s="2">
        <f>$C346+total_production!AA346</f>
        <v>63753234.800667092</v>
      </c>
    </row>
    <row r="347" spans="1:28" x14ac:dyDescent="0.2">
      <c r="A347" t="s">
        <v>427</v>
      </c>
      <c r="B347" t="s">
        <v>89</v>
      </c>
      <c r="C347" s="1">
        <v>13135951</v>
      </c>
      <c r="D347" s="2">
        <f>$C347+total_production!C347</f>
        <v>13169633.19529718</v>
      </c>
      <c r="E347" s="2">
        <f>$C347+total_production!D347</f>
        <v>13170811.635611381</v>
      </c>
      <c r="F347" s="2">
        <f>$C347+total_production!E347</f>
        <v>13172394.778899429</v>
      </c>
      <c r="G347" s="2">
        <f>$C347+total_production!F347</f>
        <v>13173993.129237656</v>
      </c>
      <c r="H347" s="2">
        <f>$C347+total_production!G347</f>
        <v>13176543.860909257</v>
      </c>
      <c r="I347" s="2">
        <f>$C347+total_production!H347</f>
        <v>13178679.837231997</v>
      </c>
      <c r="J347" s="2">
        <f>$C347+total_production!I347</f>
        <v>13181662.918249268</v>
      </c>
      <c r="K347" s="2">
        <f>$C347+total_production!J347</f>
        <v>13188506.183624534</v>
      </c>
      <c r="L347" s="2">
        <f>$C347+total_production!K347</f>
        <v>13191282.096043387</v>
      </c>
      <c r="M347" s="2">
        <f>$C347+total_production!L347</f>
        <v>13200950.013581673</v>
      </c>
      <c r="N347" s="2">
        <f>$C347+total_production!M347</f>
        <v>13205239.896784181</v>
      </c>
      <c r="O347" s="2">
        <f>$C347+total_production!N347</f>
        <v>13209102.29921441</v>
      </c>
      <c r="P347" s="2">
        <f>$C347+total_production!O347</f>
        <v>13209102.29921441</v>
      </c>
      <c r="Q347" s="2">
        <f>$C347+total_production!P347</f>
        <v>13209102.29921441</v>
      </c>
      <c r="R347" s="2">
        <f>$C347+total_production!Q347</f>
        <v>13212473.914242068</v>
      </c>
      <c r="S347" s="2">
        <f>$C347+total_production!R347</f>
        <v>13212473.914242068</v>
      </c>
      <c r="T347" s="2">
        <f>$C347+total_production!S347</f>
        <v>13216256.009047195</v>
      </c>
      <c r="U347" s="2">
        <f>$C347+total_production!T347</f>
        <v>13216256.009047195</v>
      </c>
      <c r="V347" s="2">
        <f>$C347+total_production!U347</f>
        <v>13219669.166079119</v>
      </c>
      <c r="W347" s="2">
        <f>$C347+total_production!V347</f>
        <v>13219669.166079119</v>
      </c>
      <c r="X347" s="2">
        <f>$C347+total_production!W347</f>
        <v>13222633.635346571</v>
      </c>
      <c r="Y347" s="2">
        <f>$C347+total_production!X347</f>
        <v>13222633.635346571</v>
      </c>
      <c r="Z347" s="2">
        <f>$C347+total_production!Y347</f>
        <v>13222633.635346571</v>
      </c>
      <c r="AA347" s="2">
        <f>$C347+total_production!Z347</f>
        <v>13222633.635346571</v>
      </c>
      <c r="AB347" s="2">
        <f>$C347+total_production!AA347</f>
        <v>13222633.635346571</v>
      </c>
    </row>
    <row r="348" spans="1:28" x14ac:dyDescent="0.2">
      <c r="A348" t="s">
        <v>730</v>
      </c>
      <c r="B348" t="s">
        <v>209</v>
      </c>
      <c r="C348" s="1">
        <v>19560533</v>
      </c>
      <c r="D348" s="2">
        <f>$C348+total_production!C348</f>
        <v>19562868.762316395</v>
      </c>
      <c r="E348" s="2">
        <f>$C348+total_production!D348</f>
        <v>19562827.643108901</v>
      </c>
      <c r="F348" s="2">
        <f>$C348+total_production!E348</f>
        <v>19562944.730665702</v>
      </c>
      <c r="G348" s="2">
        <f>$C348+total_production!F348</f>
        <v>19563011.632765319</v>
      </c>
      <c r="H348" s="2">
        <f>$C348+total_production!G348</f>
        <v>19562765.359324638</v>
      </c>
      <c r="I348" s="2">
        <f>$C348+total_production!H348</f>
        <v>19562923.333811786</v>
      </c>
      <c r="J348" s="2">
        <f>$C348+total_production!I348</f>
        <v>19563143.959241387</v>
      </c>
      <c r="K348" s="2">
        <f>$C348+total_production!J348</f>
        <v>19563407.457409658</v>
      </c>
      <c r="L348" s="2">
        <f>$C348+total_production!K348</f>
        <v>19563612.760874901</v>
      </c>
      <c r="M348" s="2">
        <f>$C348+total_production!L348</f>
        <v>19564020.658665914</v>
      </c>
      <c r="N348" s="2">
        <f>$C348+total_production!M348</f>
        <v>19564136.339099854</v>
      </c>
      <c r="O348" s="2">
        <f>$C348+total_production!N348</f>
        <v>19564245.762961071</v>
      </c>
      <c r="P348" s="2">
        <f>$C348+total_production!O348</f>
        <v>19564245.762961071</v>
      </c>
      <c r="Q348" s="2">
        <f>$C348+total_production!P348</f>
        <v>19564245.762961071</v>
      </c>
      <c r="R348" s="2">
        <f>$C348+total_production!Q348</f>
        <v>19564340.405827988</v>
      </c>
      <c r="S348" s="2">
        <f>$C348+total_production!R348</f>
        <v>19564340.405827988</v>
      </c>
      <c r="T348" s="2">
        <f>$C348+total_production!S348</f>
        <v>19564449.354879986</v>
      </c>
      <c r="U348" s="2">
        <f>$C348+total_production!T348</f>
        <v>19564449.354879986</v>
      </c>
      <c r="V348" s="2">
        <f>$C348+total_production!U348</f>
        <v>19564539.385435071</v>
      </c>
      <c r="W348" s="2">
        <f>$C348+total_production!V348</f>
        <v>19564539.385435071</v>
      </c>
      <c r="X348" s="2">
        <f>$C348+total_production!W348</f>
        <v>19564620.352905754</v>
      </c>
      <c r="Y348" s="2">
        <f>$C348+total_production!X348</f>
        <v>19564620.352905754</v>
      </c>
      <c r="Z348" s="2">
        <f>$C348+total_production!Y348</f>
        <v>19564620.352905754</v>
      </c>
      <c r="AA348" s="2">
        <f>$C348+total_production!Z348</f>
        <v>19564620.352905754</v>
      </c>
      <c r="AB348" s="2">
        <f>$C348+total_production!AA348</f>
        <v>19564620.352905754</v>
      </c>
    </row>
    <row r="349" spans="1:28" x14ac:dyDescent="0.2">
      <c r="A349" t="s">
        <v>350</v>
      </c>
      <c r="B349" t="s">
        <v>351</v>
      </c>
      <c r="C349" s="1">
        <v>13179286</v>
      </c>
      <c r="D349" s="2">
        <f>$C349+total_production!C349</f>
        <v>13352693.421653725</v>
      </c>
      <c r="E349" s="2">
        <f>$C349+total_production!D349</f>
        <v>13358759.714019103</v>
      </c>
      <c r="F349" s="2">
        <f>$C349+total_production!E349</f>
        <v>13366910.318061637</v>
      </c>
      <c r="G349" s="2">
        <f>$C349+total_production!F349</f>
        <v>13375138.912837321</v>
      </c>
      <c r="H349" s="2">
        <f>$C349+total_production!G349</f>
        <v>13388268.468519973</v>
      </c>
      <c r="I349" s="2">
        <f>$C349+total_production!H349</f>
        <v>13399265.260397449</v>
      </c>
      <c r="J349" s="2">
        <f>$C349+total_production!I349</f>
        <v>13414623.258869316</v>
      </c>
      <c r="K349" s="2">
        <f>$C349+total_production!J349</f>
        <v>13449853.48433855</v>
      </c>
      <c r="L349" s="2">
        <f>$C349+total_production!K349</f>
        <v>13464144.902654026</v>
      </c>
      <c r="M349" s="2">
        <f>$C349+total_production!L349</f>
        <v>13513917.098453483</v>
      </c>
      <c r="N349" s="2">
        <f>$C349+total_production!M349</f>
        <v>13536001.813661264</v>
      </c>
      <c r="O349" s="2">
        <f>$C349+total_production!N349</f>
        <v>13555885.849239562</v>
      </c>
      <c r="P349" s="2">
        <f>$C349+total_production!O349</f>
        <v>13555885.849239562</v>
      </c>
      <c r="Q349" s="2">
        <f>$C349+total_production!P349</f>
        <v>13555885.849239562</v>
      </c>
      <c r="R349" s="2">
        <f>$C349+total_production!Q349</f>
        <v>13573243.256844932</v>
      </c>
      <c r="S349" s="2">
        <f>$C349+total_production!R349</f>
        <v>13573243.256844932</v>
      </c>
      <c r="T349" s="2">
        <f>$C349+total_production!S349</f>
        <v>13592713.871257372</v>
      </c>
      <c r="U349" s="2">
        <f>$C349+total_production!T349</f>
        <v>13592713.871257372</v>
      </c>
      <c r="V349" s="2">
        <f>$C349+total_production!U349</f>
        <v>13610285.107338788</v>
      </c>
      <c r="W349" s="2">
        <f>$C349+total_production!V349</f>
        <v>13610285.107338788</v>
      </c>
      <c r="X349" s="2">
        <f>$C349+total_production!W349</f>
        <v>13625546.475136485</v>
      </c>
      <c r="Y349" s="2">
        <f>$C349+total_production!X349</f>
        <v>13625546.475136485</v>
      </c>
      <c r="Z349" s="2">
        <f>$C349+total_production!Y349</f>
        <v>13625546.475136485</v>
      </c>
      <c r="AA349" s="2">
        <f>$C349+total_production!Z349</f>
        <v>13625546.475136485</v>
      </c>
      <c r="AB349" s="2">
        <f>$C349+total_production!AA349</f>
        <v>13625546.475136485</v>
      </c>
    </row>
    <row r="350" spans="1:28" x14ac:dyDescent="0.2">
      <c r="A350" t="s">
        <v>399</v>
      </c>
      <c r="B350" t="s">
        <v>400</v>
      </c>
      <c r="C350" s="1">
        <v>10555769</v>
      </c>
      <c r="D350" s="2">
        <f>$C350+total_production!C350</f>
        <v>10577429.010732438</v>
      </c>
      <c r="E350" s="2">
        <f>$C350+total_production!D350</f>
        <v>10546579.00488784</v>
      </c>
      <c r="F350" s="2">
        <f>$C350+total_production!E350</f>
        <v>10549475.724173909</v>
      </c>
      <c r="G350" s="2">
        <f>$C350+total_production!F350</f>
        <v>10539197.775123745</v>
      </c>
      <c r="H350" s="2">
        <f>$C350+total_production!G350</f>
        <v>10431955.975134099</v>
      </c>
      <c r="I350" s="2">
        <f>$C350+total_production!H350</f>
        <v>10435864.227694295</v>
      </c>
      <c r="J350" s="2">
        <f>$C350+total_production!I350</f>
        <v>10441322.450193724</v>
      </c>
      <c r="K350" s="2">
        <f>$C350+total_production!J350</f>
        <v>10391415.190310329</v>
      </c>
      <c r="L350" s="2">
        <f>$C350+total_production!K350</f>
        <v>10396494.350927591</v>
      </c>
      <c r="M350" s="2">
        <f>$C350+total_production!L350</f>
        <v>10335156.883309443</v>
      </c>
      <c r="N350" s="2">
        <f>$C350+total_production!M350</f>
        <v>10291134.355185295</v>
      </c>
      <c r="O350" s="2">
        <f>$C350+total_production!N350</f>
        <v>10252854.831167744</v>
      </c>
      <c r="P350" s="2">
        <f>$C350+total_production!O350</f>
        <v>10252854.831167744</v>
      </c>
      <c r="Q350" s="2">
        <f>$C350+total_production!P350</f>
        <v>10252854.831167744</v>
      </c>
      <c r="R350" s="2">
        <f>$C350+total_production!Q350</f>
        <v>10219213.81617265</v>
      </c>
      <c r="S350" s="2">
        <f>$C350+total_production!R350</f>
        <v>10219213.81617265</v>
      </c>
      <c r="T350" s="2">
        <f>$C350+total_production!S350</f>
        <v>10182193.448589945</v>
      </c>
      <c r="U350" s="2">
        <f>$C350+total_production!T350</f>
        <v>10182193.448589945</v>
      </c>
      <c r="V350" s="2">
        <f>$C350+total_production!U350</f>
        <v>10146651.108891288</v>
      </c>
      <c r="W350" s="2">
        <f>$C350+total_production!V350</f>
        <v>10146651.108891288</v>
      </c>
      <c r="X350" s="2">
        <f>$C350+total_production!W350</f>
        <v>10116494.406607077</v>
      </c>
      <c r="Y350" s="2">
        <f>$C350+total_production!X350</f>
        <v>10116494.406607077</v>
      </c>
      <c r="Z350" s="2">
        <f>$C350+total_production!Y350</f>
        <v>10116494.406607077</v>
      </c>
      <c r="AA350" s="2">
        <f>$C350+total_production!Z350</f>
        <v>10116494.406607077</v>
      </c>
      <c r="AB350" s="2">
        <f>$C350+total_production!AA350</f>
        <v>10116494.406607077</v>
      </c>
    </row>
    <row r="351" spans="1:28" x14ac:dyDescent="0.2">
      <c r="A351" t="s">
        <v>430</v>
      </c>
      <c r="B351" t="s">
        <v>431</v>
      </c>
      <c r="C351" s="1">
        <v>10478381</v>
      </c>
      <c r="D351" s="2">
        <f>$C351+total_production!C351</f>
        <v>10505879.442020299</v>
      </c>
      <c r="E351" s="2">
        <f>$C351+total_production!D351</f>
        <v>10503633.187200978</v>
      </c>
      <c r="F351" s="2">
        <f>$C351+total_production!E351</f>
        <v>10505116.370968098</v>
      </c>
      <c r="G351" s="2">
        <f>$C351+total_production!F351</f>
        <v>10505273.686069697</v>
      </c>
      <c r="H351" s="2">
        <f>$C351+total_production!G351</f>
        <v>10496304.077484112</v>
      </c>
      <c r="I351" s="2">
        <f>$C351+total_production!H351</f>
        <v>10498305.188459195</v>
      </c>
      <c r="J351" s="2">
        <f>$C351+total_production!I351</f>
        <v>10501099.918016667</v>
      </c>
      <c r="K351" s="2">
        <f>$C351+total_production!J351</f>
        <v>10501174.305471295</v>
      </c>
      <c r="L351" s="2">
        <f>$C351+total_production!K351</f>
        <v>10503774.947036512</v>
      </c>
      <c r="M351" s="2">
        <f>$C351+total_production!L351</f>
        <v>10504810.807106685</v>
      </c>
      <c r="N351" s="2">
        <f>$C351+total_production!M351</f>
        <v>10503564.590047484</v>
      </c>
      <c r="O351" s="2">
        <f>$C351+total_production!N351</f>
        <v>10502580.219668072</v>
      </c>
      <c r="P351" s="2">
        <f>$C351+total_production!O351</f>
        <v>10502580.219668072</v>
      </c>
      <c r="Q351" s="2">
        <f>$C351+total_production!P351</f>
        <v>10502580.219668072</v>
      </c>
      <c r="R351" s="2">
        <f>$C351+total_production!Q351</f>
        <v>10501698.032714773</v>
      </c>
      <c r="S351" s="2">
        <f>$C351+total_production!R351</f>
        <v>10501698.032714773</v>
      </c>
      <c r="T351" s="2">
        <f>$C351+total_production!S351</f>
        <v>10500781.150871206</v>
      </c>
      <c r="U351" s="2">
        <f>$C351+total_production!T351</f>
        <v>10500781.150871206</v>
      </c>
      <c r="V351" s="2">
        <f>$C351+total_production!U351</f>
        <v>10499737.174079852</v>
      </c>
      <c r="W351" s="2">
        <f>$C351+total_production!V351</f>
        <v>10499737.174079852</v>
      </c>
      <c r="X351" s="2">
        <f>$C351+total_production!W351</f>
        <v>10498902.840260524</v>
      </c>
      <c r="Y351" s="2">
        <f>$C351+total_production!X351</f>
        <v>10498902.840260524</v>
      </c>
      <c r="Z351" s="2">
        <f>$C351+total_production!Y351</f>
        <v>10498902.840260524</v>
      </c>
      <c r="AA351" s="2">
        <f>$C351+total_production!Z351</f>
        <v>10498902.840260524</v>
      </c>
      <c r="AB351" s="2">
        <f>$C351+total_production!AA351</f>
        <v>10498902.840260524</v>
      </c>
    </row>
    <row r="352" spans="1:28" x14ac:dyDescent="0.2">
      <c r="A352" t="s">
        <v>342</v>
      </c>
      <c r="B352" t="s">
        <v>41</v>
      </c>
      <c r="C352" s="1">
        <v>24271315</v>
      </c>
      <c r="D352" s="2">
        <f>$C352+total_production!C352</f>
        <v>24485505.907807782</v>
      </c>
      <c r="E352" s="2">
        <f>$C352+total_production!D352</f>
        <v>24467206.457571886</v>
      </c>
      <c r="F352" s="2">
        <f>$C352+total_production!E352</f>
        <v>24478806.99729149</v>
      </c>
      <c r="G352" s="2">
        <f>$C352+total_production!F352</f>
        <v>24479745.160422396</v>
      </c>
      <c r="H352" s="2">
        <f>$C352+total_production!G352</f>
        <v>24407113.190577935</v>
      </c>
      <c r="I352" s="2">
        <f>$C352+total_production!H352</f>
        <v>24422764.634360157</v>
      </c>
      <c r="J352" s="2">
        <f>$C352+total_production!I352</f>
        <v>24444623.268438902</v>
      </c>
      <c r="K352" s="2">
        <f>$C352+total_production!J352</f>
        <v>24443823.127882808</v>
      </c>
      <c r="L352" s="2">
        <f>$C352+total_production!K352</f>
        <v>24464163.726561509</v>
      </c>
      <c r="M352" s="2">
        <f>$C352+total_production!L352</f>
        <v>24470516.191442918</v>
      </c>
      <c r="N352" s="2">
        <f>$C352+total_production!M352</f>
        <v>24459620.794235703</v>
      </c>
      <c r="O352" s="2">
        <f>$C352+total_production!N352</f>
        <v>24450917.843576699</v>
      </c>
      <c r="P352" s="2">
        <f>$C352+total_production!O352</f>
        <v>24450917.843576699</v>
      </c>
      <c r="Q352" s="2">
        <f>$C352+total_production!P352</f>
        <v>24450917.843576699</v>
      </c>
      <c r="R352" s="2">
        <f>$C352+total_production!Q352</f>
        <v>24443136.667384386</v>
      </c>
      <c r="S352" s="2">
        <f>$C352+total_production!R352</f>
        <v>24443136.667384386</v>
      </c>
      <c r="T352" s="2">
        <f>$C352+total_production!S352</f>
        <v>24434992.696164839</v>
      </c>
      <c r="U352" s="2">
        <f>$C352+total_production!T352</f>
        <v>24434992.696164839</v>
      </c>
      <c r="V352" s="2">
        <f>$C352+total_production!U352</f>
        <v>24425902.329244237</v>
      </c>
      <c r="W352" s="2">
        <f>$C352+total_production!V352</f>
        <v>24425902.329244237</v>
      </c>
      <c r="X352" s="2">
        <f>$C352+total_production!W352</f>
        <v>24418589.052080974</v>
      </c>
      <c r="Y352" s="2">
        <f>$C352+total_production!X352</f>
        <v>24418589.052080974</v>
      </c>
      <c r="Z352" s="2">
        <f>$C352+total_production!Y352</f>
        <v>24418589.052080974</v>
      </c>
      <c r="AA352" s="2">
        <f>$C352+total_production!Z352</f>
        <v>24418589.052080974</v>
      </c>
      <c r="AB352" s="2">
        <f>$C352+total_production!AA352</f>
        <v>24418589.052080974</v>
      </c>
    </row>
    <row r="353" spans="1:28" x14ac:dyDescent="0.2">
      <c r="A353" t="s">
        <v>387</v>
      </c>
      <c r="B353" t="s">
        <v>19</v>
      </c>
      <c r="C353" s="1">
        <v>18430523</v>
      </c>
      <c r="D353" s="2">
        <f>$C353+total_production!C353</f>
        <v>18491264.156106722</v>
      </c>
      <c r="E353" s="2">
        <f>$C353+total_production!D353</f>
        <v>18487240.406616498</v>
      </c>
      <c r="F353" s="2">
        <f>$C353+total_production!E353</f>
        <v>18490460.85248784</v>
      </c>
      <c r="G353" s="2">
        <f>$C353+total_production!F353</f>
        <v>18491143.854618751</v>
      </c>
      <c r="H353" s="2">
        <f>$C353+total_production!G353</f>
        <v>18474562.109049361</v>
      </c>
      <c r="I353" s="2">
        <f>$C353+total_production!H353</f>
        <v>18478907.133395411</v>
      </c>
      <c r="J353" s="2">
        <f>$C353+total_production!I353</f>
        <v>18484975.34656252</v>
      </c>
      <c r="K353" s="2">
        <f>$C353+total_production!J353</f>
        <v>18486751.297563609</v>
      </c>
      <c r="L353" s="2">
        <f>$C353+total_production!K353</f>
        <v>18492398.086300921</v>
      </c>
      <c r="M353" s="2">
        <f>$C353+total_production!L353</f>
        <v>18496690.935153384</v>
      </c>
      <c r="N353" s="2">
        <f>$C353+total_production!M353</f>
        <v>18495326.447602872</v>
      </c>
      <c r="O353" s="2">
        <f>$C353+total_production!N353</f>
        <v>18494361.765074119</v>
      </c>
      <c r="P353" s="2">
        <f>$C353+total_production!O353</f>
        <v>18494361.765074119</v>
      </c>
      <c r="Q353" s="2">
        <f>$C353+total_production!P353</f>
        <v>18494361.765074119</v>
      </c>
      <c r="R353" s="2">
        <f>$C353+total_production!Q353</f>
        <v>18493475.777041852</v>
      </c>
      <c r="S353" s="2">
        <f>$C353+total_production!R353</f>
        <v>18493475.777041852</v>
      </c>
      <c r="T353" s="2">
        <f>$C353+total_production!S353</f>
        <v>18492621.27041433</v>
      </c>
      <c r="U353" s="2">
        <f>$C353+total_production!T353</f>
        <v>18492621.27041433</v>
      </c>
      <c r="V353" s="2">
        <f>$C353+total_production!U353</f>
        <v>18491435.121981084</v>
      </c>
      <c r="W353" s="2">
        <f>$C353+total_production!V353</f>
        <v>18491435.121981084</v>
      </c>
      <c r="X353" s="2">
        <f>$C353+total_production!W353</f>
        <v>18490543.666555956</v>
      </c>
      <c r="Y353" s="2">
        <f>$C353+total_production!X353</f>
        <v>18490543.666555956</v>
      </c>
      <c r="Z353" s="2">
        <f>$C353+total_production!Y353</f>
        <v>18490543.666555956</v>
      </c>
      <c r="AA353" s="2">
        <f>$C353+total_production!Z353</f>
        <v>18490543.666555956</v>
      </c>
      <c r="AB353" s="2">
        <f>$C353+total_production!AA353</f>
        <v>18490543.666555956</v>
      </c>
    </row>
    <row r="354" spans="1:28" x14ac:dyDescent="0.2">
      <c r="A354" t="s">
        <v>384</v>
      </c>
      <c r="B354" t="s">
        <v>13</v>
      </c>
      <c r="C354" s="1">
        <v>21335691</v>
      </c>
      <c r="D354" s="2">
        <f>$C354+total_production!C354</f>
        <v>21408716.907956589</v>
      </c>
      <c r="E354" s="2">
        <f>$C354+total_production!D354</f>
        <v>21411313.112768903</v>
      </c>
      <c r="F354" s="2">
        <f>$C354+total_production!E354</f>
        <v>21414743.052715227</v>
      </c>
      <c r="G354" s="2">
        <f>$C354+total_production!F354</f>
        <v>21418223.166993987</v>
      </c>
      <c r="H354" s="2">
        <f>$C354+total_production!G354</f>
        <v>21423895.451698188</v>
      </c>
      <c r="I354" s="2">
        <f>$C354+total_production!H354</f>
        <v>21428523.125370614</v>
      </c>
      <c r="J354" s="2">
        <f>$C354+total_production!I354</f>
        <v>21434986.08347524</v>
      </c>
      <c r="K354" s="2">
        <f>$C354+total_production!J354</f>
        <v>21449893.739165135</v>
      </c>
      <c r="L354" s="2">
        <f>$C354+total_production!K354</f>
        <v>21455907.858648077</v>
      </c>
      <c r="M354" s="2">
        <f>$C354+total_production!L354</f>
        <v>21476956.889454372</v>
      </c>
      <c r="N354" s="2">
        <f>$C354+total_production!M354</f>
        <v>21486318.77060841</v>
      </c>
      <c r="O354" s="2">
        <f>$C354+total_production!N354</f>
        <v>21494745.98388543</v>
      </c>
      <c r="P354" s="2">
        <f>$C354+total_production!O354</f>
        <v>21494745.98388543</v>
      </c>
      <c r="Q354" s="2">
        <f>$C354+total_production!P354</f>
        <v>21494745.98388543</v>
      </c>
      <c r="R354" s="2">
        <f>$C354+total_production!Q354</f>
        <v>21502102.663156372</v>
      </c>
      <c r="S354" s="2">
        <f>$C354+total_production!R354</f>
        <v>21502102.663156372</v>
      </c>
      <c r="T354" s="2">
        <f>$C354+total_production!S354</f>
        <v>21510354.052129604</v>
      </c>
      <c r="U354" s="2">
        <f>$C354+total_production!T354</f>
        <v>21510354.052129604</v>
      </c>
      <c r="V354" s="2">
        <f>$C354+total_production!U354</f>
        <v>21517803.313914586</v>
      </c>
      <c r="W354" s="2">
        <f>$C354+total_production!V354</f>
        <v>21517803.313914586</v>
      </c>
      <c r="X354" s="2">
        <f>$C354+total_production!W354</f>
        <v>21524272.377757765</v>
      </c>
      <c r="Y354" s="2">
        <f>$C354+total_production!X354</f>
        <v>21524272.377757765</v>
      </c>
      <c r="Z354" s="2">
        <f>$C354+total_production!Y354</f>
        <v>21524272.377757765</v>
      </c>
      <c r="AA354" s="2">
        <f>$C354+total_production!Z354</f>
        <v>21524272.377757765</v>
      </c>
      <c r="AB354" s="2">
        <f>$C354+total_production!AA354</f>
        <v>21524272.377757765</v>
      </c>
    </row>
    <row r="355" spans="1:28" x14ac:dyDescent="0.2">
      <c r="A355" t="s">
        <v>345</v>
      </c>
      <c r="B355" t="s">
        <v>21</v>
      </c>
      <c r="C355" s="1">
        <v>33666812</v>
      </c>
      <c r="D355" s="2">
        <f>$C355+total_production!C355</f>
        <v>33859149.389747441</v>
      </c>
      <c r="E355" s="2">
        <f>$C355+total_production!D355</f>
        <v>33864545.881929234</v>
      </c>
      <c r="F355" s="2">
        <f>$C355+total_production!E355</f>
        <v>33873665.41460412</v>
      </c>
      <c r="G355" s="2">
        <f>$C355+total_production!F355</f>
        <v>33882315.829459138</v>
      </c>
      <c r="H355" s="2">
        <f>$C355+total_production!G355</f>
        <v>33892290.131572753</v>
      </c>
      <c r="I355" s="2">
        <f>$C355+total_production!H355</f>
        <v>33904594.201592878</v>
      </c>
      <c r="J355" s="2">
        <f>$C355+total_production!I355</f>
        <v>33921777.930326879</v>
      </c>
      <c r="K355" s="2">
        <f>$C355+total_production!J355</f>
        <v>33958565.392569117</v>
      </c>
      <c r="L355" s="2">
        <f>$C355+total_production!K355</f>
        <v>33974555.748083681</v>
      </c>
      <c r="M355" s="2">
        <f>$C355+total_production!L355</f>
        <v>34026914.406363569</v>
      </c>
      <c r="N355" s="2">
        <f>$C355+total_production!M355</f>
        <v>34049438.526362747</v>
      </c>
      <c r="O355" s="2">
        <f>$C355+total_production!N355</f>
        <v>34069775.338284276</v>
      </c>
      <c r="P355" s="2">
        <f>$C355+total_production!O355</f>
        <v>34069775.338284276</v>
      </c>
      <c r="Q355" s="2">
        <f>$C355+total_production!P355</f>
        <v>34069775.338284276</v>
      </c>
      <c r="R355" s="2">
        <f>$C355+total_production!Q355</f>
        <v>34087518.481453478</v>
      </c>
      <c r="S355" s="2">
        <f>$C355+total_production!R355</f>
        <v>34087518.481453478</v>
      </c>
      <c r="T355" s="2">
        <f>$C355+total_production!S355</f>
        <v>34107451.981279947</v>
      </c>
      <c r="U355" s="2">
        <f>$C355+total_production!T355</f>
        <v>34107451.981279947</v>
      </c>
      <c r="V355" s="2">
        <f>$C355+total_production!U355</f>
        <v>34125351.043523505</v>
      </c>
      <c r="W355" s="2">
        <f>$C355+total_production!V355</f>
        <v>34125351.043523505</v>
      </c>
      <c r="X355" s="2">
        <f>$C355+total_production!W355</f>
        <v>34140927.203968361</v>
      </c>
      <c r="Y355" s="2">
        <f>$C355+total_production!X355</f>
        <v>34140927.203968361</v>
      </c>
      <c r="Z355" s="2">
        <f>$C355+total_production!Y355</f>
        <v>34140927.203968361</v>
      </c>
      <c r="AA355" s="2">
        <f>$C355+total_production!Z355</f>
        <v>34140927.203968361</v>
      </c>
      <c r="AB355" s="2">
        <f>$C355+total_production!AA355</f>
        <v>34140927.203968361</v>
      </c>
    </row>
    <row r="356" spans="1:28" x14ac:dyDescent="0.2">
      <c r="A356" t="s">
        <v>675</v>
      </c>
      <c r="B356" t="s">
        <v>676</v>
      </c>
      <c r="C356" s="1">
        <v>1013859</v>
      </c>
      <c r="D356" s="2">
        <f>$C356+total_production!C356</f>
        <v>1017225.4909179384</v>
      </c>
      <c r="E356" s="2">
        <f>$C356+total_production!D356</f>
        <v>1017223.6805911834</v>
      </c>
      <c r="F356" s="2">
        <f>$C356+total_production!E356</f>
        <v>1017389.0218701375</v>
      </c>
      <c r="G356" s="2">
        <f>$C356+total_production!F356</f>
        <v>1017505.997350745</v>
      </c>
      <c r="H356" s="2">
        <f>$C356+total_production!G356</f>
        <v>1017348.9646526111</v>
      </c>
      <c r="I356" s="2">
        <f>$C356+total_production!H356</f>
        <v>1017572.043043357</v>
      </c>
      <c r="J356" s="2">
        <f>$C356+total_production!I356</f>
        <v>1017883.5918679917</v>
      </c>
      <c r="K356" s="2">
        <f>$C356+total_production!J356</f>
        <v>1018362.0832940335</v>
      </c>
      <c r="L356" s="2">
        <f>$C356+total_production!K356</f>
        <v>1018651.9957189311</v>
      </c>
      <c r="M356" s="2">
        <f>$C356+total_production!L356</f>
        <v>1019362.6862933567</v>
      </c>
      <c r="N356" s="2">
        <f>$C356+total_production!M356</f>
        <v>1019614.4492985148</v>
      </c>
      <c r="O356" s="2">
        <f>$C356+total_production!N356</f>
        <v>1019846.2559855544</v>
      </c>
      <c r="P356" s="2">
        <f>$C356+total_production!O356</f>
        <v>1019846.2559855544</v>
      </c>
      <c r="Q356" s="2">
        <f>$C356+total_production!P356</f>
        <v>1019846.2559855544</v>
      </c>
      <c r="R356" s="2">
        <f>$C356+total_production!Q356</f>
        <v>1020047.7539209414</v>
      </c>
      <c r="S356" s="2">
        <f>$C356+total_production!R356</f>
        <v>1020047.7539209414</v>
      </c>
      <c r="T356" s="2">
        <f>$C356+total_production!S356</f>
        <v>1020276.493613433</v>
      </c>
      <c r="U356" s="2">
        <f>$C356+total_production!T356</f>
        <v>1020276.493613433</v>
      </c>
      <c r="V356" s="2">
        <f>$C356+total_production!U356</f>
        <v>1020474.8485352952</v>
      </c>
      <c r="W356" s="2">
        <f>$C356+total_production!V356</f>
        <v>1020474.8485352952</v>
      </c>
      <c r="X356" s="2">
        <f>$C356+total_production!W356</f>
        <v>1020649.8269674232</v>
      </c>
      <c r="Y356" s="2">
        <f>$C356+total_production!X356</f>
        <v>1020649.8269674232</v>
      </c>
      <c r="Z356" s="2">
        <f>$C356+total_production!Y356</f>
        <v>1020649.8269674232</v>
      </c>
      <c r="AA356" s="2">
        <f>$C356+total_production!Z356</f>
        <v>1020649.8269674232</v>
      </c>
      <c r="AB356" s="2">
        <f>$C356+total_production!AA356</f>
        <v>1020649.8269674232</v>
      </c>
    </row>
    <row r="357" spans="1:28" x14ac:dyDescent="0.2">
      <c r="A357" t="s">
        <v>603</v>
      </c>
      <c r="B357" t="s">
        <v>604</v>
      </c>
      <c r="C357" s="1">
        <v>1766882</v>
      </c>
      <c r="D357" s="2">
        <f>$C357+total_production!C357</f>
        <v>1773456.8302004458</v>
      </c>
      <c r="E357" s="2">
        <f>$C357+total_production!D357</f>
        <v>1773452.0228104473</v>
      </c>
      <c r="F357" s="2">
        <f>$C357+total_production!E357</f>
        <v>1773775.0135248916</v>
      </c>
      <c r="G357" s="2">
        <f>$C357+total_production!F357</f>
        <v>1774003.0142865423</v>
      </c>
      <c r="H357" s="2">
        <f>$C357+total_production!G357</f>
        <v>1773691.9449873236</v>
      </c>
      <c r="I357" s="2">
        <f>$C357+total_production!H357</f>
        <v>1774127.7239365359</v>
      </c>
      <c r="J357" s="2">
        <f>$C357+total_production!I357</f>
        <v>1774736.3280194944</v>
      </c>
      <c r="K357" s="2">
        <f>$C357+total_production!J357</f>
        <v>1775668.6470604986</v>
      </c>
      <c r="L357" s="2">
        <f>$C357+total_production!K357</f>
        <v>1776234.9848911734</v>
      </c>
      <c r="M357" s="2">
        <f>$C357+total_production!L357</f>
        <v>1777620.2609376062</v>
      </c>
      <c r="N357" s="2">
        <f>$C357+total_production!M357</f>
        <v>1778110.0772747756</v>
      </c>
      <c r="O357" s="2">
        <f>$C357+total_production!N357</f>
        <v>1778561.1606256019</v>
      </c>
      <c r="P357" s="2">
        <f>$C357+total_production!O357</f>
        <v>1778561.1606256019</v>
      </c>
      <c r="Q357" s="2">
        <f>$C357+total_production!P357</f>
        <v>1778561.1606256019</v>
      </c>
      <c r="R357" s="2">
        <f>$C357+total_production!Q357</f>
        <v>1778953.2496587953</v>
      </c>
      <c r="S357" s="2">
        <f>$C357+total_production!R357</f>
        <v>1778953.2496587953</v>
      </c>
      <c r="T357" s="2">
        <f>$C357+total_production!S357</f>
        <v>1779398.395844118</v>
      </c>
      <c r="U357" s="2">
        <f>$C357+total_production!T357</f>
        <v>1779398.395844118</v>
      </c>
      <c r="V357" s="2">
        <f>$C357+total_production!U357</f>
        <v>1779784.2689261499</v>
      </c>
      <c r="W357" s="2">
        <f>$C357+total_production!V357</f>
        <v>1779784.2689261499</v>
      </c>
      <c r="X357" s="2">
        <f>$C357+total_production!W357</f>
        <v>1780124.7155216718</v>
      </c>
      <c r="Y357" s="2">
        <f>$C357+total_production!X357</f>
        <v>1780124.7155216718</v>
      </c>
      <c r="Z357" s="2">
        <f>$C357+total_production!Y357</f>
        <v>1780124.7155216718</v>
      </c>
      <c r="AA357" s="2">
        <f>$C357+total_production!Z357</f>
        <v>1780124.7155216718</v>
      </c>
      <c r="AB357" s="2">
        <f>$C357+total_production!AA357</f>
        <v>1780124.7155216718</v>
      </c>
    </row>
    <row r="358" spans="1:28" x14ac:dyDescent="0.2">
      <c r="A358" t="s">
        <v>976</v>
      </c>
      <c r="B358" t="s">
        <v>977</v>
      </c>
      <c r="C358" s="1">
        <v>0</v>
      </c>
      <c r="D358" s="2">
        <f>$C358+total_production!C358</f>
        <v>0</v>
      </c>
      <c r="E358" s="2">
        <f>$C358+total_production!D358</f>
        <v>0</v>
      </c>
      <c r="F358" s="2">
        <f>$C358+total_production!E358</f>
        <v>0</v>
      </c>
      <c r="G358" s="2">
        <f>$C358+total_production!F358</f>
        <v>0</v>
      </c>
      <c r="H358" s="2">
        <f>$C358+total_production!G358</f>
        <v>0</v>
      </c>
      <c r="I358" s="2">
        <f>$C358+total_production!H358</f>
        <v>0</v>
      </c>
      <c r="J358" s="2">
        <f>$C358+total_production!I358</f>
        <v>0</v>
      </c>
      <c r="K358" s="2">
        <f>$C358+total_production!J358</f>
        <v>0</v>
      </c>
      <c r="L358" s="2">
        <f>$C358+total_production!K358</f>
        <v>0</v>
      </c>
      <c r="M358" s="2">
        <f>$C358+total_production!L358</f>
        <v>0</v>
      </c>
      <c r="N358" s="2">
        <f>$C358+total_production!M358</f>
        <v>0</v>
      </c>
      <c r="O358" s="2">
        <f>$C358+total_production!N358</f>
        <v>0</v>
      </c>
      <c r="P358" s="2">
        <f>$C358+total_production!O358</f>
        <v>0</v>
      </c>
      <c r="Q358" s="2">
        <f>$C358+total_production!P358</f>
        <v>0</v>
      </c>
      <c r="R358" s="2">
        <f>$C358+total_production!Q358</f>
        <v>0</v>
      </c>
      <c r="S358" s="2">
        <f>$C358+total_production!R358</f>
        <v>0</v>
      </c>
      <c r="T358" s="2">
        <f>$C358+total_production!S358</f>
        <v>0</v>
      </c>
      <c r="U358" s="2">
        <f>$C358+total_production!T358</f>
        <v>0</v>
      </c>
      <c r="V358" s="2">
        <f>$C358+total_production!U358</f>
        <v>0</v>
      </c>
      <c r="W358" s="2">
        <f>$C358+total_production!V358</f>
        <v>0</v>
      </c>
      <c r="X358" s="2">
        <f>$C358+total_production!W358</f>
        <v>0</v>
      </c>
      <c r="Y358" s="2">
        <f>$C358+total_production!X358</f>
        <v>0</v>
      </c>
      <c r="Z358" s="2">
        <f>$C358+total_production!Y358</f>
        <v>0</v>
      </c>
      <c r="AA358" s="2">
        <f>$C358+total_production!Z358</f>
        <v>0</v>
      </c>
      <c r="AB358" s="2">
        <f>$C358+total_production!AA358</f>
        <v>0</v>
      </c>
    </row>
    <row r="359" spans="1:28" x14ac:dyDescent="0.2">
      <c r="A359" t="s">
        <v>978</v>
      </c>
      <c r="B359" t="s">
        <v>979</v>
      </c>
      <c r="C359" s="1">
        <v>0</v>
      </c>
      <c r="D359" s="2">
        <f>$C359+total_production!C359</f>
        <v>0</v>
      </c>
      <c r="E359" s="2">
        <f>$C359+total_production!D359</f>
        <v>0</v>
      </c>
      <c r="F359" s="2">
        <f>$C359+total_production!E359</f>
        <v>0</v>
      </c>
      <c r="G359" s="2">
        <f>$C359+total_production!F359</f>
        <v>0</v>
      </c>
      <c r="H359" s="2">
        <f>$C359+total_production!G359</f>
        <v>0</v>
      </c>
      <c r="I359" s="2">
        <f>$C359+total_production!H359</f>
        <v>0</v>
      </c>
      <c r="J359" s="2">
        <f>$C359+total_production!I359</f>
        <v>0</v>
      </c>
      <c r="K359" s="2">
        <f>$C359+total_production!J359</f>
        <v>0</v>
      </c>
      <c r="L359" s="2">
        <f>$C359+total_production!K359</f>
        <v>0</v>
      </c>
      <c r="M359" s="2">
        <f>$C359+total_production!L359</f>
        <v>0</v>
      </c>
      <c r="N359" s="2">
        <f>$C359+total_production!M359</f>
        <v>0</v>
      </c>
      <c r="O359" s="2">
        <f>$C359+total_production!N359</f>
        <v>0</v>
      </c>
      <c r="P359" s="2">
        <f>$C359+total_production!O359</f>
        <v>0</v>
      </c>
      <c r="Q359" s="2">
        <f>$C359+total_production!P359</f>
        <v>0</v>
      </c>
      <c r="R359" s="2">
        <f>$C359+total_production!Q359</f>
        <v>0</v>
      </c>
      <c r="S359" s="2">
        <f>$C359+total_production!R359</f>
        <v>0</v>
      </c>
      <c r="T359" s="2">
        <f>$C359+total_production!S359</f>
        <v>0</v>
      </c>
      <c r="U359" s="2">
        <f>$C359+total_production!T359</f>
        <v>0</v>
      </c>
      <c r="V359" s="2">
        <f>$C359+total_production!U359</f>
        <v>0</v>
      </c>
      <c r="W359" s="2">
        <f>$C359+total_production!V359</f>
        <v>0</v>
      </c>
      <c r="X359" s="2">
        <f>$C359+total_production!W359</f>
        <v>0</v>
      </c>
      <c r="Y359" s="2">
        <f>$C359+total_production!X359</f>
        <v>0</v>
      </c>
      <c r="Z359" s="2">
        <f>$C359+total_production!Y359</f>
        <v>0</v>
      </c>
      <c r="AA359" s="2">
        <f>$C359+total_production!Z359</f>
        <v>0</v>
      </c>
      <c r="AB359" s="2">
        <f>$C359+total_production!AA359</f>
        <v>0</v>
      </c>
    </row>
    <row r="360" spans="1:28" x14ac:dyDescent="0.2">
      <c r="A360" t="s">
        <v>980</v>
      </c>
      <c r="B360" t="s">
        <v>981</v>
      </c>
      <c r="C360" s="1">
        <v>0</v>
      </c>
      <c r="D360" s="2">
        <f>$C360+total_production!C360</f>
        <v>0</v>
      </c>
      <c r="E360" s="2">
        <f>$C360+total_production!D360</f>
        <v>0</v>
      </c>
      <c r="F360" s="2">
        <f>$C360+total_production!E360</f>
        <v>0</v>
      </c>
      <c r="G360" s="2">
        <f>$C360+total_production!F360</f>
        <v>0</v>
      </c>
      <c r="H360" s="2">
        <f>$C360+total_production!G360</f>
        <v>0</v>
      </c>
      <c r="I360" s="2">
        <f>$C360+total_production!H360</f>
        <v>0</v>
      </c>
      <c r="J360" s="2">
        <f>$C360+total_production!I360</f>
        <v>0</v>
      </c>
      <c r="K360" s="2">
        <f>$C360+total_production!J360</f>
        <v>0</v>
      </c>
      <c r="L360" s="2">
        <f>$C360+total_production!K360</f>
        <v>0</v>
      </c>
      <c r="M360" s="2">
        <f>$C360+total_production!L360</f>
        <v>0</v>
      </c>
      <c r="N360" s="2">
        <f>$C360+total_production!M360</f>
        <v>0</v>
      </c>
      <c r="O360" s="2">
        <f>$C360+total_production!N360</f>
        <v>0</v>
      </c>
      <c r="P360" s="2">
        <f>$C360+total_production!O360</f>
        <v>0</v>
      </c>
      <c r="Q360" s="2">
        <f>$C360+total_production!P360</f>
        <v>0</v>
      </c>
      <c r="R360" s="2">
        <f>$C360+total_production!Q360</f>
        <v>0</v>
      </c>
      <c r="S360" s="2">
        <f>$C360+total_production!R360</f>
        <v>0</v>
      </c>
      <c r="T360" s="2">
        <f>$C360+total_production!S360</f>
        <v>0</v>
      </c>
      <c r="U360" s="2">
        <f>$C360+total_production!T360</f>
        <v>0</v>
      </c>
      <c r="V360" s="2">
        <f>$C360+total_production!U360</f>
        <v>0</v>
      </c>
      <c r="W360" s="2">
        <f>$C360+total_production!V360</f>
        <v>0</v>
      </c>
      <c r="X360" s="2">
        <f>$C360+total_production!W360</f>
        <v>0</v>
      </c>
      <c r="Y360" s="2">
        <f>$C360+total_production!X360</f>
        <v>0</v>
      </c>
      <c r="Z360" s="2">
        <f>$C360+total_production!Y360</f>
        <v>0</v>
      </c>
      <c r="AA360" s="2">
        <f>$C360+total_production!Z360</f>
        <v>0</v>
      </c>
      <c r="AB360" s="2">
        <f>$C360+total_production!AA360</f>
        <v>0</v>
      </c>
    </row>
    <row r="361" spans="1:28" x14ac:dyDescent="0.2">
      <c r="A361" t="s">
        <v>538</v>
      </c>
      <c r="B361" t="s">
        <v>539</v>
      </c>
      <c r="C361" s="1">
        <v>2266403</v>
      </c>
      <c r="D361" s="2">
        <f>$C361+total_production!C361</f>
        <v>2278208.8990911823</v>
      </c>
      <c r="E361" s="2">
        <f>$C361+total_production!D361</f>
        <v>2278758.5276638977</v>
      </c>
      <c r="F361" s="2">
        <f>$C361+total_production!E361</f>
        <v>2279305.3155022725</v>
      </c>
      <c r="G361" s="2">
        <f>$C361+total_production!F361</f>
        <v>2279914.4025788014</v>
      </c>
      <c r="H361" s="2">
        <f>$C361+total_production!G361</f>
        <v>2281278.9275737652</v>
      </c>
      <c r="I361" s="2">
        <f>$C361+total_production!H361</f>
        <v>2282016.6535175559</v>
      </c>
      <c r="J361" s="2">
        <f>$C361+total_production!I361</f>
        <v>2283046.9534489932</v>
      </c>
      <c r="K361" s="2">
        <f>$C361+total_production!J361</f>
        <v>2285680.2375391638</v>
      </c>
      <c r="L361" s="2">
        <f>$C361+total_production!K361</f>
        <v>2286638.985343283</v>
      </c>
      <c r="M361" s="2">
        <f>$C361+total_production!L361</f>
        <v>2290319.5721448176</v>
      </c>
      <c r="N361" s="2">
        <f>$C361+total_production!M361</f>
        <v>2292025.3513519224</v>
      </c>
      <c r="O361" s="2">
        <f>$C361+total_production!N361</f>
        <v>2293555.2919472405</v>
      </c>
      <c r="P361" s="2">
        <f>$C361+total_production!O361</f>
        <v>2293555.2919472405</v>
      </c>
      <c r="Q361" s="2">
        <f>$C361+total_production!P361</f>
        <v>2293555.2919472405</v>
      </c>
      <c r="R361" s="2">
        <f>$C361+total_production!Q361</f>
        <v>2294891.8009476587</v>
      </c>
      <c r="S361" s="2">
        <f>$C361+total_production!R361</f>
        <v>2294891.8009476587</v>
      </c>
      <c r="T361" s="2">
        <f>$C361+total_production!S361</f>
        <v>2296387.9291591835</v>
      </c>
      <c r="U361" s="2">
        <f>$C361+total_production!T361</f>
        <v>2296387.9291591835</v>
      </c>
      <c r="V361" s="2">
        <f>$C361+total_production!U361</f>
        <v>2297747.3299057642</v>
      </c>
      <c r="W361" s="2">
        <f>$C361+total_production!V361</f>
        <v>2297747.3299057642</v>
      </c>
      <c r="X361" s="2">
        <f>$C361+total_production!W361</f>
        <v>2298924.9440358519</v>
      </c>
      <c r="Y361" s="2">
        <f>$C361+total_production!X361</f>
        <v>2298924.9440358519</v>
      </c>
      <c r="Z361" s="2">
        <f>$C361+total_production!Y361</f>
        <v>2298924.9440358519</v>
      </c>
      <c r="AA361" s="2">
        <f>$C361+total_production!Z361</f>
        <v>2298924.9440358519</v>
      </c>
      <c r="AB361" s="2">
        <f>$C361+total_production!AA361</f>
        <v>2298924.9440358519</v>
      </c>
    </row>
    <row r="362" spans="1:28" x14ac:dyDescent="0.2">
      <c r="A362" t="s">
        <v>910</v>
      </c>
      <c r="B362" t="s">
        <v>911</v>
      </c>
      <c r="C362" s="1">
        <v>146848</v>
      </c>
      <c r="D362" s="2">
        <f>$C362+total_production!C362</f>
        <v>146985.83340167248</v>
      </c>
      <c r="E362" s="2">
        <f>$C362+total_production!D362</f>
        <v>146983.66092726513</v>
      </c>
      <c r="F362" s="2">
        <f>$C362+total_production!E362</f>
        <v>146990.55517230002</v>
      </c>
      <c r="G362" s="2">
        <f>$C362+total_production!F362</f>
        <v>146994.59391006877</v>
      </c>
      <c r="H362" s="2">
        <f>$C362+total_production!G362</f>
        <v>146980.93618293977</v>
      </c>
      <c r="I362" s="2">
        <f>$C362+total_production!H362</f>
        <v>146990.23789572148</v>
      </c>
      <c r="J362" s="2">
        <f>$C362+total_production!I362</f>
        <v>147003.22856538941</v>
      </c>
      <c r="K362" s="2">
        <f>$C362+total_production!J362</f>
        <v>147019.21396836155</v>
      </c>
      <c r="L362" s="2">
        <f>$C362+total_production!K362</f>
        <v>147031.30246379686</v>
      </c>
      <c r="M362" s="2">
        <f>$C362+total_production!L362</f>
        <v>147055.91533053975</v>
      </c>
      <c r="N362" s="2">
        <f>$C362+total_production!M362</f>
        <v>147063.11752687045</v>
      </c>
      <c r="O362" s="2">
        <f>$C362+total_production!N362</f>
        <v>147069.90216835946</v>
      </c>
      <c r="P362" s="2">
        <f>$C362+total_production!O362</f>
        <v>147069.90216835946</v>
      </c>
      <c r="Q362" s="2">
        <f>$C362+total_production!P362</f>
        <v>147069.90216835946</v>
      </c>
      <c r="R362" s="2">
        <f>$C362+total_production!Q362</f>
        <v>147075.77477623083</v>
      </c>
      <c r="S362" s="2">
        <f>$C362+total_production!R362</f>
        <v>147075.77477623083</v>
      </c>
      <c r="T362" s="2">
        <f>$C362+total_production!S362</f>
        <v>147082.52086684035</v>
      </c>
      <c r="U362" s="2">
        <f>$C362+total_production!T362</f>
        <v>147082.52086684035</v>
      </c>
      <c r="V362" s="2">
        <f>$C362+total_production!U362</f>
        <v>147088.13679399417</v>
      </c>
      <c r="W362" s="2">
        <f>$C362+total_production!V362</f>
        <v>147088.13679399417</v>
      </c>
      <c r="X362" s="2">
        <f>$C362+total_production!W362</f>
        <v>147093.17231586008</v>
      </c>
      <c r="Y362" s="2">
        <f>$C362+total_production!X362</f>
        <v>147093.17231586008</v>
      </c>
      <c r="Z362" s="2">
        <f>$C362+total_production!Y362</f>
        <v>147093.17231586008</v>
      </c>
      <c r="AA362" s="2">
        <f>$C362+total_production!Z362</f>
        <v>147093.17231586008</v>
      </c>
      <c r="AB362" s="2">
        <f>$C362+total_production!AA362</f>
        <v>147093.17231586008</v>
      </c>
    </row>
    <row r="363" spans="1:28" x14ac:dyDescent="0.2">
      <c r="A363" t="s">
        <v>507</v>
      </c>
      <c r="B363" t="s">
        <v>508</v>
      </c>
      <c r="C363" s="1">
        <v>3783144</v>
      </c>
      <c r="D363" s="2">
        <f>$C363+total_production!C363</f>
        <v>3797373.723651947</v>
      </c>
      <c r="E363" s="2">
        <f>$C363+total_production!D363</f>
        <v>3797769.5220639124</v>
      </c>
      <c r="F363" s="2">
        <f>$C363+total_production!E363</f>
        <v>3798444.4188234312</v>
      </c>
      <c r="G363" s="2">
        <f>$C363+total_production!F363</f>
        <v>3799083.1692667073</v>
      </c>
      <c r="H363" s="2">
        <f>$C363+total_production!G363</f>
        <v>3799809.2114425655</v>
      </c>
      <c r="I363" s="2">
        <f>$C363+total_production!H363</f>
        <v>3800719.7818940906</v>
      </c>
      <c r="J363" s="2">
        <f>$C363+total_production!I363</f>
        <v>3801991.474562176</v>
      </c>
      <c r="K363" s="2">
        <f>$C363+total_production!J363</f>
        <v>3804707.1969927386</v>
      </c>
      <c r="L363" s="2">
        <f>$C363+total_production!K363</f>
        <v>3805890.5733240768</v>
      </c>
      <c r="M363" s="2">
        <f>$C363+total_production!L363</f>
        <v>3809756.8554002289</v>
      </c>
      <c r="N363" s="2">
        <f>$C363+total_production!M363</f>
        <v>3811418.1527990093</v>
      </c>
      <c r="O363" s="2">
        <f>$C363+total_production!N363</f>
        <v>3812918.283330793</v>
      </c>
      <c r="P363" s="2">
        <f>$C363+total_production!O363</f>
        <v>3812918.283330793</v>
      </c>
      <c r="Q363" s="2">
        <f>$C363+total_production!P363</f>
        <v>3812918.283330793</v>
      </c>
      <c r="R363" s="2">
        <f>$C363+total_production!Q363</f>
        <v>3814227.0670113005</v>
      </c>
      <c r="S363" s="2">
        <f>$C363+total_production!R363</f>
        <v>3814227.0670113005</v>
      </c>
      <c r="T363" s="2">
        <f>$C363+total_production!S363</f>
        <v>3815697.5023647863</v>
      </c>
      <c r="U363" s="2">
        <f>$C363+total_production!T363</f>
        <v>3815697.5023647863</v>
      </c>
      <c r="V363" s="2">
        <f>$C363+total_production!U363</f>
        <v>3817017.6109200157</v>
      </c>
      <c r="W363" s="2">
        <f>$C363+total_production!V363</f>
        <v>3817017.6109200157</v>
      </c>
      <c r="X363" s="2">
        <f>$C363+total_production!W363</f>
        <v>3818166.4834301453</v>
      </c>
      <c r="Y363" s="2">
        <f>$C363+total_production!X363</f>
        <v>3818166.4834301453</v>
      </c>
      <c r="Z363" s="2">
        <f>$C363+total_production!Y363</f>
        <v>3818166.4834301453</v>
      </c>
      <c r="AA363" s="2">
        <f>$C363+total_production!Z363</f>
        <v>3818166.4834301453</v>
      </c>
      <c r="AB363" s="2">
        <f>$C363+total_production!AA363</f>
        <v>3818166.4834301453</v>
      </c>
    </row>
    <row r="364" spans="1:28" x14ac:dyDescent="0.2">
      <c r="A364" t="s">
        <v>591</v>
      </c>
      <c r="B364" t="s">
        <v>592</v>
      </c>
      <c r="C364" s="1">
        <v>2409732</v>
      </c>
      <c r="D364" s="2">
        <f>$C364+total_production!C364</f>
        <v>2416610.2322157691</v>
      </c>
      <c r="E364" s="2">
        <f>$C364+total_production!D364</f>
        <v>2416678.5356902326</v>
      </c>
      <c r="F364" s="2">
        <f>$C364+total_production!E364</f>
        <v>2417012.0725160362</v>
      </c>
      <c r="G364" s="2">
        <f>$C364+total_production!F364</f>
        <v>2417276.8249664996</v>
      </c>
      <c r="H364" s="2">
        <f>$C364+total_production!G364</f>
        <v>2417204.016325783</v>
      </c>
      <c r="I364" s="2">
        <f>$C364+total_production!H364</f>
        <v>2417654.0240844348</v>
      </c>
      <c r="J364" s="2">
        <f>$C364+total_production!I364</f>
        <v>2418282.4999660114</v>
      </c>
      <c r="K364" s="2">
        <f>$C364+total_production!J364</f>
        <v>2419383.8406350575</v>
      </c>
      <c r="L364" s="2">
        <f>$C364+total_production!K364</f>
        <v>2419968.6702104243</v>
      </c>
      <c r="M364" s="2">
        <f>$C364+total_production!L364</f>
        <v>2421574.603345219</v>
      </c>
      <c r="N364" s="2">
        <f>$C364+total_production!M364</f>
        <v>2422195.5589538673</v>
      </c>
      <c r="O364" s="2">
        <f>$C364+total_production!N364</f>
        <v>2422762.0321809612</v>
      </c>
      <c r="P364" s="2">
        <f>$C364+total_production!O364</f>
        <v>2422762.0321809612</v>
      </c>
      <c r="Q364" s="2">
        <f>$C364+total_production!P364</f>
        <v>2422762.0321809612</v>
      </c>
      <c r="R364" s="2">
        <f>$C364+total_production!Q364</f>
        <v>2423255.2947819903</v>
      </c>
      <c r="S364" s="2">
        <f>$C364+total_production!R364</f>
        <v>2423255.2947819903</v>
      </c>
      <c r="T364" s="2">
        <f>$C364+total_production!S364</f>
        <v>2423812.5157057564</v>
      </c>
      <c r="U364" s="2">
        <f>$C364+total_production!T364</f>
        <v>2423812.5157057564</v>
      </c>
      <c r="V364" s="2">
        <f>$C364+total_production!U364</f>
        <v>2424303.748720808</v>
      </c>
      <c r="W364" s="2">
        <f>$C364+total_production!V364</f>
        <v>2424303.748720808</v>
      </c>
      <c r="X364" s="2">
        <f>$C364+total_production!W364</f>
        <v>2424734.29445526</v>
      </c>
      <c r="Y364" s="2">
        <f>$C364+total_production!X364</f>
        <v>2424734.29445526</v>
      </c>
      <c r="Z364" s="2">
        <f>$C364+total_production!Y364</f>
        <v>2424734.29445526</v>
      </c>
      <c r="AA364" s="2">
        <f>$C364+total_production!Z364</f>
        <v>2424734.29445526</v>
      </c>
      <c r="AB364" s="2">
        <f>$C364+total_production!AA364</f>
        <v>2424734.29445526</v>
      </c>
    </row>
    <row r="365" spans="1:28" x14ac:dyDescent="0.2">
      <c r="A365" t="s">
        <v>982</v>
      </c>
      <c r="B365" t="s">
        <v>983</v>
      </c>
      <c r="C365" s="1">
        <v>0</v>
      </c>
      <c r="D365" s="2">
        <f>$C365+total_production!C365</f>
        <v>0</v>
      </c>
      <c r="E365" s="2">
        <f>$C365+total_production!D365</f>
        <v>0</v>
      </c>
      <c r="F365" s="2">
        <f>$C365+total_production!E365</f>
        <v>0</v>
      </c>
      <c r="G365" s="2">
        <f>$C365+total_production!F365</f>
        <v>0</v>
      </c>
      <c r="H365" s="2">
        <f>$C365+total_production!G365</f>
        <v>0</v>
      </c>
      <c r="I365" s="2">
        <f>$C365+total_production!H365</f>
        <v>0</v>
      </c>
      <c r="J365" s="2">
        <f>$C365+total_production!I365</f>
        <v>0</v>
      </c>
      <c r="K365" s="2">
        <f>$C365+total_production!J365</f>
        <v>0</v>
      </c>
      <c r="L365" s="2">
        <f>$C365+total_production!K365</f>
        <v>0</v>
      </c>
      <c r="M365" s="2">
        <f>$C365+total_production!L365</f>
        <v>0</v>
      </c>
      <c r="N365" s="2">
        <f>$C365+total_production!M365</f>
        <v>0</v>
      </c>
      <c r="O365" s="2">
        <f>$C365+total_production!N365</f>
        <v>0</v>
      </c>
      <c r="P365" s="2">
        <f>$C365+total_production!O365</f>
        <v>0</v>
      </c>
      <c r="Q365" s="2">
        <f>$C365+total_production!P365</f>
        <v>0</v>
      </c>
      <c r="R365" s="2">
        <f>$C365+total_production!Q365</f>
        <v>0</v>
      </c>
      <c r="S365" s="2">
        <f>$C365+total_production!R365</f>
        <v>0</v>
      </c>
      <c r="T365" s="2">
        <f>$C365+total_production!S365</f>
        <v>0</v>
      </c>
      <c r="U365" s="2">
        <f>$C365+total_production!T365</f>
        <v>0</v>
      </c>
      <c r="V365" s="2">
        <f>$C365+total_production!U365</f>
        <v>0</v>
      </c>
      <c r="W365" s="2">
        <f>$C365+total_production!V365</f>
        <v>0</v>
      </c>
      <c r="X365" s="2">
        <f>$C365+total_production!W365</f>
        <v>0</v>
      </c>
      <c r="Y365" s="2">
        <f>$C365+total_production!X365</f>
        <v>0</v>
      </c>
      <c r="Z365" s="2">
        <f>$C365+total_production!Y365</f>
        <v>0</v>
      </c>
      <c r="AA365" s="2">
        <f>$C365+total_production!Z365</f>
        <v>0</v>
      </c>
      <c r="AB365" s="2">
        <f>$C365+total_production!AA365</f>
        <v>0</v>
      </c>
    </row>
    <row r="366" spans="1:28" x14ac:dyDescent="0.2">
      <c r="A366" t="s">
        <v>984</v>
      </c>
      <c r="B366" t="s">
        <v>985</v>
      </c>
      <c r="C366" s="1">
        <v>0</v>
      </c>
      <c r="D366" s="2">
        <f>$C366+total_production!C366</f>
        <v>0</v>
      </c>
      <c r="E366" s="2">
        <f>$C366+total_production!D366</f>
        <v>0</v>
      </c>
      <c r="F366" s="2">
        <f>$C366+total_production!E366</f>
        <v>0</v>
      </c>
      <c r="G366" s="2">
        <f>$C366+total_production!F366</f>
        <v>0</v>
      </c>
      <c r="H366" s="2">
        <f>$C366+total_production!G366</f>
        <v>0</v>
      </c>
      <c r="I366" s="2">
        <f>$C366+total_production!H366</f>
        <v>0</v>
      </c>
      <c r="J366" s="2">
        <f>$C366+total_production!I366</f>
        <v>0</v>
      </c>
      <c r="K366" s="2">
        <f>$C366+total_production!J366</f>
        <v>0</v>
      </c>
      <c r="L366" s="2">
        <f>$C366+total_production!K366</f>
        <v>0</v>
      </c>
      <c r="M366" s="2">
        <f>$C366+total_production!L366</f>
        <v>0</v>
      </c>
      <c r="N366" s="2">
        <f>$C366+total_production!M366</f>
        <v>0</v>
      </c>
      <c r="O366" s="2">
        <f>$C366+total_production!N366</f>
        <v>0</v>
      </c>
      <c r="P366" s="2">
        <f>$C366+total_production!O366</f>
        <v>0</v>
      </c>
      <c r="Q366" s="2">
        <f>$C366+total_production!P366</f>
        <v>0</v>
      </c>
      <c r="R366" s="2">
        <f>$C366+total_production!Q366</f>
        <v>0</v>
      </c>
      <c r="S366" s="2">
        <f>$C366+total_production!R366</f>
        <v>0</v>
      </c>
      <c r="T366" s="2">
        <f>$C366+total_production!S366</f>
        <v>0</v>
      </c>
      <c r="U366" s="2">
        <f>$C366+total_production!T366</f>
        <v>0</v>
      </c>
      <c r="V366" s="2">
        <f>$C366+total_production!U366</f>
        <v>0</v>
      </c>
      <c r="W366" s="2">
        <f>$C366+total_production!V366</f>
        <v>0</v>
      </c>
      <c r="X366" s="2">
        <f>$C366+total_production!W366</f>
        <v>0</v>
      </c>
      <c r="Y366" s="2">
        <f>$C366+total_production!X366</f>
        <v>0</v>
      </c>
      <c r="Z366" s="2">
        <f>$C366+total_production!Y366</f>
        <v>0</v>
      </c>
      <c r="AA366" s="2">
        <f>$C366+total_production!Z366</f>
        <v>0</v>
      </c>
      <c r="AB366" s="2">
        <f>$C366+total_production!AA366</f>
        <v>0</v>
      </c>
    </row>
    <row r="367" spans="1:28" x14ac:dyDescent="0.2">
      <c r="A367" t="s">
        <v>890</v>
      </c>
      <c r="B367" t="s">
        <v>891</v>
      </c>
      <c r="C367" s="1">
        <v>116370</v>
      </c>
      <c r="D367" s="2">
        <f>$C367+total_production!C367</f>
        <v>116604.20313160199</v>
      </c>
      <c r="E367" s="2">
        <f>$C367+total_production!D367</f>
        <v>116531.80590685774</v>
      </c>
      <c r="F367" s="2">
        <f>$C367+total_production!E367</f>
        <v>116547.60404711816</v>
      </c>
      <c r="G367" s="2">
        <f>$C367+total_production!F367</f>
        <v>116529.89119630167</v>
      </c>
      <c r="H367" s="2">
        <f>$C367+total_production!G367</f>
        <v>116270.00771876982</v>
      </c>
      <c r="I367" s="2">
        <f>$C367+total_production!H367</f>
        <v>116291.32256360688</v>
      </c>
      <c r="J367" s="2">
        <f>$C367+total_production!I367</f>
        <v>116321.09064125018</v>
      </c>
      <c r="K367" s="2">
        <f>$C367+total_production!J367</f>
        <v>116230.20364277122</v>
      </c>
      <c r="L367" s="2">
        <f>$C367+total_production!K367</f>
        <v>116257.90439107035</v>
      </c>
      <c r="M367" s="2">
        <f>$C367+total_production!L367</f>
        <v>116152.88275963339</v>
      </c>
      <c r="N367" s="2">
        <f>$C367+total_production!M367</f>
        <v>116063.43238796096</v>
      </c>
      <c r="O367" s="2">
        <f>$C367+total_production!N367</f>
        <v>115986.35361269528</v>
      </c>
      <c r="P367" s="2">
        <f>$C367+total_production!O367</f>
        <v>115986.35361269528</v>
      </c>
      <c r="Q367" s="2">
        <f>$C367+total_production!P367</f>
        <v>115986.35361269528</v>
      </c>
      <c r="R367" s="2">
        <f>$C367+total_production!Q367</f>
        <v>115918.49388336649</v>
      </c>
      <c r="S367" s="2">
        <f>$C367+total_production!R367</f>
        <v>115918.49388336649</v>
      </c>
      <c r="T367" s="2">
        <f>$C367+total_production!S367</f>
        <v>115844.19888404783</v>
      </c>
      <c r="U367" s="2">
        <f>$C367+total_production!T367</f>
        <v>115844.19888404783</v>
      </c>
      <c r="V367" s="2">
        <f>$C367+total_production!U367</f>
        <v>115771.71203787133</v>
      </c>
      <c r="W367" s="2">
        <f>$C367+total_production!V367</f>
        <v>115771.71203787133</v>
      </c>
      <c r="X367" s="2">
        <f>$C367+total_production!W367</f>
        <v>115710.57291396693</v>
      </c>
      <c r="Y367" s="2">
        <f>$C367+total_production!X367</f>
        <v>115710.57291396693</v>
      </c>
      <c r="Z367" s="2">
        <f>$C367+total_production!Y367</f>
        <v>115710.57291396693</v>
      </c>
      <c r="AA367" s="2">
        <f>$C367+total_production!Z367</f>
        <v>115710.57291396693</v>
      </c>
      <c r="AB367" s="2">
        <f>$C367+total_production!AA367</f>
        <v>115710.57291396693</v>
      </c>
    </row>
    <row r="368" spans="1:28" x14ac:dyDescent="0.2">
      <c r="A368" t="s">
        <v>685</v>
      </c>
      <c r="B368" t="s">
        <v>686</v>
      </c>
      <c r="C368" s="1">
        <v>2431877</v>
      </c>
      <c r="D368" s="2">
        <f>$C368+total_production!C368</f>
        <v>2434955.5850451547</v>
      </c>
      <c r="E368" s="2">
        <f>$C368+total_production!D368</f>
        <v>2434889.2239548406</v>
      </c>
      <c r="F368" s="2">
        <f>$C368+total_production!E368</f>
        <v>2435044.2709227479</v>
      </c>
      <c r="G368" s="2">
        <f>$C368+total_production!F368</f>
        <v>2435128.0980014689</v>
      </c>
      <c r="H368" s="2">
        <f>$C368+total_production!G368</f>
        <v>2434761.5982100293</v>
      </c>
      <c r="I368" s="2">
        <f>$C368+total_production!H368</f>
        <v>2434970.7875202219</v>
      </c>
      <c r="J368" s="2">
        <f>$C368+total_production!I368</f>
        <v>2435262.9390078615</v>
      </c>
      <c r="K368" s="2">
        <f>$C368+total_production!J368</f>
        <v>2435589.3334468217</v>
      </c>
      <c r="L368" s="2">
        <f>$C368+total_production!K368</f>
        <v>2435861.1956383041</v>
      </c>
      <c r="M368" s="2">
        <f>$C368+total_production!L368</f>
        <v>2436372.8135718796</v>
      </c>
      <c r="N368" s="2">
        <f>$C368+total_production!M368</f>
        <v>2436507.2779117748</v>
      </c>
      <c r="O368" s="2">
        <f>$C368+total_production!N368</f>
        <v>2436635.8121001218</v>
      </c>
      <c r="P368" s="2">
        <f>$C368+total_production!O368</f>
        <v>2436635.8121001218</v>
      </c>
      <c r="Q368" s="2">
        <f>$C368+total_production!P368</f>
        <v>2436635.8121001218</v>
      </c>
      <c r="R368" s="2">
        <f>$C368+total_production!Q368</f>
        <v>2436746.7713406999</v>
      </c>
      <c r="S368" s="2">
        <f>$C368+total_production!R368</f>
        <v>2436746.7713406999</v>
      </c>
      <c r="T368" s="2">
        <f>$C368+total_production!S368</f>
        <v>2436875.1842154968</v>
      </c>
      <c r="U368" s="2">
        <f>$C368+total_production!T368</f>
        <v>2436875.1842154968</v>
      </c>
      <c r="V368" s="2">
        <f>$C368+total_production!U368</f>
        <v>2436979.3222740074</v>
      </c>
      <c r="W368" s="2">
        <f>$C368+total_production!V368</f>
        <v>2436979.3222740074</v>
      </c>
      <c r="X368" s="2">
        <f>$C368+total_production!W368</f>
        <v>2437073.6988450899</v>
      </c>
      <c r="Y368" s="2">
        <f>$C368+total_production!X368</f>
        <v>2437073.6988450899</v>
      </c>
      <c r="Z368" s="2">
        <f>$C368+total_production!Y368</f>
        <v>2437073.6988450899</v>
      </c>
      <c r="AA368" s="2">
        <f>$C368+total_production!Z368</f>
        <v>2437073.6988450899</v>
      </c>
      <c r="AB368" s="2">
        <f>$C368+total_production!AA368</f>
        <v>2437073.6988450899</v>
      </c>
    </row>
    <row r="369" spans="1:28" x14ac:dyDescent="0.2">
      <c r="A369" t="s">
        <v>754</v>
      </c>
      <c r="B369" t="s">
        <v>755</v>
      </c>
      <c r="C369" s="1">
        <v>556309</v>
      </c>
      <c r="D369" s="2">
        <f>$C369+total_production!C369</f>
        <v>557967.02081774571</v>
      </c>
      <c r="E369" s="2">
        <f>$C369+total_production!D369</f>
        <v>557731.95269265235</v>
      </c>
      <c r="F369" s="2">
        <f>$C369+total_production!E369</f>
        <v>557827.30300298322</v>
      </c>
      <c r="G369" s="2">
        <f>$C369+total_production!F369</f>
        <v>557801.15168186964</v>
      </c>
      <c r="H369" s="2">
        <f>$C369+total_production!G369</f>
        <v>556917.12464642758</v>
      </c>
      <c r="I369" s="2">
        <f>$C369+total_production!H369</f>
        <v>557045.77124889893</v>
      </c>
      <c r="J369" s="2">
        <f>$C369+total_production!I369</f>
        <v>557225.43767763383</v>
      </c>
      <c r="K369" s="2">
        <f>$C369+total_production!J369</f>
        <v>557058.74051135685</v>
      </c>
      <c r="L369" s="2">
        <f>$C369+total_production!K369</f>
        <v>557225.9294907673</v>
      </c>
      <c r="M369" s="2">
        <f>$C369+total_production!L369</f>
        <v>557075.45003506262</v>
      </c>
      <c r="N369" s="2">
        <f>$C369+total_production!M369</f>
        <v>556852.85169077176</v>
      </c>
      <c r="O369" s="2">
        <f>$C369+total_production!N369</f>
        <v>556665.01025504246</v>
      </c>
      <c r="P369" s="2">
        <f>$C369+total_production!O369</f>
        <v>556665.01025504246</v>
      </c>
      <c r="Q369" s="2">
        <f>$C369+total_production!P369</f>
        <v>556665.01025504246</v>
      </c>
      <c r="R369" s="2">
        <f>$C369+total_production!Q369</f>
        <v>556498.94569815311</v>
      </c>
      <c r="S369" s="2">
        <f>$C369+total_production!R369</f>
        <v>556498.94569815311</v>
      </c>
      <c r="T369" s="2">
        <f>$C369+total_production!S369</f>
        <v>556319.30521916377</v>
      </c>
      <c r="U369" s="2">
        <f>$C369+total_production!T369</f>
        <v>556319.30521916377</v>
      </c>
      <c r="V369" s="2">
        <f>$C369+total_production!U369</f>
        <v>556137.40822083631</v>
      </c>
      <c r="W369" s="2">
        <f>$C369+total_production!V369</f>
        <v>556137.40822083631</v>
      </c>
      <c r="X369" s="2">
        <f>$C369+total_production!W369</f>
        <v>555986.03704679303</v>
      </c>
      <c r="Y369" s="2">
        <f>$C369+total_production!X369</f>
        <v>555986.03704679303</v>
      </c>
      <c r="Z369" s="2">
        <f>$C369+total_production!Y369</f>
        <v>555986.03704679303</v>
      </c>
      <c r="AA369" s="2">
        <f>$C369+total_production!Z369</f>
        <v>555986.03704679303</v>
      </c>
      <c r="AB369" s="2">
        <f>$C369+total_production!AA369</f>
        <v>555986.03704679303</v>
      </c>
    </row>
    <row r="370" spans="1:28" x14ac:dyDescent="0.2">
      <c r="A370" t="s">
        <v>641</v>
      </c>
      <c r="B370" t="s">
        <v>642</v>
      </c>
      <c r="C370" s="1">
        <v>1314276</v>
      </c>
      <c r="D370" s="2">
        <f>$C370+total_production!C370</f>
        <v>1319050.8737305847</v>
      </c>
      <c r="E370" s="2">
        <f>$C370+total_production!D370</f>
        <v>1318993.5227132102</v>
      </c>
      <c r="F370" s="2">
        <f>$C370+total_production!E370</f>
        <v>1319231.2911831681</v>
      </c>
      <c r="G370" s="2">
        <f>$C370+total_production!F370</f>
        <v>1319377.6083040808</v>
      </c>
      <c r="H370" s="2">
        <f>$C370+total_production!G370</f>
        <v>1318966.1637505773</v>
      </c>
      <c r="I370" s="2">
        <f>$C370+total_production!H370</f>
        <v>1319286.9608799077</v>
      </c>
      <c r="J370" s="2">
        <f>$C370+total_production!I370</f>
        <v>1319734.9826190595</v>
      </c>
      <c r="K370" s="2">
        <f>$C370+total_production!J370</f>
        <v>1320319.5248715167</v>
      </c>
      <c r="L370" s="2">
        <f>$C370+total_production!K370</f>
        <v>1320736.4324588156</v>
      </c>
      <c r="M370" s="2">
        <f>$C370+total_production!L370</f>
        <v>1321627.3557766781</v>
      </c>
      <c r="N370" s="2">
        <f>$C370+total_production!M370</f>
        <v>1321903.3625025849</v>
      </c>
      <c r="O370" s="2">
        <f>$C370+total_production!N370</f>
        <v>1322161.4944729914</v>
      </c>
      <c r="P370" s="2">
        <f>$C370+total_production!O370</f>
        <v>1322161.4944729914</v>
      </c>
      <c r="Q370" s="2">
        <f>$C370+total_production!P370</f>
        <v>1322161.4944729914</v>
      </c>
      <c r="R370" s="2">
        <f>$C370+total_production!Q370</f>
        <v>1322385.2245057432</v>
      </c>
      <c r="S370" s="2">
        <f>$C370+total_production!R370</f>
        <v>1322385.2245057432</v>
      </c>
      <c r="T370" s="2">
        <f>$C370+total_production!S370</f>
        <v>1322641.2782994299</v>
      </c>
      <c r="U370" s="2">
        <f>$C370+total_production!T370</f>
        <v>1322641.2782994299</v>
      </c>
      <c r="V370" s="2">
        <f>$C370+total_production!U370</f>
        <v>1322857.2087112386</v>
      </c>
      <c r="W370" s="2">
        <f>$C370+total_production!V370</f>
        <v>1322857.2087112386</v>
      </c>
      <c r="X370" s="2">
        <f>$C370+total_production!W370</f>
        <v>1323049.8175972414</v>
      </c>
      <c r="Y370" s="2">
        <f>$C370+total_production!X370</f>
        <v>1323049.8175972414</v>
      </c>
      <c r="Z370" s="2">
        <f>$C370+total_production!Y370</f>
        <v>1323049.8175972414</v>
      </c>
      <c r="AA370" s="2">
        <f>$C370+total_production!Z370</f>
        <v>1323049.8175972414</v>
      </c>
      <c r="AB370" s="2">
        <f>$C370+total_production!AA370</f>
        <v>1323049.8175972414</v>
      </c>
    </row>
    <row r="371" spans="1:28" x14ac:dyDescent="0.2">
      <c r="A371" t="s">
        <v>469</v>
      </c>
      <c r="B371" t="s">
        <v>470</v>
      </c>
      <c r="C371" s="1">
        <v>4234728</v>
      </c>
      <c r="D371" s="2">
        <f>$C371+total_production!C371</f>
        <v>4253020.4982012091</v>
      </c>
      <c r="E371" s="2">
        <f>$C371+total_production!D371</f>
        <v>4250584.4380964329</v>
      </c>
      <c r="F371" s="2">
        <f>$C371+total_production!E371</f>
        <v>4251627.0581912864</v>
      </c>
      <c r="G371" s="2">
        <f>$C371+total_production!F371</f>
        <v>4251394.8321320098</v>
      </c>
      <c r="H371" s="2">
        <f>$C371+total_production!G371</f>
        <v>4242183.750893659</v>
      </c>
      <c r="I371" s="2">
        <f>$C371+total_production!H371</f>
        <v>4243590.4535295069</v>
      </c>
      <c r="J371" s="2">
        <f>$C371+total_production!I371</f>
        <v>4245555.0389442733</v>
      </c>
      <c r="K371" s="2">
        <f>$C371+total_production!J371</f>
        <v>4243986.3269655462</v>
      </c>
      <c r="L371" s="2">
        <f>$C371+total_production!K371</f>
        <v>4245814.476123807</v>
      </c>
      <c r="M371" s="2">
        <f>$C371+total_production!L371</f>
        <v>4244490.648244922</v>
      </c>
      <c r="N371" s="2">
        <f>$C371+total_production!M371</f>
        <v>4242267.716069134</v>
      </c>
      <c r="O371" s="2">
        <f>$C371+total_production!N371</f>
        <v>4240398.2828593291</v>
      </c>
      <c r="P371" s="2">
        <f>$C371+total_production!O371</f>
        <v>4240398.2828593291</v>
      </c>
      <c r="Q371" s="2">
        <f>$C371+total_production!P371</f>
        <v>4240398.2828593291</v>
      </c>
      <c r="R371" s="2">
        <f>$C371+total_production!Q371</f>
        <v>4238744.4402872184</v>
      </c>
      <c r="S371" s="2">
        <f>$C371+total_production!R371</f>
        <v>4238744.4402872184</v>
      </c>
      <c r="T371" s="2">
        <f>$C371+total_production!S371</f>
        <v>4236958.9592254944</v>
      </c>
      <c r="U371" s="2">
        <f>$C371+total_production!T371</f>
        <v>4236958.9592254944</v>
      </c>
      <c r="V371" s="2">
        <f>$C371+total_production!U371</f>
        <v>4235140.0417755218</v>
      </c>
      <c r="W371" s="2">
        <f>$C371+total_production!V371</f>
        <v>4235140.0417755218</v>
      </c>
      <c r="X371" s="2">
        <f>$C371+total_production!W371</f>
        <v>4233629.6543897353</v>
      </c>
      <c r="Y371" s="2">
        <f>$C371+total_production!X371</f>
        <v>4233629.6543897353</v>
      </c>
      <c r="Z371" s="2">
        <f>$C371+total_production!Y371</f>
        <v>4233629.6543897353</v>
      </c>
      <c r="AA371" s="2">
        <f>$C371+total_production!Z371</f>
        <v>4233629.6543897353</v>
      </c>
      <c r="AB371" s="2">
        <f>$C371+total_production!AA371</f>
        <v>4233629.6543897353</v>
      </c>
    </row>
    <row r="372" spans="1:28" x14ac:dyDescent="0.2">
      <c r="A372" t="s">
        <v>690</v>
      </c>
      <c r="B372" t="s">
        <v>691</v>
      </c>
      <c r="C372" s="1">
        <v>873986</v>
      </c>
      <c r="D372" s="2">
        <f>$C372+total_production!C372</f>
        <v>876789.98349676828</v>
      </c>
      <c r="E372" s="2">
        <f>$C372+total_production!D372</f>
        <v>876551.34491982905</v>
      </c>
      <c r="F372" s="2">
        <f>$C372+total_production!E372</f>
        <v>876703.15343886812</v>
      </c>
      <c r="G372" s="2">
        <f>$C372+total_production!F372</f>
        <v>876715.7641982896</v>
      </c>
      <c r="H372" s="2">
        <f>$C372+total_production!G372</f>
        <v>875768.10618651717</v>
      </c>
      <c r="I372" s="2">
        <f>$C372+total_production!H372</f>
        <v>875972.9261827271</v>
      </c>
      <c r="J372" s="2">
        <f>$C372+total_production!I372</f>
        <v>876258.97553456074</v>
      </c>
      <c r="K372" s="2">
        <f>$C372+total_production!J372</f>
        <v>876250.08228336042</v>
      </c>
      <c r="L372" s="2">
        <f>$C372+total_production!K372</f>
        <v>876516.26611932146</v>
      </c>
      <c r="M372" s="2">
        <f>$C372+total_production!L372</f>
        <v>876601.39370829251</v>
      </c>
      <c r="N372" s="2">
        <f>$C372+total_production!M372</f>
        <v>876460.12379003584</v>
      </c>
      <c r="O372" s="2">
        <f>$C372+total_production!N372</f>
        <v>876347.3800560924</v>
      </c>
      <c r="P372" s="2">
        <f>$C372+total_production!O372</f>
        <v>876347.3800560924</v>
      </c>
      <c r="Q372" s="2">
        <f>$C372+total_production!P372</f>
        <v>876347.3800560924</v>
      </c>
      <c r="R372" s="2">
        <f>$C372+total_production!Q372</f>
        <v>876246.55905400973</v>
      </c>
      <c r="S372" s="2">
        <f>$C372+total_production!R372</f>
        <v>876246.55905400973</v>
      </c>
      <c r="T372" s="2">
        <f>$C372+total_production!S372</f>
        <v>876141.0947768474</v>
      </c>
      <c r="U372" s="2">
        <f>$C372+total_production!T372</f>
        <v>876141.0947768474</v>
      </c>
      <c r="V372" s="2">
        <f>$C372+total_production!U372</f>
        <v>876023.19123962161</v>
      </c>
      <c r="W372" s="2">
        <f>$C372+total_production!V372</f>
        <v>876023.19123962161</v>
      </c>
      <c r="X372" s="2">
        <f>$C372+total_production!W372</f>
        <v>875928.38644020481</v>
      </c>
      <c r="Y372" s="2">
        <f>$C372+total_production!X372</f>
        <v>875928.38644020481</v>
      </c>
      <c r="Z372" s="2">
        <f>$C372+total_production!Y372</f>
        <v>875928.38644020481</v>
      </c>
      <c r="AA372" s="2">
        <f>$C372+total_production!Z372</f>
        <v>875928.38644020481</v>
      </c>
      <c r="AB372" s="2">
        <f>$C372+total_production!AA372</f>
        <v>875928.38644020481</v>
      </c>
    </row>
    <row r="373" spans="1:28" x14ac:dyDescent="0.2">
      <c r="A373" t="s">
        <v>467</v>
      </c>
      <c r="B373" t="s">
        <v>468</v>
      </c>
      <c r="C373" s="1">
        <v>5453230</v>
      </c>
      <c r="D373" s="2">
        <f>$C373+total_production!C373</f>
        <v>5431579.6659192238</v>
      </c>
      <c r="E373" s="2">
        <f>$C373+total_production!D373</f>
        <v>5395744.8991923714</v>
      </c>
      <c r="F373" s="2">
        <f>$C373+total_production!E373</f>
        <v>5396812.1405945132</v>
      </c>
      <c r="G373" s="2">
        <f>$C373+total_production!F373</f>
        <v>5383237.9574242923</v>
      </c>
      <c r="H373" s="2">
        <f>$C373+total_production!G373</f>
        <v>5260764.7548652152</v>
      </c>
      <c r="I373" s="2">
        <f>$C373+total_production!H373</f>
        <v>5262204.6765595013</v>
      </c>
      <c r="J373" s="2">
        <f>$C373+total_production!I373</f>
        <v>5264215.6553455731</v>
      </c>
      <c r="K373" s="2">
        <f>$C373+total_production!J373</f>
        <v>5199547.8038348863</v>
      </c>
      <c r="L373" s="2">
        <f>$C373+total_production!K373</f>
        <v>5201419.1244440097</v>
      </c>
      <c r="M373" s="2">
        <f>$C373+total_production!L373</f>
        <v>5120234.9476578292</v>
      </c>
      <c r="N373" s="2">
        <f>$C373+total_production!M373</f>
        <v>5065561.2800679635</v>
      </c>
      <c r="O373" s="2">
        <f>$C373+total_production!N373</f>
        <v>5017840.8543504309</v>
      </c>
      <c r="P373" s="2">
        <f>$C373+total_production!O373</f>
        <v>5017840.8543504309</v>
      </c>
      <c r="Q373" s="2">
        <f>$C373+total_production!P373</f>
        <v>5017840.8543504309</v>
      </c>
      <c r="R373" s="2">
        <f>$C373+total_production!Q373</f>
        <v>4975933.8112103986</v>
      </c>
      <c r="S373" s="2">
        <f>$C373+total_production!R373</f>
        <v>4975933.8112103986</v>
      </c>
      <c r="T373" s="2">
        <f>$C373+total_production!S373</f>
        <v>4929719.6867843671</v>
      </c>
      <c r="U373" s="2">
        <f>$C373+total_production!T373</f>
        <v>4929719.6867843671</v>
      </c>
      <c r="V373" s="2">
        <f>$C373+total_production!U373</f>
        <v>4885646.2691683797</v>
      </c>
      <c r="W373" s="2">
        <f>$C373+total_production!V373</f>
        <v>4885646.2691683797</v>
      </c>
      <c r="X373" s="2">
        <f>$C373+total_production!W373</f>
        <v>4848158.2660815744</v>
      </c>
      <c r="Y373" s="2">
        <f>$C373+total_production!X373</f>
        <v>4848158.2660815744</v>
      </c>
      <c r="Z373" s="2">
        <f>$C373+total_production!Y373</f>
        <v>4848158.2660815744</v>
      </c>
      <c r="AA373" s="2">
        <f>$C373+total_production!Z373</f>
        <v>4848158.2660815744</v>
      </c>
      <c r="AB373" s="2">
        <f>$C373+total_production!AA373</f>
        <v>4848158.2660815744</v>
      </c>
    </row>
    <row r="374" spans="1:28" x14ac:dyDescent="0.2">
      <c r="A374" t="s">
        <v>986</v>
      </c>
      <c r="B374" t="s">
        <v>987</v>
      </c>
      <c r="C374" s="1">
        <v>0</v>
      </c>
      <c r="D374" s="2">
        <f>$C374+total_production!C374</f>
        <v>0</v>
      </c>
      <c r="E374" s="2">
        <f>$C374+total_production!D374</f>
        <v>0</v>
      </c>
      <c r="F374" s="2">
        <f>$C374+total_production!E374</f>
        <v>0</v>
      </c>
      <c r="G374" s="2">
        <f>$C374+total_production!F374</f>
        <v>0</v>
      </c>
      <c r="H374" s="2">
        <f>$C374+total_production!G374</f>
        <v>0</v>
      </c>
      <c r="I374" s="2">
        <f>$C374+total_production!H374</f>
        <v>0</v>
      </c>
      <c r="J374" s="2">
        <f>$C374+total_production!I374</f>
        <v>0</v>
      </c>
      <c r="K374" s="2">
        <f>$C374+total_production!J374</f>
        <v>0</v>
      </c>
      <c r="L374" s="2">
        <f>$C374+total_production!K374</f>
        <v>0</v>
      </c>
      <c r="M374" s="2">
        <f>$C374+total_production!L374</f>
        <v>0</v>
      </c>
      <c r="N374" s="2">
        <f>$C374+total_production!M374</f>
        <v>0</v>
      </c>
      <c r="O374" s="2">
        <f>$C374+total_production!N374</f>
        <v>0</v>
      </c>
      <c r="P374" s="2">
        <f>$C374+total_production!O374</f>
        <v>0</v>
      </c>
      <c r="Q374" s="2">
        <f>$C374+total_production!P374</f>
        <v>0</v>
      </c>
      <c r="R374" s="2">
        <f>$C374+total_production!Q374</f>
        <v>0</v>
      </c>
      <c r="S374" s="2">
        <f>$C374+total_production!R374</f>
        <v>0</v>
      </c>
      <c r="T374" s="2">
        <f>$C374+total_production!S374</f>
        <v>0</v>
      </c>
      <c r="U374" s="2">
        <f>$C374+total_production!T374</f>
        <v>0</v>
      </c>
      <c r="V374" s="2">
        <f>$C374+total_production!U374</f>
        <v>0</v>
      </c>
      <c r="W374" s="2">
        <f>$C374+total_production!V374</f>
        <v>0</v>
      </c>
      <c r="X374" s="2">
        <f>$C374+total_production!W374</f>
        <v>0</v>
      </c>
      <c r="Y374" s="2">
        <f>$C374+total_production!X374</f>
        <v>0</v>
      </c>
      <c r="Z374" s="2">
        <f>$C374+total_production!Y374</f>
        <v>0</v>
      </c>
      <c r="AA374" s="2">
        <f>$C374+total_production!Z374</f>
        <v>0</v>
      </c>
      <c r="AB374" s="2">
        <f>$C374+total_production!AA374</f>
        <v>0</v>
      </c>
    </row>
    <row r="375" spans="1:28" x14ac:dyDescent="0.2">
      <c r="A375" t="s">
        <v>471</v>
      </c>
      <c r="B375" t="s">
        <v>472</v>
      </c>
      <c r="C375" s="1">
        <v>6155165</v>
      </c>
      <c r="D375" s="2">
        <f>$C375+total_production!C375</f>
        <v>6170598.7391829314</v>
      </c>
      <c r="E375" s="2">
        <f>$C375+total_production!D375</f>
        <v>6166322.9879437452</v>
      </c>
      <c r="F375" s="2">
        <f>$C375+total_production!E375</f>
        <v>6167334.6389382062</v>
      </c>
      <c r="G375" s="2">
        <f>$C375+total_production!F375</f>
        <v>6166344.4907302698</v>
      </c>
      <c r="H375" s="2">
        <f>$C375+total_production!G375</f>
        <v>6150924.1262830729</v>
      </c>
      <c r="I375" s="2">
        <f>$C375+total_production!H375</f>
        <v>6152289.0454204362</v>
      </c>
      <c r="J375" s="2">
        <f>$C375+total_production!I375</f>
        <v>6154195.2764612166</v>
      </c>
      <c r="K375" s="2">
        <f>$C375+total_production!J375</f>
        <v>6149056.6754818354</v>
      </c>
      <c r="L375" s="2">
        <f>$C375+total_production!K375</f>
        <v>6150830.5228526136</v>
      </c>
      <c r="M375" s="2">
        <f>$C375+total_production!L375</f>
        <v>6144967.9787554396</v>
      </c>
      <c r="N375" s="2">
        <f>$C375+total_production!M375</f>
        <v>6139806.140591735</v>
      </c>
      <c r="O375" s="2">
        <f>$C375+total_production!N375</f>
        <v>6135365.3046536045</v>
      </c>
      <c r="P375" s="2">
        <f>$C375+total_production!O375</f>
        <v>6135365.3046536045</v>
      </c>
      <c r="Q375" s="2">
        <f>$C375+total_production!P375</f>
        <v>6135365.3046536045</v>
      </c>
      <c r="R375" s="2">
        <f>$C375+total_production!Q375</f>
        <v>6131454.3858096898</v>
      </c>
      <c r="S375" s="2">
        <f>$C375+total_production!R375</f>
        <v>6131454.3858096898</v>
      </c>
      <c r="T375" s="2">
        <f>$C375+total_production!S375</f>
        <v>6127176.4635546207</v>
      </c>
      <c r="U375" s="2">
        <f>$C375+total_production!T375</f>
        <v>6127176.4635546207</v>
      </c>
      <c r="V375" s="2">
        <f>$C375+total_production!U375</f>
        <v>6122990.8261122312</v>
      </c>
      <c r="W375" s="2">
        <f>$C375+total_production!V375</f>
        <v>6122990.8261122312</v>
      </c>
      <c r="X375" s="2">
        <f>$C375+total_production!W375</f>
        <v>6119464.1033271067</v>
      </c>
      <c r="Y375" s="2">
        <f>$C375+total_production!X375</f>
        <v>6119464.1033271067</v>
      </c>
      <c r="Z375" s="2">
        <f>$C375+total_production!Y375</f>
        <v>6119464.1033271067</v>
      </c>
      <c r="AA375" s="2">
        <f>$C375+total_production!Z375</f>
        <v>6119464.1033271067</v>
      </c>
      <c r="AB375" s="2">
        <f>$C375+total_production!AA375</f>
        <v>6119464.1033271067</v>
      </c>
    </row>
    <row r="376" spans="1:28" x14ac:dyDescent="0.2">
      <c r="A376" t="s">
        <v>546</v>
      </c>
      <c r="B376" t="s">
        <v>547</v>
      </c>
      <c r="C376" s="1">
        <v>3390833</v>
      </c>
      <c r="D376" s="2">
        <f>$C376+total_production!C376</f>
        <v>3400870.1340168021</v>
      </c>
      <c r="E376" s="2">
        <f>$C376+total_production!D376</f>
        <v>3401072.2888354887</v>
      </c>
      <c r="F376" s="2">
        <f>$C376+total_production!E376</f>
        <v>3401552.9148709476</v>
      </c>
      <c r="G376" s="2">
        <f>$C376+total_production!F376</f>
        <v>3401975.914583398</v>
      </c>
      <c r="H376" s="2">
        <f>$C376+total_production!G376</f>
        <v>3402222.6968775112</v>
      </c>
      <c r="I376" s="2">
        <f>$C376+total_production!H376</f>
        <v>3402871.157341945</v>
      </c>
      <c r="J376" s="2">
        <f>$C376+total_production!I376</f>
        <v>3403776.7900876408</v>
      </c>
      <c r="K376" s="2">
        <f>$C376+total_production!J376</f>
        <v>3405560.0162732443</v>
      </c>
      <c r="L376" s="2">
        <f>$C376+total_production!K376</f>
        <v>3406402.7547611166</v>
      </c>
      <c r="M376" s="2">
        <f>$C376+total_production!L376</f>
        <v>3408965.2626209692</v>
      </c>
      <c r="N376" s="2">
        <f>$C376+total_production!M376</f>
        <v>3410023.0777838388</v>
      </c>
      <c r="O376" s="2">
        <f>$C376+total_production!N376</f>
        <v>3410981.8770611798</v>
      </c>
      <c r="P376" s="2">
        <f>$C376+total_production!O376</f>
        <v>3410981.8770611798</v>
      </c>
      <c r="Q376" s="2">
        <f>$C376+total_production!P376</f>
        <v>3410981.8770611798</v>
      </c>
      <c r="R376" s="2">
        <f>$C376+total_production!Q376</f>
        <v>3411817.7801764561</v>
      </c>
      <c r="S376" s="2">
        <f>$C376+total_production!R376</f>
        <v>3411817.7801764561</v>
      </c>
      <c r="T376" s="2">
        <f>$C376+total_production!S376</f>
        <v>3412758.8279168336</v>
      </c>
      <c r="U376" s="2">
        <f>$C376+total_production!T376</f>
        <v>3412758.8279168336</v>
      </c>
      <c r="V376" s="2">
        <f>$C376+total_production!U376</f>
        <v>3413598.0206298428</v>
      </c>
      <c r="W376" s="2">
        <f>$C376+total_production!V376</f>
        <v>3413598.0206298428</v>
      </c>
      <c r="X376" s="2">
        <f>$C376+total_production!W376</f>
        <v>3414330.2573669027</v>
      </c>
      <c r="Y376" s="2">
        <f>$C376+total_production!X376</f>
        <v>3414330.2573669027</v>
      </c>
      <c r="Z376" s="2">
        <f>$C376+total_production!Y376</f>
        <v>3414330.2573669027</v>
      </c>
      <c r="AA376" s="2">
        <f>$C376+total_production!Z376</f>
        <v>3414330.2573669027</v>
      </c>
      <c r="AB376" s="2">
        <f>$C376+total_production!AA376</f>
        <v>3414330.2573669027</v>
      </c>
    </row>
    <row r="377" spans="1:28" x14ac:dyDescent="0.2">
      <c r="A377" t="s">
        <v>793</v>
      </c>
      <c r="B377" t="s">
        <v>794</v>
      </c>
      <c r="C377" s="1">
        <v>455172</v>
      </c>
      <c r="D377" s="2">
        <f>$C377+total_production!C377</f>
        <v>456285.44637907954</v>
      </c>
      <c r="E377" s="2">
        <f>$C377+total_production!D377</f>
        <v>456121.24379026116</v>
      </c>
      <c r="F377" s="2">
        <f>$C377+total_production!E377</f>
        <v>456185.65339287283</v>
      </c>
      <c r="G377" s="2">
        <f>$C377+total_production!F377</f>
        <v>456165.82288025221</v>
      </c>
      <c r="H377" s="2">
        <f>$C377+total_production!G377</f>
        <v>455550.30556865636</v>
      </c>
      <c r="I377" s="2">
        <f>$C377+total_production!H377</f>
        <v>455637.20698002842</v>
      </c>
      <c r="J377" s="2">
        <f>$C377+total_production!I377</f>
        <v>455758.57253444876</v>
      </c>
      <c r="K377" s="2">
        <f>$C377+total_production!J377</f>
        <v>455635.72969459184</v>
      </c>
      <c r="L377" s="2">
        <f>$C377+total_production!K377</f>
        <v>455748.66667075368</v>
      </c>
      <c r="M377" s="2">
        <f>$C377+total_production!L377</f>
        <v>455634.05686480366</v>
      </c>
      <c r="N377" s="2">
        <f>$C377+total_production!M377</f>
        <v>455475.18377379549</v>
      </c>
      <c r="O377" s="2">
        <f>$C377+total_production!N377</f>
        <v>455340.85925337794</v>
      </c>
      <c r="P377" s="2">
        <f>$C377+total_production!O377</f>
        <v>455340.85925337794</v>
      </c>
      <c r="Q377" s="2">
        <f>$C377+total_production!P377</f>
        <v>455340.85925337794</v>
      </c>
      <c r="R377" s="2">
        <f>$C377+total_production!Q377</f>
        <v>455222.15309246635</v>
      </c>
      <c r="S377" s="2">
        <f>$C377+total_production!R377</f>
        <v>455222.15309246635</v>
      </c>
      <c r="T377" s="2">
        <f>$C377+total_production!S377</f>
        <v>455093.59895408142</v>
      </c>
      <c r="U377" s="2">
        <f>$C377+total_production!T377</f>
        <v>455093.59895408142</v>
      </c>
      <c r="V377" s="2">
        <f>$C377+total_production!U377</f>
        <v>454963.87362458906</v>
      </c>
      <c r="W377" s="2">
        <f>$C377+total_production!V377</f>
        <v>454963.87362458906</v>
      </c>
      <c r="X377" s="2">
        <f>$C377+total_production!W377</f>
        <v>454855.78650405933</v>
      </c>
      <c r="Y377" s="2">
        <f>$C377+total_production!X377</f>
        <v>454855.78650405933</v>
      </c>
      <c r="Z377" s="2">
        <f>$C377+total_production!Y377</f>
        <v>454855.78650405933</v>
      </c>
      <c r="AA377" s="2">
        <f>$C377+total_production!Z377</f>
        <v>454855.78650405933</v>
      </c>
      <c r="AB377" s="2">
        <f>$C377+total_production!AA377</f>
        <v>454855.78650405933</v>
      </c>
    </row>
    <row r="378" spans="1:28" x14ac:dyDescent="0.2">
      <c r="A378" t="s">
        <v>779</v>
      </c>
      <c r="B378" t="s">
        <v>780</v>
      </c>
      <c r="C378" s="1">
        <v>992424</v>
      </c>
      <c r="D378" s="2">
        <f>$C378+total_production!C378</f>
        <v>993955.76280962187</v>
      </c>
      <c r="E378" s="2">
        <f>$C378+total_production!D378</f>
        <v>993923.31941670051</v>
      </c>
      <c r="F378" s="2">
        <f>$C378+total_production!E378</f>
        <v>994000.42951475189</v>
      </c>
      <c r="G378" s="2">
        <f>$C378+total_production!F378</f>
        <v>994042.34364272654</v>
      </c>
      <c r="H378" s="2">
        <f>$C378+total_production!G378</f>
        <v>993861.97035778861</v>
      </c>
      <c r="I378" s="2">
        <f>$C378+total_production!H378</f>
        <v>993966.00727278262</v>
      </c>
      <c r="J378" s="2">
        <f>$C378+total_production!I378</f>
        <v>994111.30408291565</v>
      </c>
      <c r="K378" s="2">
        <f>$C378+total_production!J378</f>
        <v>994274.69068103167</v>
      </c>
      <c r="L378" s="2">
        <f>$C378+total_production!K378</f>
        <v>994409.8969383653</v>
      </c>
      <c r="M378" s="2">
        <f>$C378+total_production!L378</f>
        <v>994665.6831713306</v>
      </c>
      <c r="N378" s="2">
        <f>$C378+total_production!M378</f>
        <v>994733.43726246187</v>
      </c>
      <c r="O378" s="2">
        <f>$C378+total_production!N378</f>
        <v>994798.13133581961</v>
      </c>
      <c r="P378" s="2">
        <f>$C378+total_production!O378</f>
        <v>994798.13133581961</v>
      </c>
      <c r="Q378" s="2">
        <f>$C378+total_production!P378</f>
        <v>994798.13133581961</v>
      </c>
      <c r="R378" s="2">
        <f>$C378+total_production!Q378</f>
        <v>994853.99082134303</v>
      </c>
      <c r="S378" s="2">
        <f>$C378+total_production!R378</f>
        <v>994853.99082134303</v>
      </c>
      <c r="T378" s="2">
        <f>$C378+total_production!S378</f>
        <v>994918.60069543694</v>
      </c>
      <c r="U378" s="2">
        <f>$C378+total_production!T378</f>
        <v>994918.60069543694</v>
      </c>
      <c r="V378" s="2">
        <f>$C378+total_production!U378</f>
        <v>994971.10133820039</v>
      </c>
      <c r="W378" s="2">
        <f>$C378+total_production!V378</f>
        <v>994971.10133820039</v>
      </c>
      <c r="X378" s="2">
        <f>$C378+total_production!W378</f>
        <v>995018.64191738656</v>
      </c>
      <c r="Y378" s="2">
        <f>$C378+total_production!X378</f>
        <v>995018.64191738656</v>
      </c>
      <c r="Z378" s="2">
        <f>$C378+total_production!Y378</f>
        <v>995018.64191738656</v>
      </c>
      <c r="AA378" s="2">
        <f>$C378+total_production!Z378</f>
        <v>995018.64191738656</v>
      </c>
      <c r="AB378" s="2">
        <f>$C378+total_production!AA378</f>
        <v>995018.64191738656</v>
      </c>
    </row>
    <row r="379" spans="1:28" x14ac:dyDescent="0.2">
      <c r="A379" t="s">
        <v>1025</v>
      </c>
      <c r="B379" t="s">
        <v>1026</v>
      </c>
      <c r="C379" s="1">
        <v>0</v>
      </c>
      <c r="D379" s="2">
        <f>$C379+total_production!C379</f>
        <v>0</v>
      </c>
      <c r="E379" s="2">
        <f>$C379+total_production!D379</f>
        <v>0</v>
      </c>
      <c r="F379" s="2">
        <f>$C379+total_production!E379</f>
        <v>0</v>
      </c>
      <c r="G379" s="2">
        <f>$C379+total_production!F379</f>
        <v>0</v>
      </c>
      <c r="H379" s="2">
        <f>$C379+total_production!G379</f>
        <v>0</v>
      </c>
      <c r="I379" s="2">
        <f>$C379+total_production!H379</f>
        <v>0</v>
      </c>
      <c r="J379" s="2">
        <f>$C379+total_production!I379</f>
        <v>0</v>
      </c>
      <c r="K379" s="2">
        <f>$C379+total_production!J379</f>
        <v>0</v>
      </c>
      <c r="L379" s="2">
        <f>$C379+total_production!K379</f>
        <v>0</v>
      </c>
      <c r="M379" s="2">
        <f>$C379+total_production!L379</f>
        <v>0</v>
      </c>
      <c r="N379" s="2">
        <f>$C379+total_production!M379</f>
        <v>0</v>
      </c>
      <c r="O379" s="2">
        <f>$C379+total_production!N379</f>
        <v>0</v>
      </c>
      <c r="P379" s="2">
        <f>$C379+total_production!O379</f>
        <v>0</v>
      </c>
      <c r="Q379" s="2">
        <f>$C379+total_production!P379</f>
        <v>0</v>
      </c>
      <c r="R379" s="2">
        <f>$C379+total_production!Q379</f>
        <v>0</v>
      </c>
      <c r="S379" s="2">
        <f>$C379+total_production!R379</f>
        <v>0</v>
      </c>
      <c r="T379" s="2">
        <f>$C379+total_production!S379</f>
        <v>0</v>
      </c>
      <c r="U379" s="2">
        <f>$C379+total_production!T379</f>
        <v>0</v>
      </c>
      <c r="V379" s="2">
        <f>$C379+total_production!U379</f>
        <v>0</v>
      </c>
      <c r="W379" s="2">
        <f>$C379+total_production!V379</f>
        <v>0</v>
      </c>
      <c r="X379" s="2">
        <f>$C379+total_production!W379</f>
        <v>0</v>
      </c>
      <c r="Y379" s="2">
        <f>$C379+total_production!X379</f>
        <v>0</v>
      </c>
      <c r="Z379" s="2">
        <f>$C379+total_production!Y379</f>
        <v>0</v>
      </c>
      <c r="AA379" s="2">
        <f>$C379+total_production!Z379</f>
        <v>0</v>
      </c>
      <c r="AB379" s="2">
        <f>$C379+total_production!AA379</f>
        <v>0</v>
      </c>
    </row>
    <row r="380" spans="1:28" x14ac:dyDescent="0.2">
      <c r="A380" t="s">
        <v>698</v>
      </c>
      <c r="B380" t="s">
        <v>699</v>
      </c>
      <c r="C380" s="1">
        <v>899138</v>
      </c>
      <c r="D380" s="2">
        <f>$C380+total_production!C380</f>
        <v>901856.6913499115</v>
      </c>
      <c r="E380" s="2">
        <f>$C380+total_production!D380</f>
        <v>901650.94763326645</v>
      </c>
      <c r="F380" s="2">
        <f>$C380+total_production!E380</f>
        <v>901796.61471032409</v>
      </c>
      <c r="G380" s="2">
        <f>$C380+total_production!F380</f>
        <v>901818.01157690247</v>
      </c>
      <c r="H380" s="2">
        <f>$C380+total_production!G380</f>
        <v>900987.48974352202</v>
      </c>
      <c r="I380" s="2">
        <f>$C380+total_production!H380</f>
        <v>901184.02370854409</v>
      </c>
      <c r="J380" s="2">
        <f>$C380+total_production!I380</f>
        <v>901458.50088044186</v>
      </c>
      <c r="K380" s="2">
        <f>$C380+total_production!J380</f>
        <v>901493.92526218784</v>
      </c>
      <c r="L380" s="2">
        <f>$C380+total_production!K380</f>
        <v>901749.34058136668</v>
      </c>
      <c r="M380" s="2">
        <f>$C380+total_production!L380</f>
        <v>901886.6697167363</v>
      </c>
      <c r="N380" s="2">
        <f>$C380+total_production!M380</f>
        <v>901787.63944386295</v>
      </c>
      <c r="O380" s="2">
        <f>$C380+total_production!N380</f>
        <v>901711.38674716617</v>
      </c>
      <c r="P380" s="2">
        <f>$C380+total_production!O380</f>
        <v>901711.38674716617</v>
      </c>
      <c r="Q380" s="2">
        <f>$C380+total_production!P380</f>
        <v>901711.38674716617</v>
      </c>
      <c r="R380" s="2">
        <f>$C380+total_production!Q380</f>
        <v>901642.67601649126</v>
      </c>
      <c r="S380" s="2">
        <f>$C380+total_production!R380</f>
        <v>901642.67601649126</v>
      </c>
      <c r="T380" s="2">
        <f>$C380+total_production!S380</f>
        <v>901572.41820873623</v>
      </c>
      <c r="U380" s="2">
        <f>$C380+total_production!T380</f>
        <v>901572.41820873623</v>
      </c>
      <c r="V380" s="2">
        <f>$C380+total_production!U380</f>
        <v>901488.7083220575</v>
      </c>
      <c r="W380" s="2">
        <f>$C380+total_production!V380</f>
        <v>901488.7083220575</v>
      </c>
      <c r="X380" s="2">
        <f>$C380+total_production!W380</f>
        <v>901422.79244382062</v>
      </c>
      <c r="Y380" s="2">
        <f>$C380+total_production!X380</f>
        <v>901422.79244382062</v>
      </c>
      <c r="Z380" s="2">
        <f>$C380+total_production!Y380</f>
        <v>901422.79244382062</v>
      </c>
      <c r="AA380" s="2">
        <f>$C380+total_production!Z380</f>
        <v>901422.79244382062</v>
      </c>
      <c r="AB380" s="2">
        <f>$C380+total_production!AA380</f>
        <v>901422.79244382062</v>
      </c>
    </row>
    <row r="381" spans="1:28" x14ac:dyDescent="0.2">
      <c r="A381" t="s">
        <v>494</v>
      </c>
      <c r="B381" t="s">
        <v>495</v>
      </c>
      <c r="C381" s="1">
        <v>5167172</v>
      </c>
      <c r="D381" s="2">
        <f>$C381+total_production!C381</f>
        <v>5185049.5246204855</v>
      </c>
      <c r="E381" s="2">
        <f>$C381+total_production!D381</f>
        <v>5185036.4529166631</v>
      </c>
      <c r="F381" s="2">
        <f>$C381+total_production!E381</f>
        <v>5185914.6922435556</v>
      </c>
      <c r="G381" s="2">
        <f>$C381+total_production!F381</f>
        <v>5186534.6457793321</v>
      </c>
      <c r="H381" s="2">
        <f>$C381+total_production!G381</f>
        <v>5185688.8217981923</v>
      </c>
      <c r="I381" s="2">
        <f>$C381+total_production!H381</f>
        <v>5186873.7419643598</v>
      </c>
      <c r="J381" s="2">
        <f>$C381+total_production!I381</f>
        <v>5188528.5884235846</v>
      </c>
      <c r="K381" s="2">
        <f>$C381+total_production!J381</f>
        <v>5191063.6434898851</v>
      </c>
      <c r="L381" s="2">
        <f>$C381+total_production!K381</f>
        <v>5192603.5644008033</v>
      </c>
      <c r="M381" s="2">
        <f>$C381+total_production!L381</f>
        <v>5196370.2482346445</v>
      </c>
      <c r="N381" s="2">
        <f>$C381+total_production!M381</f>
        <v>5197702.1006719386</v>
      </c>
      <c r="O381" s="2">
        <f>$C381+total_production!N381</f>
        <v>5198928.6348126587</v>
      </c>
      <c r="P381" s="2">
        <f>$C381+total_production!O381</f>
        <v>5198928.6348126587</v>
      </c>
      <c r="Q381" s="2">
        <f>$C381+total_production!P381</f>
        <v>5198928.6348126587</v>
      </c>
      <c r="R381" s="2">
        <f>$C381+total_production!Q381</f>
        <v>5199994.7583672814</v>
      </c>
      <c r="S381" s="2">
        <f>$C381+total_production!R381</f>
        <v>5199994.7583672814</v>
      </c>
      <c r="T381" s="2">
        <f>$C381+total_production!S381</f>
        <v>5201205.1488481313</v>
      </c>
      <c r="U381" s="2">
        <f>$C381+total_production!T381</f>
        <v>5201205.1488481313</v>
      </c>
      <c r="V381" s="2">
        <f>$C381+total_production!U381</f>
        <v>5202254.3707008781</v>
      </c>
      <c r="W381" s="2">
        <f>$C381+total_production!V381</f>
        <v>5202254.3707008781</v>
      </c>
      <c r="X381" s="2">
        <f>$C381+total_production!W381</f>
        <v>5203180.0740586603</v>
      </c>
      <c r="Y381" s="2">
        <f>$C381+total_production!X381</f>
        <v>5203180.0740586603</v>
      </c>
      <c r="Z381" s="2">
        <f>$C381+total_production!Y381</f>
        <v>5203180.0740586603</v>
      </c>
      <c r="AA381" s="2">
        <f>$C381+total_production!Z381</f>
        <v>5203180.0740586603</v>
      </c>
      <c r="AB381" s="2">
        <f>$C381+total_production!AA381</f>
        <v>5203180.0740586603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5950-55E2-FD44-A0CC-1B780C9A1AFB}">
  <dimension ref="A1:AB381"/>
  <sheetViews>
    <sheetView workbookViewId="0">
      <selection activeCell="G385" sqref="G385"/>
    </sheetView>
  </sheetViews>
  <sheetFormatPr baseColWidth="10" defaultRowHeight="16" x14ac:dyDescent="0.2"/>
  <cols>
    <col min="1" max="1" width="11.1640625" bestFit="1" customWidth="1"/>
    <col min="2" max="2" width="34.83203125" bestFit="1" customWidth="1"/>
    <col min="3" max="3" width="34.83203125" customWidth="1"/>
  </cols>
  <sheetData>
    <row r="1" spans="1:28" x14ac:dyDescent="0.2">
      <c r="A1" t="s">
        <v>1027</v>
      </c>
      <c r="B1" t="s">
        <v>1028</v>
      </c>
      <c r="C1">
        <v>2020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">
      <c r="A2" t="s">
        <v>567</v>
      </c>
      <c r="B2" t="s">
        <v>568</v>
      </c>
    </row>
    <row r="3" spans="1:28" x14ac:dyDescent="0.2">
      <c r="A3" t="s">
        <v>839</v>
      </c>
      <c r="B3" t="s">
        <v>840</v>
      </c>
    </row>
    <row r="4" spans="1:28" x14ac:dyDescent="0.2">
      <c r="A4" t="s">
        <v>477</v>
      </c>
      <c r="B4" t="s">
        <v>478</v>
      </c>
    </row>
    <row r="5" spans="1:28" x14ac:dyDescent="0.2">
      <c r="A5" t="s">
        <v>832</v>
      </c>
      <c r="B5" t="s">
        <v>833</v>
      </c>
    </row>
    <row r="6" spans="1:28" x14ac:dyDescent="0.2">
      <c r="A6" t="s">
        <v>586</v>
      </c>
      <c r="B6" t="s">
        <v>587</v>
      </c>
    </row>
    <row r="7" spans="1:28" x14ac:dyDescent="0.2">
      <c r="A7" t="s">
        <v>714</v>
      </c>
      <c r="B7" t="s">
        <v>715</v>
      </c>
    </row>
    <row r="8" spans="1:28" x14ac:dyDescent="0.2">
      <c r="A8" t="s">
        <v>857</v>
      </c>
      <c r="B8" t="s">
        <v>858</v>
      </c>
    </row>
    <row r="9" spans="1:28" x14ac:dyDescent="0.2">
      <c r="A9" t="s">
        <v>879</v>
      </c>
      <c r="B9" t="s">
        <v>880</v>
      </c>
    </row>
    <row r="10" spans="1:28" x14ac:dyDescent="0.2">
      <c r="A10" t="s">
        <v>996</v>
      </c>
      <c r="B10" t="s">
        <v>997</v>
      </c>
    </row>
    <row r="11" spans="1:28" x14ac:dyDescent="0.2">
      <c r="A11" t="s">
        <v>998</v>
      </c>
      <c r="B11" t="s">
        <v>999</v>
      </c>
    </row>
    <row r="12" spans="1:28" x14ac:dyDescent="0.2">
      <c r="A12" t="s">
        <v>896</v>
      </c>
      <c r="B12" t="s">
        <v>897</v>
      </c>
    </row>
    <row r="13" spans="1:28" x14ac:dyDescent="0.2">
      <c r="A13" t="s">
        <v>562</v>
      </c>
      <c r="B13" t="s">
        <v>563</v>
      </c>
    </row>
    <row r="14" spans="1:28" x14ac:dyDescent="0.2">
      <c r="A14" t="s">
        <v>930</v>
      </c>
      <c r="B14" t="s">
        <v>931</v>
      </c>
    </row>
    <row r="15" spans="1:28" x14ac:dyDescent="0.2">
      <c r="A15" t="s">
        <v>783</v>
      </c>
      <c r="B15" t="s">
        <v>784</v>
      </c>
    </row>
    <row r="16" spans="1:28" x14ac:dyDescent="0.2">
      <c r="A16" t="s">
        <v>465</v>
      </c>
      <c r="B16" t="s">
        <v>466</v>
      </c>
    </row>
    <row r="17" spans="1:2" x14ac:dyDescent="0.2">
      <c r="A17" t="s">
        <v>451</v>
      </c>
      <c r="B17" t="s">
        <v>452</v>
      </c>
    </row>
    <row r="18" spans="1:2" x14ac:dyDescent="0.2">
      <c r="A18" t="s">
        <v>687</v>
      </c>
      <c r="B18" t="s">
        <v>688</v>
      </c>
    </row>
    <row r="19" spans="1:2" x14ac:dyDescent="0.2">
      <c r="A19" t="s">
        <v>924</v>
      </c>
      <c r="B19" t="s">
        <v>925</v>
      </c>
    </row>
    <row r="20" spans="1:2" x14ac:dyDescent="0.2">
      <c r="A20" t="s">
        <v>894</v>
      </c>
      <c r="B20" t="s">
        <v>895</v>
      </c>
    </row>
    <row r="21" spans="1:2" x14ac:dyDescent="0.2">
      <c r="A21" t="s">
        <v>855</v>
      </c>
      <c r="B21" t="s">
        <v>856</v>
      </c>
    </row>
    <row r="22" spans="1:2" x14ac:dyDescent="0.2">
      <c r="A22" t="s">
        <v>870</v>
      </c>
      <c r="B22" t="s">
        <v>871</v>
      </c>
    </row>
    <row r="23" spans="1:2" x14ac:dyDescent="0.2">
      <c r="A23" t="s">
        <v>912</v>
      </c>
      <c r="B23" t="s">
        <v>913</v>
      </c>
    </row>
    <row r="24" spans="1:2" x14ac:dyDescent="0.2">
      <c r="A24" t="s">
        <v>663</v>
      </c>
      <c r="B24" t="s">
        <v>664</v>
      </c>
    </row>
    <row r="25" spans="1:2" x14ac:dyDescent="0.2">
      <c r="A25" t="s">
        <v>722</v>
      </c>
      <c r="B25" t="s">
        <v>723</v>
      </c>
    </row>
    <row r="26" spans="1:2" x14ac:dyDescent="0.2">
      <c r="A26" t="s">
        <v>758</v>
      </c>
      <c r="B26" t="s">
        <v>263</v>
      </c>
    </row>
    <row r="27" spans="1:2" x14ac:dyDescent="0.2">
      <c r="A27" t="s">
        <v>868</v>
      </c>
      <c r="B27" t="s">
        <v>869</v>
      </c>
    </row>
    <row r="28" spans="1:2" x14ac:dyDescent="0.2">
      <c r="A28" t="s">
        <v>1000</v>
      </c>
      <c r="B28" t="s">
        <v>1001</v>
      </c>
    </row>
    <row r="29" spans="1:2" x14ac:dyDescent="0.2">
      <c r="A29" t="s">
        <v>900</v>
      </c>
      <c r="B29" t="s">
        <v>901</v>
      </c>
    </row>
    <row r="30" spans="1:2" x14ac:dyDescent="0.2">
      <c r="A30" t="s">
        <v>902</v>
      </c>
      <c r="B30" t="s">
        <v>903</v>
      </c>
    </row>
    <row r="31" spans="1:2" x14ac:dyDescent="0.2">
      <c r="A31" t="s">
        <v>906</v>
      </c>
      <c r="B31" t="s">
        <v>907</v>
      </c>
    </row>
    <row r="32" spans="1:2" x14ac:dyDescent="0.2">
      <c r="A32" t="s">
        <v>940</v>
      </c>
      <c r="B32" t="s">
        <v>941</v>
      </c>
    </row>
    <row r="33" spans="1:2" x14ac:dyDescent="0.2">
      <c r="A33" t="s">
        <v>835</v>
      </c>
      <c r="B33" t="s">
        <v>836</v>
      </c>
    </row>
    <row r="34" spans="1:2" x14ac:dyDescent="0.2">
      <c r="A34" t="s">
        <v>803</v>
      </c>
      <c r="B34" t="s">
        <v>804</v>
      </c>
    </row>
    <row r="35" spans="1:2" x14ac:dyDescent="0.2">
      <c r="A35" t="s">
        <v>859</v>
      </c>
      <c r="B35" t="s">
        <v>860</v>
      </c>
    </row>
    <row r="36" spans="1:2" x14ac:dyDescent="0.2">
      <c r="A36" t="s">
        <v>405</v>
      </c>
      <c r="B36" t="s">
        <v>406</v>
      </c>
    </row>
    <row r="37" spans="1:2" x14ac:dyDescent="0.2">
      <c r="A37" t="s">
        <v>683</v>
      </c>
      <c r="B37" t="s">
        <v>684</v>
      </c>
    </row>
    <row r="38" spans="1:2" x14ac:dyDescent="0.2">
      <c r="A38" t="s">
        <v>671</v>
      </c>
      <c r="B38" t="s">
        <v>672</v>
      </c>
    </row>
    <row r="39" spans="1:2" x14ac:dyDescent="0.2">
      <c r="A39" t="s">
        <v>677</v>
      </c>
      <c r="B39" t="s">
        <v>678</v>
      </c>
    </row>
    <row r="40" spans="1:2" x14ac:dyDescent="0.2">
      <c r="A40" t="s">
        <v>720</v>
      </c>
      <c r="B40" t="s">
        <v>721</v>
      </c>
    </row>
    <row r="41" spans="1:2" x14ac:dyDescent="0.2">
      <c r="A41" t="s">
        <v>681</v>
      </c>
      <c r="B41" t="s">
        <v>682</v>
      </c>
    </row>
    <row r="42" spans="1:2" x14ac:dyDescent="0.2">
      <c r="A42" t="s">
        <v>571</v>
      </c>
      <c r="B42" t="s">
        <v>572</v>
      </c>
    </row>
    <row r="43" spans="1:2" x14ac:dyDescent="0.2">
      <c r="A43" t="s">
        <v>761</v>
      </c>
      <c r="B43" t="s">
        <v>762</v>
      </c>
    </row>
    <row r="44" spans="1:2" x14ac:dyDescent="0.2">
      <c r="A44" t="s">
        <v>1002</v>
      </c>
      <c r="B44" t="s">
        <v>1003</v>
      </c>
    </row>
    <row r="45" spans="1:2" x14ac:dyDescent="0.2">
      <c r="A45" t="s">
        <v>843</v>
      </c>
      <c r="B45" t="s">
        <v>844</v>
      </c>
    </row>
    <row r="46" spans="1:2" x14ac:dyDescent="0.2">
      <c r="A46" t="s">
        <v>797</v>
      </c>
      <c r="B46" t="s">
        <v>798</v>
      </c>
    </row>
    <row r="47" spans="1:2" x14ac:dyDescent="0.2">
      <c r="A47" t="s">
        <v>634</v>
      </c>
      <c r="B47" t="s">
        <v>635</v>
      </c>
    </row>
    <row r="48" spans="1:2" x14ac:dyDescent="0.2">
      <c r="A48" t="s">
        <v>811</v>
      </c>
      <c r="B48" t="s">
        <v>812</v>
      </c>
    </row>
    <row r="49" spans="1:2" x14ac:dyDescent="0.2">
      <c r="A49" t="s">
        <v>559</v>
      </c>
      <c r="B49" t="s">
        <v>560</v>
      </c>
    </row>
    <row r="50" spans="1:2" x14ac:dyDescent="0.2">
      <c r="A50" t="s">
        <v>336</v>
      </c>
      <c r="B50" t="s">
        <v>337</v>
      </c>
    </row>
    <row r="51" spans="1:2" x14ac:dyDescent="0.2">
      <c r="A51" t="s">
        <v>575</v>
      </c>
      <c r="B51" t="s">
        <v>576</v>
      </c>
    </row>
    <row r="52" spans="1:2" x14ac:dyDescent="0.2">
      <c r="A52" t="s">
        <v>706</v>
      </c>
      <c r="B52" t="s">
        <v>707</v>
      </c>
    </row>
    <row r="53" spans="1:2" x14ac:dyDescent="0.2">
      <c r="A53" t="s">
        <v>809</v>
      </c>
      <c r="B53" t="s">
        <v>810</v>
      </c>
    </row>
    <row r="54" spans="1:2" x14ac:dyDescent="0.2">
      <c r="A54" t="s">
        <v>636</v>
      </c>
      <c r="B54" t="s">
        <v>145</v>
      </c>
    </row>
    <row r="55" spans="1:2" x14ac:dyDescent="0.2">
      <c r="A55" t="s">
        <v>453</v>
      </c>
      <c r="B55" t="s">
        <v>269</v>
      </c>
    </row>
    <row r="56" spans="1:2" x14ac:dyDescent="0.2">
      <c r="A56" t="s">
        <v>864</v>
      </c>
      <c r="B56" t="s">
        <v>865</v>
      </c>
    </row>
    <row r="57" spans="1:2" x14ac:dyDescent="0.2">
      <c r="A57" t="s">
        <v>653</v>
      </c>
      <c r="B57" t="s">
        <v>654</v>
      </c>
    </row>
    <row r="58" spans="1:2" x14ac:dyDescent="0.2">
      <c r="A58" t="s">
        <v>667</v>
      </c>
      <c r="B58" t="s">
        <v>668</v>
      </c>
    </row>
    <row r="59" spans="1:2" x14ac:dyDescent="0.2">
      <c r="A59" t="s">
        <v>799</v>
      </c>
      <c r="B59" t="s">
        <v>800</v>
      </c>
    </row>
    <row r="60" spans="1:2" x14ac:dyDescent="0.2">
      <c r="A60" t="s">
        <v>583</v>
      </c>
      <c r="B60" t="s">
        <v>243</v>
      </c>
    </row>
    <row r="61" spans="1:2" x14ac:dyDescent="0.2">
      <c r="A61" t="s">
        <v>1004</v>
      </c>
      <c r="B61" t="s">
        <v>313</v>
      </c>
    </row>
    <row r="62" spans="1:2" x14ac:dyDescent="0.2">
      <c r="A62" t="s">
        <v>837</v>
      </c>
      <c r="B62" t="s">
        <v>838</v>
      </c>
    </row>
    <row r="63" spans="1:2" x14ac:dyDescent="0.2">
      <c r="A63" t="s">
        <v>841</v>
      </c>
      <c r="B63" t="s">
        <v>842</v>
      </c>
    </row>
    <row r="64" spans="1:2" x14ac:dyDescent="0.2">
      <c r="A64" t="s">
        <v>710</v>
      </c>
      <c r="B64" t="s">
        <v>711</v>
      </c>
    </row>
    <row r="65" spans="1:2" x14ac:dyDescent="0.2">
      <c r="A65" t="s">
        <v>724</v>
      </c>
      <c r="B65" t="s">
        <v>725</v>
      </c>
    </row>
    <row r="66" spans="1:2" x14ac:dyDescent="0.2">
      <c r="A66" t="s">
        <v>866</v>
      </c>
      <c r="B66" t="s">
        <v>867</v>
      </c>
    </row>
    <row r="67" spans="1:2" x14ac:dyDescent="0.2">
      <c r="A67" t="s">
        <v>736</v>
      </c>
      <c r="B67" t="s">
        <v>233</v>
      </c>
    </row>
    <row r="68" spans="1:2" x14ac:dyDescent="0.2">
      <c r="A68" t="s">
        <v>537</v>
      </c>
      <c r="B68" t="s">
        <v>137</v>
      </c>
    </row>
    <row r="69" spans="1:2" x14ac:dyDescent="0.2">
      <c r="A69" t="s">
        <v>595</v>
      </c>
      <c r="B69" t="s">
        <v>596</v>
      </c>
    </row>
    <row r="70" spans="1:2" x14ac:dyDescent="0.2">
      <c r="A70" t="s">
        <v>731</v>
      </c>
      <c r="B70" t="s">
        <v>732</v>
      </c>
    </row>
    <row r="71" spans="1:2" x14ac:dyDescent="0.2">
      <c r="A71" t="s">
        <v>548</v>
      </c>
      <c r="B71" t="s">
        <v>549</v>
      </c>
    </row>
    <row r="72" spans="1:2" x14ac:dyDescent="0.2">
      <c r="A72" t="s">
        <v>769</v>
      </c>
      <c r="B72" t="s">
        <v>770</v>
      </c>
    </row>
    <row r="73" spans="1:2" x14ac:dyDescent="0.2">
      <c r="A73" t="s">
        <v>922</v>
      </c>
      <c r="B73" t="s">
        <v>923</v>
      </c>
    </row>
    <row r="74" spans="1:2" x14ac:dyDescent="0.2">
      <c r="A74" t="s">
        <v>944</v>
      </c>
      <c r="B74" t="s">
        <v>945</v>
      </c>
    </row>
    <row r="75" spans="1:2" x14ac:dyDescent="0.2">
      <c r="A75" t="s">
        <v>746</v>
      </c>
      <c r="B75" t="s">
        <v>747</v>
      </c>
    </row>
    <row r="76" spans="1:2" x14ac:dyDescent="0.2">
      <c r="A76" t="s">
        <v>820</v>
      </c>
      <c r="B76" t="s">
        <v>821</v>
      </c>
    </row>
    <row r="77" spans="1:2" x14ac:dyDescent="0.2">
      <c r="A77" t="s">
        <v>928</v>
      </c>
      <c r="B77" t="s">
        <v>929</v>
      </c>
    </row>
    <row r="78" spans="1:2" x14ac:dyDescent="0.2">
      <c r="A78" t="s">
        <v>659</v>
      </c>
      <c r="B78" t="s">
        <v>660</v>
      </c>
    </row>
    <row r="79" spans="1:2" x14ac:dyDescent="0.2">
      <c r="A79" t="s">
        <v>475</v>
      </c>
      <c r="B79" t="s">
        <v>476</v>
      </c>
    </row>
    <row r="80" spans="1:2" x14ac:dyDescent="0.2">
      <c r="A80" t="s">
        <v>892</v>
      </c>
      <c r="B80" t="s">
        <v>893</v>
      </c>
    </row>
    <row r="81" spans="1:2" x14ac:dyDescent="0.2">
      <c r="A81" t="s">
        <v>625</v>
      </c>
      <c r="B81" t="s">
        <v>626</v>
      </c>
    </row>
    <row r="82" spans="1:2" x14ac:dyDescent="0.2">
      <c r="A82" t="s">
        <v>645</v>
      </c>
      <c r="B82" t="s">
        <v>646</v>
      </c>
    </row>
    <row r="83" spans="1:2" x14ac:dyDescent="0.2">
      <c r="A83" t="s">
        <v>848</v>
      </c>
      <c r="B83" t="s">
        <v>849</v>
      </c>
    </row>
    <row r="84" spans="1:2" x14ac:dyDescent="0.2">
      <c r="A84" t="s">
        <v>824</v>
      </c>
      <c r="B84" t="s">
        <v>825</v>
      </c>
    </row>
    <row r="85" spans="1:2" x14ac:dyDescent="0.2">
      <c r="A85" t="s">
        <v>621</v>
      </c>
      <c r="B85" t="s">
        <v>622</v>
      </c>
    </row>
    <row r="86" spans="1:2" x14ac:dyDescent="0.2">
      <c r="A86" t="s">
        <v>340</v>
      </c>
      <c r="B86" t="s">
        <v>341</v>
      </c>
    </row>
    <row r="87" spans="1:2" x14ac:dyDescent="0.2">
      <c r="A87" t="s">
        <v>689</v>
      </c>
      <c r="B87" t="s">
        <v>305</v>
      </c>
    </row>
    <row r="88" spans="1:2" x14ac:dyDescent="0.2">
      <c r="A88" t="s">
        <v>632</v>
      </c>
      <c r="B88" t="s">
        <v>633</v>
      </c>
    </row>
    <row r="89" spans="1:2" x14ac:dyDescent="0.2">
      <c r="A89" t="s">
        <v>501</v>
      </c>
      <c r="B89" t="s">
        <v>502</v>
      </c>
    </row>
    <row r="90" spans="1:2" x14ac:dyDescent="0.2">
      <c r="A90" t="s">
        <v>432</v>
      </c>
      <c r="B90" t="s">
        <v>433</v>
      </c>
    </row>
    <row r="91" spans="1:2" x14ac:dyDescent="0.2">
      <c r="A91" t="s">
        <v>555</v>
      </c>
      <c r="B91" t="s">
        <v>556</v>
      </c>
    </row>
    <row r="92" spans="1:2" x14ac:dyDescent="0.2">
      <c r="A92" t="s">
        <v>756</v>
      </c>
      <c r="B92" t="s">
        <v>757</v>
      </c>
    </row>
    <row r="93" spans="1:2" x14ac:dyDescent="0.2">
      <c r="A93" t="s">
        <v>651</v>
      </c>
      <c r="B93" t="s">
        <v>652</v>
      </c>
    </row>
    <row r="94" spans="1:2" x14ac:dyDescent="0.2">
      <c r="A94" t="s">
        <v>619</v>
      </c>
      <c r="B94" t="s">
        <v>620</v>
      </c>
    </row>
    <row r="95" spans="1:2" x14ac:dyDescent="0.2">
      <c r="A95" t="s">
        <v>481</v>
      </c>
      <c r="B95" t="s">
        <v>85</v>
      </c>
    </row>
    <row r="96" spans="1:2" x14ac:dyDescent="0.2">
      <c r="A96" t="s">
        <v>877</v>
      </c>
      <c r="B96" t="s">
        <v>303</v>
      </c>
    </row>
    <row r="97" spans="1:2" x14ac:dyDescent="0.2">
      <c r="A97" t="s">
        <v>527</v>
      </c>
      <c r="B97" t="s">
        <v>528</v>
      </c>
    </row>
    <row r="98" spans="1:2" x14ac:dyDescent="0.2">
      <c r="A98" t="s">
        <v>505</v>
      </c>
      <c r="B98" t="s">
        <v>506</v>
      </c>
    </row>
    <row r="99" spans="1:2" x14ac:dyDescent="0.2">
      <c r="A99" t="s">
        <v>801</v>
      </c>
      <c r="B99" t="s">
        <v>802</v>
      </c>
    </row>
    <row r="100" spans="1:2" x14ac:dyDescent="0.2">
      <c r="A100" t="s">
        <v>726</v>
      </c>
      <c r="B100" t="s">
        <v>727</v>
      </c>
    </row>
    <row r="101" spans="1:2" x14ac:dyDescent="0.2">
      <c r="A101" t="s">
        <v>413</v>
      </c>
      <c r="B101" t="s">
        <v>414</v>
      </c>
    </row>
    <row r="102" spans="1:2" x14ac:dyDescent="0.2">
      <c r="A102" t="s">
        <v>456</v>
      </c>
      <c r="B102" t="s">
        <v>457</v>
      </c>
    </row>
    <row r="103" spans="1:2" x14ac:dyDescent="0.2">
      <c r="A103" t="s">
        <v>533</v>
      </c>
      <c r="B103" t="s">
        <v>534</v>
      </c>
    </row>
    <row r="104" spans="1:2" x14ac:dyDescent="0.2">
      <c r="A104" t="s">
        <v>716</v>
      </c>
      <c r="B104" t="s">
        <v>717</v>
      </c>
    </row>
    <row r="105" spans="1:2" x14ac:dyDescent="0.2">
      <c r="A105" t="s">
        <v>637</v>
      </c>
      <c r="B105" t="s">
        <v>638</v>
      </c>
    </row>
    <row r="106" spans="1:2" x14ac:dyDescent="0.2">
      <c r="A106" t="s">
        <v>569</v>
      </c>
      <c r="B106" t="s">
        <v>570</v>
      </c>
    </row>
    <row r="107" spans="1:2" x14ac:dyDescent="0.2">
      <c r="A107" t="s">
        <v>551</v>
      </c>
      <c r="B107" t="s">
        <v>552</v>
      </c>
    </row>
    <row r="108" spans="1:2" x14ac:dyDescent="0.2">
      <c r="A108" t="s">
        <v>482</v>
      </c>
      <c r="B108" t="s">
        <v>483</v>
      </c>
    </row>
    <row r="109" spans="1:2" x14ac:dyDescent="0.2">
      <c r="A109" t="s">
        <v>573</v>
      </c>
      <c r="B109" t="s">
        <v>574</v>
      </c>
    </row>
    <row r="110" spans="1:2" x14ac:dyDescent="0.2">
      <c r="A110" t="s">
        <v>376</v>
      </c>
      <c r="B110" t="s">
        <v>377</v>
      </c>
    </row>
    <row r="111" spans="1:2" x14ac:dyDescent="0.2">
      <c r="A111" t="s">
        <v>360</v>
      </c>
      <c r="B111" t="s">
        <v>361</v>
      </c>
    </row>
    <row r="112" spans="1:2" x14ac:dyDescent="0.2">
      <c r="A112" t="s">
        <v>378</v>
      </c>
      <c r="B112" t="s">
        <v>379</v>
      </c>
    </row>
    <row r="113" spans="1:2" x14ac:dyDescent="0.2">
      <c r="A113" t="s">
        <v>789</v>
      </c>
      <c r="B113" t="s">
        <v>790</v>
      </c>
    </row>
    <row r="114" spans="1:2" x14ac:dyDescent="0.2">
      <c r="A114" t="s">
        <v>415</v>
      </c>
      <c r="B114" t="s">
        <v>416</v>
      </c>
    </row>
    <row r="115" spans="1:2" x14ac:dyDescent="0.2">
      <c r="A115" t="s">
        <v>759</v>
      </c>
      <c r="B115" t="s">
        <v>760</v>
      </c>
    </row>
    <row r="116" spans="1:2" x14ac:dyDescent="0.2">
      <c r="A116" t="s">
        <v>735</v>
      </c>
      <c r="B116" t="s">
        <v>275</v>
      </c>
    </row>
    <row r="117" spans="1:2" x14ac:dyDescent="0.2">
      <c r="A117" t="s">
        <v>612</v>
      </c>
      <c r="B117" t="s">
        <v>225</v>
      </c>
    </row>
    <row r="118" spans="1:2" x14ac:dyDescent="0.2">
      <c r="A118" t="s">
        <v>647</v>
      </c>
      <c r="B118" t="s">
        <v>648</v>
      </c>
    </row>
    <row r="119" spans="1:2" x14ac:dyDescent="0.2">
      <c r="A119" t="s">
        <v>750</v>
      </c>
      <c r="B119" t="s">
        <v>751</v>
      </c>
    </row>
    <row r="120" spans="1:2" x14ac:dyDescent="0.2">
      <c r="A120" t="s">
        <v>608</v>
      </c>
      <c r="B120" t="s">
        <v>609</v>
      </c>
    </row>
    <row r="121" spans="1:2" x14ac:dyDescent="0.2">
      <c r="A121" t="s">
        <v>787</v>
      </c>
      <c r="B121" t="s">
        <v>788</v>
      </c>
    </row>
    <row r="122" spans="1:2" x14ac:dyDescent="0.2">
      <c r="A122" t="s">
        <v>639</v>
      </c>
      <c r="B122" t="s">
        <v>640</v>
      </c>
    </row>
    <row r="123" spans="1:2" x14ac:dyDescent="0.2">
      <c r="A123" t="s">
        <v>564</v>
      </c>
      <c r="B123" t="s">
        <v>565</v>
      </c>
    </row>
    <row r="124" spans="1:2" x14ac:dyDescent="0.2">
      <c r="A124" t="s">
        <v>544</v>
      </c>
      <c r="B124" t="s">
        <v>545</v>
      </c>
    </row>
    <row r="125" spans="1:2" x14ac:dyDescent="0.2">
      <c r="A125" t="s">
        <v>807</v>
      </c>
      <c r="B125" t="s">
        <v>808</v>
      </c>
    </row>
    <row r="126" spans="1:2" x14ac:dyDescent="0.2">
      <c r="A126" t="s">
        <v>364</v>
      </c>
      <c r="B126" t="s">
        <v>125</v>
      </c>
    </row>
    <row r="127" spans="1:2" x14ac:dyDescent="0.2">
      <c r="A127" t="s">
        <v>422</v>
      </c>
      <c r="B127" t="s">
        <v>167</v>
      </c>
    </row>
    <row r="128" spans="1:2" x14ac:dyDescent="0.2">
      <c r="A128" t="s">
        <v>610</v>
      </c>
      <c r="B128" t="s">
        <v>611</v>
      </c>
    </row>
    <row r="129" spans="1:2" x14ac:dyDescent="0.2">
      <c r="A129" t="s">
        <v>460</v>
      </c>
      <c r="B129" t="s">
        <v>461</v>
      </c>
    </row>
    <row r="130" spans="1:2" x14ac:dyDescent="0.2">
      <c r="A130" t="s">
        <v>439</v>
      </c>
      <c r="B130" t="s">
        <v>440</v>
      </c>
    </row>
    <row r="131" spans="1:2" x14ac:dyDescent="0.2">
      <c r="A131" t="s">
        <v>441</v>
      </c>
      <c r="B131" t="s">
        <v>45</v>
      </c>
    </row>
    <row r="132" spans="1:2" x14ac:dyDescent="0.2">
      <c r="A132" t="s">
        <v>631</v>
      </c>
      <c r="B132" t="s">
        <v>241</v>
      </c>
    </row>
    <row r="133" spans="1:2" x14ac:dyDescent="0.2">
      <c r="A133" t="s">
        <v>490</v>
      </c>
      <c r="B133" t="s">
        <v>491</v>
      </c>
    </row>
    <row r="134" spans="1:2" x14ac:dyDescent="0.2">
      <c r="A134" t="s">
        <v>815</v>
      </c>
      <c r="B134" t="s">
        <v>107</v>
      </c>
    </row>
    <row r="135" spans="1:2" x14ac:dyDescent="0.2">
      <c r="A135" t="s">
        <v>542</v>
      </c>
      <c r="B135" t="s">
        <v>543</v>
      </c>
    </row>
    <row r="136" spans="1:2" x14ac:dyDescent="0.2">
      <c r="A136" t="s">
        <v>816</v>
      </c>
      <c r="B136" t="s">
        <v>817</v>
      </c>
    </row>
    <row r="137" spans="1:2" x14ac:dyDescent="0.2">
      <c r="A137" t="s">
        <v>657</v>
      </c>
      <c r="B137" t="s">
        <v>658</v>
      </c>
    </row>
    <row r="138" spans="1:2" x14ac:dyDescent="0.2">
      <c r="A138" t="s">
        <v>822</v>
      </c>
      <c r="B138" t="s">
        <v>823</v>
      </c>
    </row>
    <row r="139" spans="1:2" x14ac:dyDescent="0.2">
      <c r="A139" t="s">
        <v>872</v>
      </c>
      <c r="B139" t="s">
        <v>873</v>
      </c>
    </row>
    <row r="140" spans="1:2" x14ac:dyDescent="0.2">
      <c r="A140" t="s">
        <v>765</v>
      </c>
      <c r="B140" t="s">
        <v>766</v>
      </c>
    </row>
    <row r="141" spans="1:2" x14ac:dyDescent="0.2">
      <c r="A141" t="s">
        <v>700</v>
      </c>
      <c r="B141" t="s">
        <v>701</v>
      </c>
    </row>
    <row r="142" spans="1:2" x14ac:dyDescent="0.2">
      <c r="A142" t="s">
        <v>862</v>
      </c>
      <c r="B142" t="s">
        <v>863</v>
      </c>
    </row>
    <row r="143" spans="1:2" x14ac:dyDescent="0.2">
      <c r="A143" t="s">
        <v>834</v>
      </c>
      <c r="B143" t="s">
        <v>287</v>
      </c>
    </row>
    <row r="144" spans="1:2" x14ac:dyDescent="0.2">
      <c r="A144" t="s">
        <v>742</v>
      </c>
      <c r="B144" t="s">
        <v>743</v>
      </c>
    </row>
    <row r="145" spans="1:2" x14ac:dyDescent="0.2">
      <c r="A145" t="s">
        <v>845</v>
      </c>
      <c r="B145" t="s">
        <v>221</v>
      </c>
    </row>
    <row r="146" spans="1:2" x14ac:dyDescent="0.2">
      <c r="A146" t="s">
        <v>781</v>
      </c>
      <c r="B146" t="s">
        <v>782</v>
      </c>
    </row>
    <row r="147" spans="1:2" x14ac:dyDescent="0.2">
      <c r="A147" t="s">
        <v>728</v>
      </c>
      <c r="B147" t="s">
        <v>729</v>
      </c>
    </row>
    <row r="148" spans="1:2" x14ac:dyDescent="0.2">
      <c r="A148" t="s">
        <v>752</v>
      </c>
      <c r="B148" t="s">
        <v>753</v>
      </c>
    </row>
    <row r="149" spans="1:2" x14ac:dyDescent="0.2">
      <c r="A149" t="s">
        <v>828</v>
      </c>
      <c r="B149" t="s">
        <v>829</v>
      </c>
    </row>
    <row r="150" spans="1:2" x14ac:dyDescent="0.2">
      <c r="A150" t="s">
        <v>737</v>
      </c>
      <c r="B150" t="s">
        <v>155</v>
      </c>
    </row>
    <row r="151" spans="1:2" x14ac:dyDescent="0.2">
      <c r="A151" t="s">
        <v>818</v>
      </c>
      <c r="B151" t="s">
        <v>819</v>
      </c>
    </row>
    <row r="152" spans="1:2" x14ac:dyDescent="0.2">
      <c r="A152" t="s">
        <v>718</v>
      </c>
      <c r="B152" t="s">
        <v>719</v>
      </c>
    </row>
    <row r="153" spans="1:2" x14ac:dyDescent="0.2">
      <c r="A153" t="s">
        <v>740</v>
      </c>
      <c r="B153" t="s">
        <v>741</v>
      </c>
    </row>
    <row r="154" spans="1:2" x14ac:dyDescent="0.2">
      <c r="A154" t="s">
        <v>420</v>
      </c>
      <c r="B154" t="s">
        <v>421</v>
      </c>
    </row>
    <row r="155" spans="1:2" x14ac:dyDescent="0.2">
      <c r="A155" t="s">
        <v>584</v>
      </c>
      <c r="B155" t="s">
        <v>585</v>
      </c>
    </row>
    <row r="156" spans="1:2" x14ac:dyDescent="0.2">
      <c r="A156" t="s">
        <v>577</v>
      </c>
      <c r="B156" t="s">
        <v>578</v>
      </c>
    </row>
    <row r="157" spans="1:2" x14ac:dyDescent="0.2">
      <c r="A157" t="s">
        <v>522</v>
      </c>
      <c r="B157" t="s">
        <v>523</v>
      </c>
    </row>
    <row r="158" spans="1:2" x14ac:dyDescent="0.2">
      <c r="A158" t="s">
        <v>520</v>
      </c>
      <c r="B158" t="s">
        <v>521</v>
      </c>
    </row>
    <row r="159" spans="1:2" x14ac:dyDescent="0.2">
      <c r="A159" t="s">
        <v>661</v>
      </c>
      <c r="B159" t="s">
        <v>662</v>
      </c>
    </row>
    <row r="160" spans="1:2" x14ac:dyDescent="0.2">
      <c r="A160" t="s">
        <v>525</v>
      </c>
      <c r="B160" t="s">
        <v>526</v>
      </c>
    </row>
    <row r="161" spans="1:2" x14ac:dyDescent="0.2">
      <c r="A161" t="s">
        <v>519</v>
      </c>
      <c r="B161" t="s">
        <v>267</v>
      </c>
    </row>
    <row r="162" spans="1:2" x14ac:dyDescent="0.2">
      <c r="A162" t="s">
        <v>462</v>
      </c>
      <c r="B162" t="s">
        <v>463</v>
      </c>
    </row>
    <row r="163" spans="1:2" x14ac:dyDescent="0.2">
      <c r="A163" t="s">
        <v>450</v>
      </c>
      <c r="B163" t="s">
        <v>185</v>
      </c>
    </row>
    <row r="164" spans="1:2" x14ac:dyDescent="0.2">
      <c r="A164" t="s">
        <v>444</v>
      </c>
      <c r="B164" t="s">
        <v>445</v>
      </c>
    </row>
    <row r="165" spans="1:2" x14ac:dyDescent="0.2">
      <c r="A165" t="s">
        <v>599</v>
      </c>
      <c r="B165" t="s">
        <v>600</v>
      </c>
    </row>
    <row r="166" spans="1:2" x14ac:dyDescent="0.2">
      <c r="A166" t="s">
        <v>679</v>
      </c>
      <c r="B166" t="s">
        <v>680</v>
      </c>
    </row>
    <row r="167" spans="1:2" x14ac:dyDescent="0.2">
      <c r="A167" t="s">
        <v>773</v>
      </c>
      <c r="B167" t="s">
        <v>774</v>
      </c>
    </row>
    <row r="168" spans="1:2" x14ac:dyDescent="0.2">
      <c r="A168" t="s">
        <v>777</v>
      </c>
      <c r="B168" t="s">
        <v>778</v>
      </c>
    </row>
    <row r="169" spans="1:2" x14ac:dyDescent="0.2">
      <c r="A169" t="s">
        <v>418</v>
      </c>
      <c r="B169" t="s">
        <v>419</v>
      </c>
    </row>
    <row r="170" spans="1:2" x14ac:dyDescent="0.2">
      <c r="A170" t="s">
        <v>509</v>
      </c>
      <c r="B170" t="s">
        <v>510</v>
      </c>
    </row>
    <row r="171" spans="1:2" x14ac:dyDescent="0.2">
      <c r="A171" t="s">
        <v>702</v>
      </c>
      <c r="B171" t="s">
        <v>703</v>
      </c>
    </row>
    <row r="172" spans="1:2" x14ac:dyDescent="0.2">
      <c r="A172" t="s">
        <v>498</v>
      </c>
      <c r="B172" t="s">
        <v>201</v>
      </c>
    </row>
    <row r="173" spans="1:2" x14ac:dyDescent="0.2">
      <c r="A173" t="s">
        <v>513</v>
      </c>
      <c r="B173" t="s">
        <v>514</v>
      </c>
    </row>
    <row r="174" spans="1:2" x14ac:dyDescent="0.2">
      <c r="A174" t="s">
        <v>437</v>
      </c>
      <c r="B174" t="s">
        <v>438</v>
      </c>
    </row>
    <row r="175" spans="1:2" x14ac:dyDescent="0.2">
      <c r="A175" t="s">
        <v>694</v>
      </c>
      <c r="B175" t="s">
        <v>695</v>
      </c>
    </row>
    <row r="176" spans="1:2" x14ac:dyDescent="0.2">
      <c r="A176" t="s">
        <v>368</v>
      </c>
      <c r="B176" t="s">
        <v>369</v>
      </c>
    </row>
    <row r="177" spans="1:2" x14ac:dyDescent="0.2">
      <c r="A177" t="s">
        <v>623</v>
      </c>
      <c r="B177" t="s">
        <v>624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425</v>
      </c>
      <c r="B179" t="s">
        <v>426</v>
      </c>
    </row>
    <row r="180" spans="1:2" x14ac:dyDescent="0.2">
      <c r="A180" t="s">
        <v>394</v>
      </c>
      <c r="B180" t="s">
        <v>395</v>
      </c>
    </row>
    <row r="181" spans="1:2" x14ac:dyDescent="0.2">
      <c r="A181" t="s">
        <v>712</v>
      </c>
      <c r="B181" t="s">
        <v>713</v>
      </c>
    </row>
    <row r="182" spans="1:2" x14ac:dyDescent="0.2">
      <c r="A182" t="s">
        <v>601</v>
      </c>
      <c r="B182" t="s">
        <v>602</v>
      </c>
    </row>
    <row r="183" spans="1:2" x14ac:dyDescent="0.2">
      <c r="A183" t="s">
        <v>535</v>
      </c>
      <c r="B183" t="s">
        <v>536</v>
      </c>
    </row>
    <row r="184" spans="1:2" x14ac:dyDescent="0.2">
      <c r="A184" t="s">
        <v>402</v>
      </c>
      <c r="B184" t="s">
        <v>403</v>
      </c>
    </row>
    <row r="185" spans="1:2" x14ac:dyDescent="0.2">
      <c r="A185" t="s">
        <v>613</v>
      </c>
      <c r="B185" t="s">
        <v>614</v>
      </c>
    </row>
    <row r="186" spans="1:2" x14ac:dyDescent="0.2">
      <c r="A186" t="s">
        <v>388</v>
      </c>
      <c r="B186" t="s">
        <v>389</v>
      </c>
    </row>
    <row r="187" spans="1:2" x14ac:dyDescent="0.2">
      <c r="A187" t="s">
        <v>428</v>
      </c>
      <c r="B187" t="s">
        <v>429</v>
      </c>
    </row>
    <row r="188" spans="1:2" x14ac:dyDescent="0.2">
      <c r="A188" t="s">
        <v>479</v>
      </c>
      <c r="B188" t="s">
        <v>480</v>
      </c>
    </row>
    <row r="189" spans="1:2" x14ac:dyDescent="0.2">
      <c r="A189" t="s">
        <v>484</v>
      </c>
      <c r="B189" t="s">
        <v>485</v>
      </c>
    </row>
    <row r="190" spans="1:2" x14ac:dyDescent="0.2">
      <c r="A190" t="s">
        <v>496</v>
      </c>
      <c r="B190" t="s">
        <v>497</v>
      </c>
    </row>
    <row r="191" spans="1:2" x14ac:dyDescent="0.2">
      <c r="A191" t="s">
        <v>515</v>
      </c>
      <c r="B191" t="s">
        <v>516</v>
      </c>
    </row>
    <row r="192" spans="1:2" x14ac:dyDescent="0.2">
      <c r="A192" t="s">
        <v>511</v>
      </c>
      <c r="B192" t="s">
        <v>512</v>
      </c>
    </row>
    <row r="193" spans="1:2" x14ac:dyDescent="0.2">
      <c r="A193" t="s">
        <v>530</v>
      </c>
      <c r="B193" t="s">
        <v>119</v>
      </c>
    </row>
    <row r="194" spans="1:2" x14ac:dyDescent="0.2">
      <c r="A194" t="s">
        <v>952</v>
      </c>
      <c r="B194" t="s">
        <v>953</v>
      </c>
    </row>
    <row r="195" spans="1:2" x14ac:dyDescent="0.2">
      <c r="A195" t="s">
        <v>738</v>
      </c>
      <c r="B195" t="s">
        <v>739</v>
      </c>
    </row>
    <row r="196" spans="1:2" x14ac:dyDescent="0.2">
      <c r="A196" t="s">
        <v>763</v>
      </c>
      <c r="B196" t="s">
        <v>764</v>
      </c>
    </row>
    <row r="197" spans="1:2" x14ac:dyDescent="0.2">
      <c r="A197" t="s">
        <v>795</v>
      </c>
      <c r="B197" t="s">
        <v>796</v>
      </c>
    </row>
    <row r="198" spans="1:2" x14ac:dyDescent="0.2">
      <c r="A198" t="s">
        <v>488</v>
      </c>
      <c r="B198" t="s">
        <v>489</v>
      </c>
    </row>
    <row r="199" spans="1:2" x14ac:dyDescent="0.2">
      <c r="A199" t="s">
        <v>649</v>
      </c>
      <c r="B199" t="s">
        <v>650</v>
      </c>
    </row>
    <row r="200" spans="1:2" x14ac:dyDescent="0.2">
      <c r="A200" t="s">
        <v>916</v>
      </c>
      <c r="B200" t="s">
        <v>917</v>
      </c>
    </row>
    <row r="201" spans="1:2" x14ac:dyDescent="0.2">
      <c r="A201" t="s">
        <v>926</v>
      </c>
      <c r="B201" t="s">
        <v>927</v>
      </c>
    </row>
    <row r="202" spans="1:2" x14ac:dyDescent="0.2">
      <c r="A202" t="s">
        <v>904</v>
      </c>
      <c r="B202" t="s">
        <v>905</v>
      </c>
    </row>
    <row r="203" spans="1:2" x14ac:dyDescent="0.2">
      <c r="A203" t="s">
        <v>673</v>
      </c>
      <c r="B203" t="s">
        <v>674</v>
      </c>
    </row>
    <row r="204" spans="1:2" x14ac:dyDescent="0.2">
      <c r="A204" t="s">
        <v>385</v>
      </c>
      <c r="B204" t="s">
        <v>386</v>
      </c>
    </row>
    <row r="205" spans="1:2" x14ac:dyDescent="0.2">
      <c r="A205" t="s">
        <v>370</v>
      </c>
      <c r="B205" t="s">
        <v>371</v>
      </c>
    </row>
    <row r="206" spans="1:2" x14ac:dyDescent="0.2">
      <c r="A206" t="s">
        <v>553</v>
      </c>
      <c r="B206" t="s">
        <v>554</v>
      </c>
    </row>
    <row r="207" spans="1:2" x14ac:dyDescent="0.2">
      <c r="A207" t="s">
        <v>934</v>
      </c>
      <c r="B207" t="s">
        <v>935</v>
      </c>
    </row>
    <row r="208" spans="1:2" x14ac:dyDescent="0.2">
      <c r="A208" t="s">
        <v>407</v>
      </c>
      <c r="B208" t="s">
        <v>79</v>
      </c>
    </row>
    <row r="209" spans="1:2" x14ac:dyDescent="0.2">
      <c r="A209" t="s">
        <v>454</v>
      </c>
      <c r="B209" t="s">
        <v>455</v>
      </c>
    </row>
    <row r="210" spans="1:2" x14ac:dyDescent="0.2">
      <c r="A210" t="s">
        <v>503</v>
      </c>
      <c r="B210" t="s">
        <v>504</v>
      </c>
    </row>
    <row r="211" spans="1:2" x14ac:dyDescent="0.2">
      <c r="A211" t="s">
        <v>348</v>
      </c>
      <c r="B211" t="s">
        <v>349</v>
      </c>
    </row>
    <row r="212" spans="1:2" x14ac:dyDescent="0.2">
      <c r="A212" t="s">
        <v>374</v>
      </c>
      <c r="B212" t="s">
        <v>375</v>
      </c>
    </row>
    <row r="213" spans="1:2" x14ac:dyDescent="0.2">
      <c r="A213" t="s">
        <v>464</v>
      </c>
      <c r="B213" t="s">
        <v>191</v>
      </c>
    </row>
    <row r="214" spans="1:2" x14ac:dyDescent="0.2">
      <c r="A214" t="s">
        <v>359</v>
      </c>
      <c r="B214" t="s">
        <v>65</v>
      </c>
    </row>
    <row r="215" spans="1:2" x14ac:dyDescent="0.2">
      <c r="A215" t="s">
        <v>886</v>
      </c>
      <c r="B215" t="s">
        <v>887</v>
      </c>
    </row>
    <row r="216" spans="1:2" x14ac:dyDescent="0.2">
      <c r="A216" t="s">
        <v>830</v>
      </c>
      <c r="B216" t="s">
        <v>831</v>
      </c>
    </row>
    <row r="217" spans="1:2" x14ac:dyDescent="0.2">
      <c r="A217" t="s">
        <v>665</v>
      </c>
      <c r="B217" t="s">
        <v>666</v>
      </c>
    </row>
    <row r="218" spans="1:2" x14ac:dyDescent="0.2">
      <c r="A218" t="s">
        <v>771</v>
      </c>
      <c r="B218" t="s">
        <v>772</v>
      </c>
    </row>
    <row r="219" spans="1:2" x14ac:dyDescent="0.2">
      <c r="A219" t="s">
        <v>579</v>
      </c>
      <c r="B219" t="s">
        <v>580</v>
      </c>
    </row>
    <row r="220" spans="1:2" x14ac:dyDescent="0.2">
      <c r="A220" t="s">
        <v>367</v>
      </c>
      <c r="B220" t="s">
        <v>93</v>
      </c>
    </row>
    <row r="221" spans="1:2" x14ac:dyDescent="0.2">
      <c r="A221" t="s">
        <v>744</v>
      </c>
      <c r="B221" t="s">
        <v>247</v>
      </c>
    </row>
    <row r="222" spans="1:2" x14ac:dyDescent="0.2">
      <c r="A222" t="s">
        <v>408</v>
      </c>
      <c r="B222" t="s">
        <v>163</v>
      </c>
    </row>
    <row r="223" spans="1:2" x14ac:dyDescent="0.2">
      <c r="A223" t="s">
        <v>499</v>
      </c>
      <c r="B223" t="s">
        <v>500</v>
      </c>
    </row>
    <row r="224" spans="1:2" x14ac:dyDescent="0.2">
      <c r="A224" t="s">
        <v>396</v>
      </c>
      <c r="B224" t="s">
        <v>397</v>
      </c>
    </row>
    <row r="225" spans="1:2" x14ac:dyDescent="0.2">
      <c r="A225" t="s">
        <v>745</v>
      </c>
      <c r="B225" t="s">
        <v>257</v>
      </c>
    </row>
    <row r="226" spans="1:2" x14ac:dyDescent="0.2">
      <c r="A226" t="s">
        <v>655</v>
      </c>
      <c r="B226" t="s">
        <v>656</v>
      </c>
    </row>
    <row r="227" spans="1:2" x14ac:dyDescent="0.2">
      <c r="A227" t="s">
        <v>805</v>
      </c>
      <c r="B227" t="s">
        <v>806</v>
      </c>
    </row>
    <row r="228" spans="1:2" x14ac:dyDescent="0.2">
      <c r="A228" t="s">
        <v>850</v>
      </c>
      <c r="B228" t="s">
        <v>851</v>
      </c>
    </row>
    <row r="229" spans="1:2" x14ac:dyDescent="0.2">
      <c r="A229" t="s">
        <v>473</v>
      </c>
      <c r="B229" t="s">
        <v>143</v>
      </c>
    </row>
    <row r="230" spans="1:2" x14ac:dyDescent="0.2">
      <c r="A230" t="s">
        <v>898</v>
      </c>
      <c r="B230" t="s">
        <v>899</v>
      </c>
    </row>
    <row r="231" spans="1:2" x14ac:dyDescent="0.2">
      <c r="A231" t="s">
        <v>846</v>
      </c>
      <c r="B231" t="s">
        <v>847</v>
      </c>
    </row>
    <row r="232" spans="1:2" x14ac:dyDescent="0.2">
      <c r="A232" t="s">
        <v>885</v>
      </c>
      <c r="B232" t="s">
        <v>293</v>
      </c>
    </row>
    <row r="233" spans="1:2" x14ac:dyDescent="0.2">
      <c r="A233" t="s">
        <v>852</v>
      </c>
      <c r="B233" t="s">
        <v>289</v>
      </c>
    </row>
    <row r="234" spans="1:2" x14ac:dyDescent="0.2">
      <c r="A234" t="s">
        <v>875</v>
      </c>
      <c r="B234" t="s">
        <v>876</v>
      </c>
    </row>
    <row r="235" spans="1:2" x14ac:dyDescent="0.2">
      <c r="A235" t="s">
        <v>938</v>
      </c>
      <c r="B235" t="s">
        <v>939</v>
      </c>
    </row>
    <row r="236" spans="1:2" x14ac:dyDescent="0.2">
      <c r="A236" t="s">
        <v>883</v>
      </c>
      <c r="B236" t="s">
        <v>884</v>
      </c>
    </row>
    <row r="237" spans="1:2" x14ac:dyDescent="0.2">
      <c r="A237" t="s">
        <v>946</v>
      </c>
      <c r="B237" t="s">
        <v>947</v>
      </c>
    </row>
    <row r="238" spans="1:2" x14ac:dyDescent="0.2">
      <c r="A238" t="s">
        <v>914</v>
      </c>
      <c r="B238" t="s">
        <v>915</v>
      </c>
    </row>
    <row r="239" spans="1:2" x14ac:dyDescent="0.2">
      <c r="A239" t="s">
        <v>936</v>
      </c>
      <c r="B239" t="s">
        <v>937</v>
      </c>
    </row>
    <row r="240" spans="1:2" x14ac:dyDescent="0.2">
      <c r="A240" t="s">
        <v>942</v>
      </c>
      <c r="B240" t="s">
        <v>943</v>
      </c>
    </row>
    <row r="241" spans="1:2" x14ac:dyDescent="0.2">
      <c r="A241" t="s">
        <v>874</v>
      </c>
      <c r="B241" t="s">
        <v>283</v>
      </c>
    </row>
    <row r="242" spans="1:2" x14ac:dyDescent="0.2">
      <c r="A242" t="s">
        <v>1005</v>
      </c>
      <c r="B242" t="s">
        <v>1006</v>
      </c>
    </row>
    <row r="243" spans="1:2" x14ac:dyDescent="0.2">
      <c r="A243" t="s">
        <v>1007</v>
      </c>
      <c r="B243" t="s">
        <v>1008</v>
      </c>
    </row>
    <row r="244" spans="1:2" x14ac:dyDescent="0.2">
      <c r="A244" t="s">
        <v>994</v>
      </c>
      <c r="B244" t="s">
        <v>995</v>
      </c>
    </row>
    <row r="245" spans="1:2" x14ac:dyDescent="0.2">
      <c r="A245" t="s">
        <v>1009</v>
      </c>
      <c r="B245" t="s">
        <v>1010</v>
      </c>
    </row>
    <row r="246" spans="1:2" x14ac:dyDescent="0.2">
      <c r="A246" t="s">
        <v>1013</v>
      </c>
      <c r="B246" t="s">
        <v>1014</v>
      </c>
    </row>
    <row r="247" spans="1:2" x14ac:dyDescent="0.2">
      <c r="A247" t="s">
        <v>932</v>
      </c>
      <c r="B247" t="s">
        <v>933</v>
      </c>
    </row>
    <row r="248" spans="1:2" x14ac:dyDescent="0.2">
      <c r="A248" t="s">
        <v>708</v>
      </c>
      <c r="B248" t="s">
        <v>709</v>
      </c>
    </row>
    <row r="249" spans="1:2" x14ac:dyDescent="0.2">
      <c r="A249" t="s">
        <v>382</v>
      </c>
      <c r="B249" t="s">
        <v>383</v>
      </c>
    </row>
    <row r="250" spans="1:2" x14ac:dyDescent="0.2">
      <c r="A250" t="s">
        <v>1015</v>
      </c>
      <c r="B250" t="s">
        <v>1016</v>
      </c>
    </row>
    <row r="251" spans="1:2" x14ac:dyDescent="0.2">
      <c r="A251" t="s">
        <v>950</v>
      </c>
      <c r="B251" t="s">
        <v>951</v>
      </c>
    </row>
    <row r="252" spans="1:2" x14ac:dyDescent="0.2">
      <c r="A252" t="s">
        <v>813</v>
      </c>
      <c r="B252" t="s">
        <v>814</v>
      </c>
    </row>
    <row r="253" spans="1:2" x14ac:dyDescent="0.2">
      <c r="A253" t="s">
        <v>878</v>
      </c>
      <c r="B253" t="s">
        <v>237</v>
      </c>
    </row>
    <row r="254" spans="1:2" x14ac:dyDescent="0.2">
      <c r="A254" t="s">
        <v>861</v>
      </c>
      <c r="B254" t="s">
        <v>285</v>
      </c>
    </row>
    <row r="255" spans="1:2" x14ac:dyDescent="0.2">
      <c r="A255" t="s">
        <v>920</v>
      </c>
      <c r="B255" t="s">
        <v>921</v>
      </c>
    </row>
    <row r="256" spans="1:2" x14ac:dyDescent="0.2">
      <c r="A256" t="s">
        <v>748</v>
      </c>
      <c r="B256" t="s">
        <v>749</v>
      </c>
    </row>
    <row r="257" spans="1:2" x14ac:dyDescent="0.2">
      <c r="A257" t="s">
        <v>629</v>
      </c>
      <c r="B257" t="s">
        <v>630</v>
      </c>
    </row>
    <row r="258" spans="1:2" x14ac:dyDescent="0.2">
      <c r="A258" t="s">
        <v>775</v>
      </c>
      <c r="B258" t="s">
        <v>776</v>
      </c>
    </row>
    <row r="259" spans="1:2" x14ac:dyDescent="0.2">
      <c r="A259" t="s">
        <v>733</v>
      </c>
      <c r="B259" t="s">
        <v>734</v>
      </c>
    </row>
    <row r="260" spans="1:2" x14ac:dyDescent="0.2">
      <c r="A260" t="s">
        <v>853</v>
      </c>
      <c r="B260" t="s">
        <v>854</v>
      </c>
    </row>
    <row r="261" spans="1:2" x14ac:dyDescent="0.2">
      <c r="A261" t="s">
        <v>785</v>
      </c>
      <c r="B261" t="s">
        <v>786</v>
      </c>
    </row>
    <row r="262" spans="1:2" x14ac:dyDescent="0.2">
      <c r="A262" t="s">
        <v>908</v>
      </c>
      <c r="B262" t="s">
        <v>909</v>
      </c>
    </row>
    <row r="263" spans="1:2" x14ac:dyDescent="0.2">
      <c r="A263" t="s">
        <v>881</v>
      </c>
      <c r="B263" t="s">
        <v>882</v>
      </c>
    </row>
    <row r="264" spans="1:2" x14ac:dyDescent="0.2">
      <c r="A264" t="s">
        <v>918</v>
      </c>
      <c r="B264" t="s">
        <v>919</v>
      </c>
    </row>
    <row r="265" spans="1:2" x14ac:dyDescent="0.2">
      <c r="A265" t="s">
        <v>615</v>
      </c>
      <c r="B265" t="s">
        <v>616</v>
      </c>
    </row>
    <row r="266" spans="1:2" x14ac:dyDescent="0.2">
      <c r="A266" t="s">
        <v>704</v>
      </c>
      <c r="B266" t="s">
        <v>705</v>
      </c>
    </row>
    <row r="267" spans="1:2" x14ac:dyDescent="0.2">
      <c r="A267" t="s">
        <v>357</v>
      </c>
      <c r="B267" t="s">
        <v>358</v>
      </c>
    </row>
    <row r="268" spans="1:2" x14ac:dyDescent="0.2">
      <c r="A268" t="s">
        <v>390</v>
      </c>
      <c r="B268" t="s">
        <v>391</v>
      </c>
    </row>
    <row r="269" spans="1:2" x14ac:dyDescent="0.2">
      <c r="A269" t="s">
        <v>696</v>
      </c>
      <c r="B269" t="s">
        <v>697</v>
      </c>
    </row>
    <row r="270" spans="1:2" x14ac:dyDescent="0.2">
      <c r="A270" t="s">
        <v>355</v>
      </c>
      <c r="B270" t="s">
        <v>356</v>
      </c>
    </row>
    <row r="271" spans="1:2" x14ac:dyDescent="0.2">
      <c r="A271" t="s">
        <v>410</v>
      </c>
      <c r="B271" t="s">
        <v>411</v>
      </c>
    </row>
    <row r="272" spans="1:2" x14ac:dyDescent="0.2">
      <c r="A272" t="s">
        <v>669</v>
      </c>
      <c r="B272" t="s">
        <v>670</v>
      </c>
    </row>
    <row r="273" spans="1:2" x14ac:dyDescent="0.2">
      <c r="A273" t="s">
        <v>643</v>
      </c>
      <c r="B273" t="s">
        <v>644</v>
      </c>
    </row>
    <row r="274" spans="1:2" x14ac:dyDescent="0.2">
      <c r="A274" t="s">
        <v>334</v>
      </c>
      <c r="B274" t="s">
        <v>335</v>
      </c>
    </row>
    <row r="275" spans="1:2" x14ac:dyDescent="0.2">
      <c r="A275" t="s">
        <v>398</v>
      </c>
      <c r="B275" t="s">
        <v>15</v>
      </c>
    </row>
    <row r="276" spans="1:2" x14ac:dyDescent="0.2">
      <c r="A276" t="s">
        <v>566</v>
      </c>
      <c r="B276" t="s">
        <v>249</v>
      </c>
    </row>
    <row r="277" spans="1:2" x14ac:dyDescent="0.2">
      <c r="A277" t="s">
        <v>561</v>
      </c>
      <c r="B277" t="s">
        <v>195</v>
      </c>
    </row>
    <row r="278" spans="1:2" x14ac:dyDescent="0.2">
      <c r="A278" t="s">
        <v>593</v>
      </c>
      <c r="B278" t="s">
        <v>594</v>
      </c>
    </row>
    <row r="279" spans="1:2" x14ac:dyDescent="0.2">
      <c r="A279" t="s">
        <v>557</v>
      </c>
      <c r="B279" t="s">
        <v>558</v>
      </c>
    </row>
    <row r="280" spans="1:2" x14ac:dyDescent="0.2">
      <c r="A280" t="s">
        <v>1017</v>
      </c>
      <c r="B280" t="s">
        <v>1018</v>
      </c>
    </row>
    <row r="281" spans="1:2" x14ac:dyDescent="0.2">
      <c r="A281" t="s">
        <v>442</v>
      </c>
      <c r="B281" t="s">
        <v>443</v>
      </c>
    </row>
    <row r="282" spans="1:2" x14ac:dyDescent="0.2">
      <c r="A282" t="s">
        <v>339</v>
      </c>
      <c r="B282" t="s">
        <v>35</v>
      </c>
    </row>
    <row r="283" spans="1:2" x14ac:dyDescent="0.2">
      <c r="A283" t="s">
        <v>1019</v>
      </c>
      <c r="B283" t="s">
        <v>323</v>
      </c>
    </row>
    <row r="284" spans="1:2" x14ac:dyDescent="0.2">
      <c r="A284" t="s">
        <v>1020</v>
      </c>
      <c r="B284" t="s">
        <v>331</v>
      </c>
    </row>
    <row r="285" spans="1:2" x14ac:dyDescent="0.2">
      <c r="A285" t="s">
        <v>412</v>
      </c>
      <c r="B285" t="s">
        <v>27</v>
      </c>
    </row>
    <row r="286" spans="1:2" x14ac:dyDescent="0.2">
      <c r="A286" t="s">
        <v>1021</v>
      </c>
      <c r="B286" t="s">
        <v>1022</v>
      </c>
    </row>
    <row r="287" spans="1:2" x14ac:dyDescent="0.2">
      <c r="A287" t="s">
        <v>1023</v>
      </c>
      <c r="B287" t="s">
        <v>1024</v>
      </c>
    </row>
    <row r="288" spans="1:2" x14ac:dyDescent="0.2">
      <c r="A288" t="s">
        <v>990</v>
      </c>
      <c r="B288" t="s">
        <v>991</v>
      </c>
    </row>
    <row r="289" spans="1:2" x14ac:dyDescent="0.2">
      <c r="A289" t="s">
        <v>1011</v>
      </c>
      <c r="B289" t="s">
        <v>1012</v>
      </c>
    </row>
    <row r="290" spans="1:2" x14ac:dyDescent="0.2">
      <c r="A290" t="s">
        <v>992</v>
      </c>
      <c r="B290" t="s">
        <v>993</v>
      </c>
    </row>
    <row r="291" spans="1:2" x14ac:dyDescent="0.2">
      <c r="A291" t="s">
        <v>974</v>
      </c>
      <c r="B291" t="s">
        <v>975</v>
      </c>
    </row>
    <row r="292" spans="1:2" x14ac:dyDescent="0.2">
      <c r="A292" t="s">
        <v>988</v>
      </c>
      <c r="B292" t="s">
        <v>989</v>
      </c>
    </row>
    <row r="293" spans="1:2" x14ac:dyDescent="0.2">
      <c r="A293" t="s">
        <v>956</v>
      </c>
      <c r="B293" t="s">
        <v>957</v>
      </c>
    </row>
    <row r="294" spans="1:2" x14ac:dyDescent="0.2">
      <c r="A294" t="s">
        <v>958</v>
      </c>
      <c r="B294" t="s">
        <v>959</v>
      </c>
    </row>
    <row r="295" spans="1:2" x14ac:dyDescent="0.2">
      <c r="A295" t="s">
        <v>960</v>
      </c>
      <c r="B295" t="s">
        <v>961</v>
      </c>
    </row>
    <row r="296" spans="1:2" x14ac:dyDescent="0.2">
      <c r="A296" t="s">
        <v>962</v>
      </c>
      <c r="B296" t="s">
        <v>315</v>
      </c>
    </row>
    <row r="297" spans="1:2" x14ac:dyDescent="0.2">
      <c r="A297" t="s">
        <v>338</v>
      </c>
      <c r="B297" t="s">
        <v>7</v>
      </c>
    </row>
    <row r="298" spans="1:2" x14ac:dyDescent="0.2">
      <c r="A298" t="s">
        <v>605</v>
      </c>
      <c r="B298" t="s">
        <v>129</v>
      </c>
    </row>
    <row r="299" spans="1:2" x14ac:dyDescent="0.2">
      <c r="A299" t="s">
        <v>448</v>
      </c>
      <c r="B299" t="s">
        <v>449</v>
      </c>
    </row>
    <row r="300" spans="1:2" x14ac:dyDescent="0.2">
      <c r="A300" t="s">
        <v>365</v>
      </c>
      <c r="B300" t="s">
        <v>366</v>
      </c>
    </row>
    <row r="301" spans="1:2" x14ac:dyDescent="0.2">
      <c r="A301" t="s">
        <v>597</v>
      </c>
      <c r="B301" t="s">
        <v>598</v>
      </c>
    </row>
    <row r="302" spans="1:2" x14ac:dyDescent="0.2">
      <c r="A302" t="s">
        <v>606</v>
      </c>
      <c r="B302" t="s">
        <v>607</v>
      </c>
    </row>
    <row r="303" spans="1:2" x14ac:dyDescent="0.2">
      <c r="A303" t="s">
        <v>590</v>
      </c>
      <c r="B303" t="s">
        <v>207</v>
      </c>
    </row>
    <row r="304" spans="1:2" x14ac:dyDescent="0.2">
      <c r="A304" t="s">
        <v>446</v>
      </c>
      <c r="B304" t="s">
        <v>447</v>
      </c>
    </row>
    <row r="305" spans="1:2" x14ac:dyDescent="0.2">
      <c r="A305" t="s">
        <v>791</v>
      </c>
      <c r="B305" t="s">
        <v>792</v>
      </c>
    </row>
    <row r="306" spans="1:2" x14ac:dyDescent="0.2">
      <c r="A306" t="s">
        <v>767</v>
      </c>
      <c r="B306" t="s">
        <v>768</v>
      </c>
    </row>
    <row r="307" spans="1:2" x14ac:dyDescent="0.2">
      <c r="A307" t="s">
        <v>550</v>
      </c>
      <c r="B307" t="s">
        <v>127</v>
      </c>
    </row>
    <row r="308" spans="1:2" x14ac:dyDescent="0.2">
      <c r="A308" t="s">
        <v>417</v>
      </c>
      <c r="B308" t="s">
        <v>71</v>
      </c>
    </row>
    <row r="309" spans="1:2" x14ac:dyDescent="0.2">
      <c r="A309" t="s">
        <v>409</v>
      </c>
      <c r="B309" t="s">
        <v>95</v>
      </c>
    </row>
    <row r="310" spans="1:2" x14ac:dyDescent="0.2">
      <c r="A310" t="s">
        <v>529</v>
      </c>
      <c r="B310" t="s">
        <v>135</v>
      </c>
    </row>
    <row r="311" spans="1:2" x14ac:dyDescent="0.2">
      <c r="A311" t="s">
        <v>434</v>
      </c>
      <c r="B311" t="s">
        <v>49</v>
      </c>
    </row>
    <row r="312" spans="1:2" x14ac:dyDescent="0.2">
      <c r="A312" t="s">
        <v>346</v>
      </c>
      <c r="B312" t="s">
        <v>347</v>
      </c>
    </row>
    <row r="313" spans="1:2" x14ac:dyDescent="0.2">
      <c r="A313" t="s">
        <v>581</v>
      </c>
      <c r="B313" t="s">
        <v>582</v>
      </c>
    </row>
    <row r="314" spans="1:2" x14ac:dyDescent="0.2">
      <c r="A314" t="s">
        <v>486</v>
      </c>
      <c r="B314" t="s">
        <v>487</v>
      </c>
    </row>
    <row r="315" spans="1:2" x14ac:dyDescent="0.2">
      <c r="A315" t="s">
        <v>692</v>
      </c>
      <c r="B315" t="s">
        <v>693</v>
      </c>
    </row>
    <row r="316" spans="1:2" x14ac:dyDescent="0.2">
      <c r="A316" t="s">
        <v>517</v>
      </c>
      <c r="B316" t="s">
        <v>518</v>
      </c>
    </row>
    <row r="317" spans="1:2" x14ac:dyDescent="0.2">
      <c r="A317" t="s">
        <v>492</v>
      </c>
      <c r="B317" t="s">
        <v>493</v>
      </c>
    </row>
    <row r="318" spans="1:2" x14ac:dyDescent="0.2">
      <c r="A318" t="s">
        <v>435</v>
      </c>
      <c r="B318" t="s">
        <v>436</v>
      </c>
    </row>
    <row r="319" spans="1:2" x14ac:dyDescent="0.2">
      <c r="A319" t="s">
        <v>627</v>
      </c>
      <c r="B319" t="s">
        <v>628</v>
      </c>
    </row>
    <row r="320" spans="1:2" x14ac:dyDescent="0.2">
      <c r="A320" t="s">
        <v>524</v>
      </c>
      <c r="B320" t="s">
        <v>183</v>
      </c>
    </row>
    <row r="321" spans="1:2" x14ac:dyDescent="0.2">
      <c r="A321" t="s">
        <v>617</v>
      </c>
      <c r="B321" t="s">
        <v>618</v>
      </c>
    </row>
    <row r="322" spans="1:2" x14ac:dyDescent="0.2">
      <c r="A322" t="s">
        <v>540</v>
      </c>
      <c r="B322" t="s">
        <v>541</v>
      </c>
    </row>
    <row r="323" spans="1:2" x14ac:dyDescent="0.2">
      <c r="A323" t="s">
        <v>423</v>
      </c>
      <c r="B323" t="s">
        <v>424</v>
      </c>
    </row>
    <row r="324" spans="1:2" x14ac:dyDescent="0.2">
      <c r="A324" t="s">
        <v>826</v>
      </c>
      <c r="B324" t="s">
        <v>827</v>
      </c>
    </row>
    <row r="325" spans="1:2" x14ac:dyDescent="0.2">
      <c r="A325" t="s">
        <v>474</v>
      </c>
      <c r="B325" t="s">
        <v>91</v>
      </c>
    </row>
    <row r="326" spans="1:2" x14ac:dyDescent="0.2">
      <c r="A326" t="s">
        <v>404</v>
      </c>
      <c r="B326" t="s">
        <v>99</v>
      </c>
    </row>
    <row r="327" spans="1:2" x14ac:dyDescent="0.2">
      <c r="A327" t="s">
        <v>458</v>
      </c>
      <c r="B327" t="s">
        <v>459</v>
      </c>
    </row>
    <row r="328" spans="1:2" x14ac:dyDescent="0.2">
      <c r="A328" t="s">
        <v>588</v>
      </c>
      <c r="B328" t="s">
        <v>589</v>
      </c>
    </row>
    <row r="329" spans="1:2" x14ac:dyDescent="0.2">
      <c r="A329" t="s">
        <v>888</v>
      </c>
      <c r="B329" t="s">
        <v>889</v>
      </c>
    </row>
    <row r="330" spans="1:2" x14ac:dyDescent="0.2">
      <c r="A330" t="s">
        <v>354</v>
      </c>
      <c r="B330" t="s">
        <v>29</v>
      </c>
    </row>
    <row r="331" spans="1:2" x14ac:dyDescent="0.2">
      <c r="A331" t="s">
        <v>531</v>
      </c>
      <c r="B331" t="s">
        <v>532</v>
      </c>
    </row>
    <row r="332" spans="1:2" x14ac:dyDescent="0.2">
      <c r="A332" t="s">
        <v>401</v>
      </c>
      <c r="B332" t="s">
        <v>57</v>
      </c>
    </row>
    <row r="333" spans="1:2" x14ac:dyDescent="0.2">
      <c r="A333" t="s">
        <v>963</v>
      </c>
      <c r="B333" t="s">
        <v>964</v>
      </c>
    </row>
    <row r="334" spans="1:2" x14ac:dyDescent="0.2">
      <c r="A334" t="s">
        <v>965</v>
      </c>
      <c r="B334" t="s">
        <v>966</v>
      </c>
    </row>
    <row r="335" spans="1:2" x14ac:dyDescent="0.2">
      <c r="A335" t="s">
        <v>392</v>
      </c>
      <c r="B335" t="s">
        <v>393</v>
      </c>
    </row>
    <row r="336" spans="1:2" x14ac:dyDescent="0.2">
      <c r="A336" t="s">
        <v>381</v>
      </c>
      <c r="B336" t="s">
        <v>47</v>
      </c>
    </row>
    <row r="337" spans="1:2" x14ac:dyDescent="0.2">
      <c r="A337" t="s">
        <v>967</v>
      </c>
      <c r="B337" t="s">
        <v>321</v>
      </c>
    </row>
    <row r="338" spans="1:2" x14ac:dyDescent="0.2">
      <c r="A338" t="s">
        <v>362</v>
      </c>
      <c r="B338" t="s">
        <v>363</v>
      </c>
    </row>
    <row r="339" spans="1:2" x14ac:dyDescent="0.2">
      <c r="A339" t="s">
        <v>954</v>
      </c>
      <c r="B339" t="s">
        <v>955</v>
      </c>
    </row>
    <row r="340" spans="1:2" x14ac:dyDescent="0.2">
      <c r="A340" t="s">
        <v>380</v>
      </c>
      <c r="B340" t="s">
        <v>53</v>
      </c>
    </row>
    <row r="341" spans="1:2" x14ac:dyDescent="0.2">
      <c r="A341" t="s">
        <v>970</v>
      </c>
      <c r="B341" t="s">
        <v>971</v>
      </c>
    </row>
    <row r="342" spans="1:2" x14ac:dyDescent="0.2">
      <c r="A342" t="s">
        <v>972</v>
      </c>
      <c r="B342" t="s">
        <v>973</v>
      </c>
    </row>
    <row r="343" spans="1:2" x14ac:dyDescent="0.2">
      <c r="A343" t="s">
        <v>948</v>
      </c>
      <c r="B343" t="s">
        <v>949</v>
      </c>
    </row>
    <row r="344" spans="1:2" x14ac:dyDescent="0.2">
      <c r="A344" t="s">
        <v>968</v>
      </c>
      <c r="B344" t="s">
        <v>969</v>
      </c>
    </row>
    <row r="345" spans="1:2" x14ac:dyDescent="0.2">
      <c r="A345" t="s">
        <v>372</v>
      </c>
      <c r="B345" t="s">
        <v>373</v>
      </c>
    </row>
    <row r="346" spans="1:2" x14ac:dyDescent="0.2">
      <c r="A346" t="s">
        <v>343</v>
      </c>
      <c r="B346" t="s">
        <v>344</v>
      </c>
    </row>
    <row r="347" spans="1:2" x14ac:dyDescent="0.2">
      <c r="A347" t="s">
        <v>427</v>
      </c>
      <c r="B347" t="s">
        <v>89</v>
      </c>
    </row>
    <row r="348" spans="1:2" x14ac:dyDescent="0.2">
      <c r="A348" t="s">
        <v>730</v>
      </c>
      <c r="B348" t="s">
        <v>209</v>
      </c>
    </row>
    <row r="349" spans="1:2" x14ac:dyDescent="0.2">
      <c r="A349" t="s">
        <v>350</v>
      </c>
      <c r="B349" t="s">
        <v>351</v>
      </c>
    </row>
    <row r="350" spans="1:2" x14ac:dyDescent="0.2">
      <c r="A350" t="s">
        <v>399</v>
      </c>
      <c r="B350" t="s">
        <v>400</v>
      </c>
    </row>
    <row r="351" spans="1:2" x14ac:dyDescent="0.2">
      <c r="A351" t="s">
        <v>430</v>
      </c>
      <c r="B351" t="s">
        <v>431</v>
      </c>
    </row>
    <row r="352" spans="1:2" x14ac:dyDescent="0.2">
      <c r="A352" t="s">
        <v>342</v>
      </c>
      <c r="B352" t="s">
        <v>41</v>
      </c>
    </row>
    <row r="353" spans="1:2" x14ac:dyDescent="0.2">
      <c r="A353" t="s">
        <v>387</v>
      </c>
      <c r="B353" t="s">
        <v>19</v>
      </c>
    </row>
    <row r="354" spans="1:2" x14ac:dyDescent="0.2">
      <c r="A354" t="s">
        <v>384</v>
      </c>
      <c r="B354" t="s">
        <v>13</v>
      </c>
    </row>
    <row r="355" spans="1:2" x14ac:dyDescent="0.2">
      <c r="A355" t="s">
        <v>345</v>
      </c>
      <c r="B355" t="s">
        <v>21</v>
      </c>
    </row>
    <row r="356" spans="1:2" x14ac:dyDescent="0.2">
      <c r="A356" t="s">
        <v>675</v>
      </c>
      <c r="B356" t="s">
        <v>676</v>
      </c>
    </row>
    <row r="357" spans="1:2" x14ac:dyDescent="0.2">
      <c r="A357" t="s">
        <v>603</v>
      </c>
      <c r="B357" t="s">
        <v>604</v>
      </c>
    </row>
    <row r="358" spans="1:2" x14ac:dyDescent="0.2">
      <c r="A358" t="s">
        <v>976</v>
      </c>
      <c r="B358" t="s">
        <v>977</v>
      </c>
    </row>
    <row r="359" spans="1:2" x14ac:dyDescent="0.2">
      <c r="A359" t="s">
        <v>978</v>
      </c>
      <c r="B359" t="s">
        <v>979</v>
      </c>
    </row>
    <row r="360" spans="1:2" x14ac:dyDescent="0.2">
      <c r="A360" t="s">
        <v>980</v>
      </c>
      <c r="B360" t="s">
        <v>981</v>
      </c>
    </row>
    <row r="361" spans="1:2" x14ac:dyDescent="0.2">
      <c r="A361" t="s">
        <v>538</v>
      </c>
      <c r="B361" t="s">
        <v>539</v>
      </c>
    </row>
    <row r="362" spans="1:2" x14ac:dyDescent="0.2">
      <c r="A362" t="s">
        <v>910</v>
      </c>
      <c r="B362" t="s">
        <v>911</v>
      </c>
    </row>
    <row r="363" spans="1:2" x14ac:dyDescent="0.2">
      <c r="A363" t="s">
        <v>507</v>
      </c>
      <c r="B363" t="s">
        <v>508</v>
      </c>
    </row>
    <row r="364" spans="1:2" x14ac:dyDescent="0.2">
      <c r="A364" t="s">
        <v>591</v>
      </c>
      <c r="B364" t="s">
        <v>592</v>
      </c>
    </row>
    <row r="365" spans="1:2" x14ac:dyDescent="0.2">
      <c r="A365" t="s">
        <v>982</v>
      </c>
      <c r="B365" t="s">
        <v>983</v>
      </c>
    </row>
    <row r="366" spans="1:2" x14ac:dyDescent="0.2">
      <c r="A366" t="s">
        <v>984</v>
      </c>
      <c r="B366" t="s">
        <v>985</v>
      </c>
    </row>
    <row r="367" spans="1:2" x14ac:dyDescent="0.2">
      <c r="A367" t="s">
        <v>890</v>
      </c>
      <c r="B367" t="s">
        <v>891</v>
      </c>
    </row>
    <row r="368" spans="1:2" x14ac:dyDescent="0.2">
      <c r="A368" t="s">
        <v>685</v>
      </c>
      <c r="B368" t="s">
        <v>686</v>
      </c>
    </row>
    <row r="369" spans="1:2" x14ac:dyDescent="0.2">
      <c r="A369" t="s">
        <v>754</v>
      </c>
      <c r="B369" t="s">
        <v>755</v>
      </c>
    </row>
    <row r="370" spans="1:2" x14ac:dyDescent="0.2">
      <c r="A370" t="s">
        <v>641</v>
      </c>
      <c r="B370" t="s">
        <v>642</v>
      </c>
    </row>
    <row r="371" spans="1:2" x14ac:dyDescent="0.2">
      <c r="A371" t="s">
        <v>469</v>
      </c>
      <c r="B371" t="s">
        <v>470</v>
      </c>
    </row>
    <row r="372" spans="1:2" x14ac:dyDescent="0.2">
      <c r="A372" t="s">
        <v>690</v>
      </c>
      <c r="B372" t="s">
        <v>691</v>
      </c>
    </row>
    <row r="373" spans="1:2" x14ac:dyDescent="0.2">
      <c r="A373" t="s">
        <v>467</v>
      </c>
      <c r="B373" t="s">
        <v>468</v>
      </c>
    </row>
    <row r="374" spans="1:2" x14ac:dyDescent="0.2">
      <c r="A374" t="s">
        <v>986</v>
      </c>
      <c r="B374" t="s">
        <v>987</v>
      </c>
    </row>
    <row r="375" spans="1:2" x14ac:dyDescent="0.2">
      <c r="A375" t="s">
        <v>471</v>
      </c>
      <c r="B375" t="s">
        <v>472</v>
      </c>
    </row>
    <row r="376" spans="1:2" x14ac:dyDescent="0.2">
      <c r="A376" t="s">
        <v>546</v>
      </c>
      <c r="B376" t="s">
        <v>547</v>
      </c>
    </row>
    <row r="377" spans="1:2" x14ac:dyDescent="0.2">
      <c r="A377" t="s">
        <v>793</v>
      </c>
      <c r="B377" t="s">
        <v>794</v>
      </c>
    </row>
    <row r="378" spans="1:2" x14ac:dyDescent="0.2">
      <c r="A378" t="s">
        <v>779</v>
      </c>
      <c r="B378" t="s">
        <v>780</v>
      </c>
    </row>
    <row r="379" spans="1:2" x14ac:dyDescent="0.2">
      <c r="A379" t="s">
        <v>1025</v>
      </c>
      <c r="B379" t="s">
        <v>1026</v>
      </c>
    </row>
    <row r="380" spans="1:2" x14ac:dyDescent="0.2">
      <c r="A380" t="s">
        <v>698</v>
      </c>
      <c r="B380" t="s">
        <v>699</v>
      </c>
    </row>
    <row r="381" spans="1:2" x14ac:dyDescent="0.2">
      <c r="A381" t="s">
        <v>494</v>
      </c>
      <c r="B381" t="s">
        <v>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F121F-8AE1-0B4D-B8DE-F0A3EC0CDC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scenario_jobcoeff_4506_iotable_</vt:lpstr>
      <vt:lpstr>scenario_jobcoeff_1610_iotable_</vt:lpstr>
      <vt:lpstr>scenario_indirect_prod_4506_iot</vt:lpstr>
      <vt:lpstr>scenario_indirect_prod_1610_iot</vt:lpstr>
      <vt:lpstr>total_production</vt:lpstr>
      <vt:lpstr>total_job</vt:lpstr>
      <vt:lpstr>sankey_production</vt:lpstr>
      <vt:lpstr>sankey_job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2025-10-11T05:01:04Z</dcterms:created>
  <dcterms:modified xsi:type="dcterms:W3CDTF">2025-10-11T05:41:04Z</dcterms:modified>
</cp:coreProperties>
</file>